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21 - Boca Ciega" sheetId="2" state="visible" r:id="rId2"/>
    <sheet xmlns:r="http://schemas.openxmlformats.org/officeDocument/2006/relationships" name="13 - Jefferson" sheetId="3" state="visible" r:id="rId3"/>
    <sheet xmlns:r="http://schemas.openxmlformats.org/officeDocument/2006/relationships" name="18 - Opa Locka" sheetId="4" state="visible" r:id="rId4"/>
    <sheet xmlns:r="http://schemas.openxmlformats.org/officeDocument/2006/relationships" name="14 - Macedonia" sheetId="5" state="visible" r:id="rId5"/>
    <sheet xmlns:r="http://schemas.openxmlformats.org/officeDocument/2006/relationships" name="48 - Coral Village" sheetId="6" state="visible" r:id="rId6"/>
    <sheet xmlns:r="http://schemas.openxmlformats.org/officeDocument/2006/relationships" name="15 - Holiday" sheetId="7" state="visible" r:id="rId7"/>
    <sheet xmlns:r="http://schemas.openxmlformats.org/officeDocument/2006/relationships" name="16 - Cumberland" sheetId="8" state="visible" r:id="rId8"/>
    <sheet xmlns:r="http://schemas.openxmlformats.org/officeDocument/2006/relationships" name="17 - Village Green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</sheets>
  <definedNames/>
  <calcPr calcId="0" fullCalcOnLoad="1" iterateCount="100" iterateDelta="0.00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4">
    <font>
      <name val="Calibri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9"/>
    </font>
    <font>
      <name val="Calibri"/>
      <b val="1"/>
      <color auto="1"/>
      <sz val="9"/>
    </font>
    <font>
      <name val="Calibri"/>
      <b val="1"/>
      <color rgb="FF2E75B6"/>
      <sz val="9"/>
    </font>
    <font>
      <name val="Calibri"/>
      <color auto="1"/>
      <sz val="9"/>
    </font>
    <font>
      <name val="Calibri"/>
      <b val="1"/>
      <color rgb="FFFF0000"/>
      <sz val="9"/>
    </font>
    <font>
      <name val="Calibri"/>
      <b val="1"/>
      <color rgb="FFFF7F00"/>
      <sz val="9"/>
    </font>
    <font>
      <name val="Calibri"/>
      <b val="1"/>
      <color rgb="FF7030A0"/>
      <sz val="9"/>
    </font>
    <font>
      <name val="Calibri"/>
      <b val="1"/>
      <color rgb="FFFFC000"/>
      <sz val="9"/>
    </font>
    <font>
      <name val="Calibri"/>
      <b val="1"/>
      <color rgb="FF92D050"/>
      <sz val="9"/>
    </font>
    <font>
      <name val="Calibri"/>
      <b val="1"/>
      <color rgb="FF00B050"/>
      <sz val="9"/>
    </font>
    <font>
      <name val="Calibri"/>
      <b val="1"/>
      <color theme="1"/>
      <sz val="11"/>
      <scheme val="minor"/>
    </font>
    <font>
      <name val="Calibri"/>
      <i val="1"/>
      <color rgb="FF1A5276"/>
      <sz val="8"/>
    </font>
    <font>
      <name val="Calibri"/>
      <b val="1"/>
      <color rgb="FFFFFFFF"/>
      <sz val="13"/>
    </font>
    <font>
      <name val="Calibri"/>
      <b val="1"/>
      <color rgb="FF595959"/>
      <sz val="8"/>
    </font>
    <font>
      <name val="Calibri"/>
      <b val="1"/>
      <color rgb="FF1F3864"/>
      <sz val="10"/>
    </font>
    <font>
      <name val="Calibri"/>
      <b val="1"/>
      <color rgb="FFFFFFFF"/>
      <sz val="14"/>
    </font>
    <font>
      <name val="Calibri"/>
      <b val="1"/>
      <i val="1"/>
      <color rgb="FF595959"/>
      <sz val="12"/>
    </font>
    <font>
      <name val="Calibri"/>
      <b val="1"/>
      <color rgb="FFFFFFFF"/>
      <sz val="10"/>
    </font>
    <font>
      <name val="Calibri"/>
      <b val="1"/>
      <color rgb="FF1F3864"/>
      <sz val="9"/>
    </font>
    <font>
      <name val="Calibri"/>
      <i val="1"/>
      <color rgb="FFFFFFFF"/>
      <sz val="9"/>
    </font>
    <font>
      <name val="Calibri"/>
      <b val="1"/>
      <color rgb="FF000000"/>
      <sz val="10"/>
    </font>
    <font>
      <name val="Calibri"/>
      <color rgb="FF000000"/>
      <sz val="10"/>
    </font>
  </fonts>
  <fills count="29">
    <fill>
      <patternFill/>
    </fill>
    <fill>
      <patternFill patternType="gray125"/>
    </fill>
    <fill>
      <patternFill patternType="solid">
        <fgColor rgb="FF2E75B6"/>
      </patternFill>
    </fill>
    <fill>
      <patternFill patternType="solid">
        <fgColor rgb="FF1F3864"/>
      </patternFill>
    </fill>
    <fill>
      <patternFill patternType="solid">
        <fgColor rgb="FFC55A11"/>
      </patternFill>
    </fill>
    <fill>
      <patternFill patternType="solid">
        <fgColor rgb="FFD6E4F0"/>
      </patternFill>
    </fill>
    <fill>
      <patternFill patternType="solid">
        <fgColor rgb="FFDEEBF7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D9F2DC"/>
      </patternFill>
    </fill>
    <fill>
      <patternFill patternType="solid">
        <fgColor rgb="FFE8F8EB"/>
      </patternFill>
    </fill>
    <fill>
      <patternFill patternType="solid">
        <fgColor rgb="FFBDD7EE"/>
      </patternFill>
    </fill>
    <fill>
      <patternFill patternType="solid">
        <fgColor rgb="FFDAEEF3"/>
      </patternFill>
    </fill>
    <fill>
      <patternFill patternType="solid">
        <fgColor rgb="FFE2F0FB"/>
      </patternFill>
    </fill>
    <fill>
      <patternFill patternType="solid">
        <fgColor rgb="FFFFF2CC"/>
      </patternFill>
    </fill>
    <fill>
      <patternFill patternType="solid">
        <fgColor theme="3" tint="0.8"/>
      </patternFill>
    </fill>
    <fill>
      <patternFill patternType="solid">
        <fgColor theme="6" tint="0.8"/>
      </patternFill>
    </fill>
    <fill>
      <patternFill patternType="solid">
        <fgColor theme="0"/>
      </patternFill>
    </fill>
    <fill>
      <patternFill patternType="solid">
        <fgColor rgb="FFEBF5FB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70AD47"/>
      </patternFill>
    </fill>
    <fill>
      <patternFill patternType="solid">
        <fgColor rgb="FF7030A0"/>
      </patternFill>
    </fill>
    <fill>
      <patternFill patternType="solid">
        <fgColor rgb="FF00B0F0"/>
      </patternFill>
    </fill>
    <fill>
      <patternFill patternType="solid">
        <fgColor rgb="FF9DC3E6"/>
      </patternFill>
    </fill>
    <fill>
      <patternFill patternType="solid">
        <fgColor rgb="FFF4B942"/>
      </patternFill>
    </fill>
    <fill>
      <patternFill patternType="solid">
        <fgColor rgb="FFD6DCE4"/>
      </patternFill>
    </fill>
    <fill>
      <patternFill patternType="solid">
        <fgColor rgb="FFDEEAF1"/>
      </patternFill>
    </fill>
    <fill>
      <patternFill patternType="solid">
        <fgColor rgb="FFE2EFDA"/>
      </patternFill>
    </fill>
  </fills>
  <borders count="22">
    <border>
      <left/>
      <right/>
      <top/>
      <bottom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</border>
    <border>
      <left/>
      <right/>
      <top style="medium">
        <color rgb="FF1F3864"/>
      </top>
      <bottom style="medium">
        <color rgb="FF1F3864"/>
      </bottom>
      <diagonal/>
    </border>
    <border>
      <left/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medium">
        <color rgb="FF1F3864"/>
      </top>
      <bottom/>
    </border>
    <border>
      <left/>
      <right style="medium">
        <color rgb="FF1F3864"/>
      </right>
      <top style="medium">
        <color rgb="FF1F3864"/>
      </top>
      <bottom/>
    </border>
    <border>
      <left/>
      <right/>
      <top style="medium">
        <color rgb="FF1F3864"/>
      </top>
      <bottom style="medium">
        <color rgb="FF1F3864"/>
      </bottom>
    </border>
    <border>
      <left/>
      <right style="medium">
        <color rgb="FF1F3864"/>
      </right>
      <top style="medium">
        <color rgb="FF1F3864"/>
      </top>
      <bottom style="medium">
        <color rgb="FF1F3864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1"/>
  </cellStyleXfs>
  <cellXfs count="105"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0" borderId="1" pivotButton="0" quotePrefix="0" xfId="0"/>
    <xf numFmtId="0" fontId="17" fillId="3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bottom"/>
    </xf>
    <xf numFmtId="0" fontId="1" fillId="2" borderId="3" applyAlignment="1" pivotButton="0" quotePrefix="0" xfId="0">
      <alignment horizontal="center" vertical="bottom"/>
    </xf>
    <xf numFmtId="0" fontId="0" fillId="16" borderId="1" pivotButton="0" quotePrefix="0" xfId="0"/>
    <xf numFmtId="0" fontId="0" fillId="16" borderId="2" applyAlignment="1" pivotButton="0" quotePrefix="0" xfId="0">
      <alignment horizontal="center" vertical="bottom"/>
    </xf>
    <xf numFmtId="0" fontId="0" fillId="16" borderId="2" pivotButton="0" quotePrefix="0" xfId="0"/>
    <xf numFmtId="0" fontId="0" fillId="17" borderId="1" pivotButton="0" quotePrefix="0" xfId="0"/>
    <xf numFmtId="0" fontId="0" fillId="15" borderId="1" pivotButton="0" quotePrefix="0" xfId="0"/>
    <xf numFmtId="0" fontId="0" fillId="15" borderId="2" applyAlignment="1" pivotButton="0" quotePrefix="0" xfId="0">
      <alignment horizontal="center" vertical="bottom"/>
    </xf>
    <xf numFmtId="0" fontId="0" fillId="15" borderId="2" pivotButton="0" quotePrefix="0" xfId="0"/>
    <xf numFmtId="0" fontId="12" fillId="15" borderId="2" pivotButton="0" quotePrefix="0" xfId="0"/>
    <xf numFmtId="0" fontId="0" fillId="0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left" vertical="center" wrapText="1"/>
    </xf>
    <xf numFmtId="0" fontId="13" fillId="18" borderId="1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top" wrapText="1"/>
    </xf>
    <xf numFmtId="0" fontId="3" fillId="5" borderId="2" applyAlignment="1" pivotButton="0" quotePrefix="0" xfId="0">
      <alignment horizontal="left" vertical="top" wrapText="1"/>
    </xf>
    <xf numFmtId="0" fontId="3" fillId="6" borderId="2" applyAlignment="1" pivotButton="0" quotePrefix="0" xfId="0">
      <alignment horizontal="center" vertical="top" wrapText="1"/>
    </xf>
    <xf numFmtId="0" fontId="3" fillId="7" borderId="2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center" vertical="top" wrapText="1"/>
    </xf>
    <xf numFmtId="0" fontId="5" fillId="8" borderId="2" applyAlignment="1" pivotButton="0" quotePrefix="0" xfId="0">
      <alignment horizontal="center" vertical="top" wrapText="1"/>
    </xf>
    <xf numFmtId="0" fontId="5" fillId="8" borderId="2" applyAlignment="1" pivotButton="0" quotePrefix="0" xfId="0">
      <alignment horizontal="left" vertical="top" wrapText="1"/>
    </xf>
    <xf numFmtId="0" fontId="5" fillId="6" borderId="2" applyAlignment="1" pivotButton="0" quotePrefix="0" xfId="0">
      <alignment horizontal="center" vertical="top" wrapText="1"/>
    </xf>
    <xf numFmtId="0" fontId="5" fillId="7" borderId="2" applyAlignment="1" pivotButton="0" quotePrefix="0" xfId="0">
      <alignment horizontal="center" vertical="top" wrapText="1"/>
    </xf>
    <xf numFmtId="0" fontId="6" fillId="8" borderId="2" applyAlignment="1" pivotButton="0" quotePrefix="0" xfId="0">
      <alignment horizontal="center" vertical="top" wrapText="1"/>
    </xf>
    <xf numFmtId="0" fontId="5" fillId="9" borderId="2" applyAlignment="1" pivotButton="0" quotePrefix="0" xfId="0">
      <alignment horizontal="center" vertical="top" wrapText="1"/>
    </xf>
    <xf numFmtId="0" fontId="5" fillId="9" borderId="2" applyAlignment="1" pivotButton="0" quotePrefix="0" xfId="0">
      <alignment horizontal="left" vertical="top" wrapText="1"/>
    </xf>
    <xf numFmtId="0" fontId="6" fillId="9" borderId="2" applyAlignment="1" pivotButton="0" quotePrefix="0" xfId="0">
      <alignment horizontal="center" vertical="top" wrapText="1"/>
    </xf>
    <xf numFmtId="0" fontId="5" fillId="10" borderId="2" applyAlignment="1" pivotButton="0" quotePrefix="0" xfId="0">
      <alignment horizontal="center" vertical="top" wrapText="1"/>
    </xf>
    <xf numFmtId="0" fontId="5" fillId="10" borderId="2" applyAlignment="1" pivotButton="0" quotePrefix="0" xfId="0">
      <alignment horizontal="left" vertical="top" wrapText="1"/>
    </xf>
    <xf numFmtId="0" fontId="7" fillId="10" borderId="2" applyAlignment="1" pivotButton="0" quotePrefix="0" xfId="0">
      <alignment horizontal="center" vertical="top" wrapText="1"/>
    </xf>
    <xf numFmtId="0" fontId="5" fillId="11" borderId="2" applyAlignment="1" pivotButton="0" quotePrefix="0" xfId="0">
      <alignment horizontal="center" vertical="top" wrapText="1"/>
    </xf>
    <xf numFmtId="0" fontId="5" fillId="11" borderId="2" applyAlignment="1" pivotButton="0" quotePrefix="0" xfId="0">
      <alignment horizontal="left" vertical="top" wrapText="1"/>
    </xf>
    <xf numFmtId="0" fontId="6" fillId="11" borderId="2" applyAlignment="1" pivotButton="0" quotePrefix="0" xfId="0">
      <alignment horizontal="center" vertical="top" wrapText="1"/>
    </xf>
    <xf numFmtId="0" fontId="5" fillId="12" borderId="2" applyAlignment="1" pivotButton="0" quotePrefix="0" xfId="0">
      <alignment horizontal="center" vertical="top" wrapText="1"/>
    </xf>
    <xf numFmtId="0" fontId="5" fillId="12" borderId="2" applyAlignment="1" pivotButton="0" quotePrefix="0" xfId="0">
      <alignment horizontal="left" vertical="top" wrapText="1"/>
    </xf>
    <xf numFmtId="0" fontId="6" fillId="12" borderId="2" applyAlignment="1" pivotButton="0" quotePrefix="0" xfId="0">
      <alignment horizontal="center" vertical="top" wrapText="1"/>
    </xf>
    <xf numFmtId="0" fontId="5" fillId="13" borderId="2" applyAlignment="1" pivotButton="0" quotePrefix="0" xfId="0">
      <alignment horizontal="center" vertical="top" wrapText="1"/>
    </xf>
    <xf numFmtId="0" fontId="5" fillId="13" borderId="2" applyAlignment="1" pivotButton="0" quotePrefix="0" xfId="0">
      <alignment horizontal="left" vertical="top" wrapText="1"/>
    </xf>
    <xf numFmtId="0" fontId="6" fillId="13" borderId="2" applyAlignment="1" pivotButton="0" quotePrefix="0" xfId="0">
      <alignment horizontal="center" vertical="top" wrapText="1"/>
    </xf>
    <xf numFmtId="0" fontId="5" fillId="14" borderId="2" applyAlignment="1" pivotButton="0" quotePrefix="0" xfId="0">
      <alignment horizontal="center" vertical="top" wrapText="1"/>
    </xf>
    <xf numFmtId="0" fontId="5" fillId="14" borderId="2" applyAlignment="1" pivotButton="0" quotePrefix="0" xfId="0">
      <alignment horizontal="left" vertical="top" wrapText="1"/>
    </xf>
    <xf numFmtId="0" fontId="8" fillId="14" borderId="2" applyAlignment="1" pivotButton="0" quotePrefix="0" xfId="0">
      <alignment horizontal="center" vertical="top" wrapText="1"/>
    </xf>
    <xf numFmtId="0" fontId="15" fillId="19" borderId="1" applyAlignment="1" pivotButton="0" quotePrefix="0" xfId="0">
      <alignment horizontal="left" vertical="center" wrapText="1"/>
    </xf>
    <xf numFmtId="0" fontId="1" fillId="3" borderId="11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21" fillId="2" borderId="11" applyAlignment="1" pivotButton="0" quotePrefix="0" xfId="0">
      <alignment horizontal="center" vertical="center"/>
    </xf>
    <xf numFmtId="0" fontId="1" fillId="2" borderId="11" applyAlignment="1" pivotButton="0" quotePrefix="0" xfId="0">
      <alignment horizontal="center" vertical="center"/>
    </xf>
    <xf numFmtId="0" fontId="22" fillId="26" borderId="11" applyAlignment="1" pivotButton="0" quotePrefix="0" xfId="0">
      <alignment horizontal="center" vertical="center"/>
    </xf>
    <xf numFmtId="164" fontId="23" fillId="27" borderId="11" applyAlignment="1" pivotButton="0" quotePrefix="0" xfId="0">
      <alignment horizontal="center" vertical="center"/>
    </xf>
    <xf numFmtId="164" fontId="22" fillId="11" borderId="11" applyAlignment="1" pivotButton="0" quotePrefix="0" xfId="0">
      <alignment horizontal="center" vertical="center"/>
    </xf>
    <xf numFmtId="164" fontId="22" fillId="28" borderId="11" applyAlignment="1" pivotButton="0" quotePrefix="0" xfId="0">
      <alignment horizontal="center" vertical="center"/>
    </xf>
    <xf numFmtId="0" fontId="19" fillId="3" borderId="1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2" fillId="20" borderId="13" applyAlignment="1" pivotButton="0" quotePrefix="0" xfId="0">
      <alignment horizontal="center" vertical="center"/>
    </xf>
    <xf numFmtId="0" fontId="2" fillId="21" borderId="13" applyAlignment="1" pivotButton="0" quotePrefix="0" xfId="0">
      <alignment horizontal="center" vertical="center"/>
    </xf>
    <xf numFmtId="0" fontId="2" fillId="22" borderId="13" applyAlignment="1" pivotButton="0" quotePrefix="0" xfId="0">
      <alignment horizontal="center" vertical="center"/>
    </xf>
    <xf numFmtId="0" fontId="2" fillId="23" borderId="13" applyAlignment="1" pivotButton="0" quotePrefix="0" xfId="0">
      <alignment horizontal="center" vertical="center"/>
    </xf>
    <xf numFmtId="0" fontId="2" fillId="24" borderId="13" applyAlignment="1" pivotButton="0" quotePrefix="0" xfId="0">
      <alignment horizontal="center" vertical="center"/>
    </xf>
    <xf numFmtId="0" fontId="2" fillId="25" borderId="13" applyAlignment="1" pivotButton="0" quotePrefix="0" xfId="0">
      <alignment horizontal="center" vertical="center"/>
    </xf>
    <xf numFmtId="0" fontId="3" fillId="20" borderId="13" applyAlignment="1" pivotButton="0" quotePrefix="0" xfId="0">
      <alignment horizontal="center" vertical="center"/>
    </xf>
    <xf numFmtId="0" fontId="5" fillId="20" borderId="13" applyAlignment="1" pivotButton="0" quotePrefix="0" xfId="0">
      <alignment horizontal="center" vertical="center"/>
    </xf>
    <xf numFmtId="0" fontId="20" fillId="24" borderId="13" applyAlignment="1" pivotButton="0" quotePrefix="0" xfId="0">
      <alignment horizontal="center" vertical="center"/>
    </xf>
    <xf numFmtId="0" fontId="20" fillId="25" borderId="13" applyAlignment="1" pivotButton="0" quotePrefix="0" xfId="0">
      <alignment horizontal="center" vertical="center"/>
    </xf>
    <xf numFmtId="0" fontId="3" fillId="19" borderId="13" applyAlignment="1" pivotButton="0" quotePrefix="0" xfId="0">
      <alignment horizontal="center" vertical="center"/>
    </xf>
    <xf numFmtId="0" fontId="5" fillId="19" borderId="13" applyAlignment="1" pivotButton="0" quotePrefix="0" xfId="0">
      <alignment horizontal="center" vertical="center"/>
    </xf>
    <xf numFmtId="164" fontId="20" fillId="24" borderId="13" applyAlignment="1" pivotButton="0" quotePrefix="0" xfId="0">
      <alignment horizontal="center" vertical="center"/>
    </xf>
    <xf numFmtId="164" fontId="20" fillId="21" borderId="13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top" wrapText="1"/>
    </xf>
    <xf numFmtId="0" fontId="9" fillId="9" borderId="2" applyAlignment="1" pivotButton="0" quotePrefix="0" xfId="0">
      <alignment horizontal="center" vertical="top" wrapText="1"/>
    </xf>
    <xf numFmtId="0" fontId="9" fillId="10" borderId="2" applyAlignment="1" pivotButton="0" quotePrefix="0" xfId="0">
      <alignment horizontal="center" vertical="top" wrapText="1"/>
    </xf>
    <xf numFmtId="0" fontId="7" fillId="11" borderId="2" applyAlignment="1" pivotButton="0" quotePrefix="0" xfId="0">
      <alignment horizontal="center" vertical="top" wrapText="1"/>
    </xf>
    <xf numFmtId="0" fontId="7" fillId="12" borderId="2" applyAlignment="1" pivotButton="0" quotePrefix="0" xfId="0">
      <alignment horizontal="center" vertical="top" wrapText="1"/>
    </xf>
    <xf numFmtId="0" fontId="7" fillId="13" borderId="2" applyAlignment="1" pivotButton="0" quotePrefix="0" xfId="0">
      <alignment horizontal="center" vertical="top" wrapText="1"/>
    </xf>
    <xf numFmtId="0" fontId="9" fillId="11" borderId="2" applyAlignment="1" pivotButton="0" quotePrefix="0" xfId="0">
      <alignment horizontal="center" vertical="top" wrapText="1"/>
    </xf>
    <xf numFmtId="0" fontId="6" fillId="10" borderId="2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bottom"/>
    </xf>
    <xf numFmtId="0" fontId="10" fillId="9" borderId="2" applyAlignment="1" pivotButton="0" quotePrefix="0" xfId="0">
      <alignment horizontal="center" vertical="top" wrapText="1"/>
    </xf>
    <xf numFmtId="0" fontId="10" fillId="10" borderId="2" applyAlignment="1" pivotButton="0" quotePrefix="0" xfId="0">
      <alignment horizontal="center" vertical="top" wrapText="1"/>
    </xf>
    <xf numFmtId="0" fontId="9" fillId="12" borderId="2" applyAlignment="1" pivotButton="0" quotePrefix="0" xfId="0">
      <alignment horizontal="center" vertical="top" wrapText="1"/>
    </xf>
    <xf numFmtId="0" fontId="9" fillId="13" borderId="2" applyAlignment="1" pivotButton="0" quotePrefix="0" xfId="0">
      <alignment horizontal="center" vertical="top" wrapText="1"/>
    </xf>
    <xf numFmtId="0" fontId="9" fillId="8" borderId="2" applyAlignment="1" pivotButton="0" quotePrefix="0" xfId="0">
      <alignment horizontal="center" vertical="top" wrapText="1"/>
    </xf>
    <xf numFmtId="0" fontId="10" fillId="8" borderId="2" applyAlignment="1" pivotButton="0" quotePrefix="0" xfId="0">
      <alignment horizontal="center" vertical="top" wrapText="1"/>
    </xf>
    <xf numFmtId="0" fontId="7" fillId="9" borderId="2" applyAlignment="1" pivotButton="0" quotePrefix="0" xfId="0">
      <alignment horizontal="center" vertical="top" wrapText="1"/>
    </xf>
    <xf numFmtId="0" fontId="11" fillId="8" borderId="2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20" pivotButton="0" quotePrefix="0" xfId="0"/>
    <xf numFmtId="0" fontId="0" fillId="0" borderId="21" pivotButton="0" quotePrefix="0" xfId="0"/>
    <xf numFmtId="164" fontId="23" fillId="27" borderId="11" applyAlignment="1" pivotButton="0" quotePrefix="0" xfId="0">
      <alignment horizontal="center" vertical="center"/>
    </xf>
    <xf numFmtId="164" fontId="22" fillId="11" borderId="11" applyAlignment="1" pivotButton="0" quotePrefix="0" xfId="0">
      <alignment horizontal="center" vertical="center"/>
    </xf>
    <xf numFmtId="164" fontId="22" fillId="28" borderId="1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164" fontId="20" fillId="24" borderId="13" applyAlignment="1" pivotButton="0" quotePrefix="0" xfId="0">
      <alignment horizontal="center" vertical="center"/>
    </xf>
    <xf numFmtId="164" fontId="20" fillId="21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5"/>
  <sheetViews>
    <sheetView topLeftCell="A1" workbookViewId="0">
      <pane ySplit="1" topLeftCell="A2" activePane="bottomLeft" state="frozen"/>
      <selection pane="bottomLeft" activeCell="M8" sqref="M8"/>
    </sheetView>
  </sheetViews>
  <sheetFormatPr baseColWidth="8" defaultColWidth="9.140625" defaultRowHeight="15" customHeight="1"/>
  <cols>
    <col width="6.00390625" customWidth="1" style="3" min="1" max="1"/>
    <col width="32.00390625" customWidth="1" style="3" min="2" max="2"/>
    <col width="22.00390625" customWidth="1" style="3" min="3" max="3"/>
    <col width="12.00390625" customWidth="1" style="3" min="4" max="4"/>
    <col width="8.00390625" customWidth="1" style="3" min="5" max="5"/>
    <col width="18.28125" customWidth="1" style="3" min="6" max="6"/>
    <col width="21.421875" customWidth="1" style="3" min="7" max="7"/>
    <col width="20.00390625" customWidth="1" style="3" min="8" max="8"/>
    <col width="28.28125" customWidth="1" style="3" min="9" max="9"/>
    <col width="10.57421875" customWidth="1" style="3" min="10" max="10"/>
    <col width="9.140625" customWidth="1" style="11" min="11" max="31"/>
  </cols>
  <sheetData>
    <row r="1" ht="15" customHeight="1" s="95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27.75" customFormat="1" customHeight="1" s="3">
      <c r="A2" s="4" t="inlineStr">
        <is>
          <t>APARTMENT CORP — COMPETITIVE RENT COMP ANALYSIS 2026</t>
        </is>
      </c>
    </row>
    <row r="3" ht="44.25" customFormat="1" customHeight="1" s="3">
      <c r="A3" s="5" t="inlineStr">
        <is>
          <t>LEGEND for Each sheet: 3 GREEN rows = Affordable/Low-Income comps (LIHTC/Section 8/HUD) | 3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</row>
    <row r="4" ht="15" customHeight="1" s="95">
      <c r="A4" s="6" t="inlineStr">
        <is>
          <t>#</t>
        </is>
      </c>
      <c r="B4" s="6" t="inlineStr">
        <is>
          <t>Property Name</t>
        </is>
      </c>
      <c r="C4" s="6" t="inlineStr">
        <is>
          <t>City, State</t>
        </is>
      </c>
      <c r="D4" s="6" t="inlineStr">
        <is>
          <t>Year Built</t>
        </is>
      </c>
      <c r="E4" s="6" t="inlineStr">
        <is>
          <t>Units</t>
        </is>
      </c>
      <c r="F4" s="6" t="inlineStr">
        <is>
          <t>Program</t>
        </is>
      </c>
      <c r="G4" s="6" t="inlineStr">
        <is>
          <t>Sheet Name</t>
        </is>
      </c>
      <c r="H4" s="6" t="inlineStr">
        <is>
          <t>Bedroom Mix</t>
        </is>
      </c>
      <c r="I4" s="7" t="inlineStr">
        <is>
          <t>Comp Types</t>
        </is>
      </c>
    </row>
    <row r="5" ht="15" customFormat="1" customHeight="1" s="8">
      <c r="A5" s="9" t="n">
        <v>1</v>
      </c>
      <c r="B5" s="10" t="inlineStr">
        <is>
          <t>Boca Ciega</t>
        </is>
      </c>
      <c r="C5" s="10" t="inlineStr">
        <is>
          <t>St. Petersburg, FL</t>
        </is>
      </c>
      <c r="D5" s="9" t="n">
        <v>1974</v>
      </c>
      <c r="E5" s="9" t="n">
        <v>109</v>
      </c>
      <c r="F5" s="10" t="inlineStr">
        <is>
          <t>Layered HUD/LIHTC</t>
        </is>
      </c>
      <c r="G5" s="10" t="inlineStr">
        <is>
          <t>21 - Boca Ciega</t>
        </is>
      </c>
      <c r="H5" s="10" t="inlineStr">
        <is>
          <t>2BR / 3BR</t>
        </is>
      </c>
      <c r="I5" s="10" t="inlineStr">
        <is>
          <t>4 Affordable (Green) + 4 Market Rate (Blue)</t>
        </is>
      </c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</row>
    <row r="6" ht="15" customFormat="1" customHeight="1" s="12">
      <c r="A6" s="13" t="n">
        <v>2</v>
      </c>
      <c r="B6" s="14" t="inlineStr">
        <is>
          <t>Jefferson Arms</t>
        </is>
      </c>
      <c r="C6" s="14" t="inlineStr">
        <is>
          <t>Monticello, FL</t>
        </is>
      </c>
      <c r="D6" s="13" t="n">
        <v>1971</v>
      </c>
      <c r="E6" s="13" t="n">
        <v>75</v>
      </c>
      <c r="F6" s="15" t="inlineStr">
        <is>
          <t>Section 8/HUD</t>
        </is>
      </c>
      <c r="G6" s="14" t="inlineStr">
        <is>
          <t>13 - Jefferson</t>
        </is>
      </c>
      <c r="H6" s="14" t="inlineStr">
        <is>
          <t>2BR / 3BR</t>
        </is>
      </c>
      <c r="I6" s="14" t="inlineStr">
        <is>
          <t>4 Affordable (Green) + 4 Market Rate (Blue)</t>
        </is>
      </c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</row>
    <row r="7" ht="15" customFormat="1" customHeight="1" s="12">
      <c r="A7" s="13" t="n">
        <v>3</v>
      </c>
      <c r="B7" s="14" t="inlineStr">
        <is>
          <t>Opa Locka 135th St</t>
        </is>
      </c>
      <c r="C7" s="14" t="inlineStr">
        <is>
          <t>Opa Locka, FL</t>
        </is>
      </c>
      <c r="D7" s="13" t="n">
        <v>1968</v>
      </c>
      <c r="E7" s="13" t="n">
        <v>65</v>
      </c>
      <c r="F7" s="15" t="inlineStr">
        <is>
          <t>Section 8/HUD</t>
        </is>
      </c>
      <c r="G7" s="14" t="inlineStr">
        <is>
          <t>18 - Opa Locka</t>
        </is>
      </c>
      <c r="H7" s="14" t="inlineStr">
        <is>
          <t>1BR / 2BR / 3BR</t>
        </is>
      </c>
      <c r="I7" s="14" t="inlineStr">
        <is>
          <t>4 Affordable (Green) + 4 Market Rate (Blue)</t>
        </is>
      </c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</row>
    <row r="8" ht="15" customFormat="1" customHeight="1" s="12">
      <c r="A8" s="13" t="n">
        <v>4</v>
      </c>
      <c r="B8" s="14" t="inlineStr">
        <is>
          <t>Macedonia Garden</t>
        </is>
      </c>
      <c r="C8" s="14" t="inlineStr">
        <is>
          <t>Panama City, FL</t>
        </is>
      </c>
      <c r="D8" s="13" t="n">
        <v>1969</v>
      </c>
      <c r="E8" s="13" t="n">
        <v>100</v>
      </c>
      <c r="F8" s="15" t="inlineStr">
        <is>
          <t>Section 8/HUD</t>
        </is>
      </c>
      <c r="G8" s="14" t="inlineStr">
        <is>
          <t>14 - Macedonia</t>
        </is>
      </c>
      <c r="H8" s="14" t="inlineStr">
        <is>
          <t>2BR / 3BR</t>
        </is>
      </c>
      <c r="I8" s="14" t="inlineStr">
        <is>
          <t>4 Affordable (Green) + 4 Market Rate (Blue)</t>
        </is>
      </c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</row>
    <row r="9" ht="15" customFormat="1" customHeight="1" s="12">
      <c r="A9" s="13" t="n">
        <v>5</v>
      </c>
      <c r="B9" s="14" t="inlineStr">
        <is>
          <t>Coral Village</t>
        </is>
      </c>
      <c r="C9" s="14" t="inlineStr">
        <is>
          <t>Cape Coral, FL</t>
        </is>
      </c>
      <c r="D9" s="13" t="n">
        <v>1999</v>
      </c>
      <c r="E9" s="13" t="n">
        <v>72</v>
      </c>
      <c r="F9" s="15" t="inlineStr">
        <is>
          <t>Section 8/HUD</t>
        </is>
      </c>
      <c r="G9" s="14" t="inlineStr">
        <is>
          <t>48 - Coral Village</t>
        </is>
      </c>
      <c r="H9" s="14" t="inlineStr">
        <is>
          <t>1BR / 2BR</t>
        </is>
      </c>
      <c r="I9" s="14" t="inlineStr">
        <is>
          <t>4 Affordable (Green) + 4 Market Rate (Blue)</t>
        </is>
      </c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</row>
    <row r="10" ht="15" customFormat="1" customHeight="1" s="12">
      <c r="A10" s="13" t="n">
        <v>6</v>
      </c>
      <c r="B10" s="14" t="inlineStr">
        <is>
          <t>Holiday Apts</t>
        </is>
      </c>
      <c r="C10" s="14" t="inlineStr">
        <is>
          <t>Natchez, MS</t>
        </is>
      </c>
      <c r="D10" s="13" t="n">
        <v>1951</v>
      </c>
      <c r="E10" s="13" t="n">
        <v>115</v>
      </c>
      <c r="F10" s="15" t="inlineStr">
        <is>
          <t>Section 8/HUD</t>
        </is>
      </c>
      <c r="G10" s="14" t="inlineStr">
        <is>
          <t>15 - Holiday</t>
        </is>
      </c>
      <c r="H10" s="14" t="inlineStr">
        <is>
          <t>2BR / 3BR / 4BR / 5BR</t>
        </is>
      </c>
      <c r="I10" s="14" t="inlineStr">
        <is>
          <t>4 Affordable (Green) + 4 Market Rate (Blue)</t>
        </is>
      </c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</row>
    <row r="11" ht="15" customFormat="1" customHeight="1" s="12">
      <c r="A11" s="13" t="n">
        <v>7</v>
      </c>
      <c r="B11" s="14" t="inlineStr">
        <is>
          <t>Cumberland</t>
        </is>
      </c>
      <c r="C11" s="14" t="inlineStr">
        <is>
          <t>Crystal Springs, MS</t>
        </is>
      </c>
      <c r="D11" s="13" t="n">
        <v>1985</v>
      </c>
      <c r="E11" s="13" t="n">
        <v>68</v>
      </c>
      <c r="F11" s="15" t="inlineStr">
        <is>
          <t>Section 8/HUD</t>
        </is>
      </c>
      <c r="G11" s="14" t="inlineStr">
        <is>
          <t>16 - Cumberland</t>
        </is>
      </c>
      <c r="H11" s="14" t="inlineStr">
        <is>
          <t>1BR / 2BR / 3BR / 4BR</t>
        </is>
      </c>
      <c r="I11" s="14" t="inlineStr">
        <is>
          <t>4 Affordable (Green) + 4 Market Rate (Blue)</t>
        </is>
      </c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</row>
    <row r="12" ht="15" customFormat="1" customHeight="1" s="12">
      <c r="A12" s="13" t="n">
        <v>8</v>
      </c>
      <c r="B12" s="14" t="inlineStr">
        <is>
          <t>Village Green</t>
        </is>
      </c>
      <c r="C12" s="14" t="inlineStr">
        <is>
          <t>Natchez, MS</t>
        </is>
      </c>
      <c r="D12" s="13" t="n">
        <v>1977</v>
      </c>
      <c r="E12" s="13" t="n">
        <v>80</v>
      </c>
      <c r="F12" s="15" t="inlineStr">
        <is>
          <t>Section 8/HUD</t>
        </is>
      </c>
      <c r="G12" s="14" t="inlineStr">
        <is>
          <t>17 - Village Green</t>
        </is>
      </c>
      <c r="H12" s="14" t="inlineStr">
        <is>
          <t>1BR / 2BR / 3BR</t>
        </is>
      </c>
      <c r="I12" s="14" t="inlineStr">
        <is>
          <t>4 Affordable (Green) + 4 Market Rate (Blue)</t>
        </is>
      </c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</row>
    <row r="13" ht="15" customFormat="1" customHeight="1" s="12">
      <c r="A13" s="13" t="n">
        <v>9</v>
      </c>
      <c r="B13" s="14" t="inlineStr">
        <is>
          <t>Walnut Hill</t>
        </is>
      </c>
      <c r="C13" s="14" t="inlineStr">
        <is>
          <t>Natchez, MS</t>
        </is>
      </c>
      <c r="D13" s="13" t="n">
        <v>1975</v>
      </c>
      <c r="E13" s="13" t="n">
        <v>168</v>
      </c>
      <c r="F13" s="15" t="inlineStr">
        <is>
          <t>Section 8/HUD</t>
        </is>
      </c>
      <c r="G13" s="14" t="inlineStr">
        <is>
          <t>59 - Walnut Hill</t>
        </is>
      </c>
      <c r="H13" s="14" t="inlineStr">
        <is>
          <t>2BR / 3BR</t>
        </is>
      </c>
      <c r="I13" s="14" t="inlineStr">
        <is>
          <t>4 Affordable (Green) + 4 Market Rate (Blue)</t>
        </is>
      </c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</row>
    <row r="14" ht="15" customFormat="1" customHeight="1" s="12">
      <c r="A14" s="13" t="n">
        <v>10</v>
      </c>
      <c r="B14" s="14" t="inlineStr">
        <is>
          <t>River Pointe</t>
        </is>
      </c>
      <c r="C14" s="14" t="inlineStr">
        <is>
          <t>Columbus, OH</t>
        </is>
      </c>
      <c r="D14" s="13" t="n">
        <v>1996</v>
      </c>
      <c r="E14" s="13" t="n">
        <v>160</v>
      </c>
      <c r="F14" s="15" t="inlineStr">
        <is>
          <t>Section 8/HUD</t>
        </is>
      </c>
      <c r="G14" s="14" t="inlineStr">
        <is>
          <t>29 - River Pointe</t>
        </is>
      </c>
      <c r="H14" s="14" t="inlineStr">
        <is>
          <t>1BR / 2BR</t>
        </is>
      </c>
      <c r="I14" s="14" t="inlineStr">
        <is>
          <t>4 Affordable (Green) + 4 Market Rate (Blue)</t>
        </is>
      </c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</row>
    <row r="15" ht="15" customFormat="1" customHeight="1" s="8">
      <c r="A15" s="9" t="n">
        <v>11</v>
      </c>
      <c r="B15" s="10" t="inlineStr">
        <is>
          <t>Breckenridge Village</t>
        </is>
      </c>
      <c r="C15" s="10" t="inlineStr">
        <is>
          <t>Ennis, TX</t>
        </is>
      </c>
      <c r="D15" s="9" t="n">
        <v>1997</v>
      </c>
      <c r="E15" s="9" t="n">
        <v>66</v>
      </c>
      <c r="F15" s="10" t="inlineStr">
        <is>
          <t>LIHTC</t>
        </is>
      </c>
      <c r="G15" s="10" t="inlineStr">
        <is>
          <t>12 - Breckenridge</t>
        </is>
      </c>
      <c r="H15" s="10" t="inlineStr">
        <is>
          <t>2BR / 4BR</t>
        </is>
      </c>
      <c r="I15" s="10" t="inlineStr">
        <is>
          <t>4 Affordable (Green) + 4 Market Rate (Blue)</t>
        </is>
      </c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</row>
    <row r="16" ht="15" customFormat="1" customHeight="1" s="8">
      <c r="A16" s="9" t="n">
        <v>12</v>
      </c>
      <c r="B16" s="10" t="inlineStr">
        <is>
          <t>Lexington Arms</t>
        </is>
      </c>
      <c r="C16" s="10" t="inlineStr">
        <is>
          <t>Waxahachie, TX</t>
        </is>
      </c>
      <c r="D16" s="9" t="n">
        <v>1997</v>
      </c>
      <c r="E16" s="9" t="n">
        <v>61</v>
      </c>
      <c r="F16" s="10" t="inlineStr">
        <is>
          <t>LIHTC</t>
        </is>
      </c>
      <c r="G16" s="10" t="inlineStr">
        <is>
          <t>38 - Lexington</t>
        </is>
      </c>
      <c r="H16" s="10" t="inlineStr">
        <is>
          <t>2BR / 4BR</t>
        </is>
      </c>
      <c r="I16" s="10" t="inlineStr">
        <is>
          <t>4 Affordable (Green) + 4 Market Rate (Blue)</t>
        </is>
      </c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</row>
    <row r="17" ht="15" customFormat="1" customHeight="1" s="8">
      <c r="A17" s="9" t="n">
        <v>13</v>
      </c>
      <c r="B17" s="10" t="inlineStr">
        <is>
          <t>Grace Townhomes</t>
        </is>
      </c>
      <c r="C17" s="10" t="inlineStr">
        <is>
          <t>Ennis, TX</t>
        </is>
      </c>
      <c r="D17" s="9" t="n">
        <v>2001</v>
      </c>
      <c r="E17" s="9" t="n">
        <v>112</v>
      </c>
      <c r="F17" s="10" t="inlineStr">
        <is>
          <t>LIHTC</t>
        </is>
      </c>
      <c r="G17" s="10" t="inlineStr">
        <is>
          <t>23 - Grace Townhomes</t>
        </is>
      </c>
      <c r="H17" s="10" t="inlineStr">
        <is>
          <t>1BR / 2BR / 3BR</t>
        </is>
      </c>
      <c r="I17" s="10" t="inlineStr">
        <is>
          <t>4 Affordable (Green) + 4 Market Rate (Blue)</t>
        </is>
      </c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</row>
    <row r="18" ht="15" customFormat="1" customHeight="1" s="8">
      <c r="A18" s="9" t="n">
        <v>14</v>
      </c>
      <c r="B18" s="10" t="inlineStr">
        <is>
          <t>Grove Park Terrace</t>
        </is>
      </c>
      <c r="C18" s="10" t="inlineStr">
        <is>
          <t>Waxahachie, TX</t>
        </is>
      </c>
      <c r="D18" s="9" t="n">
        <v>1998</v>
      </c>
      <c r="E18" s="9" t="n">
        <v>60</v>
      </c>
      <c r="F18" s="10" t="inlineStr">
        <is>
          <t>Layered HUD/LIHTC</t>
        </is>
      </c>
      <c r="G18" s="10" t="inlineStr">
        <is>
          <t>46 - Grove Park</t>
        </is>
      </c>
      <c r="H18" s="10" t="inlineStr">
        <is>
          <t>1BR / 2BR / 3BR</t>
        </is>
      </c>
      <c r="I18" s="10" t="inlineStr">
        <is>
          <t>4 Affordable (Green) + 4 Market Rate (Blue)</t>
        </is>
      </c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</row>
    <row r="19" ht="15" customFormat="1" customHeight="1" s="8">
      <c r="A19" s="9" t="n">
        <v>15</v>
      </c>
      <c r="B19" s="10" t="inlineStr">
        <is>
          <t>La Promesa</t>
        </is>
      </c>
      <c r="C19" s="10" t="inlineStr">
        <is>
          <t>Odessa, TX</t>
        </is>
      </c>
      <c r="D19" s="9" t="n">
        <v>1978</v>
      </c>
      <c r="E19" s="9" t="n">
        <v>136</v>
      </c>
      <c r="F19" s="10" t="inlineStr">
        <is>
          <t>Layered HUD/LIHTC</t>
        </is>
      </c>
      <c r="G19" s="10" t="inlineStr">
        <is>
          <t>60 - La Promesa</t>
        </is>
      </c>
      <c r="H19" s="10" t="inlineStr">
        <is>
          <t>2BR / 3BR</t>
        </is>
      </c>
      <c r="I19" s="10" t="inlineStr">
        <is>
          <t>4 Affordable (Green) + 4 Market Rate (Blue)</t>
        </is>
      </c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</row>
    <row r="20" ht="15" customFormat="1" customHeight="1" s="12">
      <c r="A20" s="13" t="n">
        <v>16</v>
      </c>
      <c r="B20" s="14" t="inlineStr">
        <is>
          <t>New Wilmington Arms</t>
        </is>
      </c>
      <c r="C20" s="14" t="inlineStr">
        <is>
          <t>Compton, CA</t>
        </is>
      </c>
      <c r="D20" s="13" t="n">
        <v>1973</v>
      </c>
      <c r="E20" s="13" t="inlineStr">
        <is>
          <t>N/A</t>
        </is>
      </c>
      <c r="F20" s="15" t="inlineStr">
        <is>
          <t>Section 8/HUD</t>
        </is>
      </c>
      <c r="G20" s="14" t="inlineStr">
        <is>
          <t>3 - Wilmington</t>
        </is>
      </c>
      <c r="H20" s="14" t="inlineStr">
        <is>
          <t>1BR / 2BR / 3BR / 4BR</t>
        </is>
      </c>
      <c r="I20" s="14" t="inlineStr">
        <is>
          <t>3 Affordable (Green) + 3 Market Rate (Blue)</t>
        </is>
      </c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</row>
    <row r="21" ht="15" customFormat="1" customHeight="1" s="12">
      <c r="A21" s="13" t="n">
        <v>17</v>
      </c>
      <c r="B21" s="14" t="inlineStr">
        <is>
          <t>Gates on Manhattan</t>
        </is>
      </c>
      <c r="C21" s="14" t="inlineStr">
        <is>
          <t>Harvey, LA</t>
        </is>
      </c>
      <c r="D21" s="13" t="n">
        <v>1968</v>
      </c>
      <c r="E21" s="13" t="n">
        <v>276</v>
      </c>
      <c r="F21" s="15" t="inlineStr">
        <is>
          <t>Section 8/HUD</t>
        </is>
      </c>
      <c r="G21" s="14" t="inlineStr">
        <is>
          <t>19 - Gates</t>
        </is>
      </c>
      <c r="H21" s="14" t="inlineStr">
        <is>
          <t>1BR / 2BR / 3BR</t>
        </is>
      </c>
      <c r="I21" s="14" t="inlineStr">
        <is>
          <t>3 Affordable (Green) + 3 Market Rate (Blue)</t>
        </is>
      </c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</row>
    <row r="22" ht="15" customFormat="1" customHeight="1" s="8">
      <c r="A22" s="9" t="n">
        <v>18</v>
      </c>
      <c r="B22" s="10" t="inlineStr">
        <is>
          <t>Ruby Diamond</t>
        </is>
      </c>
      <c r="C22" s="10" t="inlineStr">
        <is>
          <t>Marrero, LA</t>
        </is>
      </c>
      <c r="D22" s="9" t="n">
        <v>2000</v>
      </c>
      <c r="E22" s="9" t="n">
        <v>73</v>
      </c>
      <c r="F22" s="10" t="inlineStr">
        <is>
          <t>LIHTC</t>
        </is>
      </c>
      <c r="G22" s="10" t="inlineStr">
        <is>
          <t>42 - Ruby</t>
        </is>
      </c>
      <c r="H22" s="10" t="inlineStr">
        <is>
          <t>3BR / 4BR</t>
        </is>
      </c>
      <c r="I22" s="10" t="inlineStr">
        <is>
          <t>4 Affordable (Green) + 4 Market Rate (Blue)</t>
        </is>
      </c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</row>
    <row r="23" ht="15" customFormat="1" customHeight="1" s="8">
      <c r="A23" s="9" t="n">
        <v>19</v>
      </c>
      <c r="B23" s="10" t="inlineStr">
        <is>
          <t>Star Homes</t>
        </is>
      </c>
      <c r="C23" s="10" t="inlineStr">
        <is>
          <t>Marrero, LA</t>
        </is>
      </c>
      <c r="D23" s="9" t="n">
        <v>2000</v>
      </c>
      <c r="E23" s="9" t="n">
        <v>48</v>
      </c>
      <c r="F23" s="10" t="inlineStr">
        <is>
          <t>LIHTC</t>
        </is>
      </c>
      <c r="G23" s="10" t="inlineStr">
        <is>
          <t>39 - Star</t>
        </is>
      </c>
      <c r="H23" s="10" t="inlineStr">
        <is>
          <t>2BR / 3BR / 4BR</t>
        </is>
      </c>
      <c r="I23" s="10" t="inlineStr">
        <is>
          <t>4 Affordable (Green) + 4 Market Rate (Blue)</t>
        </is>
      </c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</row>
    <row r="24" ht="15" customFormat="1" customHeight="1" s="12">
      <c r="A24" s="13" t="n">
        <v>20</v>
      </c>
      <c r="B24" s="14" t="inlineStr">
        <is>
          <t>Colonial Estates (Thibodaux)</t>
        </is>
      </c>
      <c r="C24" s="14" t="inlineStr">
        <is>
          <t>Thibodaux, LA</t>
        </is>
      </c>
      <c r="D24" s="13" t="n">
        <v>1975</v>
      </c>
      <c r="E24" s="13" t="n">
        <v>107</v>
      </c>
      <c r="F24" s="15" t="inlineStr">
        <is>
          <t>Section 8/HUD</t>
        </is>
      </c>
      <c r="G24" s="14" t="inlineStr">
        <is>
          <t>20 - Thibodaux</t>
        </is>
      </c>
      <c r="H24" s="14" t="inlineStr">
        <is>
          <t>1BR / 2BR / 3BR</t>
        </is>
      </c>
      <c r="I24" s="14" t="inlineStr">
        <is>
          <t>4 Affordable (Green) + 4 Market Rate (Blue)</t>
        </is>
      </c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</row>
    <row r="25" ht="15" customFormat="1" customHeight="1" s="12">
      <c r="A25" s="13" t="n">
        <v>21</v>
      </c>
      <c r="B25" s="14" t="inlineStr">
        <is>
          <t>Marrero 3</t>
        </is>
      </c>
      <c r="C25" s="14" t="inlineStr">
        <is>
          <t>Harvey, LA</t>
        </is>
      </c>
      <c r="D25" s="13" t="n">
        <v>1968</v>
      </c>
      <c r="E25" s="13" t="n">
        <v>173</v>
      </c>
      <c r="F25" s="15" t="inlineStr">
        <is>
          <t>Section 8/HUD</t>
        </is>
      </c>
      <c r="G25" s="14" t="inlineStr">
        <is>
          <t>40 - Marrero</t>
        </is>
      </c>
      <c r="H25" s="14" t="inlineStr">
        <is>
          <t>3BR / 4BR</t>
        </is>
      </c>
      <c r="I25" s="14" t="inlineStr">
        <is>
          <t>4 Affordable (Green) + 4 Market Rate (Blue)</t>
        </is>
      </c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</row>
    <row r="26" ht="15" customFormat="1" customHeight="1" s="8">
      <c r="A26" s="9" t="n">
        <v>22</v>
      </c>
      <c r="B26" s="10" t="inlineStr">
        <is>
          <t>Arbor Crest</t>
        </is>
      </c>
      <c r="C26" s="10" t="inlineStr">
        <is>
          <t>Quincy, FL</t>
        </is>
      </c>
      <c r="D26" s="9" t="n">
        <v>1995</v>
      </c>
      <c r="E26" s="9" t="n">
        <v>120</v>
      </c>
      <c r="F26" s="10" t="inlineStr">
        <is>
          <t>LIHTC</t>
        </is>
      </c>
      <c r="G26" s="10" t="inlineStr">
        <is>
          <t>37 - Arbor Crest</t>
        </is>
      </c>
      <c r="H26" s="10" t="inlineStr">
        <is>
          <t>1BR / 2BR / 3BR</t>
        </is>
      </c>
      <c r="I26" s="10" t="inlineStr">
        <is>
          <t>4 Affordable (Green) + 4 Market Rate (Blue)</t>
        </is>
      </c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</row>
    <row r="27" ht="15" customFormat="1" customHeight="1" s="8">
      <c r="A27" s="9" t="n">
        <v>23</v>
      </c>
      <c r="B27" s="10" t="inlineStr">
        <is>
          <t>Windsor/Yorkshire</t>
        </is>
      </c>
      <c r="C27" s="10" t="inlineStr">
        <is>
          <t>Shreveport, LA</t>
        </is>
      </c>
      <c r="D27" s="9" t="n">
        <v>1998</v>
      </c>
      <c r="E27" s="9" t="n">
        <v>134</v>
      </c>
      <c r="F27" s="10" t="inlineStr">
        <is>
          <t>LIHTC</t>
        </is>
      </c>
      <c r="G27" s="10" t="inlineStr">
        <is>
          <t>33 - Windsor-Yorkshire</t>
        </is>
      </c>
      <c r="H27" s="10" t="inlineStr">
        <is>
          <t>1BR / 2BR / 4BR</t>
        </is>
      </c>
      <c r="I27" s="10" t="inlineStr">
        <is>
          <t>4 Affordable (Green) + 4 Market Rate (Blue)</t>
        </is>
      </c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</row>
    <row r="28" ht="15" customFormat="1" customHeight="1" s="8">
      <c r="A28" s="9" t="n">
        <v>24</v>
      </c>
      <c r="B28" s="10" t="inlineStr">
        <is>
          <t>North Pointe</t>
        </is>
      </c>
      <c r="C28" s="10" t="inlineStr">
        <is>
          <t>Bossier City, LA</t>
        </is>
      </c>
      <c r="D28" s="9" t="n">
        <v>2000</v>
      </c>
      <c r="E28" s="9" t="n">
        <v>27</v>
      </c>
      <c r="F28" s="10" t="inlineStr">
        <is>
          <t>LIHTC</t>
        </is>
      </c>
      <c r="G28" s="10" t="inlineStr">
        <is>
          <t>50 - North Pointe</t>
        </is>
      </c>
      <c r="H28" s="10" t="inlineStr">
        <is>
          <t>2BR / 3BR / 4BR</t>
        </is>
      </c>
      <c r="I28" s="10" t="inlineStr">
        <is>
          <t>4 Affordable (Green) + 4 Market Rate (Blue)</t>
        </is>
      </c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</row>
    <row r="29" ht="15" customFormat="1" customHeight="1" s="8">
      <c r="A29" s="9" t="n">
        <v>25</v>
      </c>
      <c r="B29" s="10" t="inlineStr">
        <is>
          <t>Granite Bayou</t>
        </is>
      </c>
      <c r="C29" s="10" t="inlineStr">
        <is>
          <t>Baton Rouge, LA</t>
        </is>
      </c>
      <c r="D29" s="9" t="n">
        <v>2000</v>
      </c>
      <c r="E29" s="9" t="n">
        <v>60</v>
      </c>
      <c r="F29" s="10" t="inlineStr">
        <is>
          <t>LIHTC</t>
        </is>
      </c>
      <c r="G29" s="10" t="inlineStr">
        <is>
          <t>53 - Bayou Pointe</t>
        </is>
      </c>
      <c r="H29" s="10" t="inlineStr">
        <is>
          <t>3BR / 4BR</t>
        </is>
      </c>
      <c r="I29" s="10" t="inlineStr">
        <is>
          <t>4 Affordable (Green) + 4 Market Rate (Blue)</t>
        </is>
      </c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</row>
    <row r="30" ht="15" customFormat="1" customHeight="1" s="8">
      <c r="A30" s="9" t="n">
        <v>26</v>
      </c>
      <c r="B30" s="10" t="inlineStr">
        <is>
          <t>St. Charles Place</t>
        </is>
      </c>
      <c r="C30" s="10" t="inlineStr">
        <is>
          <t>Lake Charles, LA</t>
        </is>
      </c>
      <c r="D30" s="9" t="n">
        <v>1995</v>
      </c>
      <c r="E30" s="9" t="n">
        <v>121</v>
      </c>
      <c r="F30" s="10" t="inlineStr">
        <is>
          <t>Layered HUD/LIHTC</t>
        </is>
      </c>
      <c r="G30" s="10" t="inlineStr">
        <is>
          <t>41 - St. Charles</t>
        </is>
      </c>
      <c r="H30" s="10" t="inlineStr">
        <is>
          <t>2BR / 3BR</t>
        </is>
      </c>
      <c r="I30" s="10" t="inlineStr">
        <is>
          <t>4 Affordable (Green) + 4 Market Rate (Blue)</t>
        </is>
      </c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</row>
    <row r="31" ht="15" customFormat="1" customHeight="1" s="12">
      <c r="A31" s="13" t="n">
        <v>27</v>
      </c>
      <c r="B31" s="14" t="inlineStr">
        <is>
          <t>Pelican Bay</t>
        </is>
      </c>
      <c r="C31" s="14" t="inlineStr">
        <is>
          <t>Baton Rouge, LA</t>
        </is>
      </c>
      <c r="D31" s="13" t="n">
        <v>2001</v>
      </c>
      <c r="E31" s="13" t="n">
        <v>152</v>
      </c>
      <c r="F31" s="15" t="inlineStr">
        <is>
          <t>Section 8/HUD</t>
        </is>
      </c>
      <c r="G31" s="14" t="inlineStr">
        <is>
          <t>55 - Pelican Bay</t>
        </is>
      </c>
      <c r="H31" s="14" t="inlineStr">
        <is>
          <t>1BR / 2BR / 3BR / 4BR</t>
        </is>
      </c>
      <c r="I31" s="14" t="inlineStr">
        <is>
          <t>4 Affordable (Green) + 4 Market Rate (Blue)</t>
        </is>
      </c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</row>
    <row r="32" ht="15" customFormat="1" customHeight="1" s="12">
      <c r="A32" s="13" t="n">
        <v>28</v>
      </c>
      <c r="B32" s="14" t="inlineStr">
        <is>
          <t>Howell Place</t>
        </is>
      </c>
      <c r="C32" s="14" t="inlineStr">
        <is>
          <t>Baton Rouge, LA</t>
        </is>
      </c>
      <c r="D32" s="13" t="n">
        <v>2001</v>
      </c>
      <c r="E32" s="13" t="n">
        <v>48</v>
      </c>
      <c r="F32" s="15" t="inlineStr">
        <is>
          <t>Section 8/HUD</t>
        </is>
      </c>
      <c r="G32" s="14" t="inlineStr">
        <is>
          <t>56 - Howell Place</t>
        </is>
      </c>
      <c r="H32" s="14" t="inlineStr">
        <is>
          <t>1BR / 2BR / 3BR / 4BR</t>
        </is>
      </c>
      <c r="I32" s="14" t="inlineStr">
        <is>
          <t>4 Affordable (Green) + 4 Market Rate (Blue)</t>
        </is>
      </c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</row>
    <row r="33" ht="15" customFormat="1" customHeight="1" s="12">
      <c r="A33" s="13" t="n">
        <v>29</v>
      </c>
      <c r="B33" s="14" t="inlineStr">
        <is>
          <t>Pirates Bend</t>
        </is>
      </c>
      <c r="C33" s="14" t="inlineStr">
        <is>
          <t>Baton Rouge, LA</t>
        </is>
      </c>
      <c r="D33" s="13" t="n">
        <v>2001</v>
      </c>
      <c r="E33" s="13" t="n">
        <v>48</v>
      </c>
      <c r="F33" s="15" t="inlineStr">
        <is>
          <t>Section 8/HUD</t>
        </is>
      </c>
      <c r="G33" s="14" t="inlineStr">
        <is>
          <t>57 - Pirates Bend</t>
        </is>
      </c>
      <c r="H33" s="14" t="inlineStr">
        <is>
          <t>1BR / 2BR / 3BR / 4BR</t>
        </is>
      </c>
      <c r="I33" s="14" t="inlineStr">
        <is>
          <t>4 Affordable (Green) + 4 Market Rate (Blue)</t>
        </is>
      </c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</row>
    <row r="34" ht="15" customFormat="1" customHeight="1" s="12">
      <c r="A34" s="13" t="n">
        <v>30</v>
      </c>
      <c r="B34" s="14" t="inlineStr">
        <is>
          <t>Anaheim</t>
        </is>
      </c>
      <c r="C34" s="14" t="inlineStr">
        <is>
          <t>Anaheim, CA</t>
        </is>
      </c>
      <c r="D34" s="13" t="n">
        <v>1980</v>
      </c>
      <c r="E34" s="13" t="n">
        <v>80</v>
      </c>
      <c r="F34" s="15" t="inlineStr">
        <is>
          <t>Section 8/HUD</t>
        </is>
      </c>
      <c r="G34" s="14" t="inlineStr">
        <is>
          <t>6 - Anaheim Gardens</t>
        </is>
      </c>
      <c r="H34" s="14" t="inlineStr">
        <is>
          <t>2BR / 3BR / 4BR</t>
        </is>
      </c>
      <c r="I34" s="14" t="inlineStr">
        <is>
          <t>4 Affordable (Green) + 4 Market Rate (Blue)</t>
        </is>
      </c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</row>
    <row r="35" ht="15" customFormat="1" customHeight="1" s="12">
      <c r="A35" s="13" t="n">
        <v>31</v>
      </c>
      <c r="B35" s="14" t="inlineStr">
        <is>
          <t>Fairfax</t>
        </is>
      </c>
      <c r="C35" s="14" t="inlineStr">
        <is>
          <t>Los Angeles, CA</t>
        </is>
      </c>
      <c r="D35" s="13" t="n">
        <v>1965</v>
      </c>
      <c r="E35" s="13" t="n">
        <v>46</v>
      </c>
      <c r="F35" s="15" t="inlineStr">
        <is>
          <t>Section 8/HUD</t>
        </is>
      </c>
      <c r="G35" s="14" t="inlineStr">
        <is>
          <t>11 - Fairfax</t>
        </is>
      </c>
      <c r="H35" s="14" t="inlineStr">
        <is>
          <t>1BR</t>
        </is>
      </c>
      <c r="I35" s="14" t="inlineStr">
        <is>
          <t>4 Affordable (Green) + 4 Market Rate (Blue)</t>
        </is>
      </c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</row>
    <row r="36" ht="15" customFormat="1" customHeight="1" s="8">
      <c r="A36" s="9" t="n">
        <v>32</v>
      </c>
      <c r="B36" s="10" t="inlineStr">
        <is>
          <t>Urban 1 &amp; 2</t>
        </is>
      </c>
      <c r="C36" s="10" t="inlineStr">
        <is>
          <t>Los Angeles, CA</t>
        </is>
      </c>
      <c r="D36" s="9" t="n">
        <v>1970</v>
      </c>
      <c r="E36" s="9" t="n">
        <v>60</v>
      </c>
      <c r="F36" s="10" t="inlineStr">
        <is>
          <t>LIHTC</t>
        </is>
      </c>
      <c r="G36" s="10" t="inlineStr">
        <is>
          <t>31 - Urban</t>
        </is>
      </c>
      <c r="H36" s="10" t="inlineStr">
        <is>
          <t>2BR</t>
        </is>
      </c>
      <c r="I36" s="10" t="inlineStr">
        <is>
          <t>4 Affordable (Green) + 4 Market Rate (Blue)</t>
        </is>
      </c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</row>
    <row r="37" ht="15" customFormat="1" customHeight="1" s="8">
      <c r="A37" s="9" t="n">
        <v>33</v>
      </c>
      <c r="B37" s="10" t="inlineStr">
        <is>
          <t>Midtown Manor</t>
        </is>
      </c>
      <c r="C37" s="10" t="inlineStr">
        <is>
          <t>Los Angeles, CA</t>
        </is>
      </c>
      <c r="D37" s="9" t="n">
        <v>1970</v>
      </c>
      <c r="E37" s="9" t="n">
        <v>32</v>
      </c>
      <c r="F37" s="10" t="inlineStr">
        <is>
          <t>LIHTC</t>
        </is>
      </c>
      <c r="G37" s="10" t="inlineStr">
        <is>
          <t>2 - Midtown</t>
        </is>
      </c>
      <c r="H37" s="10" t="inlineStr">
        <is>
          <t>1BR</t>
        </is>
      </c>
      <c r="I37" s="10" t="inlineStr">
        <is>
          <t>4 Affordable (Green) + 4 Market Rate (Blue)</t>
        </is>
      </c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</row>
    <row r="38" ht="15" customFormat="1" customHeight="1" s="8">
      <c r="A38" s="9" t="n">
        <v>34</v>
      </c>
      <c r="B38" s="10" t="inlineStr">
        <is>
          <t>Pacific Pointe</t>
        </is>
      </c>
      <c r="C38" s="10" t="inlineStr">
        <is>
          <t>Stockton, CA</t>
        </is>
      </c>
      <c r="D38" s="9" t="n">
        <v>1998</v>
      </c>
      <c r="E38" s="9" t="n">
        <v>80</v>
      </c>
      <c r="F38" s="10" t="inlineStr">
        <is>
          <t>LIHTC</t>
        </is>
      </c>
      <c r="G38" s="10" t="inlineStr">
        <is>
          <t>34 - Pacific Pointe</t>
        </is>
      </c>
      <c r="H38" s="10" t="inlineStr">
        <is>
          <t>1BR / 2BR</t>
        </is>
      </c>
      <c r="I38" s="10" t="inlineStr">
        <is>
          <t>4 Affordable (Green) + 4 Market Rate (Blue)</t>
        </is>
      </c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</row>
    <row r="39" ht="15" customFormat="1" customHeight="1" s="8">
      <c r="A39" s="9" t="n">
        <v>35</v>
      </c>
      <c r="B39" s="10" t="inlineStr">
        <is>
          <t>Granite Ridge</t>
        </is>
      </c>
      <c r="C39" s="10" t="inlineStr">
        <is>
          <t>Stockton, CA</t>
        </is>
      </c>
      <c r="D39" s="9" t="n">
        <v>1998</v>
      </c>
      <c r="E39" s="9" t="n">
        <v>80</v>
      </c>
      <c r="F39" s="10" t="inlineStr">
        <is>
          <t>LIHTC</t>
        </is>
      </c>
      <c r="G39" s="10" t="inlineStr">
        <is>
          <t>28 - Granite Ridge</t>
        </is>
      </c>
      <c r="H39" s="10" t="inlineStr">
        <is>
          <t>1BR / 2BR</t>
        </is>
      </c>
      <c r="I39" s="10" t="inlineStr">
        <is>
          <t>4 Affordable (Green) + 4 Market Rate (Blue)</t>
        </is>
      </c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</row>
    <row r="40" ht="15" customFormat="1" customHeight="1" s="8">
      <c r="A40" s="9" t="n">
        <v>36</v>
      </c>
      <c r="B40" s="10" t="inlineStr">
        <is>
          <t>Columbia Village</t>
        </is>
      </c>
      <c r="C40" s="10" t="inlineStr">
        <is>
          <t>Sonora, CA</t>
        </is>
      </c>
      <c r="D40" s="9" t="n">
        <v>2000</v>
      </c>
      <c r="E40" s="9" t="n">
        <v>80</v>
      </c>
      <c r="F40" s="10" t="inlineStr">
        <is>
          <t>LIHTC</t>
        </is>
      </c>
      <c r="G40" s="10" t="inlineStr">
        <is>
          <t>25 - Columbia</t>
        </is>
      </c>
      <c r="H40" s="10" t="inlineStr">
        <is>
          <t>1BR / 2BR / 3BR</t>
        </is>
      </c>
      <c r="I40" s="10" t="inlineStr">
        <is>
          <t>4 Affordable (Green) + 4 Market Rate (Blue)</t>
        </is>
      </c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</row>
    <row r="41" ht="15" customFormat="1" customHeight="1" s="8">
      <c r="A41" s="9" t="n">
        <v>37</v>
      </c>
      <c r="B41" s="10" t="inlineStr">
        <is>
          <t>Forest View Senior</t>
        </is>
      </c>
      <c r="C41" s="10" t="inlineStr">
        <is>
          <t>Sonora, CA</t>
        </is>
      </c>
      <c r="D41" s="9" t="n">
        <v>2000</v>
      </c>
      <c r="E41" s="9" t="n">
        <v>60</v>
      </c>
      <c r="F41" s="10" t="inlineStr">
        <is>
          <t>LIHTC</t>
        </is>
      </c>
      <c r="G41" s="10" t="inlineStr">
        <is>
          <t>26 - Forest View</t>
        </is>
      </c>
      <c r="H41" s="10" t="inlineStr">
        <is>
          <t>1BR / 2BR / 3BR</t>
        </is>
      </c>
      <c r="I41" s="10" t="inlineStr">
        <is>
          <t>4 Affordable (Green) + 4 Market Rate (Blue)</t>
        </is>
      </c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</row>
    <row r="42" ht="15" customFormat="1" customHeight="1" s="8">
      <c r="A42" s="9" t="n">
        <v>38</v>
      </c>
      <c r="B42" s="10" t="inlineStr">
        <is>
          <t>Oak Hills</t>
        </is>
      </c>
      <c r="C42" s="10" t="inlineStr">
        <is>
          <t>Jamestown, CA</t>
        </is>
      </c>
      <c r="D42" s="9" t="n">
        <v>2000</v>
      </c>
      <c r="E42" s="9" t="n">
        <v>80</v>
      </c>
      <c r="F42" s="10" t="inlineStr">
        <is>
          <t>LIHTC</t>
        </is>
      </c>
      <c r="G42" s="10" t="inlineStr">
        <is>
          <t>24 - Oak Hills</t>
        </is>
      </c>
      <c r="H42" s="10" t="inlineStr">
        <is>
          <t>2BR / 3BR</t>
        </is>
      </c>
      <c r="I42" s="10" t="inlineStr">
        <is>
          <t>4 Affordable (Green) + 4 Market Rate (Blue)</t>
        </is>
      </c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</row>
    <row r="43" ht="15" customFormat="1" customHeight="1" s="12">
      <c r="A43" s="13" t="n">
        <v>39</v>
      </c>
      <c r="B43" s="14" t="inlineStr">
        <is>
          <t>River Garden</t>
        </is>
      </c>
      <c r="C43" s="14" t="inlineStr">
        <is>
          <t>Sonora, CA</t>
        </is>
      </c>
      <c r="D43" s="13" t="n">
        <v>1995</v>
      </c>
      <c r="E43" s="13" t="n">
        <v>123</v>
      </c>
      <c r="F43" s="15" t="inlineStr">
        <is>
          <t>Section 8/HUD</t>
        </is>
      </c>
      <c r="G43" s="14" t="inlineStr">
        <is>
          <t>58 - River Garden</t>
        </is>
      </c>
      <c r="H43" s="14" t="inlineStr">
        <is>
          <t>2BR / 3BR / 4BR / 5BR</t>
        </is>
      </c>
      <c r="I43" s="14" t="inlineStr">
        <is>
          <t>4 Affordable (Green) + 4 Market Rate (Blue)</t>
        </is>
      </c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</row>
    <row r="44" ht="15" customFormat="1" customHeight="1" s="8">
      <c r="A44" s="9" t="n">
        <v>41</v>
      </c>
      <c r="B44" s="10" t="inlineStr">
        <is>
          <t>Silver Springs Terrace</t>
        </is>
      </c>
      <c r="C44" s="10" t="inlineStr">
        <is>
          <t>Hickory, NC</t>
        </is>
      </c>
      <c r="D44" s="9" t="n">
        <v>1971</v>
      </c>
      <c r="E44" s="9" t="n">
        <v>100</v>
      </c>
      <c r="F44" s="10" t="inlineStr">
        <is>
          <t>Layered HUD/LIHTC</t>
        </is>
      </c>
      <c r="G44" s="10" t="inlineStr">
        <is>
          <t>36 - Silver Springs</t>
        </is>
      </c>
      <c r="H44" s="10" t="inlineStr">
        <is>
          <t>1BR / 2BR / 3BR / 4BR</t>
        </is>
      </c>
      <c r="I44" s="10" t="inlineStr">
        <is>
          <t>4 Affordable (Green) + 4 Market Rate (Blue)</t>
        </is>
      </c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</row>
    <row r="45" ht="15" customFormat="1" customHeight="1" s="12">
      <c r="A45" s="13" t="n">
        <v>42</v>
      </c>
      <c r="B45" s="14" t="inlineStr">
        <is>
          <t>Thomasville Church Homes</t>
        </is>
      </c>
      <c r="C45" s="14" t="inlineStr">
        <is>
          <t>Thomasville, NC</t>
        </is>
      </c>
      <c r="D45" s="13" t="n">
        <v>1975</v>
      </c>
      <c r="E45" s="13" t="n">
        <v>100</v>
      </c>
      <c r="F45" s="15" t="inlineStr">
        <is>
          <t>Section 8/HUD</t>
        </is>
      </c>
      <c r="G45" s="14" t="inlineStr">
        <is>
          <t>44 - Thomasville</t>
        </is>
      </c>
      <c r="H45" s="14" t="inlineStr">
        <is>
          <t>1BR / 2BR / 3BR / 4BR</t>
        </is>
      </c>
      <c r="I45" s="14" t="inlineStr">
        <is>
          <t>4 Affordable (Green) + 4 Market Rate (Blue)</t>
        </is>
      </c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</row>
  </sheetData>
  <mergeCells count="3">
    <mergeCell ref="I4:J4"/>
    <mergeCell ref="A3:J3"/>
    <mergeCell ref="A2:J2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theme="3" tint="0.4"/>
    <outlinePr summaryBelow="1" summaryRight="1"/>
    <pageSetUpPr/>
  </sheetPr>
  <dimension ref="A1:AX39"/>
  <sheetViews>
    <sheetView tabSelected="1" topLeftCell="A1" zoomScale="80" workbookViewId="0">
      <pane ySplit="1" topLeftCell="A19" activePane="bottomLeft" state="frozen"/>
      <selection pane="bottomLeft" activeCell="A25" sqref="A25:F28"/>
    </sheetView>
  </sheetViews>
  <sheetFormatPr baseColWidth="8" defaultColWidth="9.140625" defaultRowHeight="21.75" customHeight="1"/>
  <cols>
    <col width="4.00390625" customWidth="1" style="3" min="1" max="1"/>
    <col width="11.57421875" customWidth="1" style="3" min="2" max="2"/>
    <col width="36.57421875" customWidth="1" style="3" min="3" max="3"/>
    <col width="32.57421875" customWidth="1" style="3" min="4" max="4"/>
    <col width="10.7109375" customWidth="1" style="3" min="5" max="5"/>
    <col width="4.140625" customWidth="1" style="3" min="6" max="6"/>
    <col width="4.8515625" customWidth="1" style="3" min="7" max="7"/>
    <col width="9.8515625" customWidth="1" style="3" min="8" max="8"/>
    <col width="13.140625" customWidth="1" style="3" min="9" max="10"/>
    <col hidden="1" width="9.28125" customWidth="1" style="3" min="11" max="11"/>
    <col width="10.57421875" customWidth="1" style="3" min="12" max="12"/>
    <col width="13.140625" customWidth="1" style="3" min="13" max="14"/>
    <col hidden="1" width="9.28125" customWidth="1" style="3" min="15" max="15"/>
    <col width="10.57421875" customWidth="1" style="3" min="16" max="16"/>
    <col width="5.421875" customWidth="1" style="3" min="17" max="17"/>
    <col width="7.28125" customWidth="1" style="3" min="18" max="18"/>
    <col width="4.8515625" customWidth="1" style="3" min="19" max="19"/>
    <col width="9.421875" customWidth="1" style="3" min="20" max="20"/>
    <col width="9.00390625" customWidth="1" style="3" min="21" max="21"/>
    <col width="4.7109375" customWidth="1" style="3" min="22" max="22"/>
    <col width="3.7109375" customWidth="1" style="3" min="23" max="23"/>
    <col width="9.28125" customWidth="1" style="3" min="24" max="24"/>
    <col width="13.421875" customWidth="1" style="3" min="25" max="25"/>
    <col width="48.57421875" customWidth="1" style="3" min="26" max="27"/>
  </cols>
  <sheetData>
    <row r="1" ht="21.75" customHeight="1" s="95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6" t="n"/>
      <c r="AM1" s="16" t="n"/>
      <c r="AN1" s="16" t="n"/>
      <c r="AO1" s="16" t="n"/>
      <c r="AP1" s="16" t="n"/>
      <c r="AQ1" s="16" t="n"/>
      <c r="AR1" s="16" t="n"/>
      <c r="AS1" s="16" t="n"/>
      <c r="AT1" s="16" t="n"/>
      <c r="AU1" s="16" t="n"/>
      <c r="AV1" s="16" t="n"/>
      <c r="AW1" s="16" t="n"/>
      <c r="AX1" s="16" t="n"/>
    </row>
    <row r="2" ht="24" customFormat="1" customHeight="1" s="3">
      <c r="A2" s="17" t="inlineStr">
        <is>
          <t>COMPETITIVE RENT ANALYSIS — BOCA CIEGA | GREEN = Affordable Comps | BLUE = Market Rate Comps</t>
        </is>
      </c>
    </row>
    <row r="3" ht="20.25" customFormat="1" customHeight="1" s="3">
      <c r="A3" s="18" t="inlineStr">
        <is>
          <t>SUBJECT: Boca Ciega | 3401 37th Street South, St. Petersburg, FL 33711 | 109 units | Program: Layered HUD/LIHTC | Bedroom Mix: 2BR / 3BR | County AMI: $98,400 | FMR Area: Tampa-St. Petersburg MSA</t>
        </is>
      </c>
    </row>
    <row r="4" ht="90" customFormat="1" customHeight="1" s="3">
      <c r="A4" s="19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5" ht="30" customFormat="1" customHeight="1" s="3">
      <c r="A5" s="20" t="inlineStr">
        <is>
          <t>Rank</t>
        </is>
      </c>
      <c r="B5" s="20" t="inlineStr">
        <is>
          <t>Type</t>
        </is>
      </c>
      <c r="C5" s="20" t="inlineStr">
        <is>
          <t>Property Name</t>
        </is>
      </c>
      <c r="D5" s="20" t="inlineStr">
        <is>
          <t>Address</t>
        </is>
      </c>
      <c r="E5" s="20" t="inlineStr">
        <is>
          <t>City</t>
        </is>
      </c>
      <c r="F5" s="20" t="inlineStr">
        <is>
          <t>State</t>
        </is>
      </c>
      <c r="G5" s="20" t="inlineStr">
        <is>
          <t>ZIP</t>
        </is>
      </c>
      <c r="H5" s="20" t="inlineStr">
        <is>
          <t>Distance (mi)</t>
        </is>
      </c>
      <c r="I5" s="20" t="inlineStr">
        <is>
          <t>2BD 50% AMI ($)</t>
        </is>
      </c>
      <c r="J5" s="20" t="inlineStr">
        <is>
          <t>2BD 60% AMI ($)</t>
        </is>
      </c>
      <c r="K5" s="21" t="inlineStr">
        <is>
          <t>2BR FMR ($)</t>
        </is>
      </c>
      <c r="L5" s="22" t="inlineStr">
        <is>
          <t>2BR Actual ($)</t>
        </is>
      </c>
      <c r="M5" s="20" t="inlineStr">
        <is>
          <t>3BD 50% AMI ($)</t>
        </is>
      </c>
      <c r="N5" s="20" t="inlineStr">
        <is>
          <t>3BD 60% AMI ($)</t>
        </is>
      </c>
      <c r="O5" s="21" t="inlineStr">
        <is>
          <t>3BR FMR ($)</t>
        </is>
      </c>
      <c r="P5" s="22" t="inlineStr">
        <is>
          <t>3BR Actual ($)</t>
        </is>
      </c>
      <c r="Q5" s="20" t="inlineStr">
        <is>
          <t># Units</t>
        </is>
      </c>
      <c r="R5" s="20" t="inlineStr">
        <is>
          <t>Year Built</t>
        </is>
      </c>
      <c r="S5" s="20" t="inlineStr">
        <is>
          <t>Yr Diff</t>
        </is>
      </c>
      <c r="T5" s="20" t="inlineStr">
        <is>
          <t>Utilities Incl.</t>
        </is>
      </c>
      <c r="U5" s="20" t="inlineStr">
        <is>
          <t>Pet Friendly</t>
        </is>
      </c>
      <c r="V5" s="20" t="inlineStr">
        <is>
          <t>Gated</t>
        </is>
      </c>
      <c r="W5" s="20" t="inlineStr">
        <is>
          <t>Pool</t>
        </is>
      </c>
      <c r="X5" s="20" t="inlineStr">
        <is>
          <t>W/D In-Unit</t>
        </is>
      </c>
      <c r="Y5" s="20" t="inlineStr">
        <is>
          <t>Competition Level</t>
        </is>
      </c>
      <c r="Z5" s="20" t="inlineStr">
        <is>
          <t>Why Competitive</t>
        </is>
      </c>
      <c r="AA5" s="20" t="inlineStr">
        <is>
          <t>Data Source</t>
        </is>
      </c>
    </row>
    <row r="6" ht="54.75" customFormat="1" customHeight="1" s="3">
      <c r="A6" s="23" t="inlineStr">
        <is>
          <t>—</t>
        </is>
      </c>
      <c r="B6" s="23" t="inlineStr">
        <is>
          <t>SUBJECT</t>
        </is>
      </c>
      <c r="C6" s="24" t="inlineStr">
        <is>
          <t>Boca Ciega (SUBJECT)</t>
        </is>
      </c>
      <c r="D6" s="23" t="inlineStr">
        <is>
          <t>3401 37th Street South</t>
        </is>
      </c>
      <c r="E6" s="23" t="inlineStr">
        <is>
          <t>St. Petersburg</t>
        </is>
      </c>
      <c r="F6" s="23" t="inlineStr">
        <is>
          <t>FL</t>
        </is>
      </c>
      <c r="G6" s="23" t="inlineStr">
        <is>
          <t>33711</t>
        </is>
      </c>
      <c r="H6" s="23" t="inlineStr">
        <is>
          <t>0.0 mi</t>
        </is>
      </c>
      <c r="I6" s="23" t="inlineStr">
        <is>
          <t>$3,912</t>
        </is>
      </c>
      <c r="J6" s="23" t="inlineStr">
        <is>
          <t>$4,695</t>
        </is>
      </c>
      <c r="K6" s="25" t="inlineStr">
        <is>
          <t>$2,170</t>
        </is>
      </c>
      <c r="L6" s="26" t="inlineStr">
        <is>
          <t>N/A</t>
        </is>
      </c>
      <c r="M6" s="23" t="inlineStr">
        <is>
          <t>$4,345</t>
        </is>
      </c>
      <c r="N6" s="23" t="inlineStr">
        <is>
          <t>$5,215</t>
        </is>
      </c>
      <c r="O6" s="25" t="inlineStr">
        <is>
          <t>$2,780</t>
        </is>
      </c>
      <c r="P6" s="26" t="inlineStr">
        <is>
          <t>N/A</t>
        </is>
      </c>
      <c r="Q6" s="23" t="inlineStr">
        <is>
          <t>109</t>
        </is>
      </c>
      <c r="R6" s="23" t="inlineStr">
        <is>
          <t>1974</t>
        </is>
      </c>
      <c r="S6" s="23" t="inlineStr">
        <is>
          <t>0</t>
        </is>
      </c>
      <c r="T6" s="23" t="inlineStr">
        <is>
          <t>Yes</t>
        </is>
      </c>
      <c r="U6" s="23" t="inlineStr">
        <is>
          <t>No</t>
        </is>
      </c>
      <c r="V6" s="23" t="inlineStr">
        <is>
          <t>No</t>
        </is>
      </c>
      <c r="W6" s="23" t="inlineStr">
        <is>
          <t>No</t>
        </is>
      </c>
      <c r="X6" s="23" t="inlineStr">
        <is>
          <t>No</t>
        </is>
      </c>
      <c r="Y6" s="27" t="inlineStr">
        <is>
          <t>SUBJECT</t>
        </is>
      </c>
      <c r="Z6" s="24" t="inlineStr">
        <is>
          <t>109 units | Layered HUD/LIHTC property. Year built: 1974. Subject property for market context.</t>
        </is>
      </c>
      <c r="AA6" s="23" t="inlineStr">
        <is>
          <t>Apartment Corp Records</t>
        </is>
      </c>
    </row>
    <row r="7" ht="54.75" customFormat="1" customHeight="1" s="3">
      <c r="A7" s="28" t="inlineStr">
        <is>
          <t>1</t>
        </is>
      </c>
      <c r="B7" s="28" t="inlineStr">
        <is>
          <t>AFFORDABLE</t>
        </is>
      </c>
      <c r="C7" s="29" t="inlineStr">
        <is>
          <t>Clearwater Gardens Apartments</t>
        </is>
      </c>
      <c r="D7" s="28" t="inlineStr">
        <is>
          <t>1501 N Greenwood Ave</t>
        </is>
      </c>
      <c r="E7" s="28" t="inlineStr">
        <is>
          <t>Clearwater</t>
        </is>
      </c>
      <c r="F7" s="28" t="inlineStr">
        <is>
          <t>FL</t>
        </is>
      </c>
      <c r="G7" s="28" t="inlineStr">
        <is>
          <t>33755</t>
        </is>
      </c>
      <c r="H7" s="28" t="inlineStr">
        <is>
          <t>14.2 mi</t>
        </is>
      </c>
      <c r="I7" s="28" t="inlineStr">
        <is>
          <t>$3,912</t>
        </is>
      </c>
      <c r="J7" s="28" t="inlineStr">
        <is>
          <t>$4,695</t>
        </is>
      </c>
      <c r="K7" s="30" t="inlineStr">
        <is>
          <t>$2,170</t>
        </is>
      </c>
      <c r="L7" s="31" t="inlineStr">
        <is>
          <t>Not Listed</t>
        </is>
      </c>
      <c r="M7" s="28" t="inlineStr">
        <is>
          <t>$4,345</t>
        </is>
      </c>
      <c r="N7" s="28" t="inlineStr">
        <is>
          <t>$5,215</t>
        </is>
      </c>
      <c r="O7" s="30" t="inlineStr">
        <is>
          <t>$2,780</t>
        </is>
      </c>
      <c r="P7" s="31" t="inlineStr">
        <is>
          <t>Not Listed</t>
        </is>
      </c>
      <c r="Q7" s="28" t="inlineStr">
        <is>
          <t>100</t>
        </is>
      </c>
      <c r="R7" s="28" t="inlineStr">
        <is>
          <t>1974</t>
        </is>
      </c>
      <c r="S7" s="28" t="inlineStr">
        <is>
          <t>0</t>
        </is>
      </c>
      <c r="T7" s="28" t="inlineStr">
        <is>
          <t>Yes</t>
        </is>
      </c>
      <c r="U7" s="28" t="inlineStr">
        <is>
          <t>No</t>
        </is>
      </c>
      <c r="V7" s="28" t="inlineStr">
        <is>
          <t>No</t>
        </is>
      </c>
      <c r="W7" s="28" t="inlineStr">
        <is>
          <t>No</t>
        </is>
      </c>
      <c r="X7" s="28" t="inlineStr">
        <is>
          <t>No</t>
        </is>
      </c>
      <c r="Y7" s="32" t="inlineStr">
        <is>
          <t>HIGH</t>
        </is>
      </c>
      <c r="Z7" s="29" t="inlineStr">
        <is>
          <t>Affordable Comp #1: Section 8/HUD property, 1974 vintage (0 yr diff), 100 units, 14.2 mi from subject. Same income-eligible renter pool.</t>
        </is>
      </c>
      <c r="AA7" s="28" t="inlineStr">
        <is>
          <t>HUD Multifamily Assisted Housing</t>
        </is>
      </c>
    </row>
    <row r="8" ht="54.75" customFormat="1" customHeight="1" s="3">
      <c r="A8" s="33" t="inlineStr">
        <is>
          <t>2</t>
        </is>
      </c>
      <c r="B8" s="33" t="inlineStr">
        <is>
          <t>AFFORDABLE</t>
        </is>
      </c>
      <c r="C8" s="34" t="inlineStr">
        <is>
          <t>Pinellas Park Manor</t>
        </is>
      </c>
      <c r="D8" s="33" t="inlineStr">
        <is>
          <t>6200 Park Blvd</t>
        </is>
      </c>
      <c r="E8" s="33" t="inlineStr">
        <is>
          <t>Pinellas Park</t>
        </is>
      </c>
      <c r="F8" s="33" t="inlineStr">
        <is>
          <t>FL</t>
        </is>
      </c>
      <c r="G8" s="33" t="inlineStr">
        <is>
          <t>33781</t>
        </is>
      </c>
      <c r="H8" s="33" t="inlineStr">
        <is>
          <t>7.1 mi</t>
        </is>
      </c>
      <c r="I8" s="33" t="inlineStr">
        <is>
          <t>$3,912</t>
        </is>
      </c>
      <c r="J8" s="33" t="inlineStr">
        <is>
          <t>$4,695</t>
        </is>
      </c>
      <c r="K8" s="30" t="inlineStr">
        <is>
          <t>$2,170</t>
        </is>
      </c>
      <c r="L8" s="31" t="inlineStr">
        <is>
          <t>Not Listed</t>
        </is>
      </c>
      <c r="M8" s="33" t="inlineStr">
        <is>
          <t>$4,345</t>
        </is>
      </c>
      <c r="N8" s="33" t="inlineStr">
        <is>
          <t>$5,215</t>
        </is>
      </c>
      <c r="O8" s="30" t="inlineStr">
        <is>
          <t>$2,780</t>
        </is>
      </c>
      <c r="P8" s="31" t="inlineStr">
        <is>
          <t>Not Listed</t>
        </is>
      </c>
      <c r="Q8" s="33" t="inlineStr">
        <is>
          <t>112</t>
        </is>
      </c>
      <c r="R8" s="33" t="inlineStr">
        <is>
          <t>1975</t>
        </is>
      </c>
      <c r="S8" s="33" t="inlineStr">
        <is>
          <t>1</t>
        </is>
      </c>
      <c r="T8" s="33" t="inlineStr">
        <is>
          <t>Yes</t>
        </is>
      </c>
      <c r="U8" s="33" t="inlineStr">
        <is>
          <t>No</t>
        </is>
      </c>
      <c r="V8" s="33" t="inlineStr">
        <is>
          <t>No</t>
        </is>
      </c>
      <c r="W8" s="33" t="inlineStr">
        <is>
          <t>No</t>
        </is>
      </c>
      <c r="X8" s="33" t="inlineStr">
        <is>
          <t>No</t>
        </is>
      </c>
      <c r="Y8" s="35" t="inlineStr">
        <is>
          <t>HIGH</t>
        </is>
      </c>
      <c r="Z8" s="34" t="inlineStr">
        <is>
          <t>Affordable Comp #2: Section 8/HUD property, 1975 vintage (1 yr diff), 112 units, 7.1 mi from subject. Same income-eligible renter pool.</t>
        </is>
      </c>
      <c r="AA8" s="33" t="inlineStr">
        <is>
          <t>HUD Multifamily Assisted Housing</t>
        </is>
      </c>
    </row>
    <row r="9" ht="54.75" customFormat="1" customHeight="1" s="3">
      <c r="A9" s="36" t="inlineStr">
        <is>
          <t>3</t>
        </is>
      </c>
      <c r="B9" s="36" t="inlineStr">
        <is>
          <t>AFFORDABLE</t>
        </is>
      </c>
      <c r="C9" s="37" t="inlineStr">
        <is>
          <t>Tarpon Springs Housing Authority</t>
        </is>
      </c>
      <c r="D9" s="36" t="inlineStr">
        <is>
          <t>200 S Walton Ave</t>
        </is>
      </c>
      <c r="E9" s="36" t="inlineStr">
        <is>
          <t>Tarpon Springs</t>
        </is>
      </c>
      <c r="F9" s="36" t="inlineStr">
        <is>
          <t>FL</t>
        </is>
      </c>
      <c r="G9" s="36" t="inlineStr">
        <is>
          <t>34689</t>
        </is>
      </c>
      <c r="H9" s="36" t="inlineStr">
        <is>
          <t>22.5 mi</t>
        </is>
      </c>
      <c r="I9" s="36" t="inlineStr">
        <is>
          <t>$3,912</t>
        </is>
      </c>
      <c r="J9" s="36" t="inlineStr">
        <is>
          <t>$4,695</t>
        </is>
      </c>
      <c r="K9" s="30" t="inlineStr">
        <is>
          <t>$2,170</t>
        </is>
      </c>
      <c r="L9" s="31" t="inlineStr">
        <is>
          <t>Not Listed</t>
        </is>
      </c>
      <c r="M9" s="36" t="inlineStr">
        <is>
          <t>$4,345</t>
        </is>
      </c>
      <c r="N9" s="36" t="inlineStr">
        <is>
          <t>$5,215</t>
        </is>
      </c>
      <c r="O9" s="30" t="inlineStr">
        <is>
          <t>$2,780</t>
        </is>
      </c>
      <c r="P9" s="31" t="inlineStr">
        <is>
          <t>Not Listed</t>
        </is>
      </c>
      <c r="Q9" s="36" t="inlineStr">
        <is>
          <t>96</t>
        </is>
      </c>
      <c r="R9" s="36" t="inlineStr">
        <is>
          <t>1972</t>
        </is>
      </c>
      <c r="S9" s="36" t="inlineStr">
        <is>
          <t>2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38" t="inlineStr">
        <is>
          <t>MODERATE-HIGH</t>
        </is>
      </c>
      <c r="Z9" s="37" t="inlineStr">
        <is>
          <t>Affordable Comp #3: Public Housing/HUD property, 1972 vintage (2 yr diff), 96 units, 22.5 mi from subject. Same income-eligible renter pool.</t>
        </is>
      </c>
      <c r="AA9" s="36" t="inlineStr">
        <is>
          <t>Tarpon Springs Housing Authority</t>
        </is>
      </c>
    </row>
    <row r="10" ht="54.75" customFormat="1" customHeight="1" s="3">
      <c r="A10" s="28" t="inlineStr">
        <is>
          <t>4</t>
        </is>
      </c>
      <c r="B10" s="28" t="inlineStr">
        <is>
          <t>AFFORDABLE</t>
        </is>
      </c>
      <c r="C10" s="29" t="inlineStr">
        <is>
          <t>Largo Manor Apartments</t>
        </is>
      </c>
      <c r="D10" s="28" t="inlineStr">
        <is>
          <t>1400 Keene Rd</t>
        </is>
      </c>
      <c r="E10" s="28" t="inlineStr">
        <is>
          <t>Largo</t>
        </is>
      </c>
      <c r="F10" s="28" t="inlineStr">
        <is>
          <t>FL</t>
        </is>
      </c>
      <c r="G10" s="28" t="inlineStr">
        <is>
          <t>33771</t>
        </is>
      </c>
      <c r="H10" s="28" t="inlineStr">
        <is>
          <t>9.3 mi</t>
        </is>
      </c>
      <c r="I10" s="28" t="inlineStr">
        <is>
          <t>$3,912</t>
        </is>
      </c>
      <c r="J10" s="28" t="inlineStr">
        <is>
          <t>$4,695</t>
        </is>
      </c>
      <c r="K10" s="30" t="inlineStr">
        <is>
          <t>$2,170</t>
        </is>
      </c>
      <c r="L10" s="31" t="inlineStr">
        <is>
          <t>Not Listed</t>
        </is>
      </c>
      <c r="M10" s="28" t="inlineStr">
        <is>
          <t>$4,345</t>
        </is>
      </c>
      <c r="N10" s="28" t="inlineStr">
        <is>
          <t>$5,215</t>
        </is>
      </c>
      <c r="O10" s="30" t="inlineStr">
        <is>
          <t>$2,780</t>
        </is>
      </c>
      <c r="P10" s="31" t="inlineStr">
        <is>
          <t>Not Listed</t>
        </is>
      </c>
      <c r="Q10" s="28" t="inlineStr">
        <is>
          <t>104</t>
        </is>
      </c>
      <c r="R10" s="28" t="inlineStr">
        <is>
          <t>1973</t>
        </is>
      </c>
      <c r="S10" s="28" t="inlineStr">
        <is>
          <t>1</t>
        </is>
      </c>
      <c r="T10" s="28" t="inlineStr">
        <is>
          <t>Yes</t>
        </is>
      </c>
      <c r="U10" s="28" t="inlineStr">
        <is>
          <t>No</t>
        </is>
      </c>
      <c r="V10" s="28" t="inlineStr">
        <is>
          <t>No</t>
        </is>
      </c>
      <c r="W10" s="28" t="inlineStr">
        <is>
          <t>No</t>
        </is>
      </c>
      <c r="X10" s="28" t="inlineStr">
        <is>
          <t>No</t>
        </is>
      </c>
      <c r="Y10" s="32" t="inlineStr">
        <is>
          <t>HIGH</t>
        </is>
      </c>
      <c r="Z10" s="29" t="inlineStr">
        <is>
          <t>Affordable Comp #4: Section 8/HUD property, 1973 vintage (1 yr diff), 104 units, 9.3 mi from subject. Same income-eligible renter pool.</t>
        </is>
      </c>
      <c r="AA10" s="28" t="inlineStr">
        <is>
          <t>HUD Multifamily Assisted Housing</t>
        </is>
      </c>
    </row>
    <row r="11" ht="54.75" customFormat="1" customHeight="1" s="3">
      <c r="A11" s="39" t="inlineStr">
        <is>
          <t>1</t>
        </is>
      </c>
      <c r="B11" s="39" t="inlineStr">
        <is>
          <t>MARKET RATE</t>
        </is>
      </c>
      <c r="C11" s="40" t="inlineStr">
        <is>
          <t>The Addison Skyway Marina</t>
        </is>
      </c>
      <c r="D11" s="39" t="inlineStr">
        <is>
          <t>3951 34th St S, St. Petersburg, FL 33711</t>
        </is>
      </c>
      <c r="E11" s="39" t="inlineStr">
        <is>
          <t>St. Petersburg</t>
        </is>
      </c>
      <c r="F11" s="39" t="inlineStr">
        <is>
          <t>FL</t>
        </is>
      </c>
      <c r="G11" s="39" t="inlineStr">
        <is>
          <t>33711</t>
        </is>
      </c>
      <c r="H11" s="39" t="inlineStr">
        <is>
          <t>0.8 mi</t>
        </is>
      </c>
      <c r="I11" s="39" t="inlineStr">
        <is>
          <t>N/A (Market Rate)</t>
        </is>
      </c>
      <c r="J11" s="39" t="inlineStr">
        <is>
          <t>N/A (Market Rate)</t>
        </is>
      </c>
      <c r="K11" s="30" t="inlineStr">
        <is>
          <t>$2,170</t>
        </is>
      </c>
      <c r="L11" s="31" t="inlineStr">
        <is>
          <t>$2,446</t>
        </is>
      </c>
      <c r="M11" s="39" t="inlineStr">
        <is>
          <t>N/A (Market Rate)</t>
        </is>
      </c>
      <c r="N11" s="39" t="inlineStr">
        <is>
          <t>N/A (Market Rate)</t>
        </is>
      </c>
      <c r="O11" s="30" t="inlineStr">
        <is>
          <t>$2,780</t>
        </is>
      </c>
      <c r="P11" s="31" t="inlineStr">
        <is>
          <t>$2,947</t>
        </is>
      </c>
      <c r="Q11" s="39" t="n">
        <v>308</v>
      </c>
      <c r="R11" s="39" t="n">
        <v>2021</v>
      </c>
      <c r="S11" s="39" t="n">
        <v>47</v>
      </c>
      <c r="T11" s="39" t="inlineStr">
        <is>
          <t>No</t>
        </is>
      </c>
      <c r="U11" s="39" t="inlineStr">
        <is>
          <t>Yes</t>
        </is>
      </c>
      <c r="V11" s="39" t="inlineStr">
        <is>
          <t>Yes</t>
        </is>
      </c>
      <c r="W11" s="39" t="inlineStr">
        <is>
          <t>Yes</t>
        </is>
      </c>
      <c r="X11" s="39" t="inlineStr">
        <is>
          <t>Yes</t>
        </is>
      </c>
      <c r="Y11" s="41" t="inlineStr">
        <is>
          <t>HIGH</t>
        </is>
      </c>
      <c r="Z11" s="40" t="inlineStr">
        <is>
          <t>Market Rate Comp #1: No income restrictions, 2021 vintage (47 yr diff), 308 units, 0.8 mi from subject. Same zip 33711. Luxury complex with pool, fitness center, 4 stories. 2BD $2,446 / 3BD $2,947.</t>
        </is>
      </c>
      <c r="AA11" s="39" t="inlineStr">
        <is>
          <t>https://www.apartments.com/the-addison-skyway-marina-saint-petersburg-fl/</t>
        </is>
      </c>
    </row>
    <row r="12" ht="54.75" customFormat="1" customHeight="1" s="3">
      <c r="A12" s="42" t="inlineStr">
        <is>
          <t>2</t>
        </is>
      </c>
      <c r="B12" s="42" t="inlineStr">
        <is>
          <t>MARKET RATE</t>
        </is>
      </c>
      <c r="C12" s="43" t="inlineStr">
        <is>
          <t>Marina Walk Apartments</t>
        </is>
      </c>
      <c r="D12" s="42" t="inlineStr">
        <is>
          <t>3680 46th Ave S, St. Petersburg, FL 33711</t>
        </is>
      </c>
      <c r="E12" s="42" t="inlineStr">
        <is>
          <t>St. Petersburg</t>
        </is>
      </c>
      <c r="F12" s="42" t="inlineStr">
        <is>
          <t>FL</t>
        </is>
      </c>
      <c r="G12" s="42" t="inlineStr">
        <is>
          <t>33711</t>
        </is>
      </c>
      <c r="H12" s="42" t="inlineStr">
        <is>
          <t>1.1 mi</t>
        </is>
      </c>
      <c r="I12" s="42" t="inlineStr">
        <is>
          <t>N/A (Market Rate)</t>
        </is>
      </c>
      <c r="J12" s="42" t="inlineStr">
        <is>
          <t>N/A (Market Rate)</t>
        </is>
      </c>
      <c r="K12" s="30" t="inlineStr">
        <is>
          <t>$2,170</t>
        </is>
      </c>
      <c r="L12" s="31" t="inlineStr">
        <is>
          <t>$2,600</t>
        </is>
      </c>
      <c r="M12" s="42" t="inlineStr">
        <is>
          <t>N/A (Market Rate)</t>
        </is>
      </c>
      <c r="N12" s="42" t="inlineStr">
        <is>
          <t>N/A (Market Rate)</t>
        </is>
      </c>
      <c r="O12" s="30" t="inlineStr">
        <is>
          <t>$2,780</t>
        </is>
      </c>
      <c r="P12" s="31" t="inlineStr">
        <is>
          <t>N/A</t>
        </is>
      </c>
      <c r="Q12" s="42" t="n">
        <v>245</v>
      </c>
      <c r="R12" s="42" t="n">
        <v>2021</v>
      </c>
      <c r="S12" s="42" t="n">
        <v>47</v>
      </c>
      <c r="T12" s="42" t="inlineStr">
        <is>
          <t>No</t>
        </is>
      </c>
      <c r="U12" s="42" t="inlineStr">
        <is>
          <t>Yes</t>
        </is>
      </c>
      <c r="V12" s="42" t="inlineStr">
        <is>
          <t>No</t>
        </is>
      </c>
      <c r="W12" s="42" t="inlineStr">
        <is>
          <t>Yes</t>
        </is>
      </c>
      <c r="X12" s="42" t="inlineStr">
        <is>
          <t>Yes</t>
        </is>
      </c>
      <c r="Y12" s="44" t="inlineStr">
        <is>
          <t>HIGH</t>
        </is>
      </c>
      <c r="Z12" s="43" t="inlineStr">
        <is>
          <t>Market Rate Comp #2: No income restrictions, 2021 vintage (47 yr diff), 245 units, 1.1 mi from subject. Same zip 33711. 8-story waterfront complex. 2BD $2,600 / 3BD not available.</t>
        </is>
      </c>
      <c r="AA12" s="42" t="inlineStr">
        <is>
          <t>https://www.apartments.com/marina-walk-apartments-saint-petersburg-fl/</t>
        </is>
      </c>
    </row>
    <row r="13" ht="54.75" customFormat="1" customHeight="1" s="3">
      <c r="A13" s="45" t="inlineStr">
        <is>
          <t>3</t>
        </is>
      </c>
      <c r="B13" s="45" t="inlineStr">
        <is>
          <t>MARKET RATE</t>
        </is>
      </c>
      <c r="C13" s="46" t="inlineStr">
        <is>
          <t>Flagler Pointe Apartments</t>
        </is>
      </c>
      <c r="D13" s="45" t="inlineStr">
        <is>
          <t>2540 Roy Hanna Dr S, St. Petersburg, FL 33712</t>
        </is>
      </c>
      <c r="E13" s="45" t="inlineStr">
        <is>
          <t>St. Petersburg</t>
        </is>
      </c>
      <c r="F13" s="45" t="inlineStr">
        <is>
          <t>FL</t>
        </is>
      </c>
      <c r="G13" s="45" t="inlineStr">
        <is>
          <t>33712</t>
        </is>
      </c>
      <c r="H13" s="45" t="inlineStr">
        <is>
          <t>1.9 mi</t>
        </is>
      </c>
      <c r="I13" s="45" t="inlineStr">
        <is>
          <t>N/A (Market Rate)</t>
        </is>
      </c>
      <c r="J13" s="45" t="inlineStr">
        <is>
          <t>N/A (Market Rate)</t>
        </is>
      </c>
      <c r="K13" s="30" t="inlineStr">
        <is>
          <t>$2,170</t>
        </is>
      </c>
      <c r="L13" s="31" t="inlineStr">
        <is>
          <t>$1,890</t>
        </is>
      </c>
      <c r="M13" s="45" t="inlineStr">
        <is>
          <t>N/A (Market Rate)</t>
        </is>
      </c>
      <c r="N13" s="45" t="inlineStr">
        <is>
          <t>N/A (Market Rate)</t>
        </is>
      </c>
      <c r="O13" s="30" t="inlineStr">
        <is>
          <t>$2,780</t>
        </is>
      </c>
      <c r="P13" s="31" t="inlineStr">
        <is>
          <t>$2,150</t>
        </is>
      </c>
      <c r="Q13" s="45" t="inlineStr">
        <is>
          <t>N/A</t>
        </is>
      </c>
      <c r="R13" s="45" t="n">
        <v>1974</v>
      </c>
      <c r="S13" s="45" t="n">
        <v>0</v>
      </c>
      <c r="T13" s="45" t="inlineStr">
        <is>
          <t>No</t>
        </is>
      </c>
      <c r="U13" s="45" t="inlineStr">
        <is>
          <t>Yes</t>
        </is>
      </c>
      <c r="V13" s="45" t="inlineStr">
        <is>
          <t>No</t>
        </is>
      </c>
      <c r="W13" s="45" t="inlineStr">
        <is>
          <t>Yes</t>
        </is>
      </c>
      <c r="X13" s="45" t="inlineStr">
        <is>
          <t>No</t>
        </is>
      </c>
      <c r="Y13" s="47" t="inlineStr">
        <is>
          <t>HIGH</t>
        </is>
      </c>
      <c r="Z13" s="46" t="inlineStr">
        <is>
          <t>Market Rate Comp #3: No income restrictions, 1974 vintage (0 yr diff), 1.9 mi from subject in adjacent zip 33712. Most comparable vintage to subject. 2BD $1,890 / 3BD $2,150.</t>
        </is>
      </c>
      <c r="AA13" s="45" t="inlineStr">
        <is>
          <t>https://www.apartments.com/flagler-pointe-apartments-saint-petersburg-fl/</t>
        </is>
      </c>
    </row>
    <row r="14" ht="54.75" customFormat="1" customHeight="1" s="3">
      <c r="A14" s="39" t="inlineStr">
        <is>
          <t>4</t>
        </is>
      </c>
      <c r="B14" s="39" t="inlineStr">
        <is>
          <t>MARKET RATE</t>
        </is>
      </c>
      <c r="C14" s="40" t="inlineStr">
        <is>
          <t>Sur Club</t>
        </is>
      </c>
      <c r="D14" s="39" t="inlineStr">
        <is>
          <t>3301 32nd Ave S, St. Petersburg, FL 33712</t>
        </is>
      </c>
      <c r="E14" s="39" t="inlineStr">
        <is>
          <t>St. Petersburg</t>
        </is>
      </c>
      <c r="F14" s="39" t="inlineStr">
        <is>
          <t>FL</t>
        </is>
      </c>
      <c r="G14" s="39" t="inlineStr">
        <is>
          <t>33712</t>
        </is>
      </c>
      <c r="H14" s="39" t="inlineStr">
        <is>
          <t>1.5 mi</t>
        </is>
      </c>
      <c r="I14" s="39" t="inlineStr">
        <is>
          <t>N/A (Market Rate)</t>
        </is>
      </c>
      <c r="J14" s="39" t="inlineStr">
        <is>
          <t>N/A (Market Rate)</t>
        </is>
      </c>
      <c r="K14" s="30" t="inlineStr">
        <is>
          <t>$2,170</t>
        </is>
      </c>
      <c r="L14" s="31" t="inlineStr">
        <is>
          <t>$2,250</t>
        </is>
      </c>
      <c r="M14" s="39" t="inlineStr">
        <is>
          <t>N/A (Market Rate)</t>
        </is>
      </c>
      <c r="N14" s="39" t="inlineStr">
        <is>
          <t>N/A (Market Rate)</t>
        </is>
      </c>
      <c r="O14" s="30" t="inlineStr">
        <is>
          <t>$2,780</t>
        </is>
      </c>
      <c r="P14" s="31" t="inlineStr">
        <is>
          <t>N/A</t>
        </is>
      </c>
      <c r="Q14" s="39" t="n">
        <v>296</v>
      </c>
      <c r="R14" s="39" t="n">
        <v>2021</v>
      </c>
      <c r="S14" s="39" t="n">
        <v>47</v>
      </c>
      <c r="T14" s="39" t="inlineStr">
        <is>
          <t>No</t>
        </is>
      </c>
      <c r="U14" s="39" t="inlineStr">
        <is>
          <t>Yes</t>
        </is>
      </c>
      <c r="V14" s="39" t="inlineStr">
        <is>
          <t>No</t>
        </is>
      </c>
      <c r="W14" s="39" t="inlineStr">
        <is>
          <t>Yes</t>
        </is>
      </c>
      <c r="X14" s="39" t="inlineStr">
        <is>
          <t>Yes</t>
        </is>
      </c>
      <c r="Y14" s="41" t="inlineStr">
        <is>
          <t>HIGH</t>
        </is>
      </c>
      <c r="Z14" s="40" t="inlineStr">
        <is>
          <t>Market Rate Comp #4: No income restrictions, 2021 vintage (47 yr diff), 296 units, 1.5 mi from subject in adjacent zip 33712. 4-story complex. 2BD $2,250 / 3BD not available (unavailable floor plans).</t>
        </is>
      </c>
      <c r="AA14" s="39" t="inlineStr">
        <is>
          <t>https://www.apartments.com/sur-club-saint-petersburg-fl/</t>
        </is>
      </c>
    </row>
    <row r="15" ht="54.75" customFormat="1" customHeight="1" s="3">
      <c r="A15" s="48" t="inlineStr">
        <is>
          <t>—</t>
        </is>
      </c>
      <c r="B15" s="48" t="inlineStr">
        <is>
          <t>BENCHMARK</t>
        </is>
      </c>
      <c r="C15" s="49" t="inlineStr">
        <is>
          <t>FY2026 FMR — Tampa-St. Petersburg MSA</t>
        </is>
      </c>
      <c r="D15" s="48" t="inlineStr">
        <is>
          <t>N/A</t>
        </is>
      </c>
      <c r="E15" s="48" t="inlineStr">
        <is>
          <t>St. Petersburg</t>
        </is>
      </c>
      <c r="F15" s="48" t="inlineStr">
        <is>
          <t>FL</t>
        </is>
      </c>
      <c r="G15" s="48" t="inlineStr">
        <is>
          <t>N/A</t>
        </is>
      </c>
      <c r="H15" s="48" t="inlineStr">
        <is>
          <t>N/A</t>
        </is>
      </c>
      <c r="I15" s="48" t="inlineStr">
        <is>
          <t>$2,170</t>
        </is>
      </c>
      <c r="J15" s="48" t="inlineStr">
        <is>
          <t>$2,170</t>
        </is>
      </c>
      <c r="K15" s="30" t="inlineStr">
        <is>
          <t>$2,170</t>
        </is>
      </c>
      <c r="L15" s="31" t="inlineStr">
        <is>
          <t>N/A</t>
        </is>
      </c>
      <c r="M15" s="48" t="inlineStr">
        <is>
          <t>$2,780</t>
        </is>
      </c>
      <c r="N15" s="48" t="inlineStr">
        <is>
          <t>$2,780</t>
        </is>
      </c>
      <c r="O15" s="30" t="inlineStr">
        <is>
          <t>$2,780</t>
        </is>
      </c>
      <c r="P15" s="31" t="inlineStr">
        <is>
          <t>N/A</t>
        </is>
      </c>
      <c r="Q15" s="48" t="inlineStr">
        <is>
          <t>N/A</t>
        </is>
      </c>
      <c r="R15" s="48" t="inlineStr">
        <is>
          <t>N/A</t>
        </is>
      </c>
      <c r="S15" s="48" t="inlineStr">
        <is>
          <t>N/A</t>
        </is>
      </c>
      <c r="T15" s="48" t="inlineStr">
        <is>
          <t>N/A</t>
        </is>
      </c>
      <c r="U15" s="48" t="inlineStr">
        <is>
          <t>N/A</t>
        </is>
      </c>
      <c r="V15" s="48" t="inlineStr">
        <is>
          <t>N/A</t>
        </is>
      </c>
      <c r="W15" s="48" t="inlineStr">
        <is>
          <t>N/A</t>
        </is>
      </c>
      <c r="X15" s="48" t="inlineStr">
        <is>
          <t>N/A</t>
        </is>
      </c>
      <c r="Y15" s="50" t="inlineStr">
        <is>
          <t>BENCHMARK</t>
        </is>
      </c>
      <c r="Z15" s="49" t="inlineStr">
        <is>
          <t>BENCHMARK — HUD Fair Market Rent (FMR) for Tampa-St. Petersburg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5" s="48" t="inlineStr">
        <is>
          <t>HUD FMR Database (huduser.gov)</t>
        </is>
      </c>
    </row>
    <row r="16" ht="54.75" customFormat="1" customHeight="1" s="3">
      <c r="A16" s="48" t="inlineStr">
        <is>
          <t>—</t>
        </is>
      </c>
      <c r="B16" s="48" t="inlineStr">
        <is>
          <t>BENCHMARK</t>
        </is>
      </c>
      <c r="C16" s="49" t="inlineStr">
        <is>
          <t>Metro Market Avg — St. Petersburg (Live, Apr 2026)</t>
        </is>
      </c>
      <c r="D16" s="48" t="inlineStr">
        <is>
          <t>N/A</t>
        </is>
      </c>
      <c r="E16" s="48" t="inlineStr">
        <is>
          <t>St. Petersburg</t>
        </is>
      </c>
      <c r="F16" s="48" t="inlineStr">
        <is>
          <t>FL</t>
        </is>
      </c>
      <c r="G16" s="48" t="inlineStr">
        <is>
          <t>N/A</t>
        </is>
      </c>
      <c r="H16" s="48" t="inlineStr">
        <is>
          <t>N/A</t>
        </is>
      </c>
      <c r="I16" s="48" t="inlineStr">
        <is>
          <t>$2,296</t>
        </is>
      </c>
      <c r="J16" s="48" t="inlineStr">
        <is>
          <t>$2,296</t>
        </is>
      </c>
      <c r="K16" s="30" t="inlineStr">
        <is>
          <t>$2,296</t>
        </is>
      </c>
      <c r="L16" s="31" t="inlineStr">
        <is>
          <t>$2,296</t>
        </is>
      </c>
      <c r="M16" s="48" t="inlineStr">
        <is>
          <t>$2,548</t>
        </is>
      </c>
      <c r="N16" s="48" t="inlineStr">
        <is>
          <t>$2,548</t>
        </is>
      </c>
      <c r="O16" s="30" t="inlineStr">
        <is>
          <t>$2,548</t>
        </is>
      </c>
      <c r="P16" s="31" t="inlineStr">
        <is>
          <t>$2,548</t>
        </is>
      </c>
      <c r="Q16" s="48" t="inlineStr">
        <is>
          <t>N/A</t>
        </is>
      </c>
      <c r="R16" s="48" t="inlineStr">
        <is>
          <t>N/A</t>
        </is>
      </c>
      <c r="S16" s="48" t="inlineStr">
        <is>
          <t>N/A</t>
        </is>
      </c>
      <c r="T16" s="48" t="inlineStr">
        <is>
          <t>N/A</t>
        </is>
      </c>
      <c r="U16" s="48" t="inlineStr">
        <is>
          <t>N/A</t>
        </is>
      </c>
      <c r="V16" s="48" t="inlineStr">
        <is>
          <t>N/A</t>
        </is>
      </c>
      <c r="W16" s="48" t="inlineStr">
        <is>
          <t>N/A</t>
        </is>
      </c>
      <c r="X16" s="48" t="inlineStr">
        <is>
          <t>N/A</t>
        </is>
      </c>
      <c r="Y16" s="50" t="inlineStr">
        <is>
          <t>BENCHMARK</t>
        </is>
      </c>
      <c r="Z16" s="49" t="inlineStr">
        <is>
          <t>BENCHMARK — Live Market Average for St. Petersburg (33711), calculated from 4 market-rate comps as of Apr 30, 2026. 2BD avg: $2,296 (Addison $2,446, Marina Walk $2,600, Flagler Pointe $1,890, Sur Club $2,250). 3BD avg: $2,548 (Addison $2,947, Flagler Pointe $2,150 — only 2 comps with 3BD available).</t>
        </is>
      </c>
      <c r="AA16" s="48" t="inlineStr">
        <is>
          <t>Apartments.com live data, Apr 30, 2026</t>
        </is>
      </c>
    </row>
    <row r="17" ht="8.25" customFormat="1" customHeight="1" s="3"/>
    <row r="18" ht="27.75" customFormat="1" customHeight="1" s="3">
      <c r="A18" s="51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 ht="21.75" customHeight="1" s="95">
      <c r="A20" s="52" t="inlineStr">
        <is>
          <t>Current Rent vs. Market Average</t>
        </is>
      </c>
      <c r="B20" s="96" t="n"/>
      <c r="C20" s="96" t="n"/>
      <c r="D20" s="97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</row>
    <row r="21" ht="21.75" customHeight="1" s="95">
      <c r="A21" s="55" t="inlineStr">
        <is>
          <t>Market Average = Avg of Actual Rents from all comparables</t>
        </is>
      </c>
      <c r="B21" s="96" t="n"/>
      <c r="C21" s="96" t="n"/>
      <c r="D21" s="97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</row>
    <row r="22" ht="21.75" customHeight="1" s="95">
      <c r="A22" s="56" t="n"/>
      <c r="B22" s="56" t="inlineStr">
        <is>
          <t>Current Rent</t>
        </is>
      </c>
      <c r="C22" s="56" t="inlineStr">
        <is>
          <t>Market Average</t>
        </is>
      </c>
      <c r="D22" s="56" t="inlineStr">
        <is>
          <t>Difference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</row>
    <row r="23" ht="21.75" customHeight="1" s="95">
      <c r="A23" s="57" t="inlineStr">
        <is>
          <t>2BD</t>
        </is>
      </c>
      <c r="B23" s="98" t="n">
        <v>1733</v>
      </c>
      <c r="C23" s="99" t="n">
        <v>2296</v>
      </c>
      <c r="D23" s="100">
        <f>IF(B23="","",C23-B23)</f>
        <v/>
      </c>
    </row>
    <row r="24" ht="25.39" customHeight="1" s="95">
      <c r="A24" s="57" t="inlineStr">
        <is>
          <t>3BD</t>
        </is>
      </c>
      <c r="B24" s="98" t="n">
        <v>2157</v>
      </c>
      <c r="C24" s="99" t="n">
        <v>2548</v>
      </c>
      <c r="D24" s="100">
        <f>IF(B24="","",C24-B24)</f>
        <v/>
      </c>
    </row>
    <row r="26" ht="21.75" customHeight="1" s="95">
      <c r="A26" s="61" t="inlineStr">
        <is>
          <t>PMTS — Vouchers / FMR / UAP / NET FMR</t>
        </is>
      </c>
      <c r="B26" s="101" t="n"/>
      <c r="C26" s="101" t="n"/>
      <c r="D26" s="101" t="n"/>
      <c r="E26" s="101" t="n"/>
      <c r="F26" s="102" t="n"/>
    </row>
    <row r="27" ht="21.75" customHeight="1" s="95">
      <c r="A27" s="64" t="inlineStr">
        <is>
          <t>BD</t>
        </is>
      </c>
      <c r="B27" s="65" t="inlineStr">
        <is>
          <t>MKT</t>
        </is>
      </c>
      <c r="C27" s="66" t="inlineStr">
        <is>
          <t>VCH</t>
        </is>
      </c>
      <c r="D27" s="67" t="inlineStr">
        <is>
          <t>FMR</t>
        </is>
      </c>
      <c r="E27" s="68" t="inlineStr">
        <is>
          <t>UAP</t>
        </is>
      </c>
      <c r="F27" s="69" t="inlineStr">
        <is>
          <t>NET</t>
        </is>
      </c>
    </row>
    <row r="28" ht="21.75" customHeight="1" s="95">
      <c r="A28" s="70" t="inlineStr">
        <is>
          <t>2BD</t>
        </is>
      </c>
      <c r="B28" s="71" t="n">
        <v>0</v>
      </c>
      <c r="C28" s="71" t="n">
        <v>0</v>
      </c>
      <c r="D28" s="71" t="n">
        <v>2170</v>
      </c>
      <c r="E28" s="72" t="n">
        <v>191</v>
      </c>
      <c r="F28" s="73" t="n">
        <v>1979</v>
      </c>
    </row>
    <row r="29" ht="21.75" customHeight="1" s="95">
      <c r="A29" s="74" t="inlineStr">
        <is>
          <t>3BD</t>
        </is>
      </c>
      <c r="B29" s="75" t="n">
        <v>0</v>
      </c>
      <c r="C29" s="75" t="n">
        <v>0</v>
      </c>
      <c r="D29" s="75" t="n">
        <v>2780</v>
      </c>
      <c r="E29" s="72" t="n">
        <v>268</v>
      </c>
      <c r="F29" s="73" t="n">
        <v>2512</v>
      </c>
    </row>
    <row r="31" ht="21.75" customHeight="1" s="95">
      <c r="A31" s="61" t="inlineStr">
        <is>
          <t>LIHTC, UAP, NET</t>
        </is>
      </c>
      <c r="B31" s="101" t="n"/>
      <c r="C31" s="101" t="n"/>
      <c r="D31" s="101" t="n"/>
      <c r="E31" s="102" t="n"/>
    </row>
    <row r="32" ht="21.75" customHeight="1" s="95">
      <c r="A32" s="64" t="n"/>
      <c r="B32" s="65" t="inlineStr">
        <is>
          <t>LIHTC/MKT</t>
        </is>
      </c>
      <c r="C32" s="67" t="inlineStr">
        <is>
          <t>60%</t>
        </is>
      </c>
      <c r="D32" s="68" t="inlineStr">
        <is>
          <t>UAP</t>
        </is>
      </c>
      <c r="E32" s="69" t="inlineStr">
        <is>
          <t>NET</t>
        </is>
      </c>
    </row>
    <row r="33" ht="21.75" customHeight="1" s="95">
      <c r="A33" s="70" t="inlineStr">
        <is>
          <t>2BD</t>
        </is>
      </c>
      <c r="B33" s="71" t="n">
        <v>1408</v>
      </c>
      <c r="C33" s="71" t="n">
        <v>1100</v>
      </c>
      <c r="D33" s="72" t="n">
        <v>191</v>
      </c>
      <c r="E33" s="73" t="n">
        <v>909</v>
      </c>
    </row>
    <row r="36" ht="21.75" customHeight="1" s="95">
      <c r="A36" s="61" t="inlineStr">
        <is>
          <t>HAP, CoStar, NET</t>
        </is>
      </c>
      <c r="B36" s="101" t="n"/>
      <c r="C36" s="102" t="n"/>
    </row>
    <row r="37" ht="21.75" customHeight="1" s="95">
      <c r="A37" s="64" t="n"/>
      <c r="B37" s="68" t="inlineStr">
        <is>
          <t>HAP</t>
        </is>
      </c>
      <c r="C37" s="65" t="inlineStr">
        <is>
          <t>CoStar</t>
        </is>
      </c>
    </row>
    <row r="38" ht="21.75" customHeight="1" s="95">
      <c r="A38" s="70" t="inlineStr">
        <is>
          <t>2BD</t>
        </is>
      </c>
      <c r="B38" s="103" t="n">
        <v>1541</v>
      </c>
      <c r="C38" s="104" t="n">
        <v>1563</v>
      </c>
    </row>
    <row r="39" ht="21.75" customHeight="1" s="95">
      <c r="A39" s="74" t="inlineStr">
        <is>
          <t>3BD</t>
        </is>
      </c>
      <c r="B39" s="103" t="n">
        <v>1918</v>
      </c>
      <c r="C39" s="104" t="n">
        <v>1944</v>
      </c>
    </row>
  </sheetData>
  <mergeCells count="9">
    <mergeCell ref="A18:AA18"/>
    <mergeCell ref="A36:C36"/>
    <mergeCell ref="A4:AA4"/>
    <mergeCell ref="A3:AA3"/>
    <mergeCell ref="A20:D20"/>
    <mergeCell ref="A21:D21"/>
    <mergeCell ref="A2:AA2"/>
    <mergeCell ref="A31:E31"/>
    <mergeCell ref="A26:F26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theme="3" tint="0.4"/>
    <outlinePr summaryBelow="1" summaryRight="1"/>
    <pageSetUpPr/>
  </sheetPr>
  <dimension ref="A1:AA34"/>
  <sheetViews>
    <sheetView topLeftCell="A1" workbookViewId="0">
      <pane ySplit="1" topLeftCell="A14" activePane="bottomLeft" state="frozen"/>
      <selection pane="bottomLeft" activeCell="Q29" sqref="Q29"/>
    </sheetView>
  </sheetViews>
  <sheetFormatPr baseColWidth="8" defaultColWidth="9.140625" defaultRowHeight="15" customHeight="1"/>
  <cols>
    <col width="8.00390625" customWidth="1" style="3" min="1" max="1"/>
    <col width="14.00390625" customWidth="1" style="3" min="2" max="2"/>
    <col width="28.00390625" customWidth="1" style="3" min="3" max="3"/>
    <col width="22.00390625" customWidth="1" style="3" min="4" max="4"/>
    <col width="16.00390625" customWidth="1" style="3" min="5" max="5"/>
    <col width="10.00390625" customWidth="1" style="3" min="6" max="6"/>
    <col width="8.00390625" customWidth="1" style="3" min="7" max="7"/>
    <col width="11.00390625" customWidth="1" style="3" min="8" max="8"/>
    <col width="10.00390625" customWidth="1" style="3" min="9" max="10"/>
    <col hidden="1" width="13.00390625" customWidth="1" style="3" min="11" max="11"/>
    <col width="12.00390625" customWidth="1" style="3" min="12" max="12"/>
    <col width="10.00390625" customWidth="1" style="3" min="13" max="14"/>
    <col hidden="1" width="13.00390625" customWidth="1" style="3" min="15" max="15"/>
    <col width="12.00390625" customWidth="1" style="3" min="16" max="16"/>
    <col width="8.00390625" customWidth="1" style="3" min="17" max="17"/>
    <col width="10.00390625" customWidth="1" style="3" min="18" max="18"/>
    <col width="7.00390625" customWidth="1" style="3" min="19" max="19"/>
    <col width="12.00390625" customWidth="1" style="3" min="20" max="21"/>
    <col width="8.00390625" customWidth="1" style="3" min="22" max="23"/>
    <col width="10.00390625" customWidth="1" style="3" min="24" max="24"/>
    <col width="16.00390625" customWidth="1" style="3" min="25" max="25"/>
    <col width="45.00390625" customWidth="1" style="3" min="26" max="26"/>
    <col width="28.00390625" customWidth="1" style="3" min="27" max="27"/>
  </cols>
  <sheetData>
    <row r="1" ht="15" customHeight="1" s="95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</row>
    <row r="2" ht="24" customFormat="1" customHeight="1" s="3">
      <c r="A2" s="17" t="inlineStr">
        <is>
          <t>COMPETITIVE RENT ANALYSIS — JEFFERSON ARMS | GREEN = Affordable Comps | BLUE = Market Rate Comps</t>
        </is>
      </c>
    </row>
    <row r="3" ht="20.25" customFormat="1" customHeight="1" s="3">
      <c r="A3" s="18" t="inlineStr">
        <is>
          <t>SUBJECT: Jefferson Arms | 1425 E. Clark Ave, Monticello, FL 32344 | 75 units | Program: Section 8/HUD | Bedroom Mix: 2BR / 3BR | County AMI: $92,300 | FMR Area: Jefferson County, FL</t>
        </is>
      </c>
    </row>
    <row r="4" ht="90" customFormat="1" customHeight="1" s="3">
      <c r="A4" s="19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5" ht="30" customFormat="1" customHeight="1" s="3">
      <c r="A5" s="20" t="inlineStr">
        <is>
          <t>Rank</t>
        </is>
      </c>
      <c r="B5" s="20" t="inlineStr">
        <is>
          <t>Type</t>
        </is>
      </c>
      <c r="C5" s="20" t="inlineStr">
        <is>
          <t>Property Name</t>
        </is>
      </c>
      <c r="D5" s="20" t="inlineStr">
        <is>
          <t>Address</t>
        </is>
      </c>
      <c r="E5" s="20" t="inlineStr">
        <is>
          <t>City</t>
        </is>
      </c>
      <c r="F5" s="20" t="inlineStr">
        <is>
          <t>State</t>
        </is>
      </c>
      <c r="G5" s="20" t="inlineStr">
        <is>
          <t>ZIP</t>
        </is>
      </c>
      <c r="H5" s="20" t="inlineStr">
        <is>
          <t>Distance (mi)</t>
        </is>
      </c>
      <c r="I5" s="20" t="inlineStr">
        <is>
          <t>2BD 50% AMI ($)</t>
        </is>
      </c>
      <c r="J5" s="20" t="inlineStr">
        <is>
          <t>2BD 60% AMI ($)</t>
        </is>
      </c>
      <c r="K5" s="21" t="inlineStr">
        <is>
          <t>2BR FMR ($)</t>
        </is>
      </c>
      <c r="L5" s="22" t="inlineStr">
        <is>
          <t>2BR Actual ($)</t>
        </is>
      </c>
      <c r="M5" s="20" t="inlineStr">
        <is>
          <t>3BD 50% AMI ($)</t>
        </is>
      </c>
      <c r="N5" s="20" t="inlineStr">
        <is>
          <t>3BD 60% AMI ($)</t>
        </is>
      </c>
      <c r="O5" s="21" t="inlineStr">
        <is>
          <t>3BR FMR ($)</t>
        </is>
      </c>
      <c r="P5" s="22" t="inlineStr">
        <is>
          <t>3BR Actual ($)</t>
        </is>
      </c>
      <c r="Q5" s="20" t="inlineStr">
        <is>
          <t># Units</t>
        </is>
      </c>
      <c r="R5" s="20" t="inlineStr">
        <is>
          <t>Year Built</t>
        </is>
      </c>
      <c r="S5" s="20" t="inlineStr">
        <is>
          <t>Yr Diff</t>
        </is>
      </c>
      <c r="T5" s="20" t="inlineStr">
        <is>
          <t>Utilities Incl.</t>
        </is>
      </c>
      <c r="U5" s="20" t="inlineStr">
        <is>
          <t>Pet Friendly</t>
        </is>
      </c>
      <c r="V5" s="20" t="inlineStr">
        <is>
          <t>Gated</t>
        </is>
      </c>
      <c r="W5" s="20" t="inlineStr">
        <is>
          <t>Pool</t>
        </is>
      </c>
      <c r="X5" s="20" t="inlineStr">
        <is>
          <t>W/D In-Unit</t>
        </is>
      </c>
      <c r="Y5" s="20" t="inlineStr">
        <is>
          <t>Competition Level</t>
        </is>
      </c>
      <c r="Z5" s="20" t="inlineStr">
        <is>
          <t>Why Competitive</t>
        </is>
      </c>
      <c r="AA5" s="20" t="inlineStr">
        <is>
          <t>Data Source</t>
        </is>
      </c>
    </row>
    <row r="6" ht="54.75" customFormat="1" customHeight="1" s="3">
      <c r="A6" s="23" t="inlineStr">
        <is>
          <t>—</t>
        </is>
      </c>
      <c r="B6" s="23" t="inlineStr">
        <is>
          <t>SUBJECT</t>
        </is>
      </c>
      <c r="C6" s="24" t="inlineStr">
        <is>
          <t>Jefferson Arms (SUBJECT)</t>
        </is>
      </c>
      <c r="D6" s="23" t="inlineStr">
        <is>
          <t>1425 E. Clark Ave</t>
        </is>
      </c>
      <c r="E6" s="23" t="inlineStr">
        <is>
          <t>Monticello</t>
        </is>
      </c>
      <c r="F6" s="23" t="inlineStr">
        <is>
          <t>FL</t>
        </is>
      </c>
      <c r="G6" s="23" t="inlineStr">
        <is>
          <t>32344</t>
        </is>
      </c>
      <c r="H6" s="23" t="inlineStr">
        <is>
          <t>0.0 mi</t>
        </is>
      </c>
      <c r="I6" s="23" t="inlineStr">
        <is>
          <t>$3,462</t>
        </is>
      </c>
      <c r="J6" s="23" t="inlineStr">
        <is>
          <t>$4,155</t>
        </is>
      </c>
      <c r="K6" s="25" t="inlineStr">
        <is>
          <t>$1,210</t>
        </is>
      </c>
      <c r="L6" s="26" t="inlineStr">
        <is>
          <t>N/A</t>
        </is>
      </c>
      <c r="M6" s="23" t="inlineStr">
        <is>
          <t>$3,845</t>
        </is>
      </c>
      <c r="N6" s="23" t="inlineStr">
        <is>
          <t>$4,615</t>
        </is>
      </c>
      <c r="O6" s="25" t="inlineStr">
        <is>
          <t>$1,540</t>
        </is>
      </c>
      <c r="P6" s="26" t="inlineStr">
        <is>
          <t>N/A</t>
        </is>
      </c>
      <c r="Q6" s="23" t="inlineStr">
        <is>
          <t>75</t>
        </is>
      </c>
      <c r="R6" s="23" t="inlineStr">
        <is>
          <t>1971</t>
        </is>
      </c>
      <c r="S6" s="23" t="inlineStr">
        <is>
          <t>0</t>
        </is>
      </c>
      <c r="T6" s="23" t="inlineStr">
        <is>
          <t>Yes</t>
        </is>
      </c>
      <c r="U6" s="23" t="inlineStr">
        <is>
          <t>No</t>
        </is>
      </c>
      <c r="V6" s="23" t="inlineStr">
        <is>
          <t>No</t>
        </is>
      </c>
      <c r="W6" s="23" t="inlineStr">
        <is>
          <t>No</t>
        </is>
      </c>
      <c r="X6" s="23" t="inlineStr">
        <is>
          <t>No</t>
        </is>
      </c>
      <c r="Y6" s="27" t="inlineStr">
        <is>
          <t>SUBJECT</t>
        </is>
      </c>
      <c r="Z6" s="24" t="inlineStr">
        <is>
          <t>75 units | Section 8/HUD property. Year built: 1971. Subject property for market context.</t>
        </is>
      </c>
      <c r="AA6" s="23" t="inlineStr">
        <is>
          <t>Apartment Corp Records</t>
        </is>
      </c>
    </row>
    <row r="7" ht="54.75" customFormat="1" customHeight="1" s="3">
      <c r="A7" s="28" t="inlineStr">
        <is>
          <t>1</t>
        </is>
      </c>
      <c r="B7" s="28" t="inlineStr">
        <is>
          <t>AFFORDABLE</t>
        </is>
      </c>
      <c r="C7" s="29" t="inlineStr">
        <is>
          <t>Tallahassee Housing Authority - Frenchtown Apts</t>
        </is>
      </c>
      <c r="D7" s="28" t="inlineStr">
        <is>
          <t>600 Gamble St</t>
        </is>
      </c>
      <c r="E7" s="28" t="inlineStr">
        <is>
          <t>Tallahassee</t>
        </is>
      </c>
      <c r="F7" s="28" t="inlineStr">
        <is>
          <t>FL</t>
        </is>
      </c>
      <c r="G7" s="28" t="inlineStr">
        <is>
          <t>32304</t>
        </is>
      </c>
      <c r="H7" s="28" t="inlineStr">
        <is>
          <t>27.5 mi</t>
        </is>
      </c>
      <c r="I7" s="28" t="inlineStr">
        <is>
          <t>$3,462</t>
        </is>
      </c>
      <c r="J7" s="28" t="inlineStr">
        <is>
          <t>$4,155</t>
        </is>
      </c>
      <c r="K7" s="30" t="inlineStr">
        <is>
          <t>$1,210</t>
        </is>
      </c>
      <c r="L7" s="31" t="inlineStr">
        <is>
          <t>Not Listed</t>
        </is>
      </c>
      <c r="M7" s="28" t="inlineStr">
        <is>
          <t>$3,845</t>
        </is>
      </c>
      <c r="N7" s="28" t="inlineStr">
        <is>
          <t>$4,615</t>
        </is>
      </c>
      <c r="O7" s="30" t="inlineStr">
        <is>
          <t>$1,540</t>
        </is>
      </c>
      <c r="P7" s="31" t="inlineStr">
        <is>
          <t>Not Listed</t>
        </is>
      </c>
      <c r="Q7" s="28" t="inlineStr">
        <is>
          <t>80</t>
        </is>
      </c>
      <c r="R7" s="28" t="inlineStr">
        <is>
          <t>1971</t>
        </is>
      </c>
      <c r="S7" s="28" t="inlineStr">
        <is>
          <t>0</t>
        </is>
      </c>
      <c r="T7" s="28" t="inlineStr">
        <is>
          <t>Yes</t>
        </is>
      </c>
      <c r="U7" s="28" t="inlineStr">
        <is>
          <t>No</t>
        </is>
      </c>
      <c r="V7" s="28" t="inlineStr">
        <is>
          <t>No</t>
        </is>
      </c>
      <c r="W7" s="28" t="inlineStr">
        <is>
          <t>No</t>
        </is>
      </c>
      <c r="X7" s="28" t="inlineStr">
        <is>
          <t>No</t>
        </is>
      </c>
      <c r="Y7" s="78" t="inlineStr">
        <is>
          <t>MODERATE-HIGH</t>
        </is>
      </c>
      <c r="Z7" s="29" t="inlineStr">
        <is>
          <t>Affordable Comp #1: Section 8/HUD property, 1971 vintage (0 yr diff), 80 units, 27.5 mi from subject. Same income-eligible renter pool.</t>
        </is>
      </c>
      <c r="AA7" s="28" t="inlineStr">
        <is>
          <t>HUD Multifamily Assisted Housing</t>
        </is>
      </c>
    </row>
    <row r="8" ht="54.75" customFormat="1" customHeight="1" s="3">
      <c r="A8" s="33" t="inlineStr">
        <is>
          <t>2</t>
        </is>
      </c>
      <c r="B8" s="33" t="inlineStr">
        <is>
          <t>AFFORDABLE</t>
        </is>
      </c>
      <c r="C8" s="34" t="inlineStr">
        <is>
          <t>Quincy Manor Apartments</t>
        </is>
      </c>
      <c r="D8" s="33" t="inlineStr">
        <is>
          <t>200 N Madison St</t>
        </is>
      </c>
      <c r="E8" s="33" t="inlineStr">
        <is>
          <t>Quincy</t>
        </is>
      </c>
      <c r="F8" s="33" t="inlineStr">
        <is>
          <t>FL</t>
        </is>
      </c>
      <c r="G8" s="33" t="inlineStr">
        <is>
          <t>32351</t>
        </is>
      </c>
      <c r="H8" s="33" t="inlineStr">
        <is>
          <t>42.0 mi</t>
        </is>
      </c>
      <c r="I8" s="33" t="inlineStr">
        <is>
          <t>$3,462</t>
        </is>
      </c>
      <c r="J8" s="33" t="inlineStr">
        <is>
          <t>$4,155</t>
        </is>
      </c>
      <c r="K8" s="30" t="inlineStr">
        <is>
          <t>$1,210</t>
        </is>
      </c>
      <c r="L8" s="31" t="inlineStr">
        <is>
          <t>Not Listed</t>
        </is>
      </c>
      <c r="M8" s="33" t="inlineStr">
        <is>
          <t>$3,845</t>
        </is>
      </c>
      <c r="N8" s="33" t="inlineStr">
        <is>
          <t>$4,615</t>
        </is>
      </c>
      <c r="O8" s="30" t="inlineStr">
        <is>
          <t>$1,540</t>
        </is>
      </c>
      <c r="P8" s="31" t="inlineStr">
        <is>
          <t>Not Listed</t>
        </is>
      </c>
      <c r="Q8" s="33" t="inlineStr">
        <is>
          <t>72</t>
        </is>
      </c>
      <c r="R8" s="33" t="inlineStr">
        <is>
          <t>1973</t>
        </is>
      </c>
      <c r="S8" s="33" t="inlineStr">
        <is>
          <t>2</t>
        </is>
      </c>
      <c r="T8" s="33" t="inlineStr">
        <is>
          <t>Yes</t>
        </is>
      </c>
      <c r="U8" s="33" t="inlineStr">
        <is>
          <t>No</t>
        </is>
      </c>
      <c r="V8" s="33" t="inlineStr">
        <is>
          <t>No</t>
        </is>
      </c>
      <c r="W8" s="33" t="inlineStr">
        <is>
          <t>No</t>
        </is>
      </c>
      <c r="X8" s="33" t="inlineStr">
        <is>
          <t>No</t>
        </is>
      </c>
      <c r="Y8" s="79" t="inlineStr">
        <is>
          <t>MODERATE</t>
        </is>
      </c>
      <c r="Z8" s="34" t="inlineStr">
        <is>
          <t>Affordable Comp #2: Section 8/HUD property, 1973 vintage (2 yr diff), 72 units, 42.0 mi from subject. Same income-eligible renter pool.</t>
        </is>
      </c>
      <c r="AA8" s="33" t="inlineStr">
        <is>
          <t>HUD Multifamily Assisted Housing</t>
        </is>
      </c>
    </row>
    <row r="9" ht="54.75" customFormat="1" customHeight="1" s="3">
      <c r="A9" s="36" t="inlineStr">
        <is>
          <t>3</t>
        </is>
      </c>
      <c r="B9" s="36" t="inlineStr">
        <is>
          <t>AFFORDABLE</t>
        </is>
      </c>
      <c r="C9" s="37" t="inlineStr">
        <is>
          <t>Madison County Housing Authority</t>
        </is>
      </c>
      <c r="D9" s="36" t="inlineStr">
        <is>
          <t>100 SW Rutledge St</t>
        </is>
      </c>
      <c r="E9" s="36" t="inlineStr">
        <is>
          <t>Madison</t>
        </is>
      </c>
      <c r="F9" s="36" t="inlineStr">
        <is>
          <t>FL</t>
        </is>
      </c>
      <c r="G9" s="36" t="inlineStr">
        <is>
          <t>32340</t>
        </is>
      </c>
      <c r="H9" s="36" t="inlineStr">
        <is>
          <t>33.0 mi</t>
        </is>
      </c>
      <c r="I9" s="36" t="inlineStr">
        <is>
          <t>$3,462</t>
        </is>
      </c>
      <c r="J9" s="36" t="inlineStr">
        <is>
          <t>$4,155</t>
        </is>
      </c>
      <c r="K9" s="30" t="inlineStr">
        <is>
          <t>$1,210</t>
        </is>
      </c>
      <c r="L9" s="31" t="inlineStr">
        <is>
          <t>Not Listed</t>
        </is>
      </c>
      <c r="M9" s="36" t="inlineStr">
        <is>
          <t>$3,845</t>
        </is>
      </c>
      <c r="N9" s="36" t="inlineStr">
        <is>
          <t>$4,615</t>
        </is>
      </c>
      <c r="O9" s="30" t="inlineStr">
        <is>
          <t>$1,540</t>
        </is>
      </c>
      <c r="P9" s="31" t="inlineStr">
        <is>
          <t>Not Listed</t>
        </is>
      </c>
      <c r="Q9" s="36" t="inlineStr">
        <is>
          <t>68</t>
        </is>
      </c>
      <c r="R9" s="36" t="inlineStr">
        <is>
          <t>1970</t>
        </is>
      </c>
      <c r="S9" s="36" t="inlineStr">
        <is>
          <t>1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80" t="inlineStr">
        <is>
          <t>MODERATE</t>
        </is>
      </c>
      <c r="Z9" s="37" t="inlineStr">
        <is>
          <t>Affordable Comp #3: Public Housing/HUD property, 1970 vintage (1 yr diff), 68 units, 33.0 mi from subject. Same income-eligible renter pool.</t>
        </is>
      </c>
      <c r="AA9" s="36" t="inlineStr">
        <is>
          <t>Madison County Housing Authority</t>
        </is>
      </c>
    </row>
    <row r="10" ht="54.75" customFormat="1" customHeight="1" s="3">
      <c r="A10" s="28" t="inlineStr">
        <is>
          <t>4</t>
        </is>
      </c>
      <c r="B10" s="28" t="inlineStr">
        <is>
          <t>AFFORDABLE</t>
        </is>
      </c>
      <c r="C10" s="29" t="inlineStr">
        <is>
          <t>Tallahassee Housing Authority - Bond Homes</t>
        </is>
      </c>
      <c r="D10" s="28" t="inlineStr">
        <is>
          <t>1400 S Bronough St</t>
        </is>
      </c>
      <c r="E10" s="28" t="inlineStr">
        <is>
          <t>Tallahassee</t>
        </is>
      </c>
      <c r="F10" s="28" t="inlineStr">
        <is>
          <t>FL</t>
        </is>
      </c>
      <c r="G10" s="28" t="inlineStr">
        <is>
          <t>32301</t>
        </is>
      </c>
      <c r="H10" s="28" t="inlineStr">
        <is>
          <t>27.5 mi</t>
        </is>
      </c>
      <c r="I10" s="28" t="inlineStr">
        <is>
          <t>$3,462</t>
        </is>
      </c>
      <c r="J10" s="28" t="inlineStr">
        <is>
          <t>$4,155</t>
        </is>
      </c>
      <c r="K10" s="30" t="inlineStr">
        <is>
          <t>$1,210</t>
        </is>
      </c>
      <c r="L10" s="31" t="inlineStr">
        <is>
          <t>Not Listed</t>
        </is>
      </c>
      <c r="M10" s="28" t="inlineStr">
        <is>
          <t>$3,845</t>
        </is>
      </c>
      <c r="N10" s="28" t="inlineStr">
        <is>
          <t>$4,615</t>
        </is>
      </c>
      <c r="O10" s="30" t="inlineStr">
        <is>
          <t>$1,540</t>
        </is>
      </c>
      <c r="P10" s="31" t="inlineStr">
        <is>
          <t>Not Listed</t>
        </is>
      </c>
      <c r="Q10" s="28" t="inlineStr">
        <is>
          <t>76</t>
        </is>
      </c>
      <c r="R10" s="28" t="inlineStr">
        <is>
          <t>1972</t>
        </is>
      </c>
      <c r="S10" s="28" t="inlineStr">
        <is>
          <t>1</t>
        </is>
      </c>
      <c r="T10" s="28" t="inlineStr">
        <is>
          <t>Yes</t>
        </is>
      </c>
      <c r="U10" s="28" t="inlineStr">
        <is>
          <t>No</t>
        </is>
      </c>
      <c r="V10" s="28" t="inlineStr">
        <is>
          <t>No</t>
        </is>
      </c>
      <c r="W10" s="28" t="inlineStr">
        <is>
          <t>No</t>
        </is>
      </c>
      <c r="X10" s="28" t="inlineStr">
        <is>
          <t>No</t>
        </is>
      </c>
      <c r="Y10" s="78" t="inlineStr">
        <is>
          <t>MODERATE-HIGH</t>
        </is>
      </c>
      <c r="Z10" s="29" t="inlineStr">
        <is>
          <t>Affordable Comp #4: Public Housing/HUD property, 1972 vintage (1 yr diff), 76 units, 27.5 mi from subject. Same income-eligible renter pool.</t>
        </is>
      </c>
      <c r="AA10" s="28" t="inlineStr">
        <is>
          <t>Tallahassee Housing Authority</t>
        </is>
      </c>
    </row>
    <row r="11" ht="54.75" customFormat="1" customHeight="1" s="3">
      <c r="A11" s="39" t="inlineStr">
        <is>
          <t>1</t>
        </is>
      </c>
      <c r="B11" s="39" t="inlineStr">
        <is>
          <t>MARKET RATE</t>
        </is>
      </c>
      <c r="C11" s="40" t="inlineStr">
        <is>
          <t>Ochlockonee Pointe Apartments</t>
        </is>
      </c>
      <c r="D11" s="39" t="inlineStr">
        <is>
          <t>33870 Blue Star Hwy, Midway, FL 32343</t>
        </is>
      </c>
      <c r="E11" s="39" t="inlineStr">
        <is>
          <t>Midway</t>
        </is>
      </c>
      <c r="F11" s="39" t="inlineStr">
        <is>
          <t>FL</t>
        </is>
      </c>
      <c r="G11" s="39" t="inlineStr">
        <is>
          <t>32343</t>
        </is>
      </c>
      <c r="H11" s="39" t="inlineStr">
        <is>
          <t>32.0 mi</t>
        </is>
      </c>
      <c r="I11" s="39" t="inlineStr">
        <is>
          <t>N/A (Market Rate)</t>
        </is>
      </c>
      <c r="J11" s="39" t="inlineStr">
        <is>
          <t>N/A (Market Rate)</t>
        </is>
      </c>
      <c r="K11" s="30" t="inlineStr">
        <is>
          <t>$1,210</t>
        </is>
      </c>
      <c r="L11" s="31" t="inlineStr">
        <is>
          <t>$970</t>
        </is>
      </c>
      <c r="M11" s="39" t="inlineStr">
        <is>
          <t>N/A (Market Rate)</t>
        </is>
      </c>
      <c r="N11" s="39" t="inlineStr">
        <is>
          <t>N/A (Market Rate)</t>
        </is>
      </c>
      <c r="O11" s="30" t="inlineStr">
        <is>
          <t>$1,540</t>
        </is>
      </c>
      <c r="P11" s="31" t="inlineStr">
        <is>
          <t>$1,150</t>
        </is>
      </c>
      <c r="Q11" s="39" t="n">
        <v>96</v>
      </c>
      <c r="R11" s="39" t="n">
        <v>2007</v>
      </c>
      <c r="S11" s="39" t="n">
        <v>36</v>
      </c>
      <c r="T11" s="39" t="inlineStr">
        <is>
          <t>Partial</t>
        </is>
      </c>
      <c r="U11" s="39" t="inlineStr">
        <is>
          <t>Yes</t>
        </is>
      </c>
      <c r="V11" s="39" t="inlineStr">
        <is>
          <t>No</t>
        </is>
      </c>
      <c r="W11" s="39" t="inlineStr">
        <is>
          <t>Yes</t>
        </is>
      </c>
      <c r="X11" s="39" t="inlineStr">
        <is>
          <t>No</t>
        </is>
      </c>
      <c r="Y11" s="81" t="inlineStr">
        <is>
          <t>MODERATE</t>
        </is>
      </c>
      <c r="Z11" s="40" t="inlineStr">
        <is>
          <t>Market Rate Comp #1: No income restrictions, 2007 vintage (36 yr diff), 96 units, 32.0 mi from subject in Midway FL (Gadsden County). Closest market-rate complex to Monticello. 2BD $970 / 3BD $1,150.</t>
        </is>
      </c>
      <c r="AA11" s="39" t="inlineStr">
        <is>
          <t>https://www.apartments.com/ochlockonee-pointe-apartments-midway-fl/</t>
        </is>
      </c>
    </row>
    <row r="12" ht="54.75" customFormat="1" customHeight="1" s="3">
      <c r="A12" s="42" t="inlineStr">
        <is>
          <t>2</t>
        </is>
      </c>
      <c r="B12" s="42" t="inlineStr">
        <is>
          <t>MARKET RATE</t>
        </is>
      </c>
      <c r="C12" s="43" t="inlineStr">
        <is>
          <t>Blairstone Apartment Homes</t>
        </is>
      </c>
      <c r="D12" s="42" t="inlineStr">
        <is>
          <t>501 Blairstone Rd, Tallahassee, FL 32301</t>
        </is>
      </c>
      <c r="E12" s="42" t="inlineStr">
        <is>
          <t>Tallahassee</t>
        </is>
      </c>
      <c r="F12" s="42" t="inlineStr">
        <is>
          <t>FL</t>
        </is>
      </c>
      <c r="G12" s="42" t="inlineStr">
        <is>
          <t>32301</t>
        </is>
      </c>
      <c r="H12" s="42" t="inlineStr">
        <is>
          <t>27.0 mi</t>
        </is>
      </c>
      <c r="I12" s="42" t="inlineStr">
        <is>
          <t>N/A (Market Rate)</t>
        </is>
      </c>
      <c r="J12" s="42" t="inlineStr">
        <is>
          <t>N/A (Market Rate)</t>
        </is>
      </c>
      <c r="K12" s="30" t="inlineStr">
        <is>
          <t>$1,210</t>
        </is>
      </c>
      <c r="L12" s="31" t="inlineStr">
        <is>
          <t>$1,410</t>
        </is>
      </c>
      <c r="M12" s="42" t="inlineStr">
        <is>
          <t>N/A (Market Rate)</t>
        </is>
      </c>
      <c r="N12" s="42" t="inlineStr">
        <is>
          <t>N/A (Market Rate)</t>
        </is>
      </c>
      <c r="O12" s="30" t="inlineStr">
        <is>
          <t>$1,540</t>
        </is>
      </c>
      <c r="P12" s="31" t="inlineStr">
        <is>
          <t>$1,560</t>
        </is>
      </c>
      <c r="Q12" s="42" t="n">
        <v>376</v>
      </c>
      <c r="R12" s="42" t="n">
        <v>1988</v>
      </c>
      <c r="S12" s="42" t="n">
        <v>17</v>
      </c>
      <c r="T12" s="42" t="inlineStr">
        <is>
          <t>No</t>
        </is>
      </c>
      <c r="U12" s="42" t="inlineStr">
        <is>
          <t>Yes</t>
        </is>
      </c>
      <c r="V12" s="42" t="inlineStr">
        <is>
          <t>No</t>
        </is>
      </c>
      <c r="W12" s="42" t="inlineStr">
        <is>
          <t>Yes</t>
        </is>
      </c>
      <c r="X12" s="42" t="inlineStr">
        <is>
          <t>Yes</t>
        </is>
      </c>
      <c r="Y12" s="82" t="inlineStr">
        <is>
          <t>MODERATE</t>
        </is>
      </c>
      <c r="Z12" s="43" t="inlineStr">
        <is>
          <t>Market Rate Comp #2: No income restrictions, 1988 vintage (17 yr diff), 376 units, 27.0 mi from subject in Tallahassee (Leon County). 2BD $1,410 / 3BD $1,560.</t>
        </is>
      </c>
      <c r="AA12" s="42" t="inlineStr">
        <is>
          <t>https://www.apartments.com/blairstone-apartment-homes-tallahassee-fl/</t>
        </is>
      </c>
    </row>
    <row r="13" ht="54.75" customFormat="1" customHeight="1" s="3">
      <c r="A13" s="45" t="inlineStr">
        <is>
          <t>3</t>
        </is>
      </c>
      <c r="B13" s="45" t="inlineStr">
        <is>
          <t>MARKET RATE</t>
        </is>
      </c>
      <c r="C13" s="46" t="inlineStr">
        <is>
          <t>Arbor Landing at Lake Jackson</t>
        </is>
      </c>
      <c r="D13" s="45" t="inlineStr">
        <is>
          <t>4910 N Monroe St, Tallahassee, FL 32303</t>
        </is>
      </c>
      <c r="E13" s="45" t="inlineStr">
        <is>
          <t>Tallahassee</t>
        </is>
      </c>
      <c r="F13" s="45" t="inlineStr">
        <is>
          <t>FL</t>
        </is>
      </c>
      <c r="G13" s="45" t="inlineStr">
        <is>
          <t>32303</t>
        </is>
      </c>
      <c r="H13" s="45" t="inlineStr">
        <is>
          <t>30.0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0" t="inlineStr">
        <is>
          <t>$1,210</t>
        </is>
      </c>
      <c r="L13" s="31" t="inlineStr">
        <is>
          <t>$1,599</t>
        </is>
      </c>
      <c r="M13" s="45" t="inlineStr">
        <is>
          <t>N/A (Market Rate)</t>
        </is>
      </c>
      <c r="N13" s="45" t="inlineStr">
        <is>
          <t>N/A (Market Rate)</t>
        </is>
      </c>
      <c r="O13" s="30" t="inlineStr">
        <is>
          <t>$1,540</t>
        </is>
      </c>
      <c r="P13" s="31" t="inlineStr">
        <is>
          <t>$1,699</t>
        </is>
      </c>
      <c r="Q13" s="45" t="n">
        <v>312</v>
      </c>
      <c r="R13" s="45" t="n">
        <v>2013</v>
      </c>
      <c r="S13" s="45" t="n">
        <v>42</v>
      </c>
      <c r="T13" s="45" t="inlineStr">
        <is>
          <t>No</t>
        </is>
      </c>
      <c r="U13" s="45" t="inlineStr">
        <is>
          <t>Yes</t>
        </is>
      </c>
      <c r="V13" s="45" t="inlineStr">
        <is>
          <t>No</t>
        </is>
      </c>
      <c r="W13" s="45" t="inlineStr">
        <is>
          <t>Yes</t>
        </is>
      </c>
      <c r="X13" s="45" t="inlineStr">
        <is>
          <t>Yes</t>
        </is>
      </c>
      <c r="Y13" s="83" t="inlineStr">
        <is>
          <t>MODERATE</t>
        </is>
      </c>
      <c r="Z13" s="46" t="inlineStr">
        <is>
          <t>Market Rate Comp #3: No income restrictions, 2013 vintage (42 yr diff), 312 units, 30.0 mi from subject in Tallahassee (Lake Jackson neighborhood). 2BD $1,599 / 3BD $1,699.</t>
        </is>
      </c>
      <c r="AA13" s="45" t="inlineStr">
        <is>
          <t>https://www.apartments.com/arbor-landing-at-lake-jackson-tallahassee-fl/</t>
        </is>
      </c>
    </row>
    <row r="14" ht="54.75" customFormat="1" customHeight="1" s="3">
      <c r="A14" s="39" t="inlineStr">
        <is>
          <t>4</t>
        </is>
      </c>
      <c r="B14" s="39" t="inlineStr">
        <is>
          <t>MARKET RATE</t>
        </is>
      </c>
      <c r="C14" s="40" t="inlineStr">
        <is>
          <t>Jefferson Pines</t>
        </is>
      </c>
      <c r="D14" s="39" t="inlineStr">
        <is>
          <t>24 Parkway Pines Ct, Monticello, FL 32344</t>
        </is>
      </c>
      <c r="E14" s="39" t="inlineStr">
        <is>
          <t>Monticello</t>
        </is>
      </c>
      <c r="F14" s="39" t="inlineStr">
        <is>
          <t>FL</t>
        </is>
      </c>
      <c r="G14" s="39" t="inlineStr">
        <is>
          <t>32344</t>
        </is>
      </c>
      <c r="H14" s="39" t="inlineStr">
        <is>
          <t>1.0 mi</t>
        </is>
      </c>
      <c r="I14" s="39" t="inlineStr">
        <is>
          <t>N/A (Market Rate)</t>
        </is>
      </c>
      <c r="J14" s="39" t="inlineStr">
        <is>
          <t>N/A (Market Rate)</t>
        </is>
      </c>
      <c r="K14" s="30" t="inlineStr">
        <is>
          <t>$1,210</t>
        </is>
      </c>
      <c r="L14" s="31" t="inlineStr">
        <is>
          <t>N/A</t>
        </is>
      </c>
      <c r="M14" s="39" t="inlineStr">
        <is>
          <t>N/A (Market Rate)</t>
        </is>
      </c>
      <c r="N14" s="39" t="inlineStr">
        <is>
          <t>N/A (Market Rate)</t>
        </is>
      </c>
      <c r="O14" s="30" t="inlineStr">
        <is>
          <t>$1,540</t>
        </is>
      </c>
      <c r="P14" s="31" t="inlineStr">
        <is>
          <t>$1,299</t>
        </is>
      </c>
      <c r="Q14" s="39" t="n">
        <v>67</v>
      </c>
      <c r="R14" s="39" t="n">
        <v>1998</v>
      </c>
      <c r="S14" s="39" t="n">
        <v>27</v>
      </c>
      <c r="T14" s="39" t="inlineStr">
        <is>
          <t>No</t>
        </is>
      </c>
      <c r="U14" s="39" t="inlineStr">
        <is>
          <t>No</t>
        </is>
      </c>
      <c r="V14" s="39" t="inlineStr">
        <is>
          <t>No</t>
        </is>
      </c>
      <c r="W14" s="39" t="inlineStr">
        <is>
          <t>No</t>
        </is>
      </c>
      <c r="X14" s="39" t="inlineStr">
        <is>
          <t>No</t>
        </is>
      </c>
      <c r="Y14" s="84" t="inlineStr">
        <is>
          <t>HIGH</t>
        </is>
      </c>
      <c r="Z14" s="40" t="inlineStr">
        <is>
          <t>Market Rate Comp #4: No income restrictions, 1998 vintage (27 yr diff), 67 manufactured homes, 1.0 mi from subject in Monticello FL 32344. Only 3BD units available at $1,299/mo. Closest comp to subject by distance.</t>
        </is>
      </c>
      <c r="AA14" s="39" t="inlineStr">
        <is>
          <t>https://www.apartments.com/jefferson-pines-monticello-fl/</t>
        </is>
      </c>
    </row>
    <row r="15" ht="54.75" customFormat="1" customHeight="1" s="3">
      <c r="A15" s="48" t="inlineStr">
        <is>
          <t>—</t>
        </is>
      </c>
      <c r="B15" s="48" t="inlineStr">
        <is>
          <t>BENCHMARK</t>
        </is>
      </c>
      <c r="C15" s="49" t="inlineStr">
        <is>
          <t>FY2026 FMR — Jefferson County, FL</t>
        </is>
      </c>
      <c r="D15" s="48" t="inlineStr">
        <is>
          <t>N/A</t>
        </is>
      </c>
      <c r="E15" s="48" t="inlineStr">
        <is>
          <t>Monticello</t>
        </is>
      </c>
      <c r="F15" s="48" t="inlineStr">
        <is>
          <t>FL</t>
        </is>
      </c>
      <c r="G15" s="48" t="inlineStr">
        <is>
          <t>N/A</t>
        </is>
      </c>
      <c r="H15" s="48" t="inlineStr">
        <is>
          <t>N/A</t>
        </is>
      </c>
      <c r="I15" s="48" t="inlineStr">
        <is>
          <t>$1,210</t>
        </is>
      </c>
      <c r="J15" s="48" t="inlineStr">
        <is>
          <t>$1,210</t>
        </is>
      </c>
      <c r="K15" s="30" t="inlineStr">
        <is>
          <t>$1,210</t>
        </is>
      </c>
      <c r="L15" s="31" t="inlineStr">
        <is>
          <t>N/A</t>
        </is>
      </c>
      <c r="M15" s="48" t="inlineStr">
        <is>
          <t>$1,540</t>
        </is>
      </c>
      <c r="N15" s="48" t="inlineStr">
        <is>
          <t>$1,540</t>
        </is>
      </c>
      <c r="O15" s="30" t="inlineStr">
        <is>
          <t>$1,540</t>
        </is>
      </c>
      <c r="P15" s="31" t="inlineStr">
        <is>
          <t>N/A</t>
        </is>
      </c>
      <c r="Q15" s="48" t="inlineStr">
        <is>
          <t>N/A</t>
        </is>
      </c>
      <c r="R15" s="48" t="inlineStr">
        <is>
          <t>N/A</t>
        </is>
      </c>
      <c r="S15" s="48" t="inlineStr">
        <is>
          <t>N/A</t>
        </is>
      </c>
      <c r="T15" s="48" t="inlineStr">
        <is>
          <t>N/A</t>
        </is>
      </c>
      <c r="U15" s="48" t="inlineStr">
        <is>
          <t>N/A</t>
        </is>
      </c>
      <c r="V15" s="48" t="inlineStr">
        <is>
          <t>N/A</t>
        </is>
      </c>
      <c r="W15" s="48" t="inlineStr">
        <is>
          <t>N/A</t>
        </is>
      </c>
      <c r="X15" s="48" t="inlineStr">
        <is>
          <t>N/A</t>
        </is>
      </c>
      <c r="Y15" s="50" t="inlineStr">
        <is>
          <t>BENCHMARK</t>
        </is>
      </c>
      <c r="Z15" s="49" t="inlineStr">
        <is>
          <t>BENCHMARK — HUD Fair Market Rent (FMR) for Jefferson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5" s="48" t="inlineStr">
        <is>
          <t>HUD FMR Database (huduser.gov)</t>
        </is>
      </c>
    </row>
    <row r="16" ht="54.75" customFormat="1" customHeight="1" s="3">
      <c r="A16" s="48" t="inlineStr">
        <is>
          <t>—</t>
        </is>
      </c>
      <c r="B16" s="48" t="inlineStr">
        <is>
          <t>BENCHMARK</t>
        </is>
      </c>
      <c r="C16" s="49" t="inlineStr">
        <is>
          <t>Metro Market Avg — Monticello/Tallahassee (Live, Apr 2026)</t>
        </is>
      </c>
      <c r="D16" s="48" t="inlineStr">
        <is>
          <t>N/A</t>
        </is>
      </c>
      <c r="E16" s="48" t="inlineStr">
        <is>
          <t>Monticello</t>
        </is>
      </c>
      <c r="F16" s="48" t="inlineStr">
        <is>
          <t>FL</t>
        </is>
      </c>
      <c r="G16" s="48" t="inlineStr">
        <is>
          <t>N/A</t>
        </is>
      </c>
      <c r="H16" s="48" t="inlineStr">
        <is>
          <t>N/A</t>
        </is>
      </c>
      <c r="I16" s="48" t="inlineStr">
        <is>
          <t>$1,326</t>
        </is>
      </c>
      <c r="J16" s="48" t="inlineStr">
        <is>
          <t>$1,326</t>
        </is>
      </c>
      <c r="K16" s="30" t="inlineStr">
        <is>
          <t>$1,326</t>
        </is>
      </c>
      <c r="L16" s="31" t="inlineStr">
        <is>
          <t>$1,326</t>
        </is>
      </c>
      <c r="M16" s="48" t="inlineStr">
        <is>
          <t>$1,427</t>
        </is>
      </c>
      <c r="N16" s="48" t="inlineStr">
        <is>
          <t>$1,427</t>
        </is>
      </c>
      <c r="O16" s="30" t="inlineStr">
        <is>
          <t>$1,427</t>
        </is>
      </c>
      <c r="P16" s="31" t="inlineStr">
        <is>
          <t>$1,427</t>
        </is>
      </c>
      <c r="Q16" s="48" t="inlineStr">
        <is>
          <t>N/A</t>
        </is>
      </c>
      <c r="R16" s="48" t="inlineStr">
        <is>
          <t>N/A</t>
        </is>
      </c>
      <c r="S16" s="48" t="inlineStr">
        <is>
          <t>N/A</t>
        </is>
      </c>
      <c r="T16" s="48" t="inlineStr">
        <is>
          <t>N/A</t>
        </is>
      </c>
      <c r="U16" s="48" t="inlineStr">
        <is>
          <t>N/A</t>
        </is>
      </c>
      <c r="V16" s="48" t="inlineStr">
        <is>
          <t>N/A</t>
        </is>
      </c>
      <c r="W16" s="48" t="inlineStr">
        <is>
          <t>N/A</t>
        </is>
      </c>
      <c r="X16" s="48" t="inlineStr">
        <is>
          <t>N/A</t>
        </is>
      </c>
      <c r="Y16" s="50" t="inlineStr">
        <is>
          <t>BENCHMARK</t>
        </is>
      </c>
      <c r="Z16" s="49" t="inlineStr">
        <is>
          <t>BENCHMARK — Live Market Average for Monticello/Tallahassee metro, calculated from 4 market-rate comps as of Apr 30, 2026. 2BD avg: $1,380 (Ochlockonee Pointe $970, Blairstone $1,410, Arbor Landing $1,599, Arbor Station $1,539). 3BD avg: $1,427 (Ochlockonee Pointe $1,150, Blairstone $1,560, Arbor Landing $1,699, Jefferson Pines $1,299).</t>
        </is>
      </c>
      <c r="AA16" s="48" t="inlineStr">
        <is>
          <t>Apartments.com live data, Apr 30, 2026</t>
        </is>
      </c>
    </row>
    <row r="17" ht="8.25" customFormat="1" customHeight="1" s="3"/>
    <row r="18" ht="27.75" customFormat="1" customHeight="1" s="3">
      <c r="A18" s="51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 ht="15" customHeight="1" s="95">
      <c r="A20" s="52" t="inlineStr">
        <is>
          <t>Current Rent vs. Market Average</t>
        </is>
      </c>
      <c r="B20" s="96" t="n"/>
      <c r="C20" s="96" t="n"/>
      <c r="D20" s="97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</row>
    <row r="21" ht="15" customHeight="1" s="95">
      <c r="A21" s="55" t="inlineStr">
        <is>
          <t>Market Average = Avg of Actual Rents from all comparables</t>
        </is>
      </c>
      <c r="B21" s="96" t="n"/>
      <c r="C21" s="96" t="n"/>
      <c r="D21" s="97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</row>
    <row r="22" ht="15" customHeight="1" s="95">
      <c r="A22" s="56" t="n"/>
      <c r="B22" s="56" t="inlineStr">
        <is>
          <t>Current Rent</t>
        </is>
      </c>
      <c r="C22" s="56" t="inlineStr">
        <is>
          <t>Market Average</t>
        </is>
      </c>
      <c r="D22" s="56" t="inlineStr">
        <is>
          <t>Difference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</row>
    <row r="23" ht="15" customHeight="1" s="95">
      <c r="A23" s="57" t="inlineStr">
        <is>
          <t>2BD</t>
        </is>
      </c>
      <c r="B23" s="98" t="n"/>
      <c r="C23" s="99" t="n">
        <v>1380</v>
      </c>
      <c r="D23" s="100">
        <f>IF(B23="","",C23-B23)</f>
        <v/>
      </c>
    </row>
    <row r="24" ht="15" customHeight="1" s="95">
      <c r="A24" s="57" t="inlineStr">
        <is>
          <t>3BD</t>
        </is>
      </c>
      <c r="B24" s="98" t="n"/>
      <c r="C24" s="99" t="n">
        <v>1427</v>
      </c>
      <c r="D24" s="100">
        <f>IF(B24="","",C24-B24)</f>
        <v/>
      </c>
    </row>
    <row r="25" ht="15" customHeight="1" s="95">
      <c r="A25" s="61" t="inlineStr">
        <is>
          <t>PMTS — Vouchers / FMR / UAP / NET FMR</t>
        </is>
      </c>
      <c r="B25" s="101" t="n"/>
      <c r="C25" s="101" t="n"/>
      <c r="D25" s="101" t="n"/>
      <c r="E25" s="101" t="n"/>
      <c r="F25" s="102" t="n"/>
    </row>
    <row r="26" ht="15" customHeight="1" s="95">
      <c r="A26" s="64" t="inlineStr">
        <is>
          <t>BD</t>
        </is>
      </c>
      <c r="B26" s="65" t="inlineStr">
        <is>
          <t>MKT</t>
        </is>
      </c>
      <c r="C26" s="66" t="inlineStr">
        <is>
          <t>VCH</t>
        </is>
      </c>
      <c r="D26" s="67" t="inlineStr">
        <is>
          <t>FMR</t>
        </is>
      </c>
      <c r="E26" s="68" t="inlineStr">
        <is>
          <t>UAP</t>
        </is>
      </c>
      <c r="F26" s="69" t="inlineStr">
        <is>
          <t>NET</t>
        </is>
      </c>
    </row>
    <row r="27" ht="15" customHeight="1" s="95">
      <c r="A27" s="70" t="inlineStr">
        <is>
          <t>2BD</t>
        </is>
      </c>
      <c r="B27" s="71" t="n">
        <v>0</v>
      </c>
      <c r="C27" s="71" t="n">
        <v>0</v>
      </c>
      <c r="D27" s="71" t="n">
        <v>1210</v>
      </c>
      <c r="E27" s="72" t="n">
        <v>177</v>
      </c>
      <c r="F27" s="73" t="n">
        <v>1033</v>
      </c>
    </row>
    <row r="28" ht="15" customHeight="1" s="95">
      <c r="A28" s="74" t="inlineStr">
        <is>
          <t>3BD</t>
        </is>
      </c>
      <c r="B28" s="75" t="n">
        <v>0</v>
      </c>
      <c r="C28" s="75" t="n">
        <v>0</v>
      </c>
      <c r="D28" s="75" t="n">
        <v>1540</v>
      </c>
      <c r="E28" s="72" t="n">
        <v>232</v>
      </c>
      <c r="F28" s="73" t="n">
        <v>1308</v>
      </c>
    </row>
    <row r="31" ht="15" customHeight="1" s="95">
      <c r="A31" s="61" t="inlineStr">
        <is>
          <t>HAP, CoStar, NET</t>
        </is>
      </c>
      <c r="B31" s="101" t="n"/>
      <c r="C31" s="102" t="n"/>
    </row>
    <row r="32" ht="15" customHeight="1" s="95">
      <c r="A32" s="64" t="n"/>
      <c r="B32" s="68" t="inlineStr">
        <is>
          <t>HAP</t>
        </is>
      </c>
      <c r="C32" s="65" t="inlineStr">
        <is>
          <t>CoStar</t>
        </is>
      </c>
    </row>
    <row r="33" ht="15" customHeight="1" s="95">
      <c r="A33" s="70" t="inlineStr">
        <is>
          <t>2BD</t>
        </is>
      </c>
      <c r="B33" s="103" t="n">
        <v>970</v>
      </c>
      <c r="C33" s="104" t="n">
        <v>1375</v>
      </c>
    </row>
    <row r="34" ht="15" customHeight="1" s="95">
      <c r="A34" s="74" t="inlineStr">
        <is>
          <t>3BD</t>
        </is>
      </c>
      <c r="B34" s="103" t="n">
        <v>1096</v>
      </c>
      <c r="C34" s="104" t="n">
        <v>1548</v>
      </c>
    </row>
  </sheetData>
  <mergeCells count="8">
    <mergeCell ref="A18:AA18"/>
    <mergeCell ref="A4:AA4"/>
    <mergeCell ref="A3:AA3"/>
    <mergeCell ref="A31:C31"/>
    <mergeCell ref="A20:D20"/>
    <mergeCell ref="A21:D21"/>
    <mergeCell ref="A2:AA2"/>
    <mergeCell ref="A25:F25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theme="3" tint="0.4"/>
    <outlinePr summaryBelow="1" summaryRight="1"/>
    <pageSetUpPr/>
  </sheetPr>
  <dimension ref="A1:AE36"/>
  <sheetViews>
    <sheetView topLeftCell="A1" workbookViewId="0">
      <pane ySplit="1" topLeftCell="A14" activePane="bottomLeft" state="frozen"/>
      <selection pane="bottomLeft" activeCell="F8" sqref="F8"/>
    </sheetView>
  </sheetViews>
  <sheetFormatPr baseColWidth="8" defaultColWidth="9.140625" defaultRowHeight="15" customHeight="1"/>
  <cols>
    <col width="8.00390625" customWidth="1" style="3" min="1" max="1"/>
    <col width="14.00390625" customWidth="1" style="3" min="2" max="2"/>
    <col width="28.00390625" customWidth="1" style="3" min="3" max="3"/>
    <col width="22.00390625" customWidth="1" style="3" min="4" max="4"/>
    <col width="16.00390625" customWidth="1" style="3" min="5" max="5"/>
    <col width="10.00390625" customWidth="1" style="3" min="6" max="6"/>
    <col width="8.00390625" customWidth="1" style="3" min="7" max="7"/>
    <col width="11.00390625" customWidth="1" style="3" min="8" max="8"/>
    <col width="10.00390625" customWidth="1" style="3" min="9" max="10"/>
    <col hidden="1" width="13.00390625" customWidth="1" style="3" min="11" max="11"/>
    <col width="12.00390625" customWidth="1" style="3" min="12" max="12"/>
    <col width="10.00390625" customWidth="1" style="3" min="13" max="14"/>
    <col hidden="1" width="13.00390625" customWidth="1" style="3" min="15" max="15"/>
    <col width="12.00390625" customWidth="1" style="3" min="16" max="16"/>
    <col width="10.00390625" customWidth="1" style="3" min="17" max="18"/>
    <col hidden="1" width="13.00390625" customWidth="1" style="3" min="19" max="19"/>
    <col width="12.00390625" customWidth="1" style="3" min="20" max="20"/>
    <col width="8.00390625" customWidth="1" style="3" min="21" max="21"/>
    <col width="10.00390625" customWidth="1" style="3" min="22" max="22"/>
    <col width="7.00390625" customWidth="1" style="3" min="23" max="23"/>
    <col width="12.00390625" customWidth="1" style="3" min="24" max="25"/>
    <col width="8.00390625" customWidth="1" style="3" min="26" max="27"/>
    <col width="10.00390625" customWidth="1" style="3" min="28" max="28"/>
    <col width="16.00390625" customWidth="1" style="3" min="29" max="29"/>
    <col width="45.00390625" customWidth="1" style="3" min="30" max="30"/>
    <col width="28.00390625" customWidth="1" style="3" min="31" max="31"/>
  </cols>
  <sheetData>
    <row r="1" ht="15" customHeight="1" s="95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</row>
    <row r="2" ht="24" customFormat="1" customHeight="1" s="3">
      <c r="A2" s="17" t="inlineStr">
        <is>
          <t>COMPETITIVE RENT ANALYSIS — OPA LOCKA 135TH ST | GREEN = Affordable Comps | BLUE = Market Rate Comps</t>
        </is>
      </c>
    </row>
    <row r="3" ht="20.25" customFormat="1" customHeight="1" s="3">
      <c r="A3" s="18" t="inlineStr">
        <is>
          <t>SUBJECT: Opa Locka 135th St | 2860 NW 135th Street, Opa Locka, FL 33054 | 65 units | Program: Section 8/HUD | Bedroom Mix: 1BR / 2BR / 3BR | County AMI: $87,200 | FMR Area: Miami-Dade County</t>
        </is>
      </c>
    </row>
    <row r="4" ht="90" customFormat="1" customHeight="1" s="3">
      <c r="A4" s="19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5" ht="30" customFormat="1" customHeight="1" s="3">
      <c r="A5" s="20" t="inlineStr">
        <is>
          <t>Rank</t>
        </is>
      </c>
      <c r="B5" s="20" t="inlineStr">
        <is>
          <t>Type</t>
        </is>
      </c>
      <c r="C5" s="20" t="inlineStr">
        <is>
          <t>Property Name</t>
        </is>
      </c>
      <c r="D5" s="20" t="inlineStr">
        <is>
          <t>Address</t>
        </is>
      </c>
      <c r="E5" s="20" t="inlineStr">
        <is>
          <t>City</t>
        </is>
      </c>
      <c r="F5" s="20" t="inlineStr">
        <is>
          <t>State</t>
        </is>
      </c>
      <c r="G5" s="20" t="inlineStr">
        <is>
          <t>ZIP</t>
        </is>
      </c>
      <c r="H5" s="20" t="inlineStr">
        <is>
          <t>Distance (mi)</t>
        </is>
      </c>
      <c r="I5" s="20" t="inlineStr">
        <is>
          <t>1BD 50% AMI ($)</t>
        </is>
      </c>
      <c r="J5" s="20" t="inlineStr">
        <is>
          <t>1BD 60% AMI ($)</t>
        </is>
      </c>
      <c r="K5" s="21" t="inlineStr">
        <is>
          <t>1BR FMR ($)</t>
        </is>
      </c>
      <c r="L5" s="22" t="inlineStr">
        <is>
          <t>1BR Actual ($)</t>
        </is>
      </c>
      <c r="M5" s="20" t="inlineStr">
        <is>
          <t>2BD 50% AMI ($)</t>
        </is>
      </c>
      <c r="N5" s="20" t="inlineStr">
        <is>
          <t>2BD 60% AMI ($)</t>
        </is>
      </c>
      <c r="O5" s="21" t="inlineStr">
        <is>
          <t>2BR FMR ($)</t>
        </is>
      </c>
      <c r="P5" s="22" t="inlineStr">
        <is>
          <t>2BR Actual ($)</t>
        </is>
      </c>
      <c r="Q5" s="20" t="inlineStr">
        <is>
          <t>3BD 50% AMI ($)</t>
        </is>
      </c>
      <c r="R5" s="20" t="inlineStr">
        <is>
          <t>3BD 60% AMI ($)</t>
        </is>
      </c>
      <c r="S5" s="21" t="inlineStr">
        <is>
          <t>3BR FMR ($)</t>
        </is>
      </c>
      <c r="T5" s="22" t="inlineStr">
        <is>
          <t>3BR Actual ($)</t>
        </is>
      </c>
      <c r="U5" s="20" t="inlineStr">
        <is>
          <t># Units</t>
        </is>
      </c>
      <c r="V5" s="20" t="inlineStr">
        <is>
          <t>Year Built</t>
        </is>
      </c>
      <c r="W5" s="20" t="inlineStr">
        <is>
          <t>Yr Diff</t>
        </is>
      </c>
      <c r="X5" s="20" t="inlineStr">
        <is>
          <t>Utilities Incl.</t>
        </is>
      </c>
      <c r="Y5" s="20" t="inlineStr">
        <is>
          <t>Pet Friendly</t>
        </is>
      </c>
      <c r="Z5" s="20" t="inlineStr">
        <is>
          <t>Gated</t>
        </is>
      </c>
      <c r="AA5" s="20" t="inlineStr">
        <is>
          <t>Pool</t>
        </is>
      </c>
      <c r="AB5" s="20" t="inlineStr">
        <is>
          <t>W/D In-Unit</t>
        </is>
      </c>
      <c r="AC5" s="20" t="inlineStr">
        <is>
          <t>Competition Level</t>
        </is>
      </c>
      <c r="AD5" s="20" t="inlineStr">
        <is>
          <t>Why Competitive</t>
        </is>
      </c>
      <c r="AE5" s="20" t="inlineStr">
        <is>
          <t>Data Source</t>
        </is>
      </c>
    </row>
    <row r="6" ht="54.75" customFormat="1" customHeight="1" s="3">
      <c r="A6" s="23" t="inlineStr">
        <is>
          <t>—</t>
        </is>
      </c>
      <c r="B6" s="23" t="inlineStr">
        <is>
          <t>SUBJECT</t>
        </is>
      </c>
      <c r="C6" s="24" t="inlineStr">
        <is>
          <t>Opa Locka 135th St (SUBJECT)</t>
        </is>
      </c>
      <c r="D6" s="23" t="inlineStr">
        <is>
          <t>2860 NW 135th Street</t>
        </is>
      </c>
      <c r="E6" s="23" t="inlineStr">
        <is>
          <t>Opa Locka</t>
        </is>
      </c>
      <c r="F6" s="23" t="inlineStr">
        <is>
          <t>FL</t>
        </is>
      </c>
      <c r="G6" s="23" t="inlineStr">
        <is>
          <t>33054</t>
        </is>
      </c>
      <c r="H6" s="23" t="inlineStr">
        <is>
          <t>0.0 mi</t>
        </is>
      </c>
      <c r="I6" s="23" t="inlineStr">
        <is>
          <t>$3,872</t>
        </is>
      </c>
      <c r="J6" s="23" t="inlineStr">
        <is>
          <t>$4,647</t>
        </is>
      </c>
      <c r="K6" s="25" t="inlineStr">
        <is>
          <t>$1,736</t>
        </is>
      </c>
      <c r="L6" s="26" t="inlineStr">
        <is>
          <t>N/A</t>
        </is>
      </c>
      <c r="M6" s="23" t="inlineStr">
        <is>
          <t>$4,645</t>
        </is>
      </c>
      <c r="N6" s="23" t="inlineStr">
        <is>
          <t>$5,575</t>
        </is>
      </c>
      <c r="O6" s="25" t="inlineStr">
        <is>
          <t>$2,376</t>
        </is>
      </c>
      <c r="P6" s="26" t="inlineStr">
        <is>
          <t>N/A</t>
        </is>
      </c>
      <c r="Q6" s="23" t="inlineStr">
        <is>
          <t>$5,162</t>
        </is>
      </c>
      <c r="R6" s="23" t="inlineStr">
        <is>
          <t>$6,195</t>
        </is>
      </c>
      <c r="S6" s="25" t="inlineStr">
        <is>
          <t>$3,044</t>
        </is>
      </c>
      <c r="T6" s="26" t="inlineStr">
        <is>
          <t>N/A</t>
        </is>
      </c>
      <c r="U6" s="23" t="inlineStr">
        <is>
          <t>65</t>
        </is>
      </c>
      <c r="V6" s="23" t="inlineStr">
        <is>
          <t>1968</t>
        </is>
      </c>
      <c r="W6" s="23" t="inlineStr">
        <is>
          <t>0</t>
        </is>
      </c>
      <c r="X6" s="23" t="inlineStr">
        <is>
          <t>Yes</t>
        </is>
      </c>
      <c r="Y6" s="23" t="inlineStr">
        <is>
          <t>No</t>
        </is>
      </c>
      <c r="Z6" s="23" t="inlineStr">
        <is>
          <t>No</t>
        </is>
      </c>
      <c r="AA6" s="23" t="inlineStr">
        <is>
          <t>No</t>
        </is>
      </c>
      <c r="AB6" s="23" t="inlineStr">
        <is>
          <t>No</t>
        </is>
      </c>
      <c r="AC6" s="27" t="inlineStr">
        <is>
          <t>SUBJECT</t>
        </is>
      </c>
      <c r="AD6" s="24" t="inlineStr">
        <is>
          <t>65 units | Section 8/HUD property. Year built: 1968. Subject property for market context.</t>
        </is>
      </c>
      <c r="AE6" s="23" t="inlineStr">
        <is>
          <t>Apartment Corp Records</t>
        </is>
      </c>
    </row>
    <row r="7" ht="54.75" customFormat="1" customHeight="1" s="3">
      <c r="A7" s="28" t="inlineStr">
        <is>
          <t>1</t>
        </is>
      </c>
      <c r="B7" s="28" t="inlineStr">
        <is>
          <t>AFFORDABLE</t>
        </is>
      </c>
      <c r="C7" s="29" t="inlineStr">
        <is>
          <t>Liberty City Manor</t>
        </is>
      </c>
      <c r="D7" s="28" t="inlineStr">
        <is>
          <t>6200 NW 7th Ave</t>
        </is>
      </c>
      <c r="E7" s="28" t="inlineStr">
        <is>
          <t>Miami</t>
        </is>
      </c>
      <c r="F7" s="28" t="inlineStr">
        <is>
          <t>FL</t>
        </is>
      </c>
      <c r="G7" s="28" t="inlineStr">
        <is>
          <t>33150</t>
        </is>
      </c>
      <c r="H7" s="28" t="inlineStr">
        <is>
          <t>8.5 mi</t>
        </is>
      </c>
      <c r="I7" s="28" t="inlineStr">
        <is>
          <t>$3,872</t>
        </is>
      </c>
      <c r="J7" s="28" t="inlineStr">
        <is>
          <t>$4,647</t>
        </is>
      </c>
      <c r="K7" s="30" t="inlineStr">
        <is>
          <t>$1,736</t>
        </is>
      </c>
      <c r="L7" s="31" t="inlineStr">
        <is>
          <t>Not Listed</t>
        </is>
      </c>
      <c r="M7" s="28" t="inlineStr">
        <is>
          <t>$4,645</t>
        </is>
      </c>
      <c r="N7" s="28" t="inlineStr">
        <is>
          <t>$5,575</t>
        </is>
      </c>
      <c r="O7" s="30" t="inlineStr">
        <is>
          <t>$2,376</t>
        </is>
      </c>
      <c r="P7" s="31" t="inlineStr">
        <is>
          <t>Not Listed</t>
        </is>
      </c>
      <c r="Q7" s="28" t="inlineStr">
        <is>
          <t>$5,162</t>
        </is>
      </c>
      <c r="R7" s="28" t="inlineStr">
        <is>
          <t>$6,195</t>
        </is>
      </c>
      <c r="S7" s="30" t="inlineStr">
        <is>
          <t>$3,044</t>
        </is>
      </c>
      <c r="T7" s="31" t="inlineStr">
        <is>
          <t>Not Listed</t>
        </is>
      </c>
      <c r="U7" s="28" t="inlineStr">
        <is>
          <t>64</t>
        </is>
      </c>
      <c r="V7" s="28" t="inlineStr">
        <is>
          <t>1968</t>
        </is>
      </c>
      <c r="W7" s="28" t="inlineStr">
        <is>
          <t>0</t>
        </is>
      </c>
      <c r="X7" s="28" t="inlineStr">
        <is>
          <t>Yes</t>
        </is>
      </c>
      <c r="Y7" s="28" t="inlineStr">
        <is>
          <t>No</t>
        </is>
      </c>
      <c r="Z7" s="28" t="inlineStr">
        <is>
          <t>No</t>
        </is>
      </c>
      <c r="AA7" s="28" t="inlineStr">
        <is>
          <t>No</t>
        </is>
      </c>
      <c r="AB7" s="28" t="inlineStr">
        <is>
          <t>No</t>
        </is>
      </c>
      <c r="AC7" s="32" t="inlineStr">
        <is>
          <t>HIGH</t>
        </is>
      </c>
      <c r="AD7" s="29" t="inlineStr">
        <is>
          <t>Affordable Comp #1: Section 8/HUD property, 1968 vintage (0 yr diff), 64 units, 8.5 mi from subject. Same income-eligible renter pool.</t>
        </is>
      </c>
      <c r="AE7" s="28" t="inlineStr">
        <is>
          <t>HUD Multifamily Assisted Housing</t>
        </is>
      </c>
    </row>
    <row r="8" ht="54.75" customFormat="1" customHeight="1" s="3">
      <c r="A8" s="33" t="inlineStr">
        <is>
          <t>2</t>
        </is>
      </c>
      <c r="B8" s="33" t="inlineStr">
        <is>
          <t>AFFORDABLE</t>
        </is>
      </c>
      <c r="C8" s="34" t="inlineStr">
        <is>
          <t>Hialeah Gardens Apartments</t>
        </is>
      </c>
      <c r="D8" s="33" t="inlineStr">
        <is>
          <t>1200 W 68th St</t>
        </is>
      </c>
      <c r="E8" s="33" t="inlineStr">
        <is>
          <t>Hialeah</t>
        </is>
      </c>
      <c r="F8" s="33" t="inlineStr">
        <is>
          <t>FL</t>
        </is>
      </c>
      <c r="G8" s="33" t="inlineStr">
        <is>
          <t>33012</t>
        </is>
      </c>
      <c r="H8" s="33" t="inlineStr">
        <is>
          <t>5.2 mi</t>
        </is>
      </c>
      <c r="I8" s="33" t="inlineStr">
        <is>
          <t>$3,872</t>
        </is>
      </c>
      <c r="J8" s="33" t="inlineStr">
        <is>
          <t>$4,647</t>
        </is>
      </c>
      <c r="K8" s="30" t="inlineStr">
        <is>
          <t>$1,736</t>
        </is>
      </c>
      <c r="L8" s="31" t="inlineStr">
        <is>
          <t>$3,200</t>
        </is>
      </c>
      <c r="M8" s="33" t="inlineStr">
        <is>
          <t>$4,645</t>
        </is>
      </c>
      <c r="N8" s="33" t="inlineStr">
        <is>
          <t>$5,575</t>
        </is>
      </c>
      <c r="O8" s="30" t="inlineStr">
        <is>
          <t>$2,376</t>
        </is>
      </c>
      <c r="P8" s="31" t="inlineStr">
        <is>
          <t>$3,896</t>
        </is>
      </c>
      <c r="Q8" s="33" t="inlineStr">
        <is>
          <t>$5,162</t>
        </is>
      </c>
      <c r="R8" s="33" t="inlineStr">
        <is>
          <t>$6,195</t>
        </is>
      </c>
      <c r="S8" s="30" t="inlineStr">
        <is>
          <t>$3,044</t>
        </is>
      </c>
      <c r="T8" s="31" t="inlineStr">
        <is>
          <t>$4,686</t>
        </is>
      </c>
      <c r="U8" s="33" t="inlineStr">
        <is>
          <t>72</t>
        </is>
      </c>
      <c r="V8" s="33" t="inlineStr">
        <is>
          <t>1970</t>
        </is>
      </c>
      <c r="W8" s="33" t="inlineStr">
        <is>
          <t>2</t>
        </is>
      </c>
      <c r="X8" s="33" t="inlineStr">
        <is>
          <t>Yes</t>
        </is>
      </c>
      <c r="Y8" s="33" t="inlineStr">
        <is>
          <t>No</t>
        </is>
      </c>
      <c r="Z8" s="33" t="inlineStr">
        <is>
          <t>No</t>
        </is>
      </c>
      <c r="AA8" s="33" t="inlineStr">
        <is>
          <t>No</t>
        </is>
      </c>
      <c r="AB8" s="33" t="inlineStr">
        <is>
          <t>No</t>
        </is>
      </c>
      <c r="AC8" s="35" t="inlineStr">
        <is>
          <t>HIGH</t>
        </is>
      </c>
      <c r="AD8" s="34" t="inlineStr">
        <is>
          <t>Affordable Comp #2: Section 8/HUD property, 1970 vintage (2 yr diff), 72 units, 5.2 mi from subject. Same income-eligible renter pool.</t>
        </is>
      </c>
      <c r="AE8" s="33" t="inlineStr">
        <is>
          <t>HUD Multifamily Assisted Housing</t>
        </is>
      </c>
    </row>
    <row r="9" ht="54.75" customFormat="1" customHeight="1" s="3">
      <c r="A9" s="36" t="inlineStr">
        <is>
          <t>3</t>
        </is>
      </c>
      <c r="B9" s="36" t="inlineStr">
        <is>
          <t>AFFORDABLE</t>
        </is>
      </c>
      <c r="C9" s="37" t="inlineStr">
        <is>
          <t>Carol City Manor</t>
        </is>
      </c>
      <c r="D9" s="36" t="inlineStr">
        <is>
          <t>18800 NW 27th Ave</t>
        </is>
      </c>
      <c r="E9" s="36" t="inlineStr">
        <is>
          <t>Miami Gardens</t>
        </is>
      </c>
      <c r="F9" s="36" t="inlineStr">
        <is>
          <t>FL</t>
        </is>
      </c>
      <c r="G9" s="36" t="inlineStr">
        <is>
          <t>33056</t>
        </is>
      </c>
      <c r="H9" s="36" t="inlineStr">
        <is>
          <t>4.1 mi</t>
        </is>
      </c>
      <c r="I9" s="36" t="inlineStr">
        <is>
          <t>$3,872</t>
        </is>
      </c>
      <c r="J9" s="36" t="inlineStr">
        <is>
          <t>$4,647</t>
        </is>
      </c>
      <c r="K9" s="30" t="inlineStr">
        <is>
          <t>$1,736</t>
        </is>
      </c>
      <c r="L9" s="31" t="inlineStr">
        <is>
          <t>Not Listed</t>
        </is>
      </c>
      <c r="M9" s="36" t="inlineStr">
        <is>
          <t>$4,645</t>
        </is>
      </c>
      <c r="N9" s="36" t="inlineStr">
        <is>
          <t>$5,575</t>
        </is>
      </c>
      <c r="O9" s="30" t="inlineStr">
        <is>
          <t>$2,376</t>
        </is>
      </c>
      <c r="P9" s="31" t="inlineStr">
        <is>
          <t>Not Listed</t>
        </is>
      </c>
      <c r="Q9" s="36" t="inlineStr">
        <is>
          <t>$5,162</t>
        </is>
      </c>
      <c r="R9" s="36" t="inlineStr">
        <is>
          <t>$6,195</t>
        </is>
      </c>
      <c r="S9" s="30" t="inlineStr">
        <is>
          <t>$3,044</t>
        </is>
      </c>
      <c r="T9" s="31" t="inlineStr">
        <is>
          <t>Not Listed</t>
        </is>
      </c>
      <c r="U9" s="36" t="inlineStr">
        <is>
          <t>60</t>
        </is>
      </c>
      <c r="V9" s="36" t="inlineStr">
        <is>
          <t>1967</t>
        </is>
      </c>
      <c r="W9" s="36" t="inlineStr">
        <is>
          <t>1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85" t="inlineStr">
        <is>
          <t>HIGH</t>
        </is>
      </c>
      <c r="AD9" s="37" t="inlineStr">
        <is>
          <t>Affordable Comp #3: Section 8/HUD property, 1967 vintage (1 yr diff), 60 units, 4.1 mi from subject. Same income-eligible renter pool.</t>
        </is>
      </c>
      <c r="AE9" s="36" t="inlineStr">
        <is>
          <t>HUD Multifamily Assisted Housing</t>
        </is>
      </c>
    </row>
    <row r="10" ht="54.75" customFormat="1" customHeight="1" s="3">
      <c r="A10" s="28" t="inlineStr">
        <is>
          <t>4</t>
        </is>
      </c>
      <c r="B10" s="28" t="inlineStr">
        <is>
          <t>AFFORDABLE</t>
        </is>
      </c>
      <c r="C10" s="29" t="inlineStr">
        <is>
          <t>North Miami Housing Authority - Arch Creek Apts</t>
        </is>
      </c>
      <c r="D10" s="28" t="inlineStr">
        <is>
          <t>1800 NE 135th St</t>
        </is>
      </c>
      <c r="E10" s="28" t="inlineStr">
        <is>
          <t>North Miami</t>
        </is>
      </c>
      <c r="F10" s="28" t="inlineStr">
        <is>
          <t>FL</t>
        </is>
      </c>
      <c r="G10" s="28" t="inlineStr">
        <is>
          <t>33161</t>
        </is>
      </c>
      <c r="H10" s="28" t="inlineStr">
        <is>
          <t>6.8 mi</t>
        </is>
      </c>
      <c r="I10" s="28" t="inlineStr">
        <is>
          <t>$3,872</t>
        </is>
      </c>
      <c r="J10" s="28" t="inlineStr">
        <is>
          <t>$4,647</t>
        </is>
      </c>
      <c r="K10" s="30" t="inlineStr">
        <is>
          <t>$1,736</t>
        </is>
      </c>
      <c r="L10" s="31" t="inlineStr">
        <is>
          <t>Not Listed</t>
        </is>
      </c>
      <c r="M10" s="28" t="inlineStr">
        <is>
          <t>$4,645</t>
        </is>
      </c>
      <c r="N10" s="28" t="inlineStr">
        <is>
          <t>$5,575</t>
        </is>
      </c>
      <c r="O10" s="30" t="inlineStr">
        <is>
          <t>$2,376</t>
        </is>
      </c>
      <c r="P10" s="31" t="inlineStr">
        <is>
          <t>Not Listed</t>
        </is>
      </c>
      <c r="Q10" s="28" t="inlineStr">
        <is>
          <t>$5,162</t>
        </is>
      </c>
      <c r="R10" s="28" t="inlineStr">
        <is>
          <t>$6,195</t>
        </is>
      </c>
      <c r="S10" s="30" t="inlineStr">
        <is>
          <t>$3,044</t>
        </is>
      </c>
      <c r="T10" s="31" t="inlineStr">
        <is>
          <t>Not Listed</t>
        </is>
      </c>
      <c r="U10" s="28" t="inlineStr">
        <is>
          <t>68</t>
        </is>
      </c>
      <c r="V10" s="28" t="inlineStr">
        <is>
          <t>1969</t>
        </is>
      </c>
      <c r="W10" s="28" t="inlineStr">
        <is>
          <t>1</t>
        </is>
      </c>
      <c r="X10" s="28" t="inlineStr">
        <is>
          <t>Yes</t>
        </is>
      </c>
      <c r="Y10" s="28" t="inlineStr">
        <is>
          <t>No</t>
        </is>
      </c>
      <c r="Z10" s="28" t="inlineStr">
        <is>
          <t>No</t>
        </is>
      </c>
      <c r="AA10" s="28" t="inlineStr">
        <is>
          <t>No</t>
        </is>
      </c>
      <c r="AB10" s="28" t="inlineStr">
        <is>
          <t>No</t>
        </is>
      </c>
      <c r="AC10" s="32" t="inlineStr">
        <is>
          <t>HIGH</t>
        </is>
      </c>
      <c r="AD10" s="29" t="inlineStr">
        <is>
          <t>Affordable Comp #4: Public Housing/HUD property, 1969 vintage (1 yr diff), 68 units, 6.8 mi from subject. Same income-eligible renter pool.</t>
        </is>
      </c>
      <c r="AE10" s="28" t="inlineStr">
        <is>
          <t>North Miami Housing Authority</t>
        </is>
      </c>
    </row>
    <row r="11" ht="54.75" customFormat="1" customHeight="1" s="3">
      <c r="A11" s="39" t="inlineStr">
        <is>
          <t>1</t>
        </is>
      </c>
      <c r="B11" s="39" t="inlineStr">
        <is>
          <t>MARKET RATE</t>
        </is>
      </c>
      <c r="C11" s="40" t="inlineStr">
        <is>
          <t>Sherbondy Villas</t>
        </is>
      </c>
      <c r="D11" s="39" t="inlineStr">
        <is>
          <t>200 S Perviz Ave, Opa Locka, FL 33054</t>
        </is>
      </c>
      <c r="E11" s="39" t="inlineStr">
        <is>
          <t>Opa Locka</t>
        </is>
      </c>
      <c r="F11" s="39" t="inlineStr">
        <is>
          <t>FL</t>
        </is>
      </c>
      <c r="G11" s="39" t="inlineStr">
        <is>
          <t>33054</t>
        </is>
      </c>
      <c r="H11" s="39" t="inlineStr">
        <is>
          <t>1.2 mi</t>
        </is>
      </c>
      <c r="I11" s="39" t="inlineStr">
        <is>
          <t>N/A (Market Rate)</t>
        </is>
      </c>
      <c r="J11" s="39" t="inlineStr">
        <is>
          <t>N/A (Market Rate)</t>
        </is>
      </c>
      <c r="K11" s="30" t="inlineStr">
        <is>
          <t>$1,736</t>
        </is>
      </c>
      <c r="L11" s="31" t="inlineStr">
        <is>
          <t>$1,400</t>
        </is>
      </c>
      <c r="M11" s="39" t="inlineStr">
        <is>
          <t>N/A (Market Rate)</t>
        </is>
      </c>
      <c r="N11" s="39" t="inlineStr">
        <is>
          <t>N/A (Market Rate)</t>
        </is>
      </c>
      <c r="O11" s="30" t="inlineStr">
        <is>
          <t>$2,376</t>
        </is>
      </c>
      <c r="P11" s="31" t="inlineStr">
        <is>
          <t>N/A</t>
        </is>
      </c>
      <c r="Q11" s="39" t="inlineStr">
        <is>
          <t>N/A (Market Rate)</t>
        </is>
      </c>
      <c r="R11" s="39" t="inlineStr">
        <is>
          <t>N/A (Market Rate)</t>
        </is>
      </c>
      <c r="S11" s="30" t="inlineStr">
        <is>
          <t>$3,044</t>
        </is>
      </c>
      <c r="T11" s="31" t="inlineStr">
        <is>
          <t>N/A</t>
        </is>
      </c>
      <c r="U11" s="39" t="n">
        <v>32</v>
      </c>
      <c r="V11" s="39" t="n">
        <v>1967</v>
      </c>
      <c r="W11" s="39" t="n">
        <v>1</v>
      </c>
      <c r="X11" s="39" t="inlineStr">
        <is>
          <t>No</t>
        </is>
      </c>
      <c r="Y11" s="39" t="inlineStr">
        <is>
          <t>No</t>
        </is>
      </c>
      <c r="Z11" s="39" t="inlineStr">
        <is>
          <t>No</t>
        </is>
      </c>
      <c r="AA11" s="39" t="inlineStr">
        <is>
          <t>No</t>
        </is>
      </c>
      <c r="AB11" s="39" t="inlineStr">
        <is>
          <t>No</t>
        </is>
      </c>
      <c r="AC11" s="41" t="inlineStr">
        <is>
          <t>HIGH</t>
        </is>
      </c>
      <c r="AD11" s="40" t="inlineStr">
        <is>
          <t>Market Rate Comp #1: No income restrictions, 1967 vintage (1 yr diff), 32 units, 1.2 mi from subject. 1BD only; shows local market-rate 1BD rent.</t>
        </is>
      </c>
      <c r="AE11" s="39" t="inlineStr">
        <is>
          <t>https://www.apartments.com/sherbondy-villas-opa-locka-fl/</t>
        </is>
      </c>
    </row>
    <row r="12" ht="54.75" customFormat="1" customHeight="1" s="3">
      <c r="A12" s="42" t="inlineStr">
        <is>
          <t>2</t>
        </is>
      </c>
      <c r="B12" s="42" t="inlineStr">
        <is>
          <t>MARKET RATE</t>
        </is>
      </c>
      <c r="C12" s="43" t="inlineStr">
        <is>
          <t>Wellspring Apartments</t>
        </is>
      </c>
      <c r="D12" s="42" t="inlineStr">
        <is>
          <t>14701 NW 27th Ave, Opa Locka, FL 33054</t>
        </is>
      </c>
      <c r="E12" s="42" t="inlineStr">
        <is>
          <t>Opa Locka</t>
        </is>
      </c>
      <c r="F12" s="42" t="inlineStr">
        <is>
          <t>FL</t>
        </is>
      </c>
      <c r="G12" s="42" t="inlineStr">
        <is>
          <t>33054</t>
        </is>
      </c>
      <c r="H12" s="42" t="inlineStr">
        <is>
          <t>1.8 mi</t>
        </is>
      </c>
      <c r="I12" s="42" t="inlineStr">
        <is>
          <t>N/A (Market Rate)</t>
        </is>
      </c>
      <c r="J12" s="42" t="inlineStr">
        <is>
          <t>N/A (Market Rate)</t>
        </is>
      </c>
      <c r="K12" s="30" t="inlineStr">
        <is>
          <t>$1,736</t>
        </is>
      </c>
      <c r="L12" s="31" t="inlineStr">
        <is>
          <t>$1,989</t>
        </is>
      </c>
      <c r="M12" s="42" t="inlineStr">
        <is>
          <t>N/A (Market Rate)</t>
        </is>
      </c>
      <c r="N12" s="42" t="inlineStr">
        <is>
          <t>N/A (Market Rate)</t>
        </is>
      </c>
      <c r="O12" s="30" t="inlineStr">
        <is>
          <t>$2,376</t>
        </is>
      </c>
      <c r="P12" s="31" t="inlineStr">
        <is>
          <t>$2,440</t>
        </is>
      </c>
      <c r="Q12" s="42" t="inlineStr">
        <is>
          <t>N/A (Market Rate)</t>
        </is>
      </c>
      <c r="R12" s="42" t="inlineStr">
        <is>
          <t>N/A (Market Rate)</t>
        </is>
      </c>
      <c r="S12" s="30" t="inlineStr">
        <is>
          <t>$3,044</t>
        </is>
      </c>
      <c r="T12" s="31" t="inlineStr">
        <is>
          <t>N/A</t>
        </is>
      </c>
      <c r="U12" s="42" t="inlineStr">
        <is>
          <t>N/A</t>
        </is>
      </c>
      <c r="V12" s="42" t="n">
        <v>2024</v>
      </c>
      <c r="W12" s="42" t="n">
        <v>56</v>
      </c>
      <c r="X12" s="42" t="inlineStr">
        <is>
          <t>No</t>
        </is>
      </c>
      <c r="Y12" s="42" t="inlineStr">
        <is>
          <t>Yes</t>
        </is>
      </c>
      <c r="Z12" s="42" t="inlineStr">
        <is>
          <t>No</t>
        </is>
      </c>
      <c r="AA12" s="42" t="inlineStr">
        <is>
          <t>Yes</t>
        </is>
      </c>
      <c r="AB12" s="42" t="inlineStr">
        <is>
          <t>No</t>
        </is>
      </c>
      <c r="AC12" s="44" t="inlineStr">
        <is>
          <t>HIGH</t>
        </is>
      </c>
      <c r="AD12" s="43" t="inlineStr">
        <is>
          <t>Market Rate Comp #2: No income restrictions, 2024 vintage (new senior community), 1BD $1,989 / 2BD $2,440. Located 1.8 mi from subject in same zip 33054.</t>
        </is>
      </c>
      <c r="AE12" s="42" t="inlineStr">
        <is>
          <t>https://www.apartments.com/wellspring-apartments-opa-locka-fl/</t>
        </is>
      </c>
    </row>
    <row r="13" ht="54.75" customFormat="1" customHeight="1" s="3">
      <c r="A13" s="45" t="inlineStr">
        <is>
          <t>3</t>
        </is>
      </c>
      <c r="B13" s="45" t="inlineStr">
        <is>
          <t>MARKET RATE</t>
        </is>
      </c>
      <c r="C13" s="46" t="inlineStr">
        <is>
          <t>Individual Units — 33054 (2BD avg)</t>
        </is>
      </c>
      <c r="D13" s="45" t="inlineStr">
        <is>
          <t>Various addresses, Opa Locka, FL 33054</t>
        </is>
      </c>
      <c r="E13" s="45" t="inlineStr">
        <is>
          <t>Opa Locka</t>
        </is>
      </c>
      <c r="F13" s="45" t="inlineStr">
        <is>
          <t>FL</t>
        </is>
      </c>
      <c r="G13" s="45" t="inlineStr">
        <is>
          <t>33054</t>
        </is>
      </c>
      <c r="H13" s="45" t="inlineStr">
        <is>
          <t>&lt; 3 mi</t>
        </is>
      </c>
      <c r="I13" s="45" t="inlineStr">
        <is>
          <t>N/A (Market Rate)</t>
        </is>
      </c>
      <c r="J13" s="45" t="inlineStr">
        <is>
          <t>N/A (Market Rate)</t>
        </is>
      </c>
      <c r="K13" s="30" t="inlineStr">
        <is>
          <t>$1,736</t>
        </is>
      </c>
      <c r="L13" s="31" t="inlineStr">
        <is>
          <t>$1,300</t>
        </is>
      </c>
      <c r="M13" s="45" t="inlineStr">
        <is>
          <t>N/A (Market Rate)</t>
        </is>
      </c>
      <c r="N13" s="45" t="inlineStr">
        <is>
          <t>N/A (Market Rate)</t>
        </is>
      </c>
      <c r="O13" s="30" t="inlineStr">
        <is>
          <t>$2,376</t>
        </is>
      </c>
      <c r="P13" s="31" t="inlineStr">
        <is>
          <t>$1,760</t>
        </is>
      </c>
      <c r="Q13" s="45" t="inlineStr">
        <is>
          <t>N/A (Market Rate)</t>
        </is>
      </c>
      <c r="R13" s="45" t="inlineStr">
        <is>
          <t>N/A (Market Rate)</t>
        </is>
      </c>
      <c r="S13" s="30" t="inlineStr">
        <is>
          <t>$3,044</t>
        </is>
      </c>
      <c r="T13" s="31" t="inlineStr">
        <is>
          <t>$2,598</t>
        </is>
      </c>
      <c r="U13" s="45" t="inlineStr">
        <is>
          <t>N/A</t>
        </is>
      </c>
      <c r="V13" s="45" t="inlineStr">
        <is>
          <t>Various</t>
        </is>
      </c>
      <c r="W13" s="45" t="inlineStr">
        <is>
          <t>N/A</t>
        </is>
      </c>
      <c r="X13" s="45" t="inlineStr">
        <is>
          <t>Varies</t>
        </is>
      </c>
      <c r="Y13" s="45" t="inlineStr">
        <is>
          <t>Varies</t>
        </is>
      </c>
      <c r="Z13" s="45" t="inlineStr">
        <is>
          <t>Varies</t>
        </is>
      </c>
      <c r="AA13" s="45" t="inlineStr">
        <is>
          <t>Varies</t>
        </is>
      </c>
      <c r="AB13" s="45" t="inlineStr">
        <is>
          <t>Varies</t>
        </is>
      </c>
      <c r="AC13" s="47" t="inlineStr">
        <is>
          <t>HIGH</t>
        </is>
      </c>
      <c r="AD13" s="46" t="inlineStr">
        <is>
          <t>Market Rate Comp #3: Aggregated individual unit listings in zip 33054 (Apartments.com/Zillow). 1BD avg of 4 units: $1,300. 2BD avg of 4 units: $1,760 (14100 NW 24th Ct $1,670, 1851 Ali Baba Ave $1,650, 4Plex $1,850, 1920 NW 151st St $1,975 → avg $1,786 rounded). 3BD avg of 4 units: $2,598 (2290 NW 136th Ter $2,400, 16340 NW 17th Ct $2,795, 2508 Superior St $2,800, 14162 NW 17th Ave $2,900 → avg $2,724 rounded).</t>
        </is>
      </c>
      <c r="AE13" s="45" t="inlineStr">
        <is>
          <t>https://www.apartments.com/opa-locka-fl-33054/</t>
        </is>
      </c>
    </row>
    <row r="14" ht="54.75" customFormat="1" customHeight="1" s="3">
      <c r="A14" s="39" t="inlineStr">
        <is>
          <t>4</t>
        </is>
      </c>
      <c r="B14" s="39" t="inlineStr">
        <is>
          <t>MARKET RATE</t>
        </is>
      </c>
      <c r="C14" s="40" t="inlineStr">
        <is>
          <t>Oak Enclave</t>
        </is>
      </c>
      <c r="D14" s="39" t="inlineStr">
        <is>
          <t>2301 NW 167th St, Miami Gardens, FL 33056</t>
        </is>
      </c>
      <c r="E14" s="39" t="inlineStr">
        <is>
          <t>Miami Gardens</t>
        </is>
      </c>
      <c r="F14" s="39" t="inlineStr">
        <is>
          <t>FL</t>
        </is>
      </c>
      <c r="G14" s="39" t="inlineStr">
        <is>
          <t>33056</t>
        </is>
      </c>
      <c r="H14" s="39" t="inlineStr">
        <is>
          <t>3.1 mi</t>
        </is>
      </c>
      <c r="I14" s="39" t="inlineStr">
        <is>
          <t>N/A (Market Rate)</t>
        </is>
      </c>
      <c r="J14" s="39" t="inlineStr">
        <is>
          <t>N/A (Market Rate)</t>
        </is>
      </c>
      <c r="K14" s="30" t="inlineStr">
        <is>
          <t>$1,736</t>
        </is>
      </c>
      <c r="L14" s="31" t="inlineStr">
        <is>
          <t>$2,000</t>
        </is>
      </c>
      <c r="M14" s="39" t="inlineStr">
        <is>
          <t>N/A (Market Rate)</t>
        </is>
      </c>
      <c r="N14" s="39" t="inlineStr">
        <is>
          <t>N/A (Market Rate)</t>
        </is>
      </c>
      <c r="O14" s="30" t="inlineStr">
        <is>
          <t>$2,376</t>
        </is>
      </c>
      <c r="P14" s="31" t="inlineStr">
        <is>
          <t>$2,240</t>
        </is>
      </c>
      <c r="Q14" s="39" t="inlineStr">
        <is>
          <t>N/A (Market Rate)</t>
        </is>
      </c>
      <c r="R14" s="39" t="inlineStr">
        <is>
          <t>N/A (Market Rate)</t>
        </is>
      </c>
      <c r="S14" s="30" t="inlineStr">
        <is>
          <t>$3,044</t>
        </is>
      </c>
      <c r="T14" s="31" t="inlineStr">
        <is>
          <t>$2,670</t>
        </is>
      </c>
      <c r="U14" s="39" t="inlineStr">
        <is>
          <t>N/A</t>
        </is>
      </c>
      <c r="V14" s="39" t="inlineStr">
        <is>
          <t>N/A</t>
        </is>
      </c>
      <c r="W14" s="39" t="inlineStr">
        <is>
          <t>N/A</t>
        </is>
      </c>
      <c r="X14" s="39" t="inlineStr">
        <is>
          <t>No</t>
        </is>
      </c>
      <c r="Y14" s="39" t="inlineStr">
        <is>
          <t>Yes</t>
        </is>
      </c>
      <c r="Z14" s="39" t="inlineStr">
        <is>
          <t>Yes</t>
        </is>
      </c>
      <c r="AA14" s="39" t="inlineStr">
        <is>
          <t>Yes</t>
        </is>
      </c>
      <c r="AB14" s="39" t="inlineStr">
        <is>
          <t>No</t>
        </is>
      </c>
      <c r="AC14" s="41" t="inlineStr">
        <is>
          <t>HIGH</t>
        </is>
      </c>
      <c r="AD14" s="40" t="inlineStr">
        <is>
          <t>Market Rate Comp #4: No income restrictions, luxury complex, 3.1 mi from subject in adjacent zip 33056 (Miami Gardens). 1BD $2,000 / 2BD $2,240 / 3BD $2,670. Shows premium end of market.</t>
        </is>
      </c>
      <c r="AE14" s="39" t="inlineStr">
        <is>
          <t>https://www.apartments.com/oak-enclave-miami-gardens-fl/</t>
        </is>
      </c>
    </row>
    <row r="15" ht="54.75" customFormat="1" customHeight="1" s="3">
      <c r="A15" s="48" t="inlineStr">
        <is>
          <t>—</t>
        </is>
      </c>
      <c r="B15" s="48" t="inlineStr">
        <is>
          <t>BENCHMARK</t>
        </is>
      </c>
      <c r="C15" s="49" t="inlineStr">
        <is>
          <t>FY2026 FMR — Miami-Dade County</t>
        </is>
      </c>
      <c r="D15" s="48" t="inlineStr">
        <is>
          <t>N/A</t>
        </is>
      </c>
      <c r="E15" s="48" t="inlineStr">
        <is>
          <t>Opa Locka</t>
        </is>
      </c>
      <c r="F15" s="48" t="inlineStr">
        <is>
          <t>FL</t>
        </is>
      </c>
      <c r="G15" s="48" t="inlineStr">
        <is>
          <t>N/A</t>
        </is>
      </c>
      <c r="H15" s="48" t="inlineStr">
        <is>
          <t>N/A</t>
        </is>
      </c>
      <c r="I15" s="48" t="inlineStr">
        <is>
          <t>$1,736</t>
        </is>
      </c>
      <c r="J15" s="48" t="inlineStr">
        <is>
          <t>$1,736</t>
        </is>
      </c>
      <c r="K15" s="30" t="inlineStr">
        <is>
          <t>$1,736</t>
        </is>
      </c>
      <c r="L15" s="31" t="inlineStr">
        <is>
          <t>N/A</t>
        </is>
      </c>
      <c r="M15" s="48" t="inlineStr">
        <is>
          <t>$2,376</t>
        </is>
      </c>
      <c r="N15" s="48" t="inlineStr">
        <is>
          <t>$2,376</t>
        </is>
      </c>
      <c r="O15" s="30" t="inlineStr">
        <is>
          <t>$2,376</t>
        </is>
      </c>
      <c r="P15" s="31" t="inlineStr">
        <is>
          <t>N/A</t>
        </is>
      </c>
      <c r="Q15" s="48" t="inlineStr">
        <is>
          <t>$3,044</t>
        </is>
      </c>
      <c r="R15" s="48" t="inlineStr">
        <is>
          <t>$3,044</t>
        </is>
      </c>
      <c r="S15" s="30" t="inlineStr">
        <is>
          <t>$3,044</t>
        </is>
      </c>
      <c r="T15" s="31" t="inlineStr">
        <is>
          <t>N/A</t>
        </is>
      </c>
      <c r="U15" s="48" t="inlineStr">
        <is>
          <t>N/A</t>
        </is>
      </c>
      <c r="V15" s="48" t="inlineStr">
        <is>
          <t>N/A</t>
        </is>
      </c>
      <c r="W15" s="48" t="inlineStr">
        <is>
          <t>N/A</t>
        </is>
      </c>
      <c r="X15" s="48" t="inlineStr">
        <is>
          <t>N/A</t>
        </is>
      </c>
      <c r="Y15" s="48" t="inlineStr">
        <is>
          <t>N/A</t>
        </is>
      </c>
      <c r="Z15" s="48" t="inlineStr">
        <is>
          <t>N/A</t>
        </is>
      </c>
      <c r="AA15" s="48" t="inlineStr">
        <is>
          <t>N/A</t>
        </is>
      </c>
      <c r="AB15" s="48" t="inlineStr">
        <is>
          <t>N/A</t>
        </is>
      </c>
      <c r="AC15" s="50" t="inlineStr">
        <is>
          <t>BENCHMARK</t>
        </is>
      </c>
      <c r="AD15" s="49" t="inlineStr">
        <is>
          <t>BENCHMARK — HUD Fair Market Rent (FMR) for Miami-Dade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5" s="48" t="inlineStr">
        <is>
          <t>HUD FMR Database (huduser.gov)</t>
        </is>
      </c>
    </row>
    <row r="16" ht="54.75" customFormat="1" customHeight="1" s="3">
      <c r="A16" s="48" t="inlineStr">
        <is>
          <t>—</t>
        </is>
      </c>
      <c r="B16" s="48" t="inlineStr">
        <is>
          <t>BENCHMARK</t>
        </is>
      </c>
      <c r="C16" s="49" t="inlineStr">
        <is>
          <t>Metro Market Avg — Opa Locka (Live, Apr 2026)</t>
        </is>
      </c>
      <c r="D16" s="48" t="inlineStr">
        <is>
          <t>N/A</t>
        </is>
      </c>
      <c r="E16" s="48" t="inlineStr">
        <is>
          <t>Opa Locka</t>
        </is>
      </c>
      <c r="F16" s="48" t="inlineStr">
        <is>
          <t>FL</t>
        </is>
      </c>
      <c r="G16" s="48" t="inlineStr">
        <is>
          <t>N/A</t>
        </is>
      </c>
      <c r="H16" s="48" t="inlineStr">
        <is>
          <t>N/A</t>
        </is>
      </c>
      <c r="I16" s="48" t="inlineStr">
        <is>
          <t>$1,672</t>
        </is>
      </c>
      <c r="J16" s="48" t="inlineStr">
        <is>
          <t>$1,672</t>
        </is>
      </c>
      <c r="K16" s="30" t="inlineStr">
        <is>
          <t>$1,672</t>
        </is>
      </c>
      <c r="L16" s="31" t="inlineStr">
        <is>
          <t>$1,672</t>
        </is>
      </c>
      <c r="M16" s="48" t="inlineStr">
        <is>
          <t>$2,147</t>
        </is>
      </c>
      <c r="N16" s="48" t="inlineStr">
        <is>
          <t>$2,147</t>
        </is>
      </c>
      <c r="O16" s="30" t="inlineStr">
        <is>
          <t>$2,147</t>
        </is>
      </c>
      <c r="P16" s="31" t="inlineStr">
        <is>
          <t>$2,147</t>
        </is>
      </c>
      <c r="Q16" s="48" t="inlineStr">
        <is>
          <t>$2,634</t>
        </is>
      </c>
      <c r="R16" s="48" t="inlineStr">
        <is>
          <t>$2,634</t>
        </is>
      </c>
      <c r="S16" s="30" t="inlineStr">
        <is>
          <t>$2,634</t>
        </is>
      </c>
      <c r="T16" s="31" t="inlineStr">
        <is>
          <t>$2,634</t>
        </is>
      </c>
      <c r="U16" s="48" t="inlineStr">
        <is>
          <t>N/A</t>
        </is>
      </c>
      <c r="V16" s="48" t="inlineStr">
        <is>
          <t>N/A</t>
        </is>
      </c>
      <c r="W16" s="48" t="inlineStr">
        <is>
          <t>N/A</t>
        </is>
      </c>
      <c r="X16" s="48" t="inlineStr">
        <is>
          <t>N/A</t>
        </is>
      </c>
      <c r="Y16" s="48" t="inlineStr">
        <is>
          <t>N/A</t>
        </is>
      </c>
      <c r="Z16" s="48" t="inlineStr">
        <is>
          <t>N/A</t>
        </is>
      </c>
      <c r="AA16" s="48" t="inlineStr">
        <is>
          <t>N/A</t>
        </is>
      </c>
      <c r="AB16" s="48" t="inlineStr">
        <is>
          <t>N/A</t>
        </is>
      </c>
      <c r="AC16" s="50" t="inlineStr">
        <is>
          <t>BENCHMARK</t>
        </is>
      </c>
      <c r="AD16" s="49" t="inlineStr">
        <is>
          <t>BENCHMARK — Live Market Average for Opa Locka (33054), calculated from 4 market-rate comps as of Apr 30, 2026. 1BD avg: $1,672 (Sherbondy $1,400, Wellspring $1,989, Individual $1,300, Oak Enclave $2,000). 2BD avg: $2,079 (Wellspring $2,440, Individual units $1,786, Oak Enclave $2,240, 4Plex $1,850). 3BD avg: $2,697 (Individual units $2,724, Oak Enclave $2,670).</t>
        </is>
      </c>
      <c r="AE16" s="48" t="inlineStr">
        <is>
          <t>Apartments.com live data, Apr 30, 2026</t>
        </is>
      </c>
    </row>
    <row r="17" ht="8.25" customFormat="1" customHeight="1" s="3"/>
    <row r="18" ht="27.75" customFormat="1" customHeight="1" s="3">
      <c r="A18" s="51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 ht="15" customHeight="1" s="95">
      <c r="C20" s="86" t="inlineStr">
        <is>
          <t>50% AMI</t>
        </is>
      </c>
      <c r="D20" s="86" t="inlineStr">
        <is>
          <t>UAP</t>
        </is>
      </c>
      <c r="E20" s="86" t="inlineStr">
        <is>
          <t>Section 8 Rent</t>
        </is>
      </c>
    </row>
    <row r="21" ht="15" customHeight="1" s="95">
      <c r="B21" s="3" t="n">
        <v>2</v>
      </c>
      <c r="C21" s="86" t="n">
        <v>1292</v>
      </c>
      <c r="D21" s="86" t="n">
        <v>454</v>
      </c>
      <c r="E21" s="86" t="n">
        <v>1400</v>
      </c>
    </row>
    <row r="22" ht="15" customHeight="1" s="95">
      <c r="B22" s="3" t="n">
        <v>3</v>
      </c>
      <c r="C22" s="86" t="n">
        <v>1641</v>
      </c>
      <c r="D22" s="86" t="n">
        <v>454</v>
      </c>
      <c r="E22" s="86" t="n">
        <v>1641</v>
      </c>
    </row>
    <row r="25" ht="15" customHeight="1" s="95">
      <c r="A25" s="61" t="inlineStr">
        <is>
          <t>PMTS — Vouchers / FMR / UAP / NET FMR</t>
        </is>
      </c>
      <c r="B25" s="101" t="n"/>
      <c r="C25" s="101" t="n"/>
      <c r="D25" s="101" t="n"/>
      <c r="E25" s="101" t="n"/>
      <c r="F25" s="102" t="n"/>
    </row>
    <row r="26" ht="15" customHeight="1" s="95">
      <c r="A26" s="64" t="inlineStr">
        <is>
          <t>BD</t>
        </is>
      </c>
      <c r="B26" s="65" t="inlineStr">
        <is>
          <t>MKT</t>
        </is>
      </c>
      <c r="C26" s="66" t="inlineStr">
        <is>
          <t>VCH</t>
        </is>
      </c>
      <c r="D26" s="67" t="inlineStr">
        <is>
          <t>FMR</t>
        </is>
      </c>
      <c r="E26" s="68" t="inlineStr">
        <is>
          <t>UAP</t>
        </is>
      </c>
      <c r="F26" s="69" t="inlineStr">
        <is>
          <t>NET</t>
        </is>
      </c>
    </row>
    <row r="27" ht="15" customHeight="1" s="95">
      <c r="A27" s="70" t="inlineStr">
        <is>
          <t>1BD</t>
        </is>
      </c>
      <c r="B27" s="71" t="n">
        <v>0</v>
      </c>
      <c r="C27" s="71" t="n">
        <v>0</v>
      </c>
      <c r="D27" s="71" t="n">
        <v>1470</v>
      </c>
      <c r="E27" s="72" t="n">
        <v>0</v>
      </c>
      <c r="F27" s="73" t="n">
        <v>1470</v>
      </c>
    </row>
    <row r="28" ht="15" customHeight="1" s="95">
      <c r="A28" s="74" t="inlineStr">
        <is>
          <t>2BD</t>
        </is>
      </c>
      <c r="B28" s="75" t="n">
        <v>1900</v>
      </c>
      <c r="C28" s="75" t="n">
        <v>0</v>
      </c>
      <c r="D28" s="75" t="n">
        <v>1800</v>
      </c>
      <c r="E28" s="72" t="n">
        <v>0</v>
      </c>
      <c r="F28" s="73" t="n">
        <v>1800</v>
      </c>
    </row>
    <row r="29" ht="15" customHeight="1" s="95">
      <c r="A29" s="70" t="inlineStr">
        <is>
          <t>3BD</t>
        </is>
      </c>
      <c r="B29" s="71" t="n">
        <v>0</v>
      </c>
      <c r="C29" s="71" t="n">
        <v>0</v>
      </c>
      <c r="D29" s="71" t="n">
        <v>2320</v>
      </c>
      <c r="E29" s="72" t="n">
        <v>0</v>
      </c>
      <c r="F29" s="73" t="n">
        <v>2320</v>
      </c>
    </row>
    <row r="32" ht="15" customHeight="1" s="95">
      <c r="A32" s="61" t="inlineStr">
        <is>
          <t>HAP, CoStar, NET</t>
        </is>
      </c>
      <c r="B32" s="101" t="n"/>
      <c r="C32" s="102" t="n"/>
    </row>
    <row r="33" ht="15" customHeight="1" s="95">
      <c r="A33" s="64" t="n"/>
      <c r="B33" s="68" t="inlineStr">
        <is>
          <t>HAP</t>
        </is>
      </c>
      <c r="C33" s="65" t="inlineStr">
        <is>
          <t>CoStar</t>
        </is>
      </c>
    </row>
    <row r="34" ht="15" customHeight="1" s="95">
      <c r="A34" s="70" t="inlineStr">
        <is>
          <t>1BD</t>
        </is>
      </c>
      <c r="B34" s="103" t="n">
        <v>1365</v>
      </c>
      <c r="C34" s="104" t="n">
        <v>1443</v>
      </c>
    </row>
    <row r="35" ht="15" customHeight="1" s="95">
      <c r="A35" s="74" t="inlineStr">
        <is>
          <t>2BD</t>
        </is>
      </c>
      <c r="B35" s="103" t="n">
        <v>1501</v>
      </c>
      <c r="C35" s="104" t="n">
        <v>1665</v>
      </c>
    </row>
    <row r="36" ht="15" customHeight="1" s="95">
      <c r="A36" s="70" t="inlineStr">
        <is>
          <t>3BD</t>
        </is>
      </c>
      <c r="B36" s="103" t="n">
        <v>1750</v>
      </c>
      <c r="C36" s="104" t="n">
        <v>1705</v>
      </c>
    </row>
  </sheetData>
  <mergeCells count="6">
    <mergeCell ref="A4:AE4"/>
    <mergeCell ref="A2:AE2"/>
    <mergeCell ref="A32:C32"/>
    <mergeCell ref="A18:AE18"/>
    <mergeCell ref="A3:AE3"/>
    <mergeCell ref="A25:F25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theme="3" tint="0.4"/>
    <outlinePr summaryBelow="1" summaryRight="1"/>
    <pageSetUpPr/>
  </sheetPr>
  <dimension ref="A1:AA34"/>
  <sheetViews>
    <sheetView topLeftCell="A1" workbookViewId="0">
      <pane ySplit="1" topLeftCell="A5" activePane="bottomLeft" state="frozen"/>
      <selection pane="bottomLeft" activeCell="F8" sqref="F8"/>
    </sheetView>
  </sheetViews>
  <sheetFormatPr baseColWidth="8" defaultColWidth="9.140625" defaultRowHeight="15" customHeight="1"/>
  <cols>
    <col width="8.00390625" customWidth="1" style="3" min="1" max="1"/>
    <col width="14.00390625" customWidth="1" style="3" min="2" max="2"/>
    <col width="28.00390625" customWidth="1" style="3" min="3" max="3"/>
    <col width="22.00390625" customWidth="1" style="3" min="4" max="4"/>
    <col width="16.00390625" customWidth="1" style="3" min="5" max="5"/>
    <col width="10.00390625" customWidth="1" style="3" min="6" max="6"/>
    <col width="8.00390625" customWidth="1" style="3" min="7" max="7"/>
    <col width="11.00390625" customWidth="1" style="3" min="8" max="8"/>
    <col width="10.00390625" customWidth="1" style="3" min="9" max="11"/>
    <col width="12.00390625" customWidth="1" style="3" min="12" max="12"/>
    <col width="10.00390625" customWidth="1" style="3" min="13" max="15"/>
    <col width="12.00390625" customWidth="1" style="3" min="16" max="16"/>
    <col width="8.00390625" customWidth="1" style="3" min="17" max="17"/>
    <col width="10.00390625" customWidth="1" style="3" min="18" max="18"/>
    <col width="7.00390625" customWidth="1" style="3" min="19" max="19"/>
    <col width="12.00390625" customWidth="1" style="3" min="20" max="21"/>
    <col width="8.00390625" customWidth="1" style="3" min="22" max="23"/>
    <col width="10.00390625" customWidth="1" style="3" min="24" max="24"/>
    <col width="16.00390625" customWidth="1" style="3" min="25" max="25"/>
    <col width="45.00390625" customWidth="1" style="3" min="26" max="26"/>
    <col width="28.00390625" customWidth="1" style="3" min="27" max="27"/>
  </cols>
  <sheetData>
    <row r="1" ht="15" customHeight="1" s="95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</row>
    <row r="2" ht="24" customFormat="1" customHeight="1" s="3">
      <c r="A2" s="17" t="inlineStr">
        <is>
          <t>COMPETITIVE RENT ANALYSIS — MACEDONIA GARDEN | GREEN = Affordable Comps | BLUE = Market Rate Comps</t>
        </is>
      </c>
    </row>
    <row r="3" ht="20.25" customFormat="1" customHeight="1" s="3">
      <c r="A3" s="18" t="inlineStr">
        <is>
          <t>SUBJECT: Macedonia Garden | 1722 W 17th Street, Panama City, FL 32405 | 100 units | Program: Section 8/HUD | Bedroom Mix: 2BR / 3BR | County AMI: $94,100 | FMR Area: Panama City, FL MSA</t>
        </is>
      </c>
    </row>
    <row r="4" ht="90" customFormat="1" customHeight="1" s="3">
      <c r="A4" s="19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5" ht="30" customFormat="1" customHeight="1" s="3">
      <c r="A5" s="20" t="inlineStr">
        <is>
          <t>Rank</t>
        </is>
      </c>
      <c r="B5" s="20" t="inlineStr">
        <is>
          <t>Type</t>
        </is>
      </c>
      <c r="C5" s="20" t="inlineStr">
        <is>
          <t>Property Name</t>
        </is>
      </c>
      <c r="D5" s="20" t="inlineStr">
        <is>
          <t>Address</t>
        </is>
      </c>
      <c r="E5" s="20" t="inlineStr">
        <is>
          <t>City</t>
        </is>
      </c>
      <c r="F5" s="20" t="inlineStr">
        <is>
          <t>State</t>
        </is>
      </c>
      <c r="G5" s="20" t="inlineStr">
        <is>
          <t>ZIP</t>
        </is>
      </c>
      <c r="H5" s="20" t="inlineStr">
        <is>
          <t>Distance (mi)</t>
        </is>
      </c>
      <c r="I5" s="20" t="inlineStr">
        <is>
          <t>2BR Low ($)</t>
        </is>
      </c>
      <c r="J5" s="20" t="inlineStr">
        <is>
          <t>2BR Mid ($)</t>
        </is>
      </c>
      <c r="K5" s="21" t="inlineStr">
        <is>
          <t>2BR FMR ($)</t>
        </is>
      </c>
      <c r="L5" s="22" t="inlineStr">
        <is>
          <t>2BR Actual ($)</t>
        </is>
      </c>
      <c r="M5" s="20" t="inlineStr">
        <is>
          <t>3BR Low ($)</t>
        </is>
      </c>
      <c r="N5" s="20" t="inlineStr">
        <is>
          <t>3BR Mid ($)</t>
        </is>
      </c>
      <c r="O5" s="21" t="inlineStr">
        <is>
          <t>3BR FMR ($)</t>
        </is>
      </c>
      <c r="P5" s="22" t="inlineStr">
        <is>
          <t>3BR Actual ($)</t>
        </is>
      </c>
      <c r="Q5" s="20" t="inlineStr">
        <is>
          <t># Units</t>
        </is>
      </c>
      <c r="R5" s="20" t="inlineStr">
        <is>
          <t>Year Built</t>
        </is>
      </c>
      <c r="S5" s="20" t="inlineStr">
        <is>
          <t>Yr Diff</t>
        </is>
      </c>
      <c r="T5" s="20" t="inlineStr">
        <is>
          <t>Utilities Incl.</t>
        </is>
      </c>
      <c r="U5" s="20" t="inlineStr">
        <is>
          <t>Pet Friendly</t>
        </is>
      </c>
      <c r="V5" s="20" t="inlineStr">
        <is>
          <t>Gated</t>
        </is>
      </c>
      <c r="W5" s="20" t="inlineStr">
        <is>
          <t>Pool</t>
        </is>
      </c>
      <c r="X5" s="20" t="inlineStr">
        <is>
          <t>W/D In-Unit</t>
        </is>
      </c>
      <c r="Y5" s="20" t="inlineStr">
        <is>
          <t>Competition Level</t>
        </is>
      </c>
      <c r="Z5" s="20" t="inlineStr">
        <is>
          <t>Why Competitive</t>
        </is>
      </c>
      <c r="AA5" s="20" t="inlineStr">
        <is>
          <t>Data Source</t>
        </is>
      </c>
    </row>
    <row r="6" ht="54.75" customFormat="1" customHeight="1" s="3">
      <c r="A6" s="23" t="inlineStr">
        <is>
          <t>—</t>
        </is>
      </c>
      <c r="B6" s="23" t="inlineStr">
        <is>
          <t>SUBJECT</t>
        </is>
      </c>
      <c r="C6" s="24" t="inlineStr">
        <is>
          <t>Macedonia Garden (SUBJECT)</t>
        </is>
      </c>
      <c r="D6" s="23" t="inlineStr">
        <is>
          <t>1722 W 17th Street</t>
        </is>
      </c>
      <c r="E6" s="23" t="inlineStr">
        <is>
          <t>Panama City</t>
        </is>
      </c>
      <c r="F6" s="23" t="inlineStr">
        <is>
          <t>FL</t>
        </is>
      </c>
      <c r="G6" s="23" t="inlineStr">
        <is>
          <t>32405</t>
        </is>
      </c>
      <c r="H6" s="23" t="inlineStr">
        <is>
          <t>0.0 mi</t>
        </is>
      </c>
      <c r="I6" s="23" t="inlineStr">
        <is>
          <t>$3,529</t>
        </is>
      </c>
      <c r="J6" s="23" t="inlineStr">
        <is>
          <t>$4,235</t>
        </is>
      </c>
      <c r="K6" s="25" t="inlineStr">
        <is>
          <t>$1,426</t>
        </is>
      </c>
      <c r="L6" s="26" t="inlineStr">
        <is>
          <t>N/A</t>
        </is>
      </c>
      <c r="M6" s="23" t="inlineStr">
        <is>
          <t>$3,920</t>
        </is>
      </c>
      <c r="N6" s="23" t="inlineStr">
        <is>
          <t>$4,705</t>
        </is>
      </c>
      <c r="O6" s="25" t="inlineStr">
        <is>
          <t>$1,818</t>
        </is>
      </c>
      <c r="P6" s="26" t="inlineStr">
        <is>
          <t>N/A</t>
        </is>
      </c>
      <c r="Q6" s="23" t="inlineStr">
        <is>
          <t>100</t>
        </is>
      </c>
      <c r="R6" s="23" t="inlineStr">
        <is>
          <t>1969</t>
        </is>
      </c>
      <c r="S6" s="23" t="inlineStr">
        <is>
          <t>0</t>
        </is>
      </c>
      <c r="T6" s="23" t="inlineStr">
        <is>
          <t>Yes</t>
        </is>
      </c>
      <c r="U6" s="23" t="inlineStr">
        <is>
          <t>No</t>
        </is>
      </c>
      <c r="V6" s="23" t="inlineStr">
        <is>
          <t>No</t>
        </is>
      </c>
      <c r="W6" s="23" t="inlineStr">
        <is>
          <t>No</t>
        </is>
      </c>
      <c r="X6" s="23" t="inlineStr">
        <is>
          <t>No</t>
        </is>
      </c>
      <c r="Y6" s="27" t="inlineStr">
        <is>
          <t>SUBJECT</t>
        </is>
      </c>
      <c r="Z6" s="24" t="inlineStr">
        <is>
          <t>100 units | Section 8/HUD property. Year built: 1969. Subject property for market context.</t>
        </is>
      </c>
      <c r="AA6" s="23" t="inlineStr">
        <is>
          <t>Apartment Corp Records</t>
        </is>
      </c>
    </row>
    <row r="7" ht="54.75" customFormat="1" customHeight="1" s="3">
      <c r="A7" s="28" t="inlineStr">
        <is>
          <t>1</t>
        </is>
      </c>
      <c r="B7" s="28" t="inlineStr">
        <is>
          <t>AFFORDABLE</t>
        </is>
      </c>
      <c r="C7" s="29" t="inlineStr">
        <is>
          <t>Bay County Housing Authority - Millville Homes</t>
        </is>
      </c>
      <c r="D7" s="28" t="inlineStr">
        <is>
          <t>2200 W 11th St</t>
        </is>
      </c>
      <c r="E7" s="28" t="inlineStr">
        <is>
          <t>Panama City</t>
        </is>
      </c>
      <c r="F7" s="28" t="inlineStr">
        <is>
          <t>FL</t>
        </is>
      </c>
      <c r="G7" s="28" t="inlineStr">
        <is>
          <t>32401</t>
        </is>
      </c>
      <c r="H7" s="28" t="inlineStr">
        <is>
          <t>3.2 mi</t>
        </is>
      </c>
      <c r="I7" s="28" t="inlineStr">
        <is>
          <t>$3,529</t>
        </is>
      </c>
      <c r="J7" s="28" t="inlineStr">
        <is>
          <t>$4,235</t>
        </is>
      </c>
      <c r="K7" s="30" t="inlineStr">
        <is>
          <t>$1,426</t>
        </is>
      </c>
      <c r="L7" s="31" t="inlineStr">
        <is>
          <t>Not Listed</t>
        </is>
      </c>
      <c r="M7" s="28" t="inlineStr">
        <is>
          <t>$3,920</t>
        </is>
      </c>
      <c r="N7" s="28" t="inlineStr">
        <is>
          <t>$4,705</t>
        </is>
      </c>
      <c r="O7" s="30" t="inlineStr">
        <is>
          <t>$1,818</t>
        </is>
      </c>
      <c r="P7" s="31" t="inlineStr">
        <is>
          <t>Not Listed</t>
        </is>
      </c>
      <c r="Q7" s="28" t="inlineStr">
        <is>
          <t>100</t>
        </is>
      </c>
      <c r="R7" s="28" t="inlineStr">
        <is>
          <t>1969</t>
        </is>
      </c>
      <c r="S7" s="28" t="inlineStr">
        <is>
          <t>0</t>
        </is>
      </c>
      <c r="T7" s="28" t="inlineStr">
        <is>
          <t>Yes</t>
        </is>
      </c>
      <c r="U7" s="28" t="inlineStr">
        <is>
          <t>No</t>
        </is>
      </c>
      <c r="V7" s="28" t="inlineStr">
        <is>
          <t>No</t>
        </is>
      </c>
      <c r="W7" s="28" t="inlineStr">
        <is>
          <t>No</t>
        </is>
      </c>
      <c r="X7" s="28" t="inlineStr">
        <is>
          <t>No</t>
        </is>
      </c>
      <c r="Y7" s="32" t="inlineStr">
        <is>
          <t>HIGH</t>
        </is>
      </c>
      <c r="Z7" s="29" t="inlineStr">
        <is>
          <t>Affordable Comp #1: Public Housing/HUD property, 1969 vintage (0 yr diff), 100 units, 3.2 mi from subject. Same income-eligible renter pool.</t>
        </is>
      </c>
      <c r="AA7" s="28" t="inlineStr">
        <is>
          <t>Bay County Housing Authority</t>
        </is>
      </c>
    </row>
    <row r="8" ht="54.75" customFormat="1" customHeight="1" s="3">
      <c r="A8" s="33" t="inlineStr">
        <is>
          <t>2</t>
        </is>
      </c>
      <c r="B8" s="33" t="inlineStr">
        <is>
          <t>AFFORDABLE</t>
        </is>
      </c>
      <c r="C8" s="34" t="inlineStr">
        <is>
          <t>Pensacola Housing Authority - Attucks Court</t>
        </is>
      </c>
      <c r="D8" s="33" t="inlineStr">
        <is>
          <t>600 N Hayne St</t>
        </is>
      </c>
      <c r="E8" s="33" t="inlineStr">
        <is>
          <t>Pensacola</t>
        </is>
      </c>
      <c r="F8" s="33" t="inlineStr">
        <is>
          <t>FL</t>
        </is>
      </c>
      <c r="G8" s="33" t="inlineStr">
        <is>
          <t>32501</t>
        </is>
      </c>
      <c r="H8" s="33" t="inlineStr">
        <is>
          <t>95.0 mi</t>
        </is>
      </c>
      <c r="I8" s="33" t="inlineStr">
        <is>
          <t>$3,529</t>
        </is>
      </c>
      <c r="J8" s="33" t="inlineStr">
        <is>
          <t>$4,235</t>
        </is>
      </c>
      <c r="K8" s="30" t="inlineStr">
        <is>
          <t>$1,426</t>
        </is>
      </c>
      <c r="L8" s="31" t="inlineStr">
        <is>
          <t>Not Listed</t>
        </is>
      </c>
      <c r="M8" s="33" t="inlineStr">
        <is>
          <t>$3,920</t>
        </is>
      </c>
      <c r="N8" s="33" t="inlineStr">
        <is>
          <t>$4,705</t>
        </is>
      </c>
      <c r="O8" s="30" t="inlineStr">
        <is>
          <t>$1,818</t>
        </is>
      </c>
      <c r="P8" s="31" t="inlineStr">
        <is>
          <t>Not Listed</t>
        </is>
      </c>
      <c r="Q8" s="33" t="inlineStr">
        <is>
          <t>96</t>
        </is>
      </c>
      <c r="R8" s="33" t="inlineStr">
        <is>
          <t>1970</t>
        </is>
      </c>
      <c r="S8" s="33" t="inlineStr">
        <is>
          <t>1</t>
        </is>
      </c>
      <c r="T8" s="33" t="inlineStr">
        <is>
          <t>Yes</t>
        </is>
      </c>
      <c r="U8" s="33" t="inlineStr">
        <is>
          <t>No</t>
        </is>
      </c>
      <c r="V8" s="33" t="inlineStr">
        <is>
          <t>No</t>
        </is>
      </c>
      <c r="W8" s="33" t="inlineStr">
        <is>
          <t>No</t>
        </is>
      </c>
      <c r="X8" s="33" t="inlineStr">
        <is>
          <t>No</t>
        </is>
      </c>
      <c r="Y8" s="87" t="inlineStr">
        <is>
          <t>LOW-MODERATE</t>
        </is>
      </c>
      <c r="Z8" s="34" t="inlineStr">
        <is>
          <t>Affordable Comp #2: Public Housing/HUD property, 1970 vintage (1 yr diff), 96 units, 95.0 mi from subject. Same income-eligible renter pool.</t>
        </is>
      </c>
      <c r="AA8" s="33" t="inlineStr">
        <is>
          <t>Pensacola Housing Authority</t>
        </is>
      </c>
    </row>
    <row r="9" ht="54.75" customFormat="1" customHeight="1" s="3">
      <c r="A9" s="36" t="inlineStr">
        <is>
          <t>3</t>
        </is>
      </c>
      <c r="B9" s="36" t="inlineStr">
        <is>
          <t>AFFORDABLE</t>
        </is>
      </c>
      <c r="C9" s="37" t="inlineStr">
        <is>
          <t>Tallahassee Housing Authority - Bond Homes</t>
        </is>
      </c>
      <c r="D9" s="36" t="inlineStr">
        <is>
          <t>1400 S Bronough St</t>
        </is>
      </c>
      <c r="E9" s="36" t="inlineStr">
        <is>
          <t>Tallahassee</t>
        </is>
      </c>
      <c r="F9" s="36" t="inlineStr">
        <is>
          <t>FL</t>
        </is>
      </c>
      <c r="G9" s="36" t="inlineStr">
        <is>
          <t>32301</t>
        </is>
      </c>
      <c r="H9" s="36" t="inlineStr">
        <is>
          <t>100.0 mi</t>
        </is>
      </c>
      <c r="I9" s="36" t="inlineStr">
        <is>
          <t>$3,529</t>
        </is>
      </c>
      <c r="J9" s="36" t="inlineStr">
        <is>
          <t>$4,235</t>
        </is>
      </c>
      <c r="K9" s="30" t="inlineStr">
        <is>
          <t>$1,426</t>
        </is>
      </c>
      <c r="L9" s="31" t="inlineStr">
        <is>
          <t>Not Listed</t>
        </is>
      </c>
      <c r="M9" s="36" t="inlineStr">
        <is>
          <t>$3,920</t>
        </is>
      </c>
      <c r="N9" s="36" t="inlineStr">
        <is>
          <t>$4,705</t>
        </is>
      </c>
      <c r="O9" s="30" t="inlineStr">
        <is>
          <t>$1,818</t>
        </is>
      </c>
      <c r="P9" s="31" t="inlineStr">
        <is>
          <t>Not Listed</t>
        </is>
      </c>
      <c r="Q9" s="36" t="inlineStr">
        <is>
          <t>104</t>
        </is>
      </c>
      <c r="R9" s="36" t="inlineStr">
        <is>
          <t>1968</t>
        </is>
      </c>
      <c r="S9" s="36" t="inlineStr">
        <is>
          <t>1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88" t="inlineStr">
        <is>
          <t>LOW-MODERATE</t>
        </is>
      </c>
      <c r="Z9" s="37" t="inlineStr">
        <is>
          <t>Affordable Comp #3: Public Housing/HUD property, 1968 vintage (1 yr diff), 104 units, 100.0 mi from subject. Same income-eligible renter pool.</t>
        </is>
      </c>
      <c r="AA9" s="36" t="inlineStr">
        <is>
          <t>Tallahassee Housing Authority</t>
        </is>
      </c>
    </row>
    <row r="10" ht="54.75" customFormat="1" customHeight="1" s="3">
      <c r="A10" s="28" t="inlineStr">
        <is>
          <t>4</t>
        </is>
      </c>
      <c r="B10" s="28" t="inlineStr">
        <is>
          <t>AFFORDABLE</t>
        </is>
      </c>
      <c r="C10" s="29" t="inlineStr">
        <is>
          <t>Panama City Beach Housing Authority</t>
        </is>
      </c>
      <c r="D10" s="28" t="inlineStr">
        <is>
          <t>800 Thomas Dr</t>
        </is>
      </c>
      <c r="E10" s="28" t="inlineStr">
        <is>
          <t>Panama City Beach</t>
        </is>
      </c>
      <c r="F10" s="28" t="inlineStr">
        <is>
          <t>FL</t>
        </is>
      </c>
      <c r="G10" s="28" t="inlineStr">
        <is>
          <t>32408</t>
        </is>
      </c>
      <c r="H10" s="28" t="inlineStr">
        <is>
          <t>8.5 mi</t>
        </is>
      </c>
      <c r="I10" s="28" t="inlineStr">
        <is>
          <t>$3,529</t>
        </is>
      </c>
      <c r="J10" s="28" t="inlineStr">
        <is>
          <t>$4,235</t>
        </is>
      </c>
      <c r="K10" s="30" t="inlineStr">
        <is>
          <t>$1,426</t>
        </is>
      </c>
      <c r="L10" s="31" t="inlineStr">
        <is>
          <t>Not Listed</t>
        </is>
      </c>
      <c r="M10" s="28" t="inlineStr">
        <is>
          <t>$3,920</t>
        </is>
      </c>
      <c r="N10" s="28" t="inlineStr">
        <is>
          <t>$4,705</t>
        </is>
      </c>
      <c r="O10" s="30" t="inlineStr">
        <is>
          <t>$1,818</t>
        </is>
      </c>
      <c r="P10" s="31" t="inlineStr">
        <is>
          <t>Not Listed</t>
        </is>
      </c>
      <c r="Q10" s="28" t="inlineStr">
        <is>
          <t>88</t>
        </is>
      </c>
      <c r="R10" s="28" t="inlineStr">
        <is>
          <t>1970</t>
        </is>
      </c>
      <c r="S10" s="28" t="inlineStr">
        <is>
          <t>1</t>
        </is>
      </c>
      <c r="T10" s="28" t="inlineStr">
        <is>
          <t>Yes</t>
        </is>
      </c>
      <c r="U10" s="28" t="inlineStr">
        <is>
          <t>No</t>
        </is>
      </c>
      <c r="V10" s="28" t="inlineStr">
        <is>
          <t>No</t>
        </is>
      </c>
      <c r="W10" s="28" t="inlineStr">
        <is>
          <t>No</t>
        </is>
      </c>
      <c r="X10" s="28" t="inlineStr">
        <is>
          <t>No</t>
        </is>
      </c>
      <c r="Y10" s="32" t="inlineStr">
        <is>
          <t>HIGH</t>
        </is>
      </c>
      <c r="Z10" s="29" t="inlineStr">
        <is>
          <t>Affordable Comp #4: Section 8/HUD property, 1970 vintage (1 yr diff), 88 units, 8.5 mi from subject. Same income-eligible renter pool.</t>
        </is>
      </c>
      <c r="AA10" s="28" t="inlineStr">
        <is>
          <t>HUD Multifamily Assisted Housing</t>
        </is>
      </c>
    </row>
    <row r="11" ht="54.75" customFormat="1" customHeight="1" s="3">
      <c r="A11" s="39" t="inlineStr">
        <is>
          <t>1</t>
        </is>
      </c>
      <c r="B11" s="39" t="inlineStr">
        <is>
          <t>MARKET RATE</t>
        </is>
      </c>
      <c r="C11" s="40" t="inlineStr">
        <is>
          <t>Bay Breeze Apartments</t>
        </is>
      </c>
      <c r="D11" s="39" t="inlineStr">
        <is>
          <t>2300 W 15th St, Panama City, FL 32401</t>
        </is>
      </c>
      <c r="E11" s="39" t="inlineStr">
        <is>
          <t>Panama City</t>
        </is>
      </c>
      <c r="F11" s="39" t="inlineStr">
        <is>
          <t>FL</t>
        </is>
      </c>
      <c r="G11" s="39" t="n"/>
      <c r="H11" s="39" t="inlineStr">
        <is>
          <t>2.3 mi</t>
        </is>
      </c>
      <c r="I11" s="39" t="inlineStr">
        <is>
          <t>N/A (Market Rate)</t>
        </is>
      </c>
      <c r="J11" s="39" t="inlineStr">
        <is>
          <t>N/A (Market Rate)</t>
        </is>
      </c>
      <c r="K11" s="30" t="inlineStr">
        <is>
          <t>$1,426</t>
        </is>
      </c>
      <c r="L11" s="31" t="inlineStr">
        <is>
          <t>$1,050</t>
        </is>
      </c>
      <c r="M11" s="39" t="inlineStr">
        <is>
          <t>N/A (Market Rate)</t>
        </is>
      </c>
      <c r="N11" s="39" t="inlineStr">
        <is>
          <t>N/A (Market Rate)</t>
        </is>
      </c>
      <c r="O11" s="30" t="inlineStr">
        <is>
          <t>$1,818</t>
        </is>
      </c>
      <c r="P11" s="31" t="inlineStr">
        <is>
          <t>$1,350</t>
        </is>
      </c>
      <c r="Q11" s="39" t="inlineStr">
        <is>
          <t>88</t>
        </is>
      </c>
      <c r="R11" s="39" t="inlineStr">
        <is>
          <t>1972</t>
        </is>
      </c>
      <c r="S11" s="39" t="inlineStr">
        <is>
          <t>3</t>
        </is>
      </c>
      <c r="T11" s="39" t="inlineStr">
        <is>
          <t>Varies</t>
        </is>
      </c>
      <c r="U11" s="39" t="inlineStr">
        <is>
          <t>Varies</t>
        </is>
      </c>
      <c r="V11" s="39" t="inlineStr">
        <is>
          <t>Varies</t>
        </is>
      </c>
      <c r="W11" s="39" t="inlineStr">
        <is>
          <t>Varies</t>
        </is>
      </c>
      <c r="X11" s="39" t="inlineStr">
        <is>
          <t>Varies</t>
        </is>
      </c>
      <c r="Y11" s="41" t="inlineStr">
        <is>
          <t>HIGH</t>
        </is>
      </c>
      <c r="Z11" s="40" t="inlineStr">
        <is>
          <t>Market Rate Comp #1: No income restrictions, 1972 vintage (3 yr diff), 88 units, 2.3 mi from subject. Shows market-rate rents vs. affordable housing discount.</t>
        </is>
      </c>
      <c r="AA11" s="39" t="inlineStr">
        <is>
          <t>https://www.rentcafe.com/apartments-for-rent/us/fl/panama-city/</t>
        </is>
      </c>
    </row>
    <row r="12" ht="54.75" customFormat="1" customHeight="1" s="3">
      <c r="A12" s="42" t="inlineStr">
        <is>
          <t>2</t>
        </is>
      </c>
      <c r="B12" s="42" t="inlineStr">
        <is>
          <t>MARKET RATE</t>
        </is>
      </c>
      <c r="C12" s="43" t="inlineStr">
        <is>
          <t>Cove Apartments</t>
        </is>
      </c>
      <c r="D12" s="42" t="inlineStr">
        <is>
          <t>1800 E 4th St, Panama City, FL 32401</t>
        </is>
      </c>
      <c r="E12" s="42" t="inlineStr">
        <is>
          <t>Panama City</t>
        </is>
      </c>
      <c r="F12" s="42" t="inlineStr">
        <is>
          <t>FL</t>
        </is>
      </c>
      <c r="G12" s="42" t="n"/>
      <c r="H12" s="42" t="inlineStr">
        <is>
          <t>3.1 mi</t>
        </is>
      </c>
      <c r="I12" s="42" t="inlineStr">
        <is>
          <t>N/A (Market Rate)</t>
        </is>
      </c>
      <c r="J12" s="42" t="inlineStr">
        <is>
          <t>N/A (Market Rate)</t>
        </is>
      </c>
      <c r="K12" s="30" t="inlineStr">
        <is>
          <t>$1,426</t>
        </is>
      </c>
      <c r="L12" s="31" t="inlineStr">
        <is>
          <t>$1,025</t>
        </is>
      </c>
      <c r="M12" s="42" t="inlineStr">
        <is>
          <t>N/A (Market Rate)</t>
        </is>
      </c>
      <c r="N12" s="42" t="inlineStr">
        <is>
          <t>N/A (Market Rate)</t>
        </is>
      </c>
      <c r="O12" s="30" t="inlineStr">
        <is>
          <t>$1,818</t>
        </is>
      </c>
      <c r="P12" s="31" t="inlineStr">
        <is>
          <t>$1,300</t>
        </is>
      </c>
      <c r="Q12" s="42" t="inlineStr">
        <is>
          <t>72</t>
        </is>
      </c>
      <c r="R12" s="42" t="inlineStr">
        <is>
          <t>1968</t>
        </is>
      </c>
      <c r="S12" s="42" t="inlineStr">
        <is>
          <t>1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#2: No income restrictions, 1968 vintage (1 yr diff), 72 units, 3.1 mi from subject. Shows market-rate rents vs. affordable housing discount.</t>
        </is>
      </c>
      <c r="AA12" s="42" t="inlineStr">
        <is>
          <t>https://www.rentcafe.com/apartments-for-rent/us/fl/panama-city/</t>
        </is>
      </c>
    </row>
    <row r="13" ht="54.75" customFormat="1" customHeight="1" s="3">
      <c r="A13" s="45" t="inlineStr">
        <is>
          <t>3</t>
        </is>
      </c>
      <c r="B13" s="45" t="inlineStr">
        <is>
          <t>MARKET RATE</t>
        </is>
      </c>
      <c r="C13" s="46" t="inlineStr">
        <is>
          <t>Magnolia Terrace Apartments</t>
        </is>
      </c>
      <c r="D13" s="45" t="inlineStr">
        <is>
          <t>3400 Minnesota Ave, Lynn Haven, FL 32444</t>
        </is>
      </c>
      <c r="E13" s="45" t="inlineStr">
        <is>
          <t>Lynn Haven</t>
        </is>
      </c>
      <c r="F13" s="45" t="inlineStr">
        <is>
          <t>FL</t>
        </is>
      </c>
      <c r="G13" s="45" t="n"/>
      <c r="H13" s="45" t="inlineStr">
        <is>
          <t>5.5 mi</t>
        </is>
      </c>
      <c r="I13" s="45" t="inlineStr">
        <is>
          <t>N/A (Market Rate)</t>
        </is>
      </c>
      <c r="J13" s="45" t="inlineStr">
        <is>
          <t>N/A (Market Rate)</t>
        </is>
      </c>
      <c r="K13" s="30" t="inlineStr">
        <is>
          <t>$1,426</t>
        </is>
      </c>
      <c r="L13" s="31" t="inlineStr">
        <is>
          <t>$1,100</t>
        </is>
      </c>
      <c r="M13" s="45" t="inlineStr">
        <is>
          <t>N/A (Market Rate)</t>
        </is>
      </c>
      <c r="N13" s="45" t="inlineStr">
        <is>
          <t>N/A (Market Rate)</t>
        </is>
      </c>
      <c r="O13" s="30" t="inlineStr">
        <is>
          <t>$1,818</t>
        </is>
      </c>
      <c r="P13" s="31" t="inlineStr">
        <is>
          <t>$1,400</t>
        </is>
      </c>
      <c r="Q13" s="45" t="inlineStr">
        <is>
          <t>100</t>
        </is>
      </c>
      <c r="R13" s="45" t="inlineStr">
        <is>
          <t>1975</t>
        </is>
      </c>
      <c r="S13" s="45" t="inlineStr">
        <is>
          <t>6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#3: No income restrictions, 1975 vintage (6 yr diff), 100 units, 5.5 mi from subject. Shows market-rate rents vs. affordable housing discount.</t>
        </is>
      </c>
      <c r="AA13" s="45" t="inlineStr">
        <is>
          <t>https://www.rentcafe.com/apartments-for-rent/us/fl/lynn-haven/</t>
        </is>
      </c>
    </row>
    <row r="14" ht="54.75" customFormat="1" customHeight="1" s="3">
      <c r="A14" s="39" t="inlineStr">
        <is>
          <t>4</t>
        </is>
      </c>
      <c r="B14" s="39" t="inlineStr">
        <is>
          <t>MARKET RATE</t>
        </is>
      </c>
      <c r="C14" s="40" t="inlineStr">
        <is>
          <t>Parker Apartments</t>
        </is>
      </c>
      <c r="D14" s="39" t="inlineStr">
        <is>
          <t>2100 E 23rd St, Panama City, FL 32405</t>
        </is>
      </c>
      <c r="E14" s="39" t="inlineStr">
        <is>
          <t>Panama City</t>
        </is>
      </c>
      <c r="F14" s="39" t="inlineStr">
        <is>
          <t>FL</t>
        </is>
      </c>
      <c r="G14" s="39" t="n"/>
      <c r="H14" s="39" t="inlineStr">
        <is>
          <t>4.2 mi</t>
        </is>
      </c>
      <c r="I14" s="39" t="inlineStr">
        <is>
          <t>N/A (Market Rate)</t>
        </is>
      </c>
      <c r="J14" s="39" t="inlineStr">
        <is>
          <t>N/A (Market Rate)</t>
        </is>
      </c>
      <c r="K14" s="30" t="inlineStr">
        <is>
          <t>$1,426</t>
        </is>
      </c>
      <c r="L14" s="31" t="inlineStr">
        <is>
          <t>$1,075</t>
        </is>
      </c>
      <c r="M14" s="39" t="inlineStr">
        <is>
          <t>N/A (Market Rate)</t>
        </is>
      </c>
      <c r="N14" s="39" t="inlineStr">
        <is>
          <t>N/A (Market Rate)</t>
        </is>
      </c>
      <c r="O14" s="30" t="inlineStr">
        <is>
          <t>$1,818</t>
        </is>
      </c>
      <c r="P14" s="31" t="inlineStr">
        <is>
          <t>$1,375</t>
        </is>
      </c>
      <c r="Q14" s="39" t="inlineStr">
        <is>
          <t>56</t>
        </is>
      </c>
      <c r="R14" s="39" t="inlineStr">
        <is>
          <t>1971</t>
        </is>
      </c>
      <c r="S14" s="39" t="inlineStr">
        <is>
          <t>2</t>
        </is>
      </c>
      <c r="T14" s="39" t="inlineStr">
        <is>
          <t>Varies</t>
        </is>
      </c>
      <c r="U14" s="39" t="inlineStr">
        <is>
          <t>Varies</t>
        </is>
      </c>
      <c r="V14" s="39" t="inlineStr">
        <is>
          <t>Varies</t>
        </is>
      </c>
      <c r="W14" s="39" t="inlineStr">
        <is>
          <t>Varies</t>
        </is>
      </c>
      <c r="X14" s="39" t="inlineStr">
        <is>
          <t>Varies</t>
        </is>
      </c>
      <c r="Y14" s="41" t="inlineStr">
        <is>
          <t>HIGH</t>
        </is>
      </c>
      <c r="Z14" s="40" t="inlineStr">
        <is>
          <t>Market Rate Comp #4: No income restrictions, 1971 vintage (2 yr diff), 56 units, 4.2 mi from subject. Shows market-rate rents vs. affordable housing discount.</t>
        </is>
      </c>
      <c r="AA14" s="39" t="inlineStr">
        <is>
          <t>https://www.rentcafe.com/apartments-for-rent/us/fl/panama-city/</t>
        </is>
      </c>
    </row>
    <row r="15" ht="54.75" customFormat="1" customHeight="1" s="3">
      <c r="A15" s="48" t="inlineStr">
        <is>
          <t>—</t>
        </is>
      </c>
      <c r="B15" s="48" t="inlineStr">
        <is>
          <t>BENCHMARK</t>
        </is>
      </c>
      <c r="C15" s="49" t="inlineStr">
        <is>
          <t>FY2026 FMR — Panama City, FL MSA</t>
        </is>
      </c>
      <c r="D15" s="48" t="inlineStr">
        <is>
          <t>N/A</t>
        </is>
      </c>
      <c r="E15" s="48" t="inlineStr">
        <is>
          <t>Panama City</t>
        </is>
      </c>
      <c r="F15" s="48" t="inlineStr">
        <is>
          <t>FL</t>
        </is>
      </c>
      <c r="G15" s="48" t="inlineStr">
        <is>
          <t>N/A</t>
        </is>
      </c>
      <c r="H15" s="48" t="inlineStr">
        <is>
          <t>N/A</t>
        </is>
      </c>
      <c r="I15" s="48" t="inlineStr">
        <is>
          <t>$1,426</t>
        </is>
      </c>
      <c r="J15" s="48" t="inlineStr">
        <is>
          <t>$1,426</t>
        </is>
      </c>
      <c r="K15" s="30" t="inlineStr">
        <is>
          <t>$1,426</t>
        </is>
      </c>
      <c r="L15" s="31" t="inlineStr">
        <is>
          <t>N/A</t>
        </is>
      </c>
      <c r="M15" s="48" t="inlineStr">
        <is>
          <t>$1,818</t>
        </is>
      </c>
      <c r="N15" s="48" t="inlineStr">
        <is>
          <t>$1,818</t>
        </is>
      </c>
      <c r="O15" s="30" t="inlineStr">
        <is>
          <t>$1,818</t>
        </is>
      </c>
      <c r="P15" s="31" t="inlineStr">
        <is>
          <t>N/A</t>
        </is>
      </c>
      <c r="Q15" s="48" t="inlineStr">
        <is>
          <t>N/A</t>
        </is>
      </c>
      <c r="R15" s="48" t="inlineStr">
        <is>
          <t>N/A</t>
        </is>
      </c>
      <c r="S15" s="48" t="inlineStr">
        <is>
          <t>N/A</t>
        </is>
      </c>
      <c r="T15" s="48" t="inlineStr">
        <is>
          <t>N/A</t>
        </is>
      </c>
      <c r="U15" s="48" t="inlineStr">
        <is>
          <t>N/A</t>
        </is>
      </c>
      <c r="V15" s="48" t="inlineStr">
        <is>
          <t>N/A</t>
        </is>
      </c>
      <c r="W15" s="48" t="inlineStr">
        <is>
          <t>N/A</t>
        </is>
      </c>
      <c r="X15" s="48" t="inlineStr">
        <is>
          <t>N/A</t>
        </is>
      </c>
      <c r="Y15" s="50" t="inlineStr">
        <is>
          <t>BENCHMARK</t>
        </is>
      </c>
      <c r="Z15" s="49" t="inlineStr">
        <is>
          <t>BENCHMARK — HUD Fair Market Rent (FMR) for Panama City, FL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5" s="48" t="inlineStr">
        <is>
          <t>HUD FMR Database (huduser.gov)</t>
        </is>
      </c>
    </row>
    <row r="16" ht="54.75" customFormat="1" customHeight="1" s="3">
      <c r="A16" s="48" t="inlineStr">
        <is>
          <t>—</t>
        </is>
      </c>
      <c r="B16" s="48" t="inlineStr">
        <is>
          <t>BENCHMARK</t>
        </is>
      </c>
      <c r="C16" s="49" t="inlineStr">
        <is>
          <t>Metro Market Avg — Panama City</t>
        </is>
      </c>
      <c r="D16" s="48" t="inlineStr">
        <is>
          <t>N/A</t>
        </is>
      </c>
      <c r="E16" s="48" t="inlineStr">
        <is>
          <t>Panama City</t>
        </is>
      </c>
      <c r="F16" s="48" t="inlineStr">
        <is>
          <t>FL</t>
        </is>
      </c>
      <c r="G16" s="48" t="inlineStr">
        <is>
          <t>N/A</t>
        </is>
      </c>
      <c r="H16" s="48" t="inlineStr">
        <is>
          <t>N/A</t>
        </is>
      </c>
      <c r="I16" s="48" t="inlineStr">
        <is>
          <t>$1,568</t>
        </is>
      </c>
      <c r="J16" s="48" t="inlineStr">
        <is>
          <t>$1,568</t>
        </is>
      </c>
      <c r="K16" s="30" t="inlineStr">
        <is>
          <t>$1,568</t>
        </is>
      </c>
      <c r="L16" s="31" t="inlineStr">
        <is>
          <t>N/A</t>
        </is>
      </c>
      <c r="M16" s="48" t="inlineStr">
        <is>
          <t>$1,999</t>
        </is>
      </c>
      <c r="N16" s="48" t="inlineStr">
        <is>
          <t>$1,999</t>
        </is>
      </c>
      <c r="O16" s="30" t="inlineStr">
        <is>
          <t>$1,999</t>
        </is>
      </c>
      <c r="P16" s="31" t="inlineStr">
        <is>
          <t>N/A</t>
        </is>
      </c>
      <c r="Q16" s="48" t="inlineStr">
        <is>
          <t>N/A</t>
        </is>
      </c>
      <c r="R16" s="48" t="inlineStr">
        <is>
          <t>N/A</t>
        </is>
      </c>
      <c r="S16" s="48" t="inlineStr">
        <is>
          <t>N/A</t>
        </is>
      </c>
      <c r="T16" s="48" t="inlineStr">
        <is>
          <t>N/A</t>
        </is>
      </c>
      <c r="U16" s="48" t="inlineStr">
        <is>
          <t>N/A</t>
        </is>
      </c>
      <c r="V16" s="48" t="inlineStr">
        <is>
          <t>N/A</t>
        </is>
      </c>
      <c r="W16" s="48" t="inlineStr">
        <is>
          <t>N/A</t>
        </is>
      </c>
      <c r="X16" s="48" t="inlineStr">
        <is>
          <t>N/A</t>
        </is>
      </c>
      <c r="Y16" s="50" t="inlineStr">
        <is>
          <t>BENCHMARK</t>
        </is>
      </c>
      <c r="Z16" s="49" t="inlineStr">
        <is>
          <t>BENCHMARK — Estimated Metro Market Average for Panama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6" s="48" t="inlineStr">
        <is>
          <t>HUD FMR + Market Estimate</t>
        </is>
      </c>
    </row>
    <row r="17" ht="8.25" customFormat="1" customHeight="1" s="3"/>
    <row r="18" ht="27.75" customFormat="1" customHeight="1" s="3">
      <c r="A18" s="51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 ht="15" customHeight="1" s="95">
      <c r="C20" s="86" t="inlineStr">
        <is>
          <t>50% AMI</t>
        </is>
      </c>
      <c r="D20" s="86" t="inlineStr">
        <is>
          <t>UAP</t>
        </is>
      </c>
      <c r="E20" s="86" t="inlineStr">
        <is>
          <t>Section 8 Rent</t>
        </is>
      </c>
    </row>
    <row r="21" ht="15" customHeight="1" s="95">
      <c r="B21" s="3" t="n">
        <v>2</v>
      </c>
      <c r="C21" s="86" t="n">
        <v>1292</v>
      </c>
      <c r="D21" s="86" t="n">
        <v>454</v>
      </c>
      <c r="E21" s="86" t="n">
        <v>1400</v>
      </c>
    </row>
    <row r="22" ht="15" customHeight="1" s="95">
      <c r="B22" s="3" t="n">
        <v>3</v>
      </c>
      <c r="C22" s="86" t="n">
        <v>1641</v>
      </c>
      <c r="D22" s="86" t="n">
        <v>454</v>
      </c>
      <c r="E22" s="86" t="n">
        <v>1641</v>
      </c>
    </row>
    <row r="25" ht="15" customHeight="1" s="95">
      <c r="A25" s="61" t="inlineStr">
        <is>
          <t>PMTS — Vouchers / FMR / UAP / NET FMR</t>
        </is>
      </c>
      <c r="B25" s="101" t="n"/>
      <c r="C25" s="101" t="n"/>
      <c r="D25" s="101" t="n"/>
      <c r="E25" s="101" t="n"/>
      <c r="F25" s="102" t="n"/>
    </row>
    <row r="26" ht="15" customHeight="1" s="95">
      <c r="A26" s="64" t="inlineStr">
        <is>
          <t>BD</t>
        </is>
      </c>
      <c r="B26" s="65" t="inlineStr">
        <is>
          <t>MKT</t>
        </is>
      </c>
      <c r="C26" s="66" t="inlineStr">
        <is>
          <t>VCH</t>
        </is>
      </c>
      <c r="D26" s="67" t="inlineStr">
        <is>
          <t>FMR</t>
        </is>
      </c>
      <c r="E26" s="68" t="inlineStr">
        <is>
          <t>UAP</t>
        </is>
      </c>
      <c r="F26" s="69" t="inlineStr">
        <is>
          <t>NET</t>
        </is>
      </c>
    </row>
    <row r="27" ht="15" customHeight="1" s="95">
      <c r="A27" s="70" t="inlineStr">
        <is>
          <t>2BD</t>
        </is>
      </c>
      <c r="B27" s="71" t="n">
        <v>0</v>
      </c>
      <c r="C27" s="71" t="n">
        <v>0</v>
      </c>
      <c r="D27" s="71" t="n">
        <v>1620</v>
      </c>
      <c r="E27" s="72" t="n">
        <v>127</v>
      </c>
      <c r="F27" s="73" t="n">
        <v>1493</v>
      </c>
    </row>
    <row r="28" ht="15" customHeight="1" s="95">
      <c r="A28" s="74" t="inlineStr">
        <is>
          <t>3BD</t>
        </is>
      </c>
      <c r="B28" s="75" t="n">
        <v>0</v>
      </c>
      <c r="C28" s="75" t="n">
        <v>0</v>
      </c>
      <c r="D28" s="75" t="n">
        <v>2150</v>
      </c>
      <c r="E28" s="72" t="n">
        <v>150</v>
      </c>
      <c r="F28" s="73" t="n">
        <v>2000</v>
      </c>
    </row>
    <row r="31" ht="15" customHeight="1" s="95">
      <c r="A31" s="61" t="inlineStr">
        <is>
          <t>HAP, CoStar, NET</t>
        </is>
      </c>
      <c r="B31" s="101" t="n"/>
      <c r="C31" s="102" t="n"/>
    </row>
    <row r="32" ht="15" customHeight="1" s="95">
      <c r="A32" s="64" t="n"/>
      <c r="B32" s="68" t="inlineStr">
        <is>
          <t>HAP</t>
        </is>
      </c>
      <c r="C32" s="65" t="inlineStr">
        <is>
          <t>CoStar</t>
        </is>
      </c>
    </row>
    <row r="33" ht="15" customHeight="1" s="95">
      <c r="A33" s="70" t="inlineStr">
        <is>
          <t>2BD</t>
        </is>
      </c>
      <c r="B33" s="103" t="n">
        <v>1390</v>
      </c>
      <c r="C33" s="104" t="n">
        <v>1401</v>
      </c>
    </row>
    <row r="34" ht="15" customHeight="1" s="95">
      <c r="A34" s="74" t="inlineStr">
        <is>
          <t>3BD</t>
        </is>
      </c>
      <c r="B34" s="103" t="n">
        <v>1545</v>
      </c>
      <c r="C34" s="104" t="n">
        <v>1614</v>
      </c>
    </row>
  </sheetData>
  <mergeCells count="6">
    <mergeCell ref="A18:AA18"/>
    <mergeCell ref="A4:AA4"/>
    <mergeCell ref="A3:AA3"/>
    <mergeCell ref="A31:C31"/>
    <mergeCell ref="A2:AA2"/>
    <mergeCell ref="A25:F25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theme="3" tint="0.4"/>
    <outlinePr summaryBelow="1" summaryRight="1"/>
    <pageSetUpPr/>
  </sheetPr>
  <dimension ref="A1:AA46"/>
  <sheetViews>
    <sheetView topLeftCell="A1" workbookViewId="0">
      <pane ySplit="1" topLeftCell="A14" activePane="bottomLeft" state="frozen"/>
      <selection pane="bottomLeft" activeCell="F8" sqref="F8"/>
    </sheetView>
  </sheetViews>
  <sheetFormatPr baseColWidth="8" defaultColWidth="9.140625" defaultRowHeight="15" customHeight="1"/>
  <cols>
    <col width="8.00390625" customWidth="1" style="3" min="1" max="1"/>
    <col width="14.00390625" customWidth="1" style="3" min="2" max="2"/>
    <col width="28.00390625" customWidth="1" style="3" min="3" max="3"/>
    <col width="22.00390625" customWidth="1" style="3" min="4" max="4"/>
    <col width="16.00390625" customWidth="1" style="3" min="5" max="5"/>
    <col width="10.00390625" customWidth="1" style="3" min="6" max="6"/>
    <col width="8.00390625" customWidth="1" style="3" min="7" max="7"/>
    <col width="11.00390625" customWidth="1" style="3" min="8" max="8"/>
    <col width="10.00390625" customWidth="1" style="3" min="9" max="11"/>
    <col width="12.00390625" customWidth="1" style="3" min="12" max="12"/>
    <col width="10.00390625" customWidth="1" style="3" min="13" max="15"/>
    <col width="12.00390625" customWidth="1" style="3" min="16" max="16"/>
    <col width="8.00390625" customWidth="1" style="3" min="17" max="17"/>
    <col width="10.00390625" customWidth="1" style="3" min="18" max="18"/>
    <col width="7.00390625" customWidth="1" style="3" min="19" max="19"/>
    <col width="12.00390625" customWidth="1" style="3" min="20" max="21"/>
    <col width="8.00390625" customWidth="1" style="3" min="22" max="23"/>
    <col width="10.00390625" customWidth="1" style="3" min="24" max="24"/>
    <col width="16.00390625" customWidth="1" style="3" min="25" max="25"/>
    <col width="45.00390625" customWidth="1" style="3" min="26" max="26"/>
    <col width="28.00390625" customWidth="1" style="3" min="27" max="27"/>
  </cols>
  <sheetData>
    <row r="1" ht="15" customHeight="1" s="95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</row>
    <row r="2" ht="24" customFormat="1" customHeight="1" s="3">
      <c r="A2" s="17" t="inlineStr">
        <is>
          <t>COMPETITIVE RENT ANALYSIS — CORAL VILLAGE | GREEN = Affordable Comps | BLUE = Market Rate Comps</t>
        </is>
      </c>
    </row>
    <row r="3" ht="20.25" customFormat="1" customHeight="1" s="3">
      <c r="A3" s="18" t="inlineStr">
        <is>
          <t>SUBJECT: Coral Village | Cape Coral, Cape Coral, FL 33990 | 72 units | Program: Section 8/HUD | Bedroom Mix: 1BR / 2BR | County AMI: $92,500 | FMR Area: Cape Coral-Fort Myers MSA</t>
        </is>
      </c>
    </row>
    <row r="4" ht="90" customFormat="1" customHeight="1" s="3">
      <c r="A4" s="19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5" ht="30" customFormat="1" customHeight="1" s="3">
      <c r="A5" s="20" t="inlineStr">
        <is>
          <t>Rank</t>
        </is>
      </c>
      <c r="B5" s="20" t="inlineStr">
        <is>
          <t>Type</t>
        </is>
      </c>
      <c r="C5" s="20" t="inlineStr">
        <is>
          <t>Property Name</t>
        </is>
      </c>
      <c r="D5" s="20" t="inlineStr">
        <is>
          <t>Address</t>
        </is>
      </c>
      <c r="E5" s="20" t="inlineStr">
        <is>
          <t>City</t>
        </is>
      </c>
      <c r="F5" s="20" t="inlineStr">
        <is>
          <t>State</t>
        </is>
      </c>
      <c r="G5" s="20" t="inlineStr">
        <is>
          <t>ZIP</t>
        </is>
      </c>
      <c r="H5" s="20" t="inlineStr">
        <is>
          <t>Distance (mi)</t>
        </is>
      </c>
      <c r="I5" s="20" t="inlineStr">
        <is>
          <t>1BR Low ($)</t>
        </is>
      </c>
      <c r="J5" s="20" t="inlineStr">
        <is>
          <t>1BR Mid ($)</t>
        </is>
      </c>
      <c r="K5" s="21" t="inlineStr">
        <is>
          <t>1BR FMR ($)</t>
        </is>
      </c>
      <c r="L5" s="22" t="inlineStr">
        <is>
          <t>1BR Actual ($)</t>
        </is>
      </c>
      <c r="M5" s="20" t="inlineStr">
        <is>
          <t>2BR Low ($)</t>
        </is>
      </c>
      <c r="N5" s="20" t="inlineStr">
        <is>
          <t>2BR Mid ($)</t>
        </is>
      </c>
      <c r="O5" s="21" t="inlineStr">
        <is>
          <t>2BR FMR ($)</t>
        </is>
      </c>
      <c r="P5" s="22" t="inlineStr">
        <is>
          <t>2BR Actual ($)</t>
        </is>
      </c>
      <c r="Q5" s="20" t="inlineStr">
        <is>
          <t># Units</t>
        </is>
      </c>
      <c r="R5" s="20" t="inlineStr">
        <is>
          <t>Year Built</t>
        </is>
      </c>
      <c r="S5" s="20" t="inlineStr">
        <is>
          <t>Yr Diff</t>
        </is>
      </c>
      <c r="T5" s="20" t="inlineStr">
        <is>
          <t>Utilities Incl.</t>
        </is>
      </c>
      <c r="U5" s="20" t="inlineStr">
        <is>
          <t>Pet Friendly</t>
        </is>
      </c>
      <c r="V5" s="20" t="inlineStr">
        <is>
          <t>Gated</t>
        </is>
      </c>
      <c r="W5" s="20" t="inlineStr">
        <is>
          <t>Pool</t>
        </is>
      </c>
      <c r="X5" s="20" t="inlineStr">
        <is>
          <t>W/D In-Unit</t>
        </is>
      </c>
      <c r="Y5" s="20" t="inlineStr">
        <is>
          <t>Competition Level</t>
        </is>
      </c>
      <c r="Z5" s="20" t="inlineStr">
        <is>
          <t>Why Competitive</t>
        </is>
      </c>
      <c r="AA5" s="20" t="inlineStr">
        <is>
          <t>Data Source</t>
        </is>
      </c>
    </row>
    <row r="6" ht="54.75" customFormat="1" customHeight="1" s="3">
      <c r="A6" s="23" t="inlineStr">
        <is>
          <t>—</t>
        </is>
      </c>
      <c r="B6" s="23" t="inlineStr">
        <is>
          <t>SUBJECT</t>
        </is>
      </c>
      <c r="C6" s="24" t="inlineStr">
        <is>
          <t>Coral Village (SUBJECT)</t>
        </is>
      </c>
      <c r="D6" s="23" t="inlineStr">
        <is>
          <t>Cape Coral</t>
        </is>
      </c>
      <c r="E6" s="23" t="inlineStr">
        <is>
          <t>Cape Coral</t>
        </is>
      </c>
      <c r="F6" s="23" t="inlineStr">
        <is>
          <t>FL</t>
        </is>
      </c>
      <c r="G6" s="23" t="inlineStr">
        <is>
          <t>33990</t>
        </is>
      </c>
      <c r="H6" s="23" t="inlineStr">
        <is>
          <t>0.0 mi</t>
        </is>
      </c>
      <c r="I6" s="23" t="inlineStr">
        <is>
          <t>$3,193</t>
        </is>
      </c>
      <c r="J6" s="23" t="inlineStr">
        <is>
          <t>$3,832</t>
        </is>
      </c>
      <c r="K6" s="25" t="inlineStr">
        <is>
          <t>$1,371</t>
        </is>
      </c>
      <c r="L6" s="26" t="inlineStr">
        <is>
          <t>N/A</t>
        </is>
      </c>
      <c r="M6" s="23" t="inlineStr">
        <is>
          <t>$3,829</t>
        </is>
      </c>
      <c r="N6" s="23" t="inlineStr">
        <is>
          <t>$4,595</t>
        </is>
      </c>
      <c r="O6" s="25" t="inlineStr">
        <is>
          <t>$1,876</t>
        </is>
      </c>
      <c r="P6" s="26" t="inlineStr">
        <is>
          <t>N/A</t>
        </is>
      </c>
      <c r="Q6" s="23" t="inlineStr">
        <is>
          <t>72</t>
        </is>
      </c>
      <c r="R6" s="23" t="inlineStr">
        <is>
          <t>1999</t>
        </is>
      </c>
      <c r="S6" s="23" t="inlineStr">
        <is>
          <t>0</t>
        </is>
      </c>
      <c r="T6" s="23" t="inlineStr">
        <is>
          <t>Yes</t>
        </is>
      </c>
      <c r="U6" s="23" t="inlineStr">
        <is>
          <t>No</t>
        </is>
      </c>
      <c r="V6" s="23" t="inlineStr">
        <is>
          <t>No</t>
        </is>
      </c>
      <c r="W6" s="23" t="inlineStr">
        <is>
          <t>Yes</t>
        </is>
      </c>
      <c r="X6" s="23" t="inlineStr">
        <is>
          <t>No</t>
        </is>
      </c>
      <c r="Y6" s="27" t="inlineStr">
        <is>
          <t>SUBJECT</t>
        </is>
      </c>
      <c r="Z6" s="24" t="inlineStr">
        <is>
          <t>72 units | Section 8/HUD property. Year built: 1999. Subject property for market context.</t>
        </is>
      </c>
      <c r="AA6" s="23" t="inlineStr">
        <is>
          <t>Apartment Corp Records</t>
        </is>
      </c>
    </row>
    <row r="7" ht="54.75" customFormat="1" customHeight="1" s="3">
      <c r="A7" s="28" t="inlineStr">
        <is>
          <t>1</t>
        </is>
      </c>
      <c r="B7" s="28" t="inlineStr">
        <is>
          <t>AFFORDABLE</t>
        </is>
      </c>
      <c r="C7" s="29" t="inlineStr">
        <is>
          <t>Brittany Ii</t>
        </is>
      </c>
      <c r="D7" s="28" t="inlineStr">
        <is>
          <t>4050 Winkler Ave Ext</t>
        </is>
      </c>
      <c r="E7" s="28" t="inlineStr">
        <is>
          <t>Fort Myers</t>
        </is>
      </c>
      <c r="F7" s="28" t="inlineStr">
        <is>
          <t>FL</t>
        </is>
      </c>
      <c r="G7" s="28" t="inlineStr">
        <is>
          <t>33916</t>
        </is>
      </c>
      <c r="H7" s="28" t="inlineStr">
        <is>
          <t>8.0 mi</t>
        </is>
      </c>
      <c r="I7" s="28" t="inlineStr">
        <is>
          <t>$3,193</t>
        </is>
      </c>
      <c r="J7" s="28" t="inlineStr">
        <is>
          <t>$3,832</t>
        </is>
      </c>
      <c r="K7" s="30" t="inlineStr">
        <is>
          <t>$1,371</t>
        </is>
      </c>
      <c r="L7" s="31" t="inlineStr">
        <is>
          <t>Not Listed</t>
        </is>
      </c>
      <c r="M7" s="28" t="inlineStr">
        <is>
          <t>$3,829</t>
        </is>
      </c>
      <c r="N7" s="28" t="inlineStr">
        <is>
          <t>$4,595</t>
        </is>
      </c>
      <c r="O7" s="30" t="inlineStr">
        <is>
          <t>$1,876</t>
        </is>
      </c>
      <c r="P7" s="31" t="inlineStr">
        <is>
          <t>Not Listed</t>
        </is>
      </c>
      <c r="Q7" s="28" t="inlineStr">
        <is>
          <t>112</t>
        </is>
      </c>
      <c r="R7" s="28" t="inlineStr">
        <is>
          <t>2000</t>
        </is>
      </c>
      <c r="S7" s="28" t="inlineStr">
        <is>
          <t>1</t>
        </is>
      </c>
      <c r="T7" s="28" t="inlineStr">
        <is>
          <t>Yes</t>
        </is>
      </c>
      <c r="U7" s="28" t="inlineStr">
        <is>
          <t>No</t>
        </is>
      </c>
      <c r="V7" s="28" t="inlineStr">
        <is>
          <t>No</t>
        </is>
      </c>
      <c r="W7" s="28" t="inlineStr">
        <is>
          <t>No</t>
        </is>
      </c>
      <c r="X7" s="28" t="inlineStr">
        <is>
          <t>No</t>
        </is>
      </c>
      <c r="Y7" s="32" t="inlineStr">
        <is>
          <t>HIGH</t>
        </is>
      </c>
      <c r="Z7" s="29" t="inlineStr">
        <is>
          <t>Affordable Comp #1: LIHTC property, 2000 vintage (1 yr diff), 112 units, 8.0 mi from subject. Same income-eligible renter pool.</t>
        </is>
      </c>
      <c r="AA7" s="28" t="inlineStr">
        <is>
          <t>HUD LIHTC Database (huduser.gov)</t>
        </is>
      </c>
    </row>
    <row r="8" ht="54.75" customFormat="1" customHeight="1" s="3">
      <c r="A8" s="33" t="inlineStr">
        <is>
          <t>2</t>
        </is>
      </c>
      <c r="B8" s="33" t="inlineStr">
        <is>
          <t>AFFORDABLE</t>
        </is>
      </c>
      <c r="C8" s="34" t="inlineStr">
        <is>
          <t>Brittany</t>
        </is>
      </c>
      <c r="D8" s="33" t="inlineStr">
        <is>
          <t>4054 Winkler Ave</t>
        </is>
      </c>
      <c r="E8" s="33" t="inlineStr">
        <is>
          <t>Fort Myers</t>
        </is>
      </c>
      <c r="F8" s="33" t="inlineStr">
        <is>
          <t>FL</t>
        </is>
      </c>
      <c r="G8" s="33" t="inlineStr">
        <is>
          <t>33916</t>
        </is>
      </c>
      <c r="H8" s="33" t="inlineStr">
        <is>
          <t>7.9 mi</t>
        </is>
      </c>
      <c r="I8" s="33" t="inlineStr">
        <is>
          <t>$3,193</t>
        </is>
      </c>
      <c r="J8" s="33" t="inlineStr">
        <is>
          <t>$3,832</t>
        </is>
      </c>
      <c r="K8" s="30" t="inlineStr">
        <is>
          <t>$1,371</t>
        </is>
      </c>
      <c r="L8" s="31" t="inlineStr">
        <is>
          <t>Not Listed</t>
        </is>
      </c>
      <c r="M8" s="33" t="inlineStr">
        <is>
          <t>$3,829</t>
        </is>
      </c>
      <c r="N8" s="33" t="inlineStr">
        <is>
          <t>$4,595</t>
        </is>
      </c>
      <c r="O8" s="30" t="inlineStr">
        <is>
          <t>$1,876</t>
        </is>
      </c>
      <c r="P8" s="31" t="inlineStr">
        <is>
          <t>Not Listed</t>
        </is>
      </c>
      <c r="Q8" s="33" t="inlineStr">
        <is>
          <t>208</t>
        </is>
      </c>
      <c r="R8" s="33" t="inlineStr">
        <is>
          <t>1999</t>
        </is>
      </c>
      <c r="S8" s="33" t="inlineStr">
        <is>
          <t>0</t>
        </is>
      </c>
      <c r="T8" s="33" t="inlineStr">
        <is>
          <t>Yes</t>
        </is>
      </c>
      <c r="U8" s="33" t="inlineStr">
        <is>
          <t>No</t>
        </is>
      </c>
      <c r="V8" s="33" t="inlineStr">
        <is>
          <t>No</t>
        </is>
      </c>
      <c r="W8" s="33" t="inlineStr">
        <is>
          <t>No</t>
        </is>
      </c>
      <c r="X8" s="33" t="inlineStr">
        <is>
          <t>No</t>
        </is>
      </c>
      <c r="Y8" s="35" t="inlineStr">
        <is>
          <t>HIGH</t>
        </is>
      </c>
      <c r="Z8" s="34" t="inlineStr">
        <is>
          <t>Affordable Comp #2: LIHTC property, 1999 vintage (0 yr diff), 208 units, 7.9 mi from subject. Same income-eligible renter pool.</t>
        </is>
      </c>
      <c r="AA8" s="33" t="inlineStr">
        <is>
          <t>HUD LIHTC Database (huduser.gov)</t>
        </is>
      </c>
    </row>
    <row r="9" ht="54.75" customFormat="1" customHeight="1" s="3">
      <c r="A9" s="36" t="inlineStr">
        <is>
          <t>3</t>
        </is>
      </c>
      <c r="B9" s="36" t="inlineStr">
        <is>
          <t>AFFORDABLE</t>
        </is>
      </c>
      <c r="C9" s="37" t="inlineStr">
        <is>
          <t>Crossings At Cape Coral</t>
        </is>
      </c>
      <c r="D9" s="36" t="inlineStr">
        <is>
          <t>1150 Hancock Crk Blvd</t>
        </is>
      </c>
      <c r="E9" s="36" t="inlineStr">
        <is>
          <t>Cape Coral</t>
        </is>
      </c>
      <c r="F9" s="36" t="inlineStr">
        <is>
          <t>FL</t>
        </is>
      </c>
      <c r="G9" s="36" t="inlineStr">
        <is>
          <t>33909</t>
        </is>
      </c>
      <c r="H9" s="36" t="inlineStr">
        <is>
          <t>7.7 mi</t>
        </is>
      </c>
      <c r="I9" s="36" t="inlineStr">
        <is>
          <t>$3,193</t>
        </is>
      </c>
      <c r="J9" s="36" t="inlineStr">
        <is>
          <t>$3,832</t>
        </is>
      </c>
      <c r="K9" s="30" t="inlineStr">
        <is>
          <t>$1,371</t>
        </is>
      </c>
      <c r="L9" s="31" t="inlineStr">
        <is>
          <t>Not Listed</t>
        </is>
      </c>
      <c r="M9" s="36" t="inlineStr">
        <is>
          <t>$3,829</t>
        </is>
      </c>
      <c r="N9" s="36" t="inlineStr">
        <is>
          <t>$4,595</t>
        </is>
      </c>
      <c r="O9" s="30" t="inlineStr">
        <is>
          <t>$1,876</t>
        </is>
      </c>
      <c r="P9" s="31" t="inlineStr">
        <is>
          <t>$1,224</t>
        </is>
      </c>
      <c r="Q9" s="36" t="inlineStr">
        <is>
          <t>168</t>
        </is>
      </c>
      <c r="R9" s="36" t="inlineStr">
        <is>
          <t>2000</t>
        </is>
      </c>
      <c r="S9" s="36" t="inlineStr">
        <is>
          <t>1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85" t="inlineStr">
        <is>
          <t>HIGH</t>
        </is>
      </c>
      <c r="Z9" s="37" t="inlineStr">
        <is>
          <t>Affordable Comp #3: LIHTC property, 2000 vintage (1 yr diff), 168 units, 7.7 mi from subject. Same income-eligible renter pool.</t>
        </is>
      </c>
      <c r="AA9" s="36" t="inlineStr">
        <is>
          <t>HUD LIHTC Database (huduser.gov)</t>
        </is>
      </c>
    </row>
    <row r="10" ht="54.75" customFormat="1" customHeight="1" s="3">
      <c r="A10" s="28" t="inlineStr">
        <is>
          <t>4</t>
        </is>
      </c>
      <c r="B10" s="28" t="inlineStr">
        <is>
          <t>AFFORDABLE</t>
        </is>
      </c>
      <c r="C10" s="29" t="inlineStr">
        <is>
          <t>Westchase</t>
        </is>
      </c>
      <c r="D10" s="28" t="inlineStr">
        <is>
          <t>3810 Metro Pkwy</t>
        </is>
      </c>
      <c r="E10" s="28" t="inlineStr">
        <is>
          <t>Ft Myers</t>
        </is>
      </c>
      <c r="F10" s="28" t="inlineStr">
        <is>
          <t>FL</t>
        </is>
      </c>
      <c r="G10" s="28" t="inlineStr">
        <is>
          <t>33916</t>
        </is>
      </c>
      <c r="H10" s="28" t="inlineStr">
        <is>
          <t>6.8 mi</t>
        </is>
      </c>
      <c r="I10" s="28" t="inlineStr">
        <is>
          <t>$3,193</t>
        </is>
      </c>
      <c r="J10" s="28" t="inlineStr">
        <is>
          <t>$3,832</t>
        </is>
      </c>
      <c r="K10" s="30" t="inlineStr">
        <is>
          <t>$1,371</t>
        </is>
      </c>
      <c r="L10" s="31" t="inlineStr">
        <is>
          <t>Not Listed</t>
        </is>
      </c>
      <c r="M10" s="28" t="inlineStr">
        <is>
          <t>$3,829</t>
        </is>
      </c>
      <c r="N10" s="28" t="inlineStr">
        <is>
          <t>$4,595</t>
        </is>
      </c>
      <c r="O10" s="30" t="inlineStr">
        <is>
          <t>$1,876</t>
        </is>
      </c>
      <c r="P10" s="31" t="inlineStr">
        <is>
          <t>Not Listed</t>
        </is>
      </c>
      <c r="Q10" s="28" t="inlineStr">
        <is>
          <t>352</t>
        </is>
      </c>
      <c r="R10" s="28" t="inlineStr">
        <is>
          <t>1999</t>
        </is>
      </c>
      <c r="S10" s="28" t="inlineStr">
        <is>
          <t>0</t>
        </is>
      </c>
      <c r="T10" s="28" t="inlineStr">
        <is>
          <t>Yes</t>
        </is>
      </c>
      <c r="U10" s="28" t="inlineStr">
        <is>
          <t>No</t>
        </is>
      </c>
      <c r="V10" s="28" t="inlineStr">
        <is>
          <t>No</t>
        </is>
      </c>
      <c r="W10" s="28" t="inlineStr">
        <is>
          <t>No</t>
        </is>
      </c>
      <c r="X10" s="28" t="inlineStr">
        <is>
          <t>No</t>
        </is>
      </c>
      <c r="Y10" s="32" t="inlineStr">
        <is>
          <t>HIGH</t>
        </is>
      </c>
      <c r="Z10" s="29" t="inlineStr">
        <is>
          <t>Affordable Comp #4: LIHTC property, 1999 vintage (0 yr diff), 352 units, 6.8 mi from subject. Same income-eligible renter pool.</t>
        </is>
      </c>
      <c r="AA10" s="28" t="inlineStr">
        <is>
          <t>HUD LIHTC Database (huduser.gov)</t>
        </is>
      </c>
    </row>
    <row r="11" ht="54.75" customFormat="1" customHeight="1" s="3">
      <c r="A11" s="39" t="inlineStr">
        <is>
          <t>1</t>
        </is>
      </c>
      <c r="B11" s="39" t="inlineStr">
        <is>
          <t>MARKET RATE</t>
        </is>
      </c>
      <c r="C11" s="40" t="inlineStr">
        <is>
          <t>Arborwood Preserve Apartments</t>
        </is>
      </c>
      <c r="D11" s="39" t="inlineStr">
        <is>
          <t>11621 Arborwood Preserve Blvd, Fort Myers, FL 33913</t>
        </is>
      </c>
      <c r="E11" s="39" t="inlineStr">
        <is>
          <t>Fort Myers</t>
        </is>
      </c>
      <c r="F11" s="39" t="inlineStr">
        <is>
          <t>FL</t>
        </is>
      </c>
      <c r="G11" s="39" t="n"/>
      <c r="H11" s="39" t="inlineStr">
        <is>
          <t>12.5 mi</t>
        </is>
      </c>
      <c r="I11" s="39" t="inlineStr">
        <is>
          <t>N/A (Market Rate)</t>
        </is>
      </c>
      <c r="J11" s="39" t="inlineStr">
        <is>
          <t>N/A (Market Rate)</t>
        </is>
      </c>
      <c r="K11" s="30" t="inlineStr">
        <is>
          <t>$1,371</t>
        </is>
      </c>
      <c r="L11" s="31" t="inlineStr">
        <is>
          <t>$1,350</t>
        </is>
      </c>
      <c r="M11" s="39" t="inlineStr">
        <is>
          <t>N/A (Market Rate)</t>
        </is>
      </c>
      <c r="N11" s="39" t="inlineStr">
        <is>
          <t>N/A (Market Rate)</t>
        </is>
      </c>
      <c r="O11" s="30" t="inlineStr">
        <is>
          <t>$1,876</t>
        </is>
      </c>
      <c r="P11" s="31" t="inlineStr">
        <is>
          <t>$1,650</t>
        </is>
      </c>
      <c r="Q11" s="39" t="inlineStr">
        <is>
          <t>300</t>
        </is>
      </c>
      <c r="R11" s="39" t="inlineStr">
        <is>
          <t>2000</t>
        </is>
      </c>
      <c r="S11" s="39" t="inlineStr">
        <is>
          <t>1</t>
        </is>
      </c>
      <c r="T11" s="39" t="inlineStr">
        <is>
          <t>Varies</t>
        </is>
      </c>
      <c r="U11" s="39" t="inlineStr">
        <is>
          <t>Varies</t>
        </is>
      </c>
      <c r="V11" s="39" t="inlineStr">
        <is>
          <t>Varies</t>
        </is>
      </c>
      <c r="W11" s="39" t="inlineStr">
        <is>
          <t>Varies</t>
        </is>
      </c>
      <c r="X11" s="39" t="inlineStr">
        <is>
          <t>Varies</t>
        </is>
      </c>
      <c r="Y11" s="41" t="inlineStr">
        <is>
          <t>HIGH</t>
        </is>
      </c>
      <c r="Z11" s="40" t="inlineStr">
        <is>
          <t>Market Rate Comp #1: No income restrictions, 2000 vintage (1 yr diff), 300 units, 12.5 mi from subject. Shows market-rate rents vs. affordable housing discount.</t>
        </is>
      </c>
      <c r="AA11" s="39" t="inlineStr">
        <is>
          <t>https://www.rentcafe.com/apartments-for-rent/us/fl/fort-myers/arborwood-preserve/</t>
        </is>
      </c>
    </row>
    <row r="12" ht="54.75" customFormat="1" customHeight="1" s="3">
      <c r="A12" s="42" t="inlineStr">
        <is>
          <t>2</t>
        </is>
      </c>
      <c r="B12" s="42" t="inlineStr">
        <is>
          <t>MARKET RATE</t>
        </is>
      </c>
      <c r="C12" s="43" t="inlineStr">
        <is>
          <t>Palmetto Point Apartments</t>
        </is>
      </c>
      <c r="D12" s="42" t="inlineStr">
        <is>
          <t>1900 SE 16th Pl, Cape Coral, FL 33990</t>
        </is>
      </c>
      <c r="E12" s="42" t="inlineStr">
        <is>
          <t>Cape Coral</t>
        </is>
      </c>
      <c r="F12" s="42" t="inlineStr">
        <is>
          <t>FL</t>
        </is>
      </c>
      <c r="G12" s="42" t="n"/>
      <c r="H12" s="42" t="inlineStr">
        <is>
          <t>3.2 mi</t>
        </is>
      </c>
      <c r="I12" s="42" t="inlineStr">
        <is>
          <t>N/A (Market Rate)</t>
        </is>
      </c>
      <c r="J12" s="42" t="inlineStr">
        <is>
          <t>N/A (Market Rate)</t>
        </is>
      </c>
      <c r="K12" s="30" t="inlineStr">
        <is>
          <t>$1,371</t>
        </is>
      </c>
      <c r="L12" s="31" t="inlineStr">
        <is>
          <t>$1,275</t>
        </is>
      </c>
      <c r="M12" s="42" t="inlineStr">
        <is>
          <t>N/A (Market Rate)</t>
        </is>
      </c>
      <c r="N12" s="42" t="inlineStr">
        <is>
          <t>N/A (Market Rate)</t>
        </is>
      </c>
      <c r="O12" s="30" t="inlineStr">
        <is>
          <t>$1,876</t>
        </is>
      </c>
      <c r="P12" s="31" t="inlineStr">
        <is>
          <t>$1,575</t>
        </is>
      </c>
      <c r="Q12" s="42" t="inlineStr">
        <is>
          <t>148</t>
        </is>
      </c>
      <c r="R12" s="42" t="inlineStr">
        <is>
          <t>1998</t>
        </is>
      </c>
      <c r="S12" s="42" t="inlineStr">
        <is>
          <t>1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#2: No income restrictions, 1998 vintage (1 yr diff), 148 units, 3.2 mi from subject. Shows market-rate rents vs. affordable housing discount.</t>
        </is>
      </c>
      <c r="AA12" s="42" t="inlineStr">
        <is>
          <t>https://www.rentcafe.com/apartments-for-rent/us/fl/cape-coral/</t>
        </is>
      </c>
    </row>
    <row r="13" ht="54.75" customFormat="1" customHeight="1" s="3">
      <c r="A13" s="45" t="inlineStr">
        <is>
          <t>3</t>
        </is>
      </c>
      <c r="B13" s="45" t="inlineStr">
        <is>
          <t>MARKET RATE</t>
        </is>
      </c>
      <c r="C13" s="46" t="inlineStr">
        <is>
          <t>Oasis At Surfside Apartments</t>
        </is>
      </c>
      <c r="D13" s="45" t="inlineStr">
        <is>
          <t>2828 SW Pine Island Rd, Cape Coral, FL 33991</t>
        </is>
      </c>
      <c r="E13" s="45" t="inlineStr">
        <is>
          <t>Cape Coral</t>
        </is>
      </c>
      <c r="F13" s="45" t="inlineStr">
        <is>
          <t>FL</t>
        </is>
      </c>
      <c r="G13" s="45" t="n"/>
      <c r="H13" s="45" t="inlineStr">
        <is>
          <t>4.8 mi</t>
        </is>
      </c>
      <c r="I13" s="45" t="inlineStr">
        <is>
          <t>N/A (Market Rate)</t>
        </is>
      </c>
      <c r="J13" s="45" t="inlineStr">
        <is>
          <t>N/A (Market Rate)</t>
        </is>
      </c>
      <c r="K13" s="30" t="inlineStr">
        <is>
          <t>$1,371</t>
        </is>
      </c>
      <c r="L13" s="31" t="inlineStr">
        <is>
          <t>$1,395</t>
        </is>
      </c>
      <c r="M13" s="45" t="inlineStr">
        <is>
          <t>N/A (Market Rate)</t>
        </is>
      </c>
      <c r="N13" s="45" t="inlineStr">
        <is>
          <t>N/A (Market Rate)</t>
        </is>
      </c>
      <c r="O13" s="30" t="inlineStr">
        <is>
          <t>$1,876</t>
        </is>
      </c>
      <c r="P13" s="31" t="inlineStr">
        <is>
          <t>$1,695</t>
        </is>
      </c>
      <c r="Q13" s="45" t="inlineStr">
        <is>
          <t>200</t>
        </is>
      </c>
      <c r="R13" s="45" t="inlineStr">
        <is>
          <t>2002</t>
        </is>
      </c>
      <c r="S13" s="45" t="inlineStr">
        <is>
          <t>3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#3: No income restrictions, 2002 vintage (3 yr diff), 200 units, 4.8 mi from subject. Shows market-rate rents vs. affordable housing discount.</t>
        </is>
      </c>
      <c r="AA13" s="45" t="inlineStr">
        <is>
          <t>https://www.rentcafe.com/apartments-for-rent/us/fl/cape-coral/oasis-at-surfside/</t>
        </is>
      </c>
    </row>
    <row r="14" ht="54.75" customFormat="1" customHeight="1" s="3">
      <c r="A14" s="39" t="inlineStr">
        <is>
          <t>4</t>
        </is>
      </c>
      <c r="B14" s="39" t="inlineStr">
        <is>
          <t>MARKET RATE</t>
        </is>
      </c>
      <c r="C14" s="40" t="inlineStr">
        <is>
          <t>Cape Coral Market Apartments</t>
        </is>
      </c>
      <c r="D14" s="39" t="inlineStr">
        <is>
          <t>3200 Del Prado Blvd S, Cape Coral, FL 33904</t>
        </is>
      </c>
      <c r="E14" s="39" t="inlineStr">
        <is>
          <t>Cape Coral</t>
        </is>
      </c>
      <c r="F14" s="39" t="inlineStr">
        <is>
          <t>FL</t>
        </is>
      </c>
      <c r="G14" s="39" t="n"/>
      <c r="H14" s="39" t="inlineStr">
        <is>
          <t>6.1 mi</t>
        </is>
      </c>
      <c r="I14" s="39" t="inlineStr">
        <is>
          <t>N/A (Market Rate)</t>
        </is>
      </c>
      <c r="J14" s="39" t="inlineStr">
        <is>
          <t>N/A (Market Rate)</t>
        </is>
      </c>
      <c r="K14" s="30" t="inlineStr">
        <is>
          <t>$1,371</t>
        </is>
      </c>
      <c r="L14" s="31" t="inlineStr">
        <is>
          <t>$1,325</t>
        </is>
      </c>
      <c r="M14" s="39" t="inlineStr">
        <is>
          <t>N/A (Market Rate)</t>
        </is>
      </c>
      <c r="N14" s="39" t="inlineStr">
        <is>
          <t>N/A (Market Rate)</t>
        </is>
      </c>
      <c r="O14" s="30" t="inlineStr">
        <is>
          <t>$1,876</t>
        </is>
      </c>
      <c r="P14" s="31" t="inlineStr">
        <is>
          <t>$1,625</t>
        </is>
      </c>
      <c r="Q14" s="39" t="inlineStr">
        <is>
          <t>112</t>
        </is>
      </c>
      <c r="R14" s="39" t="inlineStr">
        <is>
          <t>2001</t>
        </is>
      </c>
      <c r="S14" s="39" t="inlineStr">
        <is>
          <t>2</t>
        </is>
      </c>
      <c r="T14" s="39" t="inlineStr">
        <is>
          <t>Varies</t>
        </is>
      </c>
      <c r="U14" s="39" t="inlineStr">
        <is>
          <t>Varies</t>
        </is>
      </c>
      <c r="V14" s="39" t="inlineStr">
        <is>
          <t>Varies</t>
        </is>
      </c>
      <c r="W14" s="39" t="inlineStr">
        <is>
          <t>Varies</t>
        </is>
      </c>
      <c r="X14" s="39" t="inlineStr">
        <is>
          <t>Varies</t>
        </is>
      </c>
      <c r="Y14" s="41" t="inlineStr">
        <is>
          <t>HIGH</t>
        </is>
      </c>
      <c r="Z14" s="40" t="inlineStr">
        <is>
          <t>Market Rate Comp #4: No income restrictions, 2001 vintage (2 yr diff), 112 units, 6.1 mi from subject. Shows market-rate rents vs. affordable housing discount.</t>
        </is>
      </c>
      <c r="AA14" s="39" t="inlineStr">
        <is>
          <t>https://www.rentcafe.com/apartments-for-rent/us/fl/cape-coral/</t>
        </is>
      </c>
    </row>
    <row r="15" ht="54.75" customFormat="1" customHeight="1" s="3">
      <c r="A15" s="48" t="inlineStr">
        <is>
          <t>—</t>
        </is>
      </c>
      <c r="B15" s="48" t="inlineStr">
        <is>
          <t>BENCHMARK</t>
        </is>
      </c>
      <c r="C15" s="49" t="inlineStr">
        <is>
          <t>FY2026 FMR — Cape Coral-Fort Myers MSA</t>
        </is>
      </c>
      <c r="D15" s="48" t="inlineStr">
        <is>
          <t>N/A</t>
        </is>
      </c>
      <c r="E15" s="48" t="inlineStr">
        <is>
          <t>Cape Coral</t>
        </is>
      </c>
      <c r="F15" s="48" t="inlineStr">
        <is>
          <t>FL</t>
        </is>
      </c>
      <c r="G15" s="48" t="inlineStr">
        <is>
          <t>N/A</t>
        </is>
      </c>
      <c r="H15" s="48" t="inlineStr">
        <is>
          <t>N/A</t>
        </is>
      </c>
      <c r="I15" s="48" t="inlineStr">
        <is>
          <t>$1,371</t>
        </is>
      </c>
      <c r="J15" s="48" t="inlineStr">
        <is>
          <t>$1,371</t>
        </is>
      </c>
      <c r="K15" s="30" t="inlineStr">
        <is>
          <t>$1,371</t>
        </is>
      </c>
      <c r="L15" s="31" t="inlineStr">
        <is>
          <t>N/A</t>
        </is>
      </c>
      <c r="M15" s="48" t="inlineStr">
        <is>
          <t>$1,876</t>
        </is>
      </c>
      <c r="N15" s="48" t="inlineStr">
        <is>
          <t>$1,876</t>
        </is>
      </c>
      <c r="O15" s="30" t="inlineStr">
        <is>
          <t>$1,876</t>
        </is>
      </c>
      <c r="P15" s="31" t="inlineStr">
        <is>
          <t>N/A</t>
        </is>
      </c>
      <c r="Q15" s="48" t="inlineStr">
        <is>
          <t>N/A</t>
        </is>
      </c>
      <c r="R15" s="48" t="inlineStr">
        <is>
          <t>N/A</t>
        </is>
      </c>
      <c r="S15" s="48" t="inlineStr">
        <is>
          <t>N/A</t>
        </is>
      </c>
      <c r="T15" s="48" t="inlineStr">
        <is>
          <t>N/A</t>
        </is>
      </c>
      <c r="U15" s="48" t="inlineStr">
        <is>
          <t>N/A</t>
        </is>
      </c>
      <c r="V15" s="48" t="inlineStr">
        <is>
          <t>N/A</t>
        </is>
      </c>
      <c r="W15" s="48" t="inlineStr">
        <is>
          <t>N/A</t>
        </is>
      </c>
      <c r="X15" s="48" t="inlineStr">
        <is>
          <t>N/A</t>
        </is>
      </c>
      <c r="Y15" s="50" t="inlineStr">
        <is>
          <t>BENCHMARK</t>
        </is>
      </c>
      <c r="Z15" s="49" t="inlineStr">
        <is>
          <t>BENCHMARK — HUD Fair Market Rent (FMR) for Cape Coral-Fort Myers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5" s="48" t="inlineStr">
        <is>
          <t>HUD FMR Database (huduser.gov)</t>
        </is>
      </c>
    </row>
    <row r="16" ht="54.75" customFormat="1" customHeight="1" s="3">
      <c r="A16" s="48" t="inlineStr">
        <is>
          <t>—</t>
        </is>
      </c>
      <c r="B16" s="48" t="inlineStr">
        <is>
          <t>BENCHMARK</t>
        </is>
      </c>
      <c r="C16" s="49" t="inlineStr">
        <is>
          <t>Metro Market Avg — Cape Coral</t>
        </is>
      </c>
      <c r="D16" s="48" t="inlineStr">
        <is>
          <t>N/A</t>
        </is>
      </c>
      <c r="E16" s="48" t="inlineStr">
        <is>
          <t>Cape Coral</t>
        </is>
      </c>
      <c r="F16" s="48" t="inlineStr">
        <is>
          <t>FL</t>
        </is>
      </c>
      <c r="G16" s="48" t="inlineStr">
        <is>
          <t>N/A</t>
        </is>
      </c>
      <c r="H16" s="48" t="inlineStr">
        <is>
          <t>N/A</t>
        </is>
      </c>
      <c r="I16" s="48" t="inlineStr">
        <is>
          <t>$1,508</t>
        </is>
      </c>
      <c r="J16" s="48" t="inlineStr">
        <is>
          <t>$1,508</t>
        </is>
      </c>
      <c r="K16" s="30" t="inlineStr">
        <is>
          <t>$1,508</t>
        </is>
      </c>
      <c r="L16" s="31" t="inlineStr">
        <is>
          <t>N/A</t>
        </is>
      </c>
      <c r="M16" s="48" t="inlineStr">
        <is>
          <t>$2,063</t>
        </is>
      </c>
      <c r="N16" s="48" t="inlineStr">
        <is>
          <t>$2,063</t>
        </is>
      </c>
      <c r="O16" s="30" t="inlineStr">
        <is>
          <t>$2,063</t>
        </is>
      </c>
      <c r="P16" s="31" t="inlineStr">
        <is>
          <t>N/A</t>
        </is>
      </c>
      <c r="Q16" s="48" t="inlineStr">
        <is>
          <t>N/A</t>
        </is>
      </c>
      <c r="R16" s="48" t="inlineStr">
        <is>
          <t>N/A</t>
        </is>
      </c>
      <c r="S16" s="48" t="inlineStr">
        <is>
          <t>N/A</t>
        </is>
      </c>
      <c r="T16" s="48" t="inlineStr">
        <is>
          <t>N/A</t>
        </is>
      </c>
      <c r="U16" s="48" t="inlineStr">
        <is>
          <t>N/A</t>
        </is>
      </c>
      <c r="V16" s="48" t="inlineStr">
        <is>
          <t>N/A</t>
        </is>
      </c>
      <c r="W16" s="48" t="inlineStr">
        <is>
          <t>N/A</t>
        </is>
      </c>
      <c r="X16" s="48" t="inlineStr">
        <is>
          <t>N/A</t>
        </is>
      </c>
      <c r="Y16" s="50" t="inlineStr">
        <is>
          <t>BENCHMARK</t>
        </is>
      </c>
      <c r="Z16" s="49" t="inlineStr">
        <is>
          <t>BENCHMARK — Estimated Metro Market Average for Cape Coral,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6" s="48" t="inlineStr">
        <is>
          <t>HUD FMR + Market Estimate</t>
        </is>
      </c>
    </row>
    <row r="17" ht="8.25" customFormat="1" customHeight="1" s="3"/>
    <row r="18" ht="27.75" customFormat="1" customHeight="1" s="3">
      <c r="A18" s="51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 ht="15" customHeight="1" s="95">
      <c r="C20" s="86" t="inlineStr">
        <is>
          <t>50% AMI</t>
        </is>
      </c>
      <c r="D20" s="86" t="inlineStr">
        <is>
          <t>UAP</t>
        </is>
      </c>
      <c r="E20" s="86" t="inlineStr">
        <is>
          <t>Section 8 Rent</t>
        </is>
      </c>
    </row>
    <row r="21" ht="15" customHeight="1" s="95">
      <c r="B21" s="3" t="n">
        <v>2</v>
      </c>
      <c r="C21" s="86" t="n">
        <v>1292</v>
      </c>
      <c r="D21" s="86" t="n">
        <v>454</v>
      </c>
      <c r="E21" s="86" t="n">
        <v>1400</v>
      </c>
    </row>
    <row r="22" ht="15" customHeight="1" s="95">
      <c r="B22" s="3" t="n">
        <v>3</v>
      </c>
      <c r="C22" s="86" t="n">
        <v>1641</v>
      </c>
      <c r="D22" s="86" t="n">
        <v>454</v>
      </c>
      <c r="E22" s="86" t="n">
        <v>1641</v>
      </c>
    </row>
    <row r="25" ht="15" customHeight="1" s="95">
      <c r="A25" s="61" t="inlineStr">
        <is>
          <t>PMTS — Vouchers / FMR / UAP / NET FMR</t>
        </is>
      </c>
      <c r="B25" s="101" t="n"/>
      <c r="C25" s="101" t="n"/>
      <c r="D25" s="101" t="n"/>
      <c r="E25" s="101" t="n"/>
      <c r="F25" s="102" t="n"/>
    </row>
    <row r="26" ht="15" customHeight="1" s="95">
      <c r="A26" s="64" t="inlineStr">
        <is>
          <t>BD</t>
        </is>
      </c>
      <c r="B26" s="65" t="inlineStr">
        <is>
          <t>MKT</t>
        </is>
      </c>
      <c r="C26" s="66" t="inlineStr">
        <is>
          <t>VCH</t>
        </is>
      </c>
      <c r="D26" s="67" t="inlineStr">
        <is>
          <t>FMR</t>
        </is>
      </c>
      <c r="E26" s="68" t="inlineStr">
        <is>
          <t>UAP</t>
        </is>
      </c>
      <c r="F26" s="69" t="inlineStr">
        <is>
          <t>NET</t>
        </is>
      </c>
    </row>
    <row r="27" ht="15" customHeight="1" s="95">
      <c r="A27" s="70" t="inlineStr">
        <is>
          <t>1BD</t>
        </is>
      </c>
      <c r="B27" s="71" t="n">
        <v>1375</v>
      </c>
      <c r="C27" s="71" t="n">
        <v>1425</v>
      </c>
      <c r="D27" s="71" t="n">
        <v>1650</v>
      </c>
      <c r="E27" s="72" t="n">
        <v>89</v>
      </c>
      <c r="F27" s="73" t="n">
        <v>1561</v>
      </c>
    </row>
    <row r="28" ht="15" customHeight="1" s="95">
      <c r="A28" s="74" t="inlineStr">
        <is>
          <t>2BD</t>
        </is>
      </c>
      <c r="B28" s="75" t="n">
        <v>0</v>
      </c>
      <c r="C28" s="75" t="n">
        <v>1625</v>
      </c>
      <c r="D28" s="75" t="n">
        <v>2040</v>
      </c>
      <c r="E28" s="72" t="n">
        <v>115</v>
      </c>
      <c r="F28" s="73" t="n">
        <v>1925</v>
      </c>
    </row>
    <row r="31" ht="15" customHeight="1" s="95">
      <c r="A31" s="61" t="inlineStr">
        <is>
          <t>LIHTC, UAP, NET</t>
        </is>
      </c>
      <c r="B31" s="101" t="n"/>
      <c r="C31" s="101" t="n"/>
      <c r="D31" s="101" t="n"/>
      <c r="E31" s="102" t="n"/>
    </row>
    <row r="32" ht="15" customHeight="1" s="95">
      <c r="A32" s="64" t="n"/>
      <c r="B32" s="65" t="inlineStr">
        <is>
          <t>LIHTC/MKT</t>
        </is>
      </c>
      <c r="C32" s="67" t="inlineStr">
        <is>
          <t>35%</t>
        </is>
      </c>
      <c r="D32" s="68" t="inlineStr">
        <is>
          <t>UAP</t>
        </is>
      </c>
      <c r="E32" s="69" t="inlineStr">
        <is>
          <t>NET</t>
        </is>
      </c>
    </row>
    <row r="33" ht="15" customHeight="1" s="95">
      <c r="A33" s="70" t="inlineStr">
        <is>
          <t>1BD</t>
        </is>
      </c>
      <c r="B33" s="71" t="n">
        <v>670</v>
      </c>
      <c r="C33" s="71" t="n">
        <v>525</v>
      </c>
      <c r="D33" s="72" t="n">
        <v>89</v>
      </c>
      <c r="E33" s="73" t="n">
        <v>436</v>
      </c>
    </row>
    <row r="34" ht="15" customHeight="1" s="95">
      <c r="A34" s="74" t="inlineStr">
        <is>
          <t>2BD</t>
        </is>
      </c>
      <c r="B34" s="75" t="n">
        <v>804</v>
      </c>
      <c r="C34" s="75" t="n">
        <v>621</v>
      </c>
      <c r="D34" s="72" t="n">
        <v>115</v>
      </c>
      <c r="E34" s="73" t="n">
        <v>506</v>
      </c>
    </row>
    <row r="35" ht="15" customHeight="1" s="95">
      <c r="A35" s="64" t="n"/>
      <c r="B35" s="65" t="inlineStr">
        <is>
          <t>LIHTC/MKT</t>
        </is>
      </c>
      <c r="C35" s="67" t="inlineStr">
        <is>
          <t>50%</t>
        </is>
      </c>
      <c r="D35" s="68" t="inlineStr">
        <is>
          <t>UAP</t>
        </is>
      </c>
      <c r="E35" s="69" t="inlineStr">
        <is>
          <t>NET</t>
        </is>
      </c>
    </row>
    <row r="36" ht="15" customHeight="1" s="95">
      <c r="A36" s="70" t="inlineStr">
        <is>
          <t>1BD</t>
        </is>
      </c>
      <c r="B36" s="71" t="n">
        <v>958</v>
      </c>
      <c r="C36" s="71" t="n">
        <v>788</v>
      </c>
      <c r="D36" s="72" t="n">
        <v>89</v>
      </c>
      <c r="E36" s="73" t="n">
        <v>699</v>
      </c>
    </row>
    <row r="37" ht="15" customHeight="1" s="95">
      <c r="A37" s="74" t="inlineStr">
        <is>
          <t>2BD</t>
        </is>
      </c>
      <c r="B37" s="75" t="n">
        <v>1148</v>
      </c>
      <c r="C37" s="75" t="n">
        <v>937</v>
      </c>
      <c r="D37" s="72" t="n">
        <v>115</v>
      </c>
      <c r="E37" s="73" t="n">
        <v>822</v>
      </c>
    </row>
    <row r="38" ht="15" customHeight="1" s="95">
      <c r="A38" s="64" t="n"/>
      <c r="B38" s="65" t="inlineStr">
        <is>
          <t>LIHTC/MKT</t>
        </is>
      </c>
      <c r="C38" s="67" t="inlineStr">
        <is>
          <t>60%</t>
        </is>
      </c>
      <c r="D38" s="68" t="inlineStr">
        <is>
          <t>UAP</t>
        </is>
      </c>
      <c r="E38" s="69" t="inlineStr">
        <is>
          <t>NET</t>
        </is>
      </c>
    </row>
    <row r="39" ht="15" customHeight="1" s="95">
      <c r="A39" s="70" t="inlineStr">
        <is>
          <t>1BD</t>
        </is>
      </c>
      <c r="B39" s="71" t="n">
        <v>1149</v>
      </c>
      <c r="C39" s="71" t="n">
        <v>964</v>
      </c>
      <c r="D39" s="72" t="n">
        <v>89</v>
      </c>
      <c r="E39" s="73" t="n">
        <v>875</v>
      </c>
    </row>
    <row r="40" ht="15" customHeight="1" s="95">
      <c r="A40" s="74" t="inlineStr">
        <is>
          <t>2BD</t>
        </is>
      </c>
      <c r="B40" s="75" t="n">
        <v>1378</v>
      </c>
      <c r="C40" s="75" t="n">
        <v>1148</v>
      </c>
      <c r="D40" s="72" t="n">
        <v>115</v>
      </c>
      <c r="E40" s="73" t="n">
        <v>1033</v>
      </c>
    </row>
    <row r="43" ht="15" customHeight="1" s="95">
      <c r="A43" s="61" t="inlineStr">
        <is>
          <t>HAP, CoStar, NET</t>
        </is>
      </c>
      <c r="B43" s="101" t="n"/>
      <c r="C43" s="102" t="n"/>
    </row>
    <row r="44" ht="15" customHeight="1" s="95">
      <c r="A44" s="64" t="n"/>
      <c r="B44" s="68" t="inlineStr">
        <is>
          <t>HAP</t>
        </is>
      </c>
      <c r="C44" s="65" t="inlineStr">
        <is>
          <t>CoStar</t>
        </is>
      </c>
    </row>
    <row r="45" ht="15" customHeight="1" s="95">
      <c r="A45" s="70" t="inlineStr">
        <is>
          <t>1BD</t>
        </is>
      </c>
      <c r="B45" s="103" t="n">
        <v>1469</v>
      </c>
      <c r="C45" s="104" t="n">
        <v>1470</v>
      </c>
    </row>
    <row r="46" ht="15" customHeight="1" s="95">
      <c r="A46" s="74" t="inlineStr">
        <is>
          <t>2BD</t>
        </is>
      </c>
      <c r="B46" s="103" t="n">
        <v>1821</v>
      </c>
      <c r="C46" s="104" t="n">
        <v>1790</v>
      </c>
    </row>
  </sheetData>
  <mergeCells count="7">
    <mergeCell ref="A18:AA18"/>
    <mergeCell ref="A4:AA4"/>
    <mergeCell ref="A3:AA3"/>
    <mergeCell ref="A2:AA2"/>
    <mergeCell ref="A31:E31"/>
    <mergeCell ref="A43:C43"/>
    <mergeCell ref="A25:F25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theme="3" tint="0.4"/>
    <outlinePr summaryBelow="1" summaryRight="1"/>
    <pageSetUpPr/>
  </sheetPr>
  <dimension ref="A1:AX38"/>
  <sheetViews>
    <sheetView topLeftCell="A1" zoomScale="59" workbookViewId="0">
      <pane ySplit="1" topLeftCell="A11" activePane="bottomLeft" state="frozen"/>
      <selection pane="bottomLeft" activeCell="A3" sqref="A3:AI3"/>
    </sheetView>
  </sheetViews>
  <sheetFormatPr baseColWidth="8" defaultColWidth="9.140625" defaultRowHeight="21.75" customHeight="1"/>
  <cols>
    <col width="4.00390625" customWidth="1" style="3" min="1" max="1"/>
    <col width="22.421875" customWidth="1" style="3" min="2" max="2"/>
    <col width="38.8515625" customWidth="1" style="3" min="3" max="3"/>
    <col width="18.8515625" customWidth="1" style="3" min="4" max="4"/>
    <col width="12.7109375" customWidth="1" style="3" min="5" max="5"/>
    <col width="4.140625" customWidth="1" style="3" min="6" max="6"/>
    <col width="4.8515625" customWidth="1" style="3" min="7" max="7"/>
    <col width="9.8515625" customWidth="1" style="3" min="8" max="8"/>
    <col width="13.140625" customWidth="1" style="3" min="9" max="10"/>
    <col width="9.28125" customWidth="1" style="3" min="11" max="11"/>
    <col width="10.57421875" customWidth="1" style="3" min="12" max="12"/>
    <col width="13.140625" customWidth="1" style="3" min="13" max="14"/>
    <col width="9.28125" customWidth="1" style="3" min="15" max="15"/>
    <col width="10.57421875" customWidth="1" style="3" min="16" max="16"/>
    <col width="13.140625" customWidth="1" style="3" min="17" max="18"/>
    <col width="9.28125" customWidth="1" style="3" min="19" max="19"/>
    <col width="10.57421875" customWidth="1" style="3" min="20" max="20"/>
    <col width="13.140625" customWidth="1" style="3" min="21" max="22"/>
    <col width="9.28125" customWidth="1" style="3" min="23" max="23"/>
    <col width="10.57421875" customWidth="1" style="3" min="24" max="24"/>
    <col width="5.421875" customWidth="1" style="3" min="25" max="25"/>
    <col width="7.28125" customWidth="1" style="3" min="26" max="26"/>
    <col width="4.8515625" customWidth="1" style="3" min="27" max="27"/>
    <col width="9.421875" customWidth="1" style="3" min="28" max="28"/>
    <col width="9.00390625" customWidth="1" style="3" min="29" max="29"/>
    <col width="4.7109375" customWidth="1" style="3" min="30" max="31"/>
    <col width="9.28125" customWidth="1" style="3" min="32" max="32"/>
    <col width="13.421875" customWidth="1" style="3" min="33" max="33"/>
    <col width="48.57421875" customWidth="1" style="3" min="34" max="35"/>
  </cols>
  <sheetData>
    <row r="1" ht="21.75" customHeight="1" s="95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6" t="n"/>
      <c r="AM1" s="16" t="n"/>
      <c r="AN1" s="16" t="n"/>
      <c r="AO1" s="16" t="n"/>
      <c r="AP1" s="16" t="n"/>
      <c r="AQ1" s="16" t="n"/>
      <c r="AR1" s="16" t="n"/>
      <c r="AS1" s="16" t="n"/>
      <c r="AT1" s="16" t="n"/>
      <c r="AU1" s="16" t="n"/>
      <c r="AV1" s="16" t="n"/>
      <c r="AW1" s="16" t="n"/>
      <c r="AX1" s="16" t="n"/>
    </row>
    <row r="2" ht="24" customFormat="1" customHeight="1" s="3">
      <c r="A2" s="17" t="inlineStr">
        <is>
          <t>COMPETITIVE RENT ANALYSIS — HOLIDAY APTS | GREEN = Affordable Comps | BLUE = Market Rate Comps</t>
        </is>
      </c>
    </row>
    <row r="3" ht="20.25" customFormat="1" customHeight="1" s="3">
      <c r="A3" s="18" t="inlineStr">
        <is>
          <t>SUBJECT: Holiday Apts | 601 Old Washington Road, Natchez, MS 39120 | 115 units | Program: Section 8/HUD | Bedroom Mix: 2BR / 3BR / 4BR / 5BR | County AMI: $55,800 | FMR Area: Adams County, MS</t>
        </is>
      </c>
    </row>
    <row r="4" ht="90" customFormat="1" customHeight="1" s="3">
      <c r="A4" s="19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5" ht="30" customFormat="1" customHeight="1" s="3">
      <c r="A5" s="20" t="inlineStr">
        <is>
          <t>Rank</t>
        </is>
      </c>
      <c r="B5" s="20" t="inlineStr">
        <is>
          <t>Type</t>
        </is>
      </c>
      <c r="C5" s="20" t="inlineStr">
        <is>
          <t>Property Name</t>
        </is>
      </c>
      <c r="D5" s="20" t="inlineStr">
        <is>
          <t>Address</t>
        </is>
      </c>
      <c r="E5" s="20" t="inlineStr">
        <is>
          <t>City</t>
        </is>
      </c>
      <c r="F5" s="20" t="inlineStr">
        <is>
          <t>State</t>
        </is>
      </c>
      <c r="G5" s="20" t="inlineStr">
        <is>
          <t>ZIP</t>
        </is>
      </c>
      <c r="H5" s="20" t="inlineStr">
        <is>
          <t>Distance (mi)</t>
        </is>
      </c>
      <c r="I5" s="20" t="inlineStr">
        <is>
          <t>2BR Low ($)</t>
        </is>
      </c>
      <c r="J5" s="20" t="inlineStr">
        <is>
          <t>2BR Mid ($)</t>
        </is>
      </c>
      <c r="K5" s="21" t="inlineStr">
        <is>
          <t>2BR FMR ($)</t>
        </is>
      </c>
      <c r="L5" s="22" t="inlineStr">
        <is>
          <t>2BR Actual ($)</t>
        </is>
      </c>
      <c r="M5" s="20" t="inlineStr">
        <is>
          <t>3BR Low ($)</t>
        </is>
      </c>
      <c r="N5" s="20" t="inlineStr">
        <is>
          <t>3BR Mid ($)</t>
        </is>
      </c>
      <c r="O5" s="21" t="inlineStr">
        <is>
          <t>3BR FMR ($)</t>
        </is>
      </c>
      <c r="P5" s="22" t="inlineStr">
        <is>
          <t>3BR Actual ($)</t>
        </is>
      </c>
      <c r="Q5" s="20" t="inlineStr">
        <is>
          <t>4BR Low ($)</t>
        </is>
      </c>
      <c r="R5" s="20" t="inlineStr">
        <is>
          <t>4BR Mid ($)</t>
        </is>
      </c>
      <c r="S5" s="21" t="inlineStr">
        <is>
          <t>4BR FMR ($)</t>
        </is>
      </c>
      <c r="T5" s="22" t="inlineStr">
        <is>
          <t>4BR Actual ($)</t>
        </is>
      </c>
      <c r="U5" s="20" t="inlineStr">
        <is>
          <t>5BR Low ($)</t>
        </is>
      </c>
      <c r="V5" s="20" t="inlineStr">
        <is>
          <t>5BR Mid ($)</t>
        </is>
      </c>
      <c r="W5" s="21" t="inlineStr">
        <is>
          <t>5BR FMR ($)</t>
        </is>
      </c>
      <c r="X5" s="22" t="inlineStr">
        <is>
          <t>5BR Actual ($)</t>
        </is>
      </c>
      <c r="Y5" s="20" t="inlineStr">
        <is>
          <t># Units</t>
        </is>
      </c>
      <c r="Z5" s="20" t="inlineStr">
        <is>
          <t>Year Built</t>
        </is>
      </c>
      <c r="AA5" s="20" t="inlineStr">
        <is>
          <t>Yr Diff</t>
        </is>
      </c>
      <c r="AB5" s="20" t="inlineStr">
        <is>
          <t>Utilities Incl.</t>
        </is>
      </c>
      <c r="AC5" s="20" t="inlineStr">
        <is>
          <t>Pet Friendly</t>
        </is>
      </c>
      <c r="AD5" s="20" t="inlineStr">
        <is>
          <t>Gated</t>
        </is>
      </c>
      <c r="AE5" s="20" t="inlineStr">
        <is>
          <t>Pool</t>
        </is>
      </c>
      <c r="AF5" s="20" t="inlineStr">
        <is>
          <t>W/D In-Unit</t>
        </is>
      </c>
      <c r="AG5" s="20" t="inlineStr">
        <is>
          <t>Competition Level</t>
        </is>
      </c>
      <c r="AH5" s="20" t="inlineStr">
        <is>
          <t>Why Competitive</t>
        </is>
      </c>
      <c r="AI5" s="20" t="inlineStr">
        <is>
          <t>Data Source</t>
        </is>
      </c>
    </row>
    <row r="6" ht="54.75" customFormat="1" customHeight="1" s="3">
      <c r="A6" s="23" t="inlineStr">
        <is>
          <t>—</t>
        </is>
      </c>
      <c r="B6" s="23" t="inlineStr">
        <is>
          <t>SUBJECT</t>
        </is>
      </c>
      <c r="C6" s="24" t="inlineStr">
        <is>
          <t>Holiday Apts (SUBJECT)</t>
        </is>
      </c>
      <c r="D6" s="23" t="inlineStr">
        <is>
          <t>601 Old Washington Road</t>
        </is>
      </c>
      <c r="E6" s="23" t="inlineStr">
        <is>
          <t>Natchez</t>
        </is>
      </c>
      <c r="F6" s="23" t="inlineStr">
        <is>
          <t>MS</t>
        </is>
      </c>
      <c r="G6" s="23" t="inlineStr">
        <is>
          <t>39120</t>
        </is>
      </c>
      <c r="H6" s="23" t="inlineStr">
        <is>
          <t>0.0 mi</t>
        </is>
      </c>
      <c r="I6" s="23" t="inlineStr">
        <is>
          <t>$2,591</t>
        </is>
      </c>
      <c r="J6" s="23" t="inlineStr">
        <is>
          <t>$3,110</t>
        </is>
      </c>
      <c r="K6" s="25" t="inlineStr">
        <is>
          <t>$820</t>
        </is>
      </c>
      <c r="L6" s="26" t="inlineStr">
        <is>
          <t>N/A</t>
        </is>
      </c>
      <c r="M6" s="23" t="inlineStr">
        <is>
          <t>$2,879</t>
        </is>
      </c>
      <c r="N6" s="23" t="inlineStr">
        <is>
          <t>$3,455</t>
        </is>
      </c>
      <c r="O6" s="25" t="inlineStr">
        <is>
          <t>$1,040</t>
        </is>
      </c>
      <c r="P6" s="26" t="inlineStr">
        <is>
          <t>N/A</t>
        </is>
      </c>
      <c r="Q6" s="23" t="inlineStr">
        <is>
          <t>$3,112</t>
        </is>
      </c>
      <c r="R6" s="23" t="inlineStr">
        <is>
          <t>$3,735</t>
        </is>
      </c>
      <c r="S6" s="25" t="inlineStr">
        <is>
          <t>$1,202</t>
        </is>
      </c>
      <c r="T6" s="26" t="inlineStr">
        <is>
          <t>N/A</t>
        </is>
      </c>
      <c r="U6" s="23" t="inlineStr">
        <is>
          <t>$3,341</t>
        </is>
      </c>
      <c r="V6" s="23" t="inlineStr">
        <is>
          <t>$4,010</t>
        </is>
      </c>
      <c r="W6" s="25" t="inlineStr">
        <is>
          <t>$1,382</t>
        </is>
      </c>
      <c r="X6" s="26" t="inlineStr">
        <is>
          <t>N/A</t>
        </is>
      </c>
      <c r="Y6" s="23" t="inlineStr">
        <is>
          <t>115</t>
        </is>
      </c>
      <c r="Z6" s="23" t="inlineStr">
        <is>
          <t>1951</t>
        </is>
      </c>
      <c r="AA6" s="23" t="inlineStr">
        <is>
          <t>0</t>
        </is>
      </c>
      <c r="AB6" s="23" t="inlineStr">
        <is>
          <t>Yes</t>
        </is>
      </c>
      <c r="AC6" s="23" t="inlineStr">
        <is>
          <t>No</t>
        </is>
      </c>
      <c r="AD6" s="23" t="inlineStr">
        <is>
          <t>No</t>
        </is>
      </c>
      <c r="AE6" s="23" t="inlineStr">
        <is>
          <t>No</t>
        </is>
      </c>
      <c r="AF6" s="23" t="inlineStr">
        <is>
          <t>No</t>
        </is>
      </c>
      <c r="AG6" s="27" t="inlineStr">
        <is>
          <t>SUBJECT</t>
        </is>
      </c>
      <c r="AH6" s="24" t="inlineStr">
        <is>
          <t>115 units | Section 8/HUD property. Year built: 1951. Subject property for market context.</t>
        </is>
      </c>
      <c r="AI6" s="23" t="inlineStr">
        <is>
          <t>Apartment Corp Records</t>
        </is>
      </c>
    </row>
    <row r="7" ht="54.75" customFormat="1" customHeight="1" s="3">
      <c r="A7" s="28" t="inlineStr">
        <is>
          <t>1</t>
        </is>
      </c>
      <c r="B7" s="28" t="inlineStr">
        <is>
          <t>AFFORDABLE</t>
        </is>
      </c>
      <c r="C7" s="29" t="inlineStr">
        <is>
          <t>Natchez Housing Authority - Sadie V. Thompson Homes</t>
        </is>
      </c>
      <c r="D7" s="28" t="inlineStr">
        <is>
          <t>200 Sadie Thompson Dr</t>
        </is>
      </c>
      <c r="E7" s="28" t="inlineStr">
        <is>
          <t>Natchez</t>
        </is>
      </c>
      <c r="F7" s="28" t="inlineStr">
        <is>
          <t>MS</t>
        </is>
      </c>
      <c r="G7" s="28" t="inlineStr">
        <is>
          <t>39120</t>
        </is>
      </c>
      <c r="H7" s="28" t="inlineStr">
        <is>
          <t>1.5 mi</t>
        </is>
      </c>
      <c r="I7" s="28" t="inlineStr">
        <is>
          <t>$2,591</t>
        </is>
      </c>
      <c r="J7" s="28" t="inlineStr">
        <is>
          <t>$3,110</t>
        </is>
      </c>
      <c r="K7" s="30" t="inlineStr">
        <is>
          <t>$820</t>
        </is>
      </c>
      <c r="L7" s="31" t="inlineStr">
        <is>
          <t>Not Listed</t>
        </is>
      </c>
      <c r="M7" s="28" t="inlineStr">
        <is>
          <t>$2,879</t>
        </is>
      </c>
      <c r="N7" s="28" t="inlineStr">
        <is>
          <t>$3,455</t>
        </is>
      </c>
      <c r="O7" s="30" t="inlineStr">
        <is>
          <t>$1,040</t>
        </is>
      </c>
      <c r="P7" s="31" t="inlineStr">
        <is>
          <t>Not Listed</t>
        </is>
      </c>
      <c r="Q7" s="28" t="inlineStr">
        <is>
          <t>$3,112</t>
        </is>
      </c>
      <c r="R7" s="28" t="inlineStr">
        <is>
          <t>$3,735</t>
        </is>
      </c>
      <c r="S7" s="30" t="inlineStr">
        <is>
          <t>$1,202</t>
        </is>
      </c>
      <c r="T7" s="31" t="inlineStr">
        <is>
          <t>Not Listed</t>
        </is>
      </c>
      <c r="U7" s="28" t="inlineStr">
        <is>
          <t>$3,341</t>
        </is>
      </c>
      <c r="V7" s="28" t="inlineStr">
        <is>
          <t>$4,010</t>
        </is>
      </c>
      <c r="W7" s="30" t="inlineStr">
        <is>
          <t>$1,382</t>
        </is>
      </c>
      <c r="X7" s="31" t="inlineStr">
        <is>
          <t>Not Listed</t>
        </is>
      </c>
      <c r="Y7" s="28" t="inlineStr">
        <is>
          <t>100</t>
        </is>
      </c>
      <c r="Z7" s="28" t="inlineStr">
        <is>
          <t>1952</t>
        </is>
      </c>
      <c r="AA7" s="28" t="inlineStr">
        <is>
          <t>1</t>
        </is>
      </c>
      <c r="AB7" s="28" t="inlineStr">
        <is>
          <t>Yes</t>
        </is>
      </c>
      <c r="AC7" s="28" t="inlineStr">
        <is>
          <t>No</t>
        </is>
      </c>
      <c r="AD7" s="28" t="inlineStr">
        <is>
          <t>No</t>
        </is>
      </c>
      <c r="AE7" s="28" t="inlineStr">
        <is>
          <t>No</t>
        </is>
      </c>
      <c r="AF7" s="28" t="inlineStr">
        <is>
          <t>No</t>
        </is>
      </c>
      <c r="AG7" s="32" t="inlineStr">
        <is>
          <t>HIGH</t>
        </is>
      </c>
      <c r="AH7" s="29" t="inlineStr">
        <is>
          <t>Affordable Comp #1: Public Housing/HUD property, 1952 vintage (1 yr diff), 100 units, 1.5 mi from subject. Same income-eligible renter pool.</t>
        </is>
      </c>
      <c r="AI7" s="28" t="inlineStr">
        <is>
          <t>Natchez Housing Authority</t>
        </is>
      </c>
    </row>
    <row r="8" ht="54.75" customFormat="1" customHeight="1" s="3">
      <c r="A8" s="33" t="inlineStr">
        <is>
          <t>2</t>
        </is>
      </c>
      <c r="B8" s="33" t="inlineStr">
        <is>
          <t>AFFORDABLE</t>
        </is>
      </c>
      <c r="C8" s="34" t="inlineStr">
        <is>
          <t>Vicksburg Housing Authority - Ida B. Wells Homes</t>
        </is>
      </c>
      <c r="D8" s="33" t="inlineStr">
        <is>
          <t>1 Ida B Wells Dr</t>
        </is>
      </c>
      <c r="E8" s="33" t="inlineStr">
        <is>
          <t>Vicksburg</t>
        </is>
      </c>
      <c r="F8" s="33" t="inlineStr">
        <is>
          <t>MS</t>
        </is>
      </c>
      <c r="G8" s="33" t="inlineStr">
        <is>
          <t>39180</t>
        </is>
      </c>
      <c r="H8" s="33" t="inlineStr">
        <is>
          <t>72.0 mi</t>
        </is>
      </c>
      <c r="I8" s="33" t="inlineStr">
        <is>
          <t>$2,591</t>
        </is>
      </c>
      <c r="J8" s="33" t="inlineStr">
        <is>
          <t>$3,110</t>
        </is>
      </c>
      <c r="K8" s="30" t="inlineStr">
        <is>
          <t>$820</t>
        </is>
      </c>
      <c r="L8" s="31" t="inlineStr">
        <is>
          <t>Not Listed</t>
        </is>
      </c>
      <c r="M8" s="33" t="inlineStr">
        <is>
          <t>$2,879</t>
        </is>
      </c>
      <c r="N8" s="33" t="inlineStr">
        <is>
          <t>$3,455</t>
        </is>
      </c>
      <c r="O8" s="30" t="inlineStr">
        <is>
          <t>$1,040</t>
        </is>
      </c>
      <c r="P8" s="31" t="inlineStr">
        <is>
          <t>Not Listed</t>
        </is>
      </c>
      <c r="Q8" s="33" t="inlineStr">
        <is>
          <t>$3,112</t>
        </is>
      </c>
      <c r="R8" s="33" t="inlineStr">
        <is>
          <t>$3,735</t>
        </is>
      </c>
      <c r="S8" s="30" t="inlineStr">
        <is>
          <t>$1,202</t>
        </is>
      </c>
      <c r="T8" s="31" t="inlineStr">
        <is>
          <t>Not Listed</t>
        </is>
      </c>
      <c r="U8" s="33" t="inlineStr">
        <is>
          <t>$3,341</t>
        </is>
      </c>
      <c r="V8" s="33" t="inlineStr">
        <is>
          <t>$4,010</t>
        </is>
      </c>
      <c r="W8" s="30" t="inlineStr">
        <is>
          <t>$1,382</t>
        </is>
      </c>
      <c r="X8" s="31" t="inlineStr">
        <is>
          <t>Not Listed</t>
        </is>
      </c>
      <c r="Y8" s="33" t="inlineStr">
        <is>
          <t>150</t>
        </is>
      </c>
      <c r="Z8" s="33" t="inlineStr">
        <is>
          <t>1955</t>
        </is>
      </c>
      <c r="AA8" s="33" t="inlineStr">
        <is>
          <t>4</t>
        </is>
      </c>
      <c r="AB8" s="33" t="inlineStr">
        <is>
          <t>Yes</t>
        </is>
      </c>
      <c r="AC8" s="33" t="inlineStr">
        <is>
          <t>No</t>
        </is>
      </c>
      <c r="AD8" s="33" t="inlineStr">
        <is>
          <t>No</t>
        </is>
      </c>
      <c r="AE8" s="33" t="inlineStr">
        <is>
          <t>No</t>
        </is>
      </c>
      <c r="AF8" s="33" t="inlineStr">
        <is>
          <t>No</t>
        </is>
      </c>
      <c r="AG8" s="87" t="inlineStr">
        <is>
          <t>LOW-MODERATE</t>
        </is>
      </c>
      <c r="AH8" s="34" t="inlineStr">
        <is>
          <t>Affordable Comp #2: Public Housing/HUD property, 1955 vintage (4 yr diff), 150 units, 72.0 mi from subject. Same income-eligible renter pool.</t>
        </is>
      </c>
      <c r="AI8" s="33" t="inlineStr">
        <is>
          <t>Vicksburg Housing Authority</t>
        </is>
      </c>
    </row>
    <row r="9" ht="54.75" customFormat="1" customHeight="1" s="3">
      <c r="A9" s="36" t="inlineStr">
        <is>
          <t>3</t>
        </is>
      </c>
      <c r="B9" s="36" t="inlineStr">
        <is>
          <t>AFFORDABLE</t>
        </is>
      </c>
      <c r="C9" s="37" t="inlineStr">
        <is>
          <t>Laurel Housing Authority - Queensburg Homes</t>
        </is>
      </c>
      <c r="D9" s="36" t="inlineStr">
        <is>
          <t>100 Queensburg Dr</t>
        </is>
      </c>
      <c r="E9" s="36" t="inlineStr">
        <is>
          <t>Laurel</t>
        </is>
      </c>
      <c r="F9" s="36" t="inlineStr">
        <is>
          <t>MS</t>
        </is>
      </c>
      <c r="G9" s="36" t="inlineStr">
        <is>
          <t>39440</t>
        </is>
      </c>
      <c r="H9" s="36" t="inlineStr">
        <is>
          <t>145.0 mi</t>
        </is>
      </c>
      <c r="I9" s="36" t="inlineStr">
        <is>
          <t>$2,591</t>
        </is>
      </c>
      <c r="J9" s="36" t="inlineStr">
        <is>
          <t>$3,110</t>
        </is>
      </c>
      <c r="K9" s="30" t="inlineStr">
        <is>
          <t>$820</t>
        </is>
      </c>
      <c r="L9" s="31" t="inlineStr">
        <is>
          <t>Not Listed</t>
        </is>
      </c>
      <c r="M9" s="36" t="inlineStr">
        <is>
          <t>$2,879</t>
        </is>
      </c>
      <c r="N9" s="36" t="inlineStr">
        <is>
          <t>$3,455</t>
        </is>
      </c>
      <c r="O9" s="30" t="inlineStr">
        <is>
          <t>$1,040</t>
        </is>
      </c>
      <c r="P9" s="31" t="inlineStr">
        <is>
          <t>Not Listed</t>
        </is>
      </c>
      <c r="Q9" s="36" t="inlineStr">
        <is>
          <t>$3,112</t>
        </is>
      </c>
      <c r="R9" s="36" t="inlineStr">
        <is>
          <t>$3,735</t>
        </is>
      </c>
      <c r="S9" s="30" t="inlineStr">
        <is>
          <t>$1,202</t>
        </is>
      </c>
      <c r="T9" s="31" t="inlineStr">
        <is>
          <t>Not Listed</t>
        </is>
      </c>
      <c r="U9" s="36" t="inlineStr">
        <is>
          <t>$3,341</t>
        </is>
      </c>
      <c r="V9" s="36" t="inlineStr">
        <is>
          <t>$4,010</t>
        </is>
      </c>
      <c r="W9" s="30" t="inlineStr">
        <is>
          <t>$1,382</t>
        </is>
      </c>
      <c r="X9" s="31" t="inlineStr">
        <is>
          <t>Not Listed</t>
        </is>
      </c>
      <c r="Y9" s="36" t="inlineStr">
        <is>
          <t>100</t>
        </is>
      </c>
      <c r="Z9" s="36" t="inlineStr">
        <is>
          <t>1950</t>
        </is>
      </c>
      <c r="AA9" s="36" t="inlineStr">
        <is>
          <t>1</t>
        </is>
      </c>
      <c r="AB9" s="36" t="inlineStr">
        <is>
          <t>Yes</t>
        </is>
      </c>
      <c r="AC9" s="36" t="inlineStr">
        <is>
          <t>No</t>
        </is>
      </c>
      <c r="AD9" s="36" t="inlineStr">
        <is>
          <t>No</t>
        </is>
      </c>
      <c r="AE9" s="36" t="inlineStr">
        <is>
          <t>No</t>
        </is>
      </c>
      <c r="AF9" s="36" t="inlineStr">
        <is>
          <t>No</t>
        </is>
      </c>
      <c r="AG9" s="88" t="inlineStr">
        <is>
          <t>LOW-MODERATE</t>
        </is>
      </c>
      <c r="AH9" s="37" t="inlineStr">
        <is>
          <t>Affordable Comp #3: Public Housing/HUD property, 1950 vintage (1 yr diff), 100 units, 145.0 mi from subject. Same income-eligible renter pool.</t>
        </is>
      </c>
      <c r="AI9" s="36" t="inlineStr">
        <is>
          <t>Laurel Housing Authority</t>
        </is>
      </c>
    </row>
    <row r="10" ht="54.75" customFormat="1" customHeight="1" s="3">
      <c r="A10" s="28" t="inlineStr">
        <is>
          <t>4</t>
        </is>
      </c>
      <c r="B10" s="28" t="inlineStr">
        <is>
          <t>AFFORDABLE</t>
        </is>
      </c>
      <c r="C10" s="29" t="inlineStr">
        <is>
          <t>Natchez Housing Authority - Belleview Homes</t>
        </is>
      </c>
      <c r="D10" s="28" t="inlineStr">
        <is>
          <t>400 Belleview Ave</t>
        </is>
      </c>
      <c r="E10" s="28" t="inlineStr">
        <is>
          <t>Natchez</t>
        </is>
      </c>
      <c r="F10" s="28" t="inlineStr">
        <is>
          <t>MS</t>
        </is>
      </c>
      <c r="G10" s="28" t="inlineStr">
        <is>
          <t>39120</t>
        </is>
      </c>
      <c r="H10" s="28" t="inlineStr">
        <is>
          <t>1.8 mi</t>
        </is>
      </c>
      <c r="I10" s="28" t="inlineStr">
        <is>
          <t>$2,591</t>
        </is>
      </c>
      <c r="J10" s="28" t="inlineStr">
        <is>
          <t>$3,110</t>
        </is>
      </c>
      <c r="K10" s="30" t="inlineStr">
        <is>
          <t>$820</t>
        </is>
      </c>
      <c r="L10" s="31" t="inlineStr">
        <is>
          <t>Not Listed</t>
        </is>
      </c>
      <c r="M10" s="28" t="inlineStr">
        <is>
          <t>$2,879</t>
        </is>
      </c>
      <c r="N10" s="28" t="inlineStr">
        <is>
          <t>$3,455</t>
        </is>
      </c>
      <c r="O10" s="30" t="inlineStr">
        <is>
          <t>$1,040</t>
        </is>
      </c>
      <c r="P10" s="31" t="inlineStr">
        <is>
          <t>Not Listed</t>
        </is>
      </c>
      <c r="Q10" s="28" t="inlineStr">
        <is>
          <t>$3,112</t>
        </is>
      </c>
      <c r="R10" s="28" t="inlineStr">
        <is>
          <t>$3,735</t>
        </is>
      </c>
      <c r="S10" s="30" t="inlineStr">
        <is>
          <t>$1,202</t>
        </is>
      </c>
      <c r="T10" s="31" t="inlineStr">
        <is>
          <t>Not Listed</t>
        </is>
      </c>
      <c r="U10" s="28" t="inlineStr">
        <is>
          <t>$3,341</t>
        </is>
      </c>
      <c r="V10" s="28" t="inlineStr">
        <is>
          <t>$4,010</t>
        </is>
      </c>
      <c r="W10" s="30" t="inlineStr">
        <is>
          <t>$1,382</t>
        </is>
      </c>
      <c r="X10" s="31" t="inlineStr">
        <is>
          <t>Not Listed</t>
        </is>
      </c>
      <c r="Y10" s="28" t="inlineStr">
        <is>
          <t>120</t>
        </is>
      </c>
      <c r="Z10" s="28" t="inlineStr">
        <is>
          <t>1953</t>
        </is>
      </c>
      <c r="AA10" s="28" t="inlineStr">
        <is>
          <t>2</t>
        </is>
      </c>
      <c r="AB10" s="28" t="inlineStr">
        <is>
          <t>Yes</t>
        </is>
      </c>
      <c r="AC10" s="28" t="inlineStr">
        <is>
          <t>No</t>
        </is>
      </c>
      <c r="AD10" s="28" t="inlineStr">
        <is>
          <t>No</t>
        </is>
      </c>
      <c r="AE10" s="28" t="inlineStr">
        <is>
          <t>No</t>
        </is>
      </c>
      <c r="AF10" s="28" t="inlineStr">
        <is>
          <t>No</t>
        </is>
      </c>
      <c r="AG10" s="32" t="inlineStr">
        <is>
          <t>HIGH</t>
        </is>
      </c>
      <c r="AH10" s="29" t="inlineStr">
        <is>
          <t>Affordable Comp #4: Public Housing/HUD property, 1953 vintage (2 yr diff), 120 units, 1.8 mi from subject. Same income-eligible renter pool.</t>
        </is>
      </c>
      <c r="AI10" s="28" t="inlineStr">
        <is>
          <t>Natchez Housing Authority</t>
        </is>
      </c>
    </row>
    <row r="11" ht="54.75" customFormat="1" customHeight="1" s="3">
      <c r="A11" s="39" t="inlineStr">
        <is>
          <t>1</t>
        </is>
      </c>
      <c r="B11" s="39" t="inlineStr">
        <is>
          <t>MARKET RATE</t>
        </is>
      </c>
      <c r="C11" s="40" t="inlineStr">
        <is>
          <t>Natchez Market Rate (FMR Benchmark)</t>
        </is>
      </c>
      <c r="D11" s="39" t="inlineStr">
        <is>
          <t>Natchez, MS area</t>
        </is>
      </c>
      <c r="E11" s="39" t="inlineStr">
        <is>
          <t>MS area</t>
        </is>
      </c>
      <c r="F11" s="39" t="inlineStr">
        <is>
          <t>MS</t>
        </is>
      </c>
      <c r="G11" s="39" t="n"/>
      <c r="H11" s="39" t="inlineStr">
        <is>
          <t>N/A</t>
        </is>
      </c>
      <c r="I11" s="39" t="inlineStr">
        <is>
          <t>N/A (Market Rate)</t>
        </is>
      </c>
      <c r="J11" s="39" t="inlineStr">
        <is>
          <t>N/A (Market Rate)</t>
        </is>
      </c>
      <c r="K11" s="30" t="inlineStr">
        <is>
          <t>$820</t>
        </is>
      </c>
      <c r="L11" s="31" t="inlineStr">
        <is>
          <t>$820</t>
        </is>
      </c>
      <c r="M11" s="39" t="inlineStr">
        <is>
          <t>N/A (Market Rate)</t>
        </is>
      </c>
      <c r="N11" s="39" t="inlineStr">
        <is>
          <t>N/A (Market Rate)</t>
        </is>
      </c>
      <c r="O11" s="30" t="inlineStr">
        <is>
          <t>$1,040</t>
        </is>
      </c>
      <c r="P11" s="31" t="inlineStr">
        <is>
          <t>$1,040</t>
        </is>
      </c>
      <c r="Q11" s="39" t="inlineStr">
        <is>
          <t>N/A (Market Rate)</t>
        </is>
      </c>
      <c r="R11" s="39" t="inlineStr">
        <is>
          <t>N/A (Market Rate)</t>
        </is>
      </c>
      <c r="S11" s="30" t="inlineStr">
        <is>
          <t>$1,202</t>
        </is>
      </c>
      <c r="T11" s="31" t="inlineStr">
        <is>
          <t>$1,300</t>
        </is>
      </c>
      <c r="U11" s="39" t="inlineStr">
        <is>
          <t>N/A (Market Rate)</t>
        </is>
      </c>
      <c r="V11" s="39" t="inlineStr">
        <is>
          <t>N/A (Market Rate)</t>
        </is>
      </c>
      <c r="W11" s="30" t="inlineStr">
        <is>
          <t>$1,382</t>
        </is>
      </c>
      <c r="X11" s="31" t="inlineStr">
        <is>
          <t>$1,500</t>
        </is>
      </c>
      <c r="Y11" s="39" t="inlineStr">
        <is>
          <t>N/A</t>
        </is>
      </c>
      <c r="Z11" s="39" t="inlineStr">
        <is>
          <t>1951</t>
        </is>
      </c>
      <c r="AA11" s="39" t="inlineStr">
        <is>
          <t>0</t>
        </is>
      </c>
      <c r="AB11" s="39" t="inlineStr">
        <is>
          <t>Varies</t>
        </is>
      </c>
      <c r="AC11" s="39" t="inlineStr">
        <is>
          <t>Varies</t>
        </is>
      </c>
      <c r="AD11" s="39" t="inlineStr">
        <is>
          <t>Varies</t>
        </is>
      </c>
      <c r="AE11" s="39" t="inlineStr">
        <is>
          <t>Varies</t>
        </is>
      </c>
      <c r="AF11" s="39" t="inlineStr">
        <is>
          <t>Varies</t>
        </is>
      </c>
      <c r="AG11" s="41" t="inlineStr">
        <is>
          <t>HIGH</t>
        </is>
      </c>
      <c r="AH11" s="40" t="inlineStr">
        <is>
          <t>Market Rate Comp #1: No income restrictions, 1951 vintage (0 yr diff), N/A units, N/A from subject. Shows market-rate rents vs. affordable housing discount.</t>
        </is>
      </c>
      <c r="AI11" s="39" t="inlineStr">
        <is>
          <t>HUD FY2026 FMR - Adams County, MS (no market rate listings available for 1941-1961 vintage in Natchez)</t>
        </is>
      </c>
    </row>
    <row r="12" ht="54.75" customFormat="1" customHeight="1" s="3">
      <c r="A12" s="42" t="inlineStr">
        <is>
          <t>2</t>
        </is>
      </c>
      <c r="B12" s="42" t="inlineStr">
        <is>
          <t>Camelot Apartments</t>
        </is>
      </c>
      <c r="C12" s="43" t="inlineStr">
        <is>
          <t>156 Jefferson Davis Blvd, Natchez, MS 39120</t>
        </is>
      </c>
      <c r="D12" s="42" t="inlineStr">
        <is>
          <t>Natchez, MS area</t>
        </is>
      </c>
      <c r="E12" s="42" t="inlineStr">
        <is>
          <t>MS area</t>
        </is>
      </c>
      <c r="F12" s="42" t="inlineStr">
        <is>
          <t>MS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0" t="inlineStr">
        <is>
          <t>$820</t>
        </is>
      </c>
      <c r="L12" s="31" t="inlineStr">
        <is>
          <t>$820</t>
        </is>
      </c>
      <c r="M12" s="42" t="inlineStr">
        <is>
          <t>N/A (Market Rate)</t>
        </is>
      </c>
      <c r="N12" s="42" t="inlineStr">
        <is>
          <t>N/A (Market Rate)</t>
        </is>
      </c>
      <c r="O12" s="30" t="inlineStr">
        <is>
          <t>$1,040</t>
        </is>
      </c>
      <c r="P12" s="31" t="inlineStr">
        <is>
          <t>$1,040</t>
        </is>
      </c>
      <c r="Q12" s="42" t="inlineStr">
        <is>
          <t>N/A (Market Rate)</t>
        </is>
      </c>
      <c r="R12" s="42" t="inlineStr">
        <is>
          <t>N/A (Market Rate)</t>
        </is>
      </c>
      <c r="S12" s="30" t="inlineStr">
        <is>
          <t>$1,202</t>
        </is>
      </c>
      <c r="T12" s="31" t="inlineStr">
        <is>
          <t>$1,300</t>
        </is>
      </c>
      <c r="U12" s="42" t="inlineStr">
        <is>
          <t>N/A (Market Rate)</t>
        </is>
      </c>
      <c r="V12" s="42" t="inlineStr">
        <is>
          <t>N/A (Market Rate)</t>
        </is>
      </c>
      <c r="W12" s="30" t="inlineStr">
        <is>
          <t>$1,382</t>
        </is>
      </c>
      <c r="X12" s="31" t="inlineStr">
        <is>
          <t>$1,500</t>
        </is>
      </c>
      <c r="Y12" s="42" t="inlineStr">
        <is>
          <t>N/A</t>
        </is>
      </c>
      <c r="Z12" s="42" t="inlineStr">
        <is>
          <t>1955</t>
        </is>
      </c>
      <c r="AA12" s="42" t="inlineStr">
        <is>
          <t>4</t>
        </is>
      </c>
      <c r="AB12" s="42" t="inlineStr">
        <is>
          <t>Varies</t>
        </is>
      </c>
      <c r="AC12" s="42" t="inlineStr">
        <is>
          <t>Varies</t>
        </is>
      </c>
      <c r="AD12" s="42" t="inlineStr">
        <is>
          <t>Varies</t>
        </is>
      </c>
      <c r="AE12" s="42" t="inlineStr">
        <is>
          <t>Varies</t>
        </is>
      </c>
      <c r="AF12" s="42" t="inlineStr">
        <is>
          <t>Varies</t>
        </is>
      </c>
      <c r="AG12" s="44" t="inlineStr">
        <is>
          <t>HIGH</t>
        </is>
      </c>
      <c r="AH12" s="43" t="inlineStr">
        <is>
          <t>Market Rate Comp #2: No income restrictions, 1955 vintage (4 yr diff), N/A units, N/A from subject. Shows market-rate rents vs. affordable housing discount.</t>
        </is>
      </c>
      <c r="AI12" s="42" t="inlineStr">
        <is>
          <t>HUD FY2026 FMR - Adams County, MS</t>
        </is>
      </c>
    </row>
    <row r="13" ht="54.75" customFormat="1" customHeight="1" s="3">
      <c r="A13" s="45" t="inlineStr">
        <is>
          <t>3</t>
        </is>
      </c>
      <c r="B13" s="45" t="inlineStr">
        <is>
          <t>Bienville Apartments</t>
        </is>
      </c>
      <c r="C13" s="46" t="inlineStr">
        <is>
          <t>500 N Commerce St, Natchez, MS 39120</t>
        </is>
      </c>
      <c r="D13" s="45" t="inlineStr">
        <is>
          <t>Natchez, MS area</t>
        </is>
      </c>
      <c r="E13" s="45" t="inlineStr">
        <is>
          <t>MS area</t>
        </is>
      </c>
      <c r="F13" s="45" t="inlineStr">
        <is>
          <t>MS</t>
        </is>
      </c>
      <c r="G13" s="45" t="n"/>
      <c r="H13" s="45" t="inlineStr">
        <is>
          <t>N/A</t>
        </is>
      </c>
      <c r="I13" s="45" t="inlineStr">
        <is>
          <t>N/A (Market Rate)</t>
        </is>
      </c>
      <c r="J13" s="45" t="inlineStr">
        <is>
          <t>N/A (Market Rate)</t>
        </is>
      </c>
      <c r="K13" s="30" t="inlineStr">
        <is>
          <t>$820</t>
        </is>
      </c>
      <c r="L13" s="31" t="inlineStr">
        <is>
          <t>$820</t>
        </is>
      </c>
      <c r="M13" s="45" t="inlineStr">
        <is>
          <t>N/A (Market Rate)</t>
        </is>
      </c>
      <c r="N13" s="45" t="inlineStr">
        <is>
          <t>N/A (Market Rate)</t>
        </is>
      </c>
      <c r="O13" s="30" t="inlineStr">
        <is>
          <t>$1,040</t>
        </is>
      </c>
      <c r="P13" s="31" t="inlineStr">
        <is>
          <t>$1,040</t>
        </is>
      </c>
      <c r="Q13" s="45" t="inlineStr">
        <is>
          <t>N/A (Market Rate)</t>
        </is>
      </c>
      <c r="R13" s="45" t="inlineStr">
        <is>
          <t>N/A (Market Rate)</t>
        </is>
      </c>
      <c r="S13" s="30" t="inlineStr">
        <is>
          <t>$1,202</t>
        </is>
      </c>
      <c r="T13" s="31" t="inlineStr">
        <is>
          <t>$1,300</t>
        </is>
      </c>
      <c r="U13" s="45" t="inlineStr">
        <is>
          <t>N/A (Market Rate)</t>
        </is>
      </c>
      <c r="V13" s="45" t="inlineStr">
        <is>
          <t>N/A (Market Rate)</t>
        </is>
      </c>
      <c r="W13" s="30" t="inlineStr">
        <is>
          <t>$1,382</t>
        </is>
      </c>
      <c r="X13" s="31" t="inlineStr">
        <is>
          <t>$1,500</t>
        </is>
      </c>
      <c r="Y13" s="45" t="inlineStr">
        <is>
          <t>N/A</t>
        </is>
      </c>
      <c r="Z13" s="45" t="inlineStr">
        <is>
          <t>1958</t>
        </is>
      </c>
      <c r="AA13" s="45" t="inlineStr">
        <is>
          <t>7</t>
        </is>
      </c>
      <c r="AB13" s="45" t="inlineStr">
        <is>
          <t>Varies</t>
        </is>
      </c>
      <c r="AC13" s="45" t="inlineStr">
        <is>
          <t>Varies</t>
        </is>
      </c>
      <c r="AD13" s="45" t="inlineStr">
        <is>
          <t>Varies</t>
        </is>
      </c>
      <c r="AE13" s="45" t="inlineStr">
        <is>
          <t>Varies</t>
        </is>
      </c>
      <c r="AF13" s="45" t="inlineStr">
        <is>
          <t>Varies</t>
        </is>
      </c>
      <c r="AG13" s="47" t="inlineStr">
        <is>
          <t>HIGH</t>
        </is>
      </c>
      <c r="AH13" s="46" t="inlineStr">
        <is>
          <t>Market Rate Comp #3: No income restrictions, 1958 vintage (7 yr diff), N/A units, N/A from subject. Shows market-rate rents vs. affordable housing discount.</t>
        </is>
      </c>
      <c r="AI13" s="45" t="inlineStr">
        <is>
          <t>HUD FY2026 FMR - Adams County, MS</t>
        </is>
      </c>
    </row>
    <row r="14" ht="54.75" customFormat="1" customHeight="1" s="3">
      <c r="A14" s="39" t="inlineStr">
        <is>
          <t>4</t>
        </is>
      </c>
      <c r="B14" s="39" t="inlineStr">
        <is>
          <t>Riverbreeze Manor Apartments</t>
        </is>
      </c>
      <c r="C14" s="40" t="inlineStr">
        <is>
          <t>144 N Shields Ln, Natchez, MS 39120</t>
        </is>
      </c>
      <c r="D14" s="39" t="inlineStr">
        <is>
          <t>Natchez, MS area</t>
        </is>
      </c>
      <c r="E14" s="39" t="inlineStr">
        <is>
          <t>MS area</t>
        </is>
      </c>
      <c r="F14" s="39" t="inlineStr">
        <is>
          <t>MS</t>
        </is>
      </c>
      <c r="G14" s="39" t="n"/>
      <c r="H14" s="39" t="inlineStr">
        <is>
          <t>N/A</t>
        </is>
      </c>
      <c r="I14" s="39" t="inlineStr">
        <is>
          <t>N/A (Market Rate)</t>
        </is>
      </c>
      <c r="J14" s="39" t="inlineStr">
        <is>
          <t>N/A (Market Rate)</t>
        </is>
      </c>
      <c r="K14" s="30" t="inlineStr">
        <is>
          <t>$820</t>
        </is>
      </c>
      <c r="L14" s="31" t="inlineStr">
        <is>
          <t>$820</t>
        </is>
      </c>
      <c r="M14" s="39" t="inlineStr">
        <is>
          <t>N/A (Market Rate)</t>
        </is>
      </c>
      <c r="N14" s="39" t="inlineStr">
        <is>
          <t>N/A (Market Rate)</t>
        </is>
      </c>
      <c r="O14" s="30" t="inlineStr">
        <is>
          <t>$1,040</t>
        </is>
      </c>
      <c r="P14" s="31" t="inlineStr">
        <is>
          <t>$1,040</t>
        </is>
      </c>
      <c r="Q14" s="39" t="inlineStr">
        <is>
          <t>N/A (Market Rate)</t>
        </is>
      </c>
      <c r="R14" s="39" t="inlineStr">
        <is>
          <t>N/A (Market Rate)</t>
        </is>
      </c>
      <c r="S14" s="30" t="inlineStr">
        <is>
          <t>$1,202</t>
        </is>
      </c>
      <c r="T14" s="31" t="inlineStr">
        <is>
          <t>$1,300</t>
        </is>
      </c>
      <c r="U14" s="39" t="inlineStr">
        <is>
          <t>N/A (Market Rate)</t>
        </is>
      </c>
      <c r="V14" s="39" t="inlineStr">
        <is>
          <t>N/A (Market Rate)</t>
        </is>
      </c>
      <c r="W14" s="30" t="inlineStr">
        <is>
          <t>$1,382</t>
        </is>
      </c>
      <c r="X14" s="31" t="inlineStr">
        <is>
          <t>$1,500</t>
        </is>
      </c>
      <c r="Y14" s="39" t="inlineStr">
        <is>
          <t>N/A</t>
        </is>
      </c>
      <c r="Z14" s="39" t="inlineStr">
        <is>
          <t>1945</t>
        </is>
      </c>
      <c r="AA14" s="39" t="inlineStr">
        <is>
          <t>6</t>
        </is>
      </c>
      <c r="AB14" s="39" t="inlineStr">
        <is>
          <t>Varies</t>
        </is>
      </c>
      <c r="AC14" s="39" t="inlineStr">
        <is>
          <t>Varies</t>
        </is>
      </c>
      <c r="AD14" s="39" t="inlineStr">
        <is>
          <t>Varies</t>
        </is>
      </c>
      <c r="AE14" s="39" t="inlineStr">
        <is>
          <t>Varies</t>
        </is>
      </c>
      <c r="AF14" s="39" t="inlineStr">
        <is>
          <t>Varies</t>
        </is>
      </c>
      <c r="AG14" s="41" t="inlineStr">
        <is>
          <t>HIGH</t>
        </is>
      </c>
      <c r="AH14" s="40" t="inlineStr">
        <is>
          <t>Market Rate Comp #4: No income restrictions, 1945 vintage (6 yr diff), N/A units, N/A from subject. Shows market-rate rents vs. affordable housing discount.</t>
        </is>
      </c>
      <c r="AI14" s="39" t="inlineStr">
        <is>
          <t>HUD FY2026 FMR - Adams County, MS</t>
        </is>
      </c>
    </row>
    <row r="15" ht="54.75" customFormat="1" customHeight="1" s="3">
      <c r="A15" s="48" t="inlineStr">
        <is>
          <t>—</t>
        </is>
      </c>
      <c r="B15" s="48" t="inlineStr">
        <is>
          <t>BENCHMARK</t>
        </is>
      </c>
      <c r="C15" s="49" t="inlineStr">
        <is>
          <t>FY2026 FMR — Adams County, MS</t>
        </is>
      </c>
      <c r="D15" s="48" t="inlineStr">
        <is>
          <t>N/A</t>
        </is>
      </c>
      <c r="E15" s="48" t="inlineStr">
        <is>
          <t>Natchez</t>
        </is>
      </c>
      <c r="F15" s="48" t="inlineStr">
        <is>
          <t>MS</t>
        </is>
      </c>
      <c r="G15" s="48" t="inlineStr">
        <is>
          <t>N/A</t>
        </is>
      </c>
      <c r="H15" s="48" t="inlineStr">
        <is>
          <t>N/A</t>
        </is>
      </c>
      <c r="I15" s="48" t="inlineStr">
        <is>
          <t>$820</t>
        </is>
      </c>
      <c r="J15" s="48" t="inlineStr">
        <is>
          <t>$820</t>
        </is>
      </c>
      <c r="K15" s="30" t="inlineStr">
        <is>
          <t>$820</t>
        </is>
      </c>
      <c r="L15" s="31" t="inlineStr">
        <is>
          <t>N/A</t>
        </is>
      </c>
      <c r="M15" s="48" t="inlineStr">
        <is>
          <t>$1,040</t>
        </is>
      </c>
      <c r="N15" s="48" t="inlineStr">
        <is>
          <t>$1,040</t>
        </is>
      </c>
      <c r="O15" s="30" t="inlineStr">
        <is>
          <t>$1,040</t>
        </is>
      </c>
      <c r="P15" s="31" t="inlineStr">
        <is>
          <t>N/A</t>
        </is>
      </c>
      <c r="Q15" s="48" t="inlineStr">
        <is>
          <t>$1,202</t>
        </is>
      </c>
      <c r="R15" s="48" t="inlineStr">
        <is>
          <t>$1,202</t>
        </is>
      </c>
      <c r="S15" s="30" t="inlineStr">
        <is>
          <t>$1,202</t>
        </is>
      </c>
      <c r="T15" s="31" t="inlineStr">
        <is>
          <t>N/A</t>
        </is>
      </c>
      <c r="U15" s="48" t="inlineStr">
        <is>
          <t>$1,382</t>
        </is>
      </c>
      <c r="V15" s="48" t="inlineStr">
        <is>
          <t>$1,382</t>
        </is>
      </c>
      <c r="W15" s="30" t="inlineStr">
        <is>
          <t>$1,382</t>
        </is>
      </c>
      <c r="X15" s="31" t="inlineStr">
        <is>
          <t>N/A</t>
        </is>
      </c>
      <c r="Y15" s="48" t="inlineStr">
        <is>
          <t>N/A</t>
        </is>
      </c>
      <c r="Z15" s="48" t="inlineStr">
        <is>
          <t>N/A</t>
        </is>
      </c>
      <c r="AA15" s="48" t="inlineStr">
        <is>
          <t>N/A</t>
        </is>
      </c>
      <c r="AB15" s="48" t="inlineStr">
        <is>
          <t>N/A</t>
        </is>
      </c>
      <c r="AC15" s="48" t="inlineStr">
        <is>
          <t>N/A</t>
        </is>
      </c>
      <c r="AD15" s="48" t="inlineStr">
        <is>
          <t>N/A</t>
        </is>
      </c>
      <c r="AE15" s="48" t="inlineStr">
        <is>
          <t>N/A</t>
        </is>
      </c>
      <c r="AF15" s="48" t="inlineStr">
        <is>
          <t>N/A</t>
        </is>
      </c>
      <c r="AG15" s="50" t="inlineStr">
        <is>
          <t>BENCHMARK</t>
        </is>
      </c>
      <c r="AH15" s="49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5" s="48" t="inlineStr">
        <is>
          <t>HUD FMR Database (huduser.gov)</t>
        </is>
      </c>
    </row>
    <row r="16" ht="54.75" customFormat="1" customHeight="1" s="3">
      <c r="A16" s="48" t="inlineStr">
        <is>
          <t>—</t>
        </is>
      </c>
      <c r="B16" s="48" t="inlineStr">
        <is>
          <t>BENCHMARK</t>
        </is>
      </c>
      <c r="C16" s="49" t="inlineStr">
        <is>
          <t>Metro Market Avg — Natchez</t>
        </is>
      </c>
      <c r="D16" s="48" t="inlineStr">
        <is>
          <t>N/A</t>
        </is>
      </c>
      <c r="E16" s="48" t="inlineStr">
        <is>
          <t>Natchez</t>
        </is>
      </c>
      <c r="F16" s="48" t="inlineStr">
        <is>
          <t>MS</t>
        </is>
      </c>
      <c r="G16" s="48" t="inlineStr">
        <is>
          <t>N/A</t>
        </is>
      </c>
      <c r="H16" s="48" t="inlineStr">
        <is>
          <t>N/A</t>
        </is>
      </c>
      <c r="I16" s="48" t="inlineStr">
        <is>
          <t>$902</t>
        </is>
      </c>
      <c r="J16" s="48" t="inlineStr">
        <is>
          <t>$902</t>
        </is>
      </c>
      <c r="K16" s="30" t="inlineStr">
        <is>
          <t>$902</t>
        </is>
      </c>
      <c r="L16" s="31" t="inlineStr">
        <is>
          <t>N/A</t>
        </is>
      </c>
      <c r="M16" s="48" t="inlineStr">
        <is>
          <t>$1,144</t>
        </is>
      </c>
      <c r="N16" s="48" t="inlineStr">
        <is>
          <t>$1,144</t>
        </is>
      </c>
      <c r="O16" s="30" t="inlineStr">
        <is>
          <t>$1,144</t>
        </is>
      </c>
      <c r="P16" s="31" t="inlineStr">
        <is>
          <t>N/A</t>
        </is>
      </c>
      <c r="Q16" s="48" t="inlineStr">
        <is>
          <t>$1,322</t>
        </is>
      </c>
      <c r="R16" s="48" t="inlineStr">
        <is>
          <t>$1,322</t>
        </is>
      </c>
      <c r="S16" s="30" t="inlineStr">
        <is>
          <t>$1,322</t>
        </is>
      </c>
      <c r="T16" s="31" t="inlineStr">
        <is>
          <t>N/A</t>
        </is>
      </c>
      <c r="U16" s="48" t="inlineStr">
        <is>
          <t>$1,520</t>
        </is>
      </c>
      <c r="V16" s="48" t="inlineStr">
        <is>
          <t>$1,520</t>
        </is>
      </c>
      <c r="W16" s="30" t="inlineStr">
        <is>
          <t>$1,520</t>
        </is>
      </c>
      <c r="X16" s="31" t="inlineStr">
        <is>
          <t>N/A</t>
        </is>
      </c>
      <c r="Y16" s="48" t="inlineStr">
        <is>
          <t>N/A</t>
        </is>
      </c>
      <c r="Z16" s="48" t="inlineStr">
        <is>
          <t>N/A</t>
        </is>
      </c>
      <c r="AA16" s="48" t="inlineStr">
        <is>
          <t>N/A</t>
        </is>
      </c>
      <c r="AB16" s="48" t="inlineStr">
        <is>
          <t>N/A</t>
        </is>
      </c>
      <c r="AC16" s="48" t="inlineStr">
        <is>
          <t>N/A</t>
        </is>
      </c>
      <c r="AD16" s="48" t="inlineStr">
        <is>
          <t>N/A</t>
        </is>
      </c>
      <c r="AE16" s="48" t="inlineStr">
        <is>
          <t>N/A</t>
        </is>
      </c>
      <c r="AF16" s="48" t="inlineStr">
        <is>
          <t>N/A</t>
        </is>
      </c>
      <c r="AG16" s="50" t="inlineStr">
        <is>
          <t>BENCHMARK</t>
        </is>
      </c>
      <c r="AH16" s="49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6" s="48" t="inlineStr">
        <is>
          <t>HUD FMR + Market Estimate</t>
        </is>
      </c>
    </row>
    <row r="17" ht="8.25" customFormat="1" customHeight="1" s="3"/>
    <row r="18" ht="27.75" customFormat="1" customHeight="1" s="3">
      <c r="A18" s="51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 ht="21.75" customHeight="1" s="95">
      <c r="C20" s="86" t="inlineStr">
        <is>
          <t>50% AMI</t>
        </is>
      </c>
      <c r="D20" s="86" t="inlineStr">
        <is>
          <t>UAP</t>
        </is>
      </c>
      <c r="E20" s="86" t="inlineStr">
        <is>
          <t>Section 8 Rent</t>
        </is>
      </c>
    </row>
    <row r="21" ht="21.75" customHeight="1" s="95">
      <c r="B21" s="3" t="n">
        <v>2</v>
      </c>
      <c r="C21" s="86" t="n">
        <v>1292</v>
      </c>
      <c r="D21" s="86" t="n">
        <v>454</v>
      </c>
      <c r="E21" s="86" t="n">
        <v>1400</v>
      </c>
    </row>
    <row r="22" ht="21.75" customHeight="1" s="95">
      <c r="B22" s="3" t="n">
        <v>3</v>
      </c>
      <c r="C22" s="86" t="n">
        <v>1641</v>
      </c>
      <c r="D22" s="86" t="n">
        <v>454</v>
      </c>
      <c r="E22" s="86" t="n">
        <v>1641</v>
      </c>
    </row>
    <row r="25" ht="21.75" customHeight="1" s="95">
      <c r="A25" s="61" t="inlineStr">
        <is>
          <t>PMTS — Vouchers / FMR / UAP / NET FMR</t>
        </is>
      </c>
      <c r="B25" s="101" t="n"/>
      <c r="C25" s="101" t="n"/>
      <c r="D25" s="101" t="n"/>
      <c r="E25" s="101" t="n"/>
      <c r="F25" s="102" t="n"/>
    </row>
    <row r="26" ht="21.75" customHeight="1" s="95">
      <c r="A26" s="64" t="inlineStr">
        <is>
          <t>BD</t>
        </is>
      </c>
      <c r="B26" s="65" t="inlineStr">
        <is>
          <t>MKT</t>
        </is>
      </c>
      <c r="C26" s="66" t="inlineStr">
        <is>
          <t>VCH</t>
        </is>
      </c>
      <c r="D26" s="67" t="inlineStr">
        <is>
          <t>FMR</t>
        </is>
      </c>
      <c r="E26" s="68" t="inlineStr">
        <is>
          <t>UAP</t>
        </is>
      </c>
      <c r="F26" s="69" t="inlineStr">
        <is>
          <t>NET</t>
        </is>
      </c>
    </row>
    <row r="27" ht="21.75" customHeight="1" s="95">
      <c r="A27" s="70" t="inlineStr">
        <is>
          <t>2BD</t>
        </is>
      </c>
      <c r="B27" s="71" t="n">
        <v>0</v>
      </c>
      <c r="C27" s="71" t="n">
        <v>0</v>
      </c>
      <c r="D27" s="71" t="n">
        <v>940</v>
      </c>
      <c r="E27" s="72" t="n">
        <v>154</v>
      </c>
      <c r="F27" s="73" t="n">
        <v>786</v>
      </c>
    </row>
    <row r="28" ht="21.75" customHeight="1" s="95">
      <c r="A28" s="74" t="inlineStr">
        <is>
          <t>3BD</t>
        </is>
      </c>
      <c r="B28" s="75" t="n">
        <v>0</v>
      </c>
      <c r="C28" s="75" t="n">
        <v>0</v>
      </c>
      <c r="D28" s="75" t="n">
        <v>1240</v>
      </c>
      <c r="E28" s="72" t="n">
        <v>169</v>
      </c>
      <c r="F28" s="73" t="n">
        <v>1071</v>
      </c>
    </row>
    <row r="29" ht="21.75" customHeight="1" s="95">
      <c r="A29" s="70" t="inlineStr">
        <is>
          <t>4BD</t>
        </is>
      </c>
      <c r="B29" s="71" t="n">
        <v>0</v>
      </c>
      <c r="C29" s="71" t="n">
        <v>0</v>
      </c>
      <c r="D29" s="71" t="n">
        <v>1240</v>
      </c>
      <c r="E29" s="72" t="n">
        <v>214</v>
      </c>
      <c r="F29" s="73" t="n">
        <v>1026</v>
      </c>
    </row>
    <row r="30" ht="21.75" customHeight="1" s="95">
      <c r="A30" s="74" t="inlineStr">
        <is>
          <t>5BD</t>
        </is>
      </c>
      <c r="B30" s="75" t="n">
        <v>0</v>
      </c>
      <c r="C30" s="75" t="n">
        <v>0</v>
      </c>
      <c r="D30" s="75" t="n">
        <v>1426</v>
      </c>
      <c r="E30" s="72" t="n">
        <v>235</v>
      </c>
      <c r="F30" s="73" t="n">
        <v>1191</v>
      </c>
    </row>
    <row r="33" ht="21.75" customHeight="1" s="95">
      <c r="A33" s="61" t="inlineStr">
        <is>
          <t>HAP, CoStar, NET</t>
        </is>
      </c>
      <c r="B33" s="101" t="n"/>
      <c r="C33" s="102" t="n"/>
    </row>
    <row r="34" ht="21.75" customHeight="1" s="95">
      <c r="A34" s="64" t="n"/>
      <c r="B34" s="68" t="inlineStr">
        <is>
          <t>HAP</t>
        </is>
      </c>
      <c r="C34" s="65" t="inlineStr">
        <is>
          <t>CoStar</t>
        </is>
      </c>
    </row>
    <row r="35" ht="21.75" customHeight="1" s="95">
      <c r="A35" s="70" t="inlineStr">
        <is>
          <t>2BD</t>
        </is>
      </c>
      <c r="B35" s="103" t="n">
        <v>885</v>
      </c>
      <c r="C35" s="104" t="n">
        <v>826</v>
      </c>
    </row>
    <row r="36" ht="21.75" customHeight="1" s="95">
      <c r="A36" s="74" t="inlineStr">
        <is>
          <t>3BD</t>
        </is>
      </c>
      <c r="B36" s="103" t="n">
        <v>1015</v>
      </c>
      <c r="C36" s="104" t="n">
        <v>895</v>
      </c>
    </row>
    <row r="37" ht="21.75" customHeight="1" s="95">
      <c r="A37" s="70" t="inlineStr">
        <is>
          <t>4BD</t>
        </is>
      </c>
      <c r="B37" s="103" t="n">
        <v>1085</v>
      </c>
      <c r="C37" s="104" t="n">
        <v>1131</v>
      </c>
    </row>
    <row r="38" ht="21.75" customHeight="1" s="95">
      <c r="A38" s="74" t="inlineStr">
        <is>
          <t>5BD</t>
        </is>
      </c>
      <c r="B38" s="103" t="n">
        <v>1180</v>
      </c>
      <c r="C38" s="104" t="n">
        <v>1474</v>
      </c>
    </row>
  </sheetData>
  <mergeCells count="6">
    <mergeCell ref="A2:AI2"/>
    <mergeCell ref="A33:C33"/>
    <mergeCell ref="A18:AI18"/>
    <mergeCell ref="A3:AI3"/>
    <mergeCell ref="A4:AI4"/>
    <mergeCell ref="A25:F25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theme="3" tint="0.4"/>
    <outlinePr summaryBelow="1" summaryRight="1"/>
    <pageSetUpPr/>
  </sheetPr>
  <dimension ref="A1:AI37"/>
  <sheetViews>
    <sheetView topLeftCell="A1" workbookViewId="0">
      <pane ySplit="1" topLeftCell="A14" activePane="bottomLeft" state="frozen"/>
      <selection pane="bottomLeft" activeCell="F8" sqref="F8"/>
    </sheetView>
  </sheetViews>
  <sheetFormatPr baseColWidth="8" defaultColWidth="9.140625" defaultRowHeight="15" customHeight="1"/>
  <cols>
    <col width="8.00390625" customWidth="1" style="3" min="1" max="1"/>
    <col width="14.00390625" customWidth="1" style="3" min="2" max="2"/>
    <col width="28.00390625" customWidth="1" style="3" min="3" max="3"/>
    <col width="22.00390625" customWidth="1" style="3" min="4" max="4"/>
    <col width="16.00390625" customWidth="1" style="3" min="5" max="5"/>
    <col width="10.00390625" customWidth="1" style="3" min="6" max="6"/>
    <col width="8.00390625" customWidth="1" style="3" min="7" max="7"/>
    <col width="11.00390625" customWidth="1" style="3" min="8" max="8"/>
    <col width="10.00390625" customWidth="1" style="3" min="9" max="11"/>
    <col width="12.00390625" customWidth="1" style="3" min="12" max="12"/>
    <col width="10.00390625" customWidth="1" style="3" min="13" max="15"/>
    <col width="12.00390625" customWidth="1" style="3" min="16" max="16"/>
    <col width="10.00390625" customWidth="1" style="3" min="17" max="19"/>
    <col width="12.00390625" customWidth="1" style="3" min="20" max="20"/>
    <col width="10.00390625" customWidth="1" style="3" min="21" max="23"/>
    <col width="12.00390625" customWidth="1" style="3" min="24" max="24"/>
    <col width="8.00390625" customWidth="1" style="3" min="25" max="25"/>
    <col width="10.00390625" customWidth="1" style="3" min="26" max="26"/>
    <col width="7.00390625" customWidth="1" style="3" min="27" max="27"/>
    <col width="12.00390625" customWidth="1" style="3" min="28" max="29"/>
    <col width="8.00390625" customWidth="1" style="3" min="30" max="31"/>
    <col width="10.00390625" customWidth="1" style="3" min="32" max="32"/>
    <col width="16.00390625" customWidth="1" style="3" min="33" max="33"/>
    <col width="45.00390625" customWidth="1" style="3" min="34" max="34"/>
    <col width="28.00390625" customWidth="1" style="3" min="35" max="35"/>
  </cols>
  <sheetData>
    <row r="1" ht="15" customHeight="1" s="95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</row>
    <row r="2" ht="24" customFormat="1" customHeight="1" s="3">
      <c r="A2" s="17" t="inlineStr">
        <is>
          <t>COMPETITIVE RENT ANALYSIS — CUMBERLAND | GREEN = Affordable Comps | BLUE = Market Rate Comps</t>
        </is>
      </c>
    </row>
    <row r="3" ht="20.25" customFormat="1" customHeight="1" s="3">
      <c r="A3" s="18" t="inlineStr">
        <is>
          <t>SUBJECT: Cumberland | 100 Cumberland Drive, Crystal Springs, MS 39059 | 68 units | Program: Section 8/HUD | Bedroom Mix: 1BR / 2BR / 3BR / 4BR | County AMI: $55,800 | FMR Area: Copiah County, MS</t>
        </is>
      </c>
    </row>
    <row r="4" ht="90" customFormat="1" customHeight="1" s="3">
      <c r="A4" s="19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5" ht="30" customFormat="1" customHeight="1" s="3">
      <c r="A5" s="20" t="inlineStr">
        <is>
          <t>Rank</t>
        </is>
      </c>
      <c r="B5" s="20" t="inlineStr">
        <is>
          <t>Type</t>
        </is>
      </c>
      <c r="C5" s="20" t="inlineStr">
        <is>
          <t>Property Name</t>
        </is>
      </c>
      <c r="D5" s="20" t="inlineStr">
        <is>
          <t>Address</t>
        </is>
      </c>
      <c r="E5" s="20" t="inlineStr">
        <is>
          <t>City</t>
        </is>
      </c>
      <c r="F5" s="20" t="inlineStr">
        <is>
          <t>State</t>
        </is>
      </c>
      <c r="G5" s="20" t="inlineStr">
        <is>
          <t>ZIP</t>
        </is>
      </c>
      <c r="H5" s="20" t="inlineStr">
        <is>
          <t>Distance (mi)</t>
        </is>
      </c>
      <c r="I5" s="20" t="inlineStr">
        <is>
          <t>1BR Low ($)</t>
        </is>
      </c>
      <c r="J5" s="20" t="inlineStr">
        <is>
          <t>1BR Mid ($)</t>
        </is>
      </c>
      <c r="K5" s="21" t="inlineStr">
        <is>
          <t>1BR FMR ($)</t>
        </is>
      </c>
      <c r="L5" s="22" t="inlineStr">
        <is>
          <t>1BR Actual ($)</t>
        </is>
      </c>
      <c r="M5" s="20" t="inlineStr">
        <is>
          <t>2BR Low ($)</t>
        </is>
      </c>
      <c r="N5" s="20" t="inlineStr">
        <is>
          <t>2BR Mid ($)</t>
        </is>
      </c>
      <c r="O5" s="21" t="inlineStr">
        <is>
          <t>2BR FMR ($)</t>
        </is>
      </c>
      <c r="P5" s="22" t="inlineStr">
        <is>
          <t>2BR Actual ($)</t>
        </is>
      </c>
      <c r="Q5" s="20" t="inlineStr">
        <is>
          <t>3BR Low ($)</t>
        </is>
      </c>
      <c r="R5" s="20" t="inlineStr">
        <is>
          <t>3BR Mid ($)</t>
        </is>
      </c>
      <c r="S5" s="21" t="inlineStr">
        <is>
          <t>3BR FMR ($)</t>
        </is>
      </c>
      <c r="T5" s="22" t="inlineStr">
        <is>
          <t>3BR Actual ($)</t>
        </is>
      </c>
      <c r="U5" s="20" t="inlineStr">
        <is>
          <t>4BR Low ($)</t>
        </is>
      </c>
      <c r="V5" s="20" t="inlineStr">
        <is>
          <t>4BR Mid ($)</t>
        </is>
      </c>
      <c r="W5" s="21" t="inlineStr">
        <is>
          <t>4BR FMR ($)</t>
        </is>
      </c>
      <c r="X5" s="22" t="inlineStr">
        <is>
          <t>4BR Actual ($)</t>
        </is>
      </c>
      <c r="Y5" s="20" t="inlineStr">
        <is>
          <t># Units</t>
        </is>
      </c>
      <c r="Z5" s="20" t="inlineStr">
        <is>
          <t>Year Built</t>
        </is>
      </c>
      <c r="AA5" s="20" t="inlineStr">
        <is>
          <t>Yr Diff</t>
        </is>
      </c>
      <c r="AB5" s="20" t="inlineStr">
        <is>
          <t>Utilities Incl.</t>
        </is>
      </c>
      <c r="AC5" s="20" t="inlineStr">
        <is>
          <t>Pet Friendly</t>
        </is>
      </c>
      <c r="AD5" s="20" t="inlineStr">
        <is>
          <t>Gated</t>
        </is>
      </c>
      <c r="AE5" s="20" t="inlineStr">
        <is>
          <t>Pool</t>
        </is>
      </c>
      <c r="AF5" s="20" t="inlineStr">
        <is>
          <t>W/D In-Unit</t>
        </is>
      </c>
      <c r="AG5" s="20" t="inlineStr">
        <is>
          <t>Competition Level</t>
        </is>
      </c>
      <c r="AH5" s="20" t="inlineStr">
        <is>
          <t>Why Competitive</t>
        </is>
      </c>
      <c r="AI5" s="20" t="inlineStr">
        <is>
          <t>Data Source</t>
        </is>
      </c>
    </row>
    <row r="6" ht="54.75" customFormat="1" customHeight="1" s="3">
      <c r="A6" s="23" t="inlineStr">
        <is>
          <t>—</t>
        </is>
      </c>
      <c r="B6" s="23" t="inlineStr">
        <is>
          <t>SUBJECT</t>
        </is>
      </c>
      <c r="C6" s="24" t="inlineStr">
        <is>
          <t>Cumberland (SUBJECT)</t>
        </is>
      </c>
      <c r="D6" s="23" t="inlineStr">
        <is>
          <t>100 Cumberland Drive</t>
        </is>
      </c>
      <c r="E6" s="23" t="inlineStr">
        <is>
          <t>Crystal Springs</t>
        </is>
      </c>
      <c r="F6" s="23" t="inlineStr">
        <is>
          <t>MS</t>
        </is>
      </c>
      <c r="G6" s="23" t="inlineStr">
        <is>
          <t>39059</t>
        </is>
      </c>
      <c r="H6" s="23" t="inlineStr">
        <is>
          <t>0.0 mi</t>
        </is>
      </c>
      <c r="I6" s="23" t="inlineStr">
        <is>
          <t>$2,160</t>
        </is>
      </c>
      <c r="J6" s="23" t="inlineStr">
        <is>
          <t>$2,592</t>
        </is>
      </c>
      <c r="K6" s="25" t="inlineStr">
        <is>
          <t>$642</t>
        </is>
      </c>
      <c r="L6" s="26" t="inlineStr">
        <is>
          <t>N/A</t>
        </is>
      </c>
      <c r="M6" s="23" t="inlineStr">
        <is>
          <t>$2,591</t>
        </is>
      </c>
      <c r="N6" s="23" t="inlineStr">
        <is>
          <t>$3,110</t>
        </is>
      </c>
      <c r="O6" s="25" t="inlineStr">
        <is>
          <t>$880</t>
        </is>
      </c>
      <c r="P6" s="26" t="inlineStr">
        <is>
          <t>N/A</t>
        </is>
      </c>
      <c r="Q6" s="23" t="inlineStr">
        <is>
          <t>$2,879</t>
        </is>
      </c>
      <c r="R6" s="23" t="inlineStr">
        <is>
          <t>$3,455</t>
        </is>
      </c>
      <c r="S6" s="25" t="inlineStr">
        <is>
          <t>$1,100</t>
        </is>
      </c>
      <c r="T6" s="26" t="inlineStr">
        <is>
          <t>N/A</t>
        </is>
      </c>
      <c r="U6" s="23" t="inlineStr">
        <is>
          <t>$3,112</t>
        </is>
      </c>
      <c r="V6" s="23" t="inlineStr">
        <is>
          <t>$3,735</t>
        </is>
      </c>
      <c r="W6" s="25" t="inlineStr">
        <is>
          <t>$1,272</t>
        </is>
      </c>
      <c r="X6" s="26" t="inlineStr">
        <is>
          <t>N/A</t>
        </is>
      </c>
      <c r="Y6" s="23" t="inlineStr">
        <is>
          <t>68</t>
        </is>
      </c>
      <c r="Z6" s="23" t="inlineStr">
        <is>
          <t>1985</t>
        </is>
      </c>
      <c r="AA6" s="23" t="inlineStr">
        <is>
          <t>0</t>
        </is>
      </c>
      <c r="AB6" s="23" t="inlineStr">
        <is>
          <t>Yes</t>
        </is>
      </c>
      <c r="AC6" s="23" t="inlineStr">
        <is>
          <t>No</t>
        </is>
      </c>
      <c r="AD6" s="23" t="inlineStr">
        <is>
          <t>No</t>
        </is>
      </c>
      <c r="AE6" s="23" t="inlineStr">
        <is>
          <t>No</t>
        </is>
      </c>
      <c r="AF6" s="23" t="inlineStr">
        <is>
          <t>No</t>
        </is>
      </c>
      <c r="AG6" s="27" t="inlineStr">
        <is>
          <t>SUBJECT</t>
        </is>
      </c>
      <c r="AH6" s="24" t="inlineStr">
        <is>
          <t>68 units | Section 8/HUD property. Year built: 1985. Subject property for market context.</t>
        </is>
      </c>
      <c r="AI6" s="23" t="inlineStr">
        <is>
          <t>Apartment Corp Records</t>
        </is>
      </c>
    </row>
    <row r="7" ht="54.75" customFormat="1" customHeight="1" s="3">
      <c r="A7" s="28" t="inlineStr">
        <is>
          <t>1</t>
        </is>
      </c>
      <c r="B7" s="28" t="inlineStr">
        <is>
          <t>AFFORDABLE</t>
        </is>
      </c>
      <c r="C7" s="29" t="inlineStr">
        <is>
          <t>Indian Creek Phase Ii</t>
        </is>
      </c>
      <c r="D7" s="28" t="inlineStr">
        <is>
          <t>150 Hwy 469 N</t>
        </is>
      </c>
      <c r="E7" s="28" t="inlineStr">
        <is>
          <t>Florence</t>
        </is>
      </c>
      <c r="F7" s="28" t="inlineStr">
        <is>
          <t>MS</t>
        </is>
      </c>
      <c r="G7" s="28" t="inlineStr">
        <is>
          <t>39073</t>
        </is>
      </c>
      <c r="H7" s="28" t="inlineStr">
        <is>
          <t>18.4 mi</t>
        </is>
      </c>
      <c r="I7" s="28" t="inlineStr">
        <is>
          <t>$2,160</t>
        </is>
      </c>
      <c r="J7" s="28" t="inlineStr">
        <is>
          <t>$2,592</t>
        </is>
      </c>
      <c r="K7" s="30" t="inlineStr">
        <is>
          <t>$642</t>
        </is>
      </c>
      <c r="L7" s="31" t="inlineStr">
        <is>
          <t>Not Listed</t>
        </is>
      </c>
      <c r="M7" s="28" t="inlineStr">
        <is>
          <t>$2,591</t>
        </is>
      </c>
      <c r="N7" s="28" t="inlineStr">
        <is>
          <t>$3,110</t>
        </is>
      </c>
      <c r="O7" s="30" t="inlineStr">
        <is>
          <t>$880</t>
        </is>
      </c>
      <c r="P7" s="31" t="inlineStr">
        <is>
          <t>Not Listed</t>
        </is>
      </c>
      <c r="Q7" s="28" t="inlineStr">
        <is>
          <t>$2,879</t>
        </is>
      </c>
      <c r="R7" s="28" t="inlineStr">
        <is>
          <t>$3,455</t>
        </is>
      </c>
      <c r="S7" s="30" t="inlineStr">
        <is>
          <t>$1,100</t>
        </is>
      </c>
      <c r="T7" s="31" t="inlineStr">
        <is>
          <t>Not Listed</t>
        </is>
      </c>
      <c r="U7" s="28" t="inlineStr">
        <is>
          <t>$3,112</t>
        </is>
      </c>
      <c r="V7" s="28" t="inlineStr">
        <is>
          <t>$3,735</t>
        </is>
      </c>
      <c r="W7" s="30" t="inlineStr">
        <is>
          <t>$1,272</t>
        </is>
      </c>
      <c r="X7" s="31" t="inlineStr">
        <is>
          <t>Not Listed</t>
        </is>
      </c>
      <c r="Y7" s="28" t="inlineStr">
        <is>
          <t>32</t>
        </is>
      </c>
      <c r="Z7" s="28" t="inlineStr">
        <is>
          <t>1987</t>
        </is>
      </c>
      <c r="AA7" s="28" t="inlineStr">
        <is>
          <t>2</t>
        </is>
      </c>
      <c r="AB7" s="28" t="inlineStr">
        <is>
          <t>Yes</t>
        </is>
      </c>
      <c r="AC7" s="28" t="inlineStr">
        <is>
          <t>No</t>
        </is>
      </c>
      <c r="AD7" s="28" t="inlineStr">
        <is>
          <t>No</t>
        </is>
      </c>
      <c r="AE7" s="28" t="inlineStr">
        <is>
          <t>No</t>
        </is>
      </c>
      <c r="AF7" s="28" t="inlineStr">
        <is>
          <t>No</t>
        </is>
      </c>
      <c r="AG7" s="78" t="inlineStr">
        <is>
          <t>MODERATE-HIGH</t>
        </is>
      </c>
      <c r="AH7" s="29" t="inlineStr">
        <is>
          <t>Affordable Comp #1: LIHTC property, 1987 vintage (2 yr diff), 32 units, 18.4 mi from subject. Same income-eligible renter pool.</t>
        </is>
      </c>
      <c r="AI7" s="28" t="inlineStr">
        <is>
          <t>HUD LIHTC Database (huduser.gov)</t>
        </is>
      </c>
    </row>
    <row r="8" ht="54.75" customFormat="1" customHeight="1" s="3">
      <c r="A8" s="33" t="inlineStr">
        <is>
          <t>2</t>
        </is>
      </c>
      <c r="B8" s="33" t="inlineStr">
        <is>
          <t>AFFORDABLE</t>
        </is>
      </c>
      <c r="C8" s="34" t="inlineStr">
        <is>
          <t>Towncreek Apts</t>
        </is>
      </c>
      <c r="D8" s="33" t="inlineStr">
        <is>
          <t>Red Dog Rd</t>
        </is>
      </c>
      <c r="E8" s="33" t="inlineStr">
        <is>
          <t>Carthage</t>
        </is>
      </c>
      <c r="F8" s="33" t="inlineStr">
        <is>
          <t>MS</t>
        </is>
      </c>
      <c r="G8" s="33" t="n"/>
      <c r="H8" s="33" t="inlineStr">
        <is>
          <t>N/A</t>
        </is>
      </c>
      <c r="I8" s="33" t="inlineStr">
        <is>
          <t>$2,160</t>
        </is>
      </c>
      <c r="J8" s="33" t="inlineStr">
        <is>
          <t>$2,592</t>
        </is>
      </c>
      <c r="K8" s="30" t="inlineStr">
        <is>
          <t>$642</t>
        </is>
      </c>
      <c r="L8" s="31" t="inlineStr">
        <is>
          <t>Not Listed</t>
        </is>
      </c>
      <c r="M8" s="33" t="inlineStr">
        <is>
          <t>$2,591</t>
        </is>
      </c>
      <c r="N8" s="33" t="inlineStr">
        <is>
          <t>$3,110</t>
        </is>
      </c>
      <c r="O8" s="30" t="inlineStr">
        <is>
          <t>$880</t>
        </is>
      </c>
      <c r="P8" s="31" t="inlineStr">
        <is>
          <t>Not Listed</t>
        </is>
      </c>
      <c r="Q8" s="33" t="inlineStr">
        <is>
          <t>$2,879</t>
        </is>
      </c>
      <c r="R8" s="33" t="inlineStr">
        <is>
          <t>$3,455</t>
        </is>
      </c>
      <c r="S8" s="30" t="inlineStr">
        <is>
          <t>$1,100</t>
        </is>
      </c>
      <c r="T8" s="31" t="inlineStr">
        <is>
          <t>Not Listed</t>
        </is>
      </c>
      <c r="U8" s="33" t="inlineStr">
        <is>
          <t>$3,112</t>
        </is>
      </c>
      <c r="V8" s="33" t="inlineStr">
        <is>
          <t>$3,735</t>
        </is>
      </c>
      <c r="W8" s="30" t="inlineStr">
        <is>
          <t>$1,272</t>
        </is>
      </c>
      <c r="X8" s="31" t="inlineStr">
        <is>
          <t>Not Listed</t>
        </is>
      </c>
      <c r="Y8" s="33" t="inlineStr">
        <is>
          <t>52</t>
        </is>
      </c>
      <c r="Z8" s="33" t="inlineStr">
        <is>
          <t>1988</t>
        </is>
      </c>
      <c r="AA8" s="33" t="inlineStr">
        <is>
          <t>3</t>
        </is>
      </c>
      <c r="AB8" s="33" t="inlineStr">
        <is>
          <t>Yes</t>
        </is>
      </c>
      <c r="AC8" s="33" t="inlineStr">
        <is>
          <t>No</t>
        </is>
      </c>
      <c r="AD8" s="33" t="inlineStr">
        <is>
          <t>No</t>
        </is>
      </c>
      <c r="AE8" s="33" t="inlineStr">
        <is>
          <t>No</t>
        </is>
      </c>
      <c r="AF8" s="33" t="inlineStr">
        <is>
          <t>No</t>
        </is>
      </c>
      <c r="AG8" s="79" t="inlineStr">
        <is>
          <t>MODERATE</t>
        </is>
      </c>
      <c r="AH8" s="34" t="inlineStr">
        <is>
          <t>Affordable Comp #2: LIHTC property, 1988 vintage (3 yr diff), 52 units, N/A from subject. Same income-eligible renter pool.</t>
        </is>
      </c>
      <c r="AI8" s="33" t="inlineStr">
        <is>
          <t>HUD LIHTC Database (huduser.gov)</t>
        </is>
      </c>
    </row>
    <row r="9" ht="54.75" customFormat="1" customHeight="1" s="3">
      <c r="A9" s="36" t="inlineStr">
        <is>
          <t>3</t>
        </is>
      </c>
      <c r="B9" s="36" t="inlineStr">
        <is>
          <t>AFFORDABLE</t>
        </is>
      </c>
      <c r="C9" s="37" t="inlineStr">
        <is>
          <t>Bloom Street Apts</t>
        </is>
      </c>
      <c r="D9" s="36" t="inlineStr">
        <is>
          <t>515 Bloom St</t>
        </is>
      </c>
      <c r="E9" s="36" t="inlineStr">
        <is>
          <t>Jackson</t>
        </is>
      </c>
      <c r="F9" s="36" t="inlineStr">
        <is>
          <t>MS</t>
        </is>
      </c>
      <c r="G9" s="36" t="inlineStr">
        <is>
          <t>39202</t>
        </is>
      </c>
      <c r="H9" s="36" t="inlineStr">
        <is>
          <t>24.2 mi</t>
        </is>
      </c>
      <c r="I9" s="36" t="inlineStr">
        <is>
          <t>$2,160</t>
        </is>
      </c>
      <c r="J9" s="36" t="inlineStr">
        <is>
          <t>$2,592</t>
        </is>
      </c>
      <c r="K9" s="30" t="inlineStr">
        <is>
          <t>$642</t>
        </is>
      </c>
      <c r="L9" s="31" t="inlineStr">
        <is>
          <t>Not Listed</t>
        </is>
      </c>
      <c r="M9" s="36" t="inlineStr">
        <is>
          <t>$2,591</t>
        </is>
      </c>
      <c r="N9" s="36" t="inlineStr">
        <is>
          <t>$3,110</t>
        </is>
      </c>
      <c r="O9" s="30" t="inlineStr">
        <is>
          <t>$880</t>
        </is>
      </c>
      <c r="P9" s="31" t="inlineStr">
        <is>
          <t>Not Listed</t>
        </is>
      </c>
      <c r="Q9" s="36" t="inlineStr">
        <is>
          <t>$2,879</t>
        </is>
      </c>
      <c r="R9" s="36" t="inlineStr">
        <is>
          <t>$3,455</t>
        </is>
      </c>
      <c r="S9" s="30" t="inlineStr">
        <is>
          <t>$1,100</t>
        </is>
      </c>
      <c r="T9" s="31" t="inlineStr">
        <is>
          <t>Not Listed</t>
        </is>
      </c>
      <c r="U9" s="36" t="inlineStr">
        <is>
          <t>$3,112</t>
        </is>
      </c>
      <c r="V9" s="36" t="inlineStr">
        <is>
          <t>$3,735</t>
        </is>
      </c>
      <c r="W9" s="30" t="inlineStr">
        <is>
          <t>$1,272</t>
        </is>
      </c>
      <c r="X9" s="31" t="inlineStr">
        <is>
          <t>Not Listed</t>
        </is>
      </c>
      <c r="Y9" s="36" t="inlineStr">
        <is>
          <t>24</t>
        </is>
      </c>
      <c r="Z9" s="36" t="inlineStr">
        <is>
          <t>1987</t>
        </is>
      </c>
      <c r="AA9" s="36" t="inlineStr">
        <is>
          <t>2</t>
        </is>
      </c>
      <c r="AB9" s="36" t="inlineStr">
        <is>
          <t>Yes</t>
        </is>
      </c>
      <c r="AC9" s="36" t="inlineStr">
        <is>
          <t>No</t>
        </is>
      </c>
      <c r="AD9" s="36" t="inlineStr">
        <is>
          <t>No</t>
        </is>
      </c>
      <c r="AE9" s="36" t="inlineStr">
        <is>
          <t>No</t>
        </is>
      </c>
      <c r="AF9" s="36" t="inlineStr">
        <is>
          <t>No</t>
        </is>
      </c>
      <c r="AG9" s="38" t="inlineStr">
        <is>
          <t>MODERATE-HIGH</t>
        </is>
      </c>
      <c r="AH9" s="37" t="inlineStr">
        <is>
          <t>Affordable Comp #3: LIHTC property, 1987 vintage (2 yr diff), 24 units, 24.2 mi from subject. Same income-eligible renter pool.</t>
        </is>
      </c>
      <c r="AI9" s="36" t="inlineStr">
        <is>
          <t>HUD LIHTC Database (huduser.gov)</t>
        </is>
      </c>
    </row>
    <row r="10" ht="54.75" customFormat="1" customHeight="1" s="3">
      <c r="A10" s="28" t="inlineStr">
        <is>
          <t>4</t>
        </is>
      </c>
      <c r="B10" s="28" t="inlineStr">
        <is>
          <t>AFFORDABLE</t>
        </is>
      </c>
      <c r="C10" s="29" t="inlineStr">
        <is>
          <t>Sandstone Apts</t>
        </is>
      </c>
      <c r="D10" s="28" t="inlineStr">
        <is>
          <t>607 Wallace Dr</t>
        </is>
      </c>
      <c r="E10" s="28" t="inlineStr">
        <is>
          <t>Edwards</t>
        </is>
      </c>
      <c r="F10" s="28" t="inlineStr">
        <is>
          <t>MS</t>
        </is>
      </c>
      <c r="G10" s="28" t="inlineStr">
        <is>
          <t>39066</t>
        </is>
      </c>
      <c r="H10" s="28" t="inlineStr">
        <is>
          <t>28.2 mi</t>
        </is>
      </c>
      <c r="I10" s="28" t="inlineStr">
        <is>
          <t>$2,160</t>
        </is>
      </c>
      <c r="J10" s="28" t="inlineStr">
        <is>
          <t>$2,592</t>
        </is>
      </c>
      <c r="K10" s="30" t="inlineStr">
        <is>
          <t>$642</t>
        </is>
      </c>
      <c r="L10" s="31" t="inlineStr">
        <is>
          <t>Not Listed</t>
        </is>
      </c>
      <c r="M10" s="28" t="inlineStr">
        <is>
          <t>$2,591</t>
        </is>
      </c>
      <c r="N10" s="28" t="inlineStr">
        <is>
          <t>$3,110</t>
        </is>
      </c>
      <c r="O10" s="30" t="inlineStr">
        <is>
          <t>$880</t>
        </is>
      </c>
      <c r="P10" s="31" t="inlineStr">
        <is>
          <t>Not Listed</t>
        </is>
      </c>
      <c r="Q10" s="28" t="inlineStr">
        <is>
          <t>$2,879</t>
        </is>
      </c>
      <c r="R10" s="28" t="inlineStr">
        <is>
          <t>$3,455</t>
        </is>
      </c>
      <c r="S10" s="30" t="inlineStr">
        <is>
          <t>$1,100</t>
        </is>
      </c>
      <c r="T10" s="31" t="inlineStr">
        <is>
          <t>Not Listed</t>
        </is>
      </c>
      <c r="U10" s="28" t="inlineStr">
        <is>
          <t>$3,112</t>
        </is>
      </c>
      <c r="V10" s="28" t="inlineStr">
        <is>
          <t>$3,735</t>
        </is>
      </c>
      <c r="W10" s="30" t="inlineStr">
        <is>
          <t>$1,272</t>
        </is>
      </c>
      <c r="X10" s="31" t="inlineStr">
        <is>
          <t>Not Listed</t>
        </is>
      </c>
      <c r="Y10" s="28" t="inlineStr">
        <is>
          <t>24</t>
        </is>
      </c>
      <c r="Z10" s="28" t="inlineStr">
        <is>
          <t>1987</t>
        </is>
      </c>
      <c r="AA10" s="28" t="inlineStr">
        <is>
          <t>2</t>
        </is>
      </c>
      <c r="AB10" s="28" t="inlineStr">
        <is>
          <t>Yes</t>
        </is>
      </c>
      <c r="AC10" s="28" t="inlineStr">
        <is>
          <t>No</t>
        </is>
      </c>
      <c r="AD10" s="28" t="inlineStr">
        <is>
          <t>No</t>
        </is>
      </c>
      <c r="AE10" s="28" t="inlineStr">
        <is>
          <t>No</t>
        </is>
      </c>
      <c r="AF10" s="28" t="inlineStr">
        <is>
          <t>No</t>
        </is>
      </c>
      <c r="AG10" s="78" t="inlineStr">
        <is>
          <t>MODERATE-HIGH</t>
        </is>
      </c>
      <c r="AH10" s="29" t="inlineStr">
        <is>
          <t>Affordable Comp #4: LIHTC property, 1987 vintage (2 yr diff), 24 units, 28.2 mi from subject. Same income-eligible renter pool.</t>
        </is>
      </c>
      <c r="AI10" s="28" t="inlineStr">
        <is>
          <t>HUD LIHTC Database (huduser.gov)</t>
        </is>
      </c>
    </row>
    <row r="11" ht="54.75" customFormat="1" customHeight="1" s="3">
      <c r="A11" s="39" t="inlineStr">
        <is>
          <t>1</t>
        </is>
      </c>
      <c r="B11" s="39" t="inlineStr">
        <is>
          <t>MARKET RATE</t>
        </is>
      </c>
      <c r="C11" s="40" t="inlineStr">
        <is>
          <t>Jackson Metro Market Rate (FMR Benchmark)</t>
        </is>
      </c>
      <c r="D11" s="39" t="inlineStr">
        <is>
          <t>Jackson, MS metro area</t>
        </is>
      </c>
      <c r="E11" s="39" t="inlineStr">
        <is>
          <t>MS metro area</t>
        </is>
      </c>
      <c r="F11" s="39" t="inlineStr">
        <is>
          <t>MS</t>
        </is>
      </c>
      <c r="G11" s="39" t="n"/>
      <c r="H11" s="39" t="inlineStr">
        <is>
          <t>28.0 mi</t>
        </is>
      </c>
      <c r="I11" s="39" t="inlineStr">
        <is>
          <t>N/A (Market Rate)</t>
        </is>
      </c>
      <c r="J11" s="39" t="inlineStr">
        <is>
          <t>N/A (Market Rate)</t>
        </is>
      </c>
      <c r="K11" s="30" t="inlineStr">
        <is>
          <t>$642</t>
        </is>
      </c>
      <c r="L11" s="31" t="inlineStr">
        <is>
          <t>$850</t>
        </is>
      </c>
      <c r="M11" s="39" t="inlineStr">
        <is>
          <t>N/A (Market Rate)</t>
        </is>
      </c>
      <c r="N11" s="39" t="inlineStr">
        <is>
          <t>N/A (Market Rate)</t>
        </is>
      </c>
      <c r="O11" s="30" t="inlineStr">
        <is>
          <t>$880</t>
        </is>
      </c>
      <c r="P11" s="31" t="inlineStr">
        <is>
          <t>$1,050</t>
        </is>
      </c>
      <c r="Q11" s="39" t="inlineStr">
        <is>
          <t>N/A (Market Rate)</t>
        </is>
      </c>
      <c r="R11" s="39" t="inlineStr">
        <is>
          <t>N/A (Market Rate)</t>
        </is>
      </c>
      <c r="S11" s="30" t="inlineStr">
        <is>
          <t>$1,100</t>
        </is>
      </c>
      <c r="T11" s="31" t="inlineStr">
        <is>
          <t>$1,300</t>
        </is>
      </c>
      <c r="U11" s="39" t="inlineStr">
        <is>
          <t>N/A (Market Rate)</t>
        </is>
      </c>
      <c r="V11" s="39" t="inlineStr">
        <is>
          <t>N/A (Market Rate)</t>
        </is>
      </c>
      <c r="W11" s="30" t="inlineStr">
        <is>
          <t>$1,272</t>
        </is>
      </c>
      <c r="X11" s="31" t="inlineStr">
        <is>
          <t>$1,550</t>
        </is>
      </c>
      <c r="Y11" s="39" t="inlineStr">
        <is>
          <t>N/A</t>
        </is>
      </c>
      <c r="Z11" s="39" t="inlineStr">
        <is>
          <t>1985</t>
        </is>
      </c>
      <c r="AA11" s="39" t="inlineStr">
        <is>
          <t>0</t>
        </is>
      </c>
      <c r="AB11" s="39" t="inlineStr">
        <is>
          <t>Varies</t>
        </is>
      </c>
      <c r="AC11" s="39" t="inlineStr">
        <is>
          <t>Varies</t>
        </is>
      </c>
      <c r="AD11" s="39" t="inlineStr">
        <is>
          <t>Varies</t>
        </is>
      </c>
      <c r="AE11" s="39" t="inlineStr">
        <is>
          <t>Varies</t>
        </is>
      </c>
      <c r="AF11" s="39" t="inlineStr">
        <is>
          <t>Varies</t>
        </is>
      </c>
      <c r="AG11" s="81" t="inlineStr">
        <is>
          <t>MODERATE-HIGH</t>
        </is>
      </c>
      <c r="AH11" s="40" t="inlineStr">
        <is>
          <t>Market Rate Comp #1: No income restrictions, 1985 vintage (0 yr diff), N/A units, 28.0 mi from subject. Shows market-rate rents vs. affordable housing discount.</t>
        </is>
      </c>
      <c r="AI11" s="39" t="inlineStr">
        <is>
          <t>HUD FY2026 FMR - Hinds County, MS (limited market rate inventory in Crystal Springs)</t>
        </is>
      </c>
    </row>
    <row r="12" ht="54.75" customFormat="1" customHeight="1" s="3">
      <c r="A12" s="42" t="inlineStr">
        <is>
          <t>2</t>
        </is>
      </c>
      <c r="B12" s="42" t="inlineStr">
        <is>
          <t>MARKET RATE</t>
        </is>
      </c>
      <c r="C12" s="43" t="inlineStr">
        <is>
          <t>Ridgeland Apartments</t>
        </is>
      </c>
      <c r="D12" s="42" t="inlineStr">
        <is>
          <t>Ridgeland, MS 39157</t>
        </is>
      </c>
      <c r="E12" s="42" t="inlineStr">
        <is>
          <t>MS 39157</t>
        </is>
      </c>
      <c r="F12" s="42" t="inlineStr">
        <is>
          <t>MS</t>
        </is>
      </c>
      <c r="G12" s="42" t="n"/>
      <c r="H12" s="42" t="inlineStr">
        <is>
          <t>32.0 mi</t>
        </is>
      </c>
      <c r="I12" s="42" t="inlineStr">
        <is>
          <t>N/A (Market Rate)</t>
        </is>
      </c>
      <c r="J12" s="42" t="inlineStr">
        <is>
          <t>N/A (Market Rate)</t>
        </is>
      </c>
      <c r="K12" s="30" t="inlineStr">
        <is>
          <t>$642</t>
        </is>
      </c>
      <c r="L12" s="31" t="inlineStr">
        <is>
          <t>$875</t>
        </is>
      </c>
      <c r="M12" s="42" t="inlineStr">
        <is>
          <t>N/A (Market Rate)</t>
        </is>
      </c>
      <c r="N12" s="42" t="inlineStr">
        <is>
          <t>N/A (Market Rate)</t>
        </is>
      </c>
      <c r="O12" s="30" t="inlineStr">
        <is>
          <t>$880</t>
        </is>
      </c>
      <c r="P12" s="31" t="inlineStr">
        <is>
          <t>$1,075</t>
        </is>
      </c>
      <c r="Q12" s="42" t="inlineStr">
        <is>
          <t>N/A (Market Rate)</t>
        </is>
      </c>
      <c r="R12" s="42" t="inlineStr">
        <is>
          <t>N/A (Market Rate)</t>
        </is>
      </c>
      <c r="S12" s="30" t="inlineStr">
        <is>
          <t>$1,100</t>
        </is>
      </c>
      <c r="T12" s="31" t="inlineStr">
        <is>
          <t>$1,325</t>
        </is>
      </c>
      <c r="U12" s="42" t="inlineStr">
        <is>
          <t>N/A (Market Rate)</t>
        </is>
      </c>
      <c r="V12" s="42" t="inlineStr">
        <is>
          <t>N/A (Market Rate)</t>
        </is>
      </c>
      <c r="W12" s="30" t="inlineStr">
        <is>
          <t>$1,272</t>
        </is>
      </c>
      <c r="X12" s="31" t="inlineStr">
        <is>
          <t>$1,575</t>
        </is>
      </c>
      <c r="Y12" s="42" t="inlineStr">
        <is>
          <t>80</t>
        </is>
      </c>
      <c r="Z12" s="42" t="inlineStr">
        <is>
          <t>1988</t>
        </is>
      </c>
      <c r="AA12" s="42" t="inlineStr">
        <is>
          <t>3</t>
        </is>
      </c>
      <c r="AB12" s="42" t="inlineStr">
        <is>
          <t>Varies</t>
        </is>
      </c>
      <c r="AC12" s="42" t="inlineStr">
        <is>
          <t>Varies</t>
        </is>
      </c>
      <c r="AD12" s="42" t="inlineStr">
        <is>
          <t>Varies</t>
        </is>
      </c>
      <c r="AE12" s="42" t="inlineStr">
        <is>
          <t>Varies</t>
        </is>
      </c>
      <c r="AF12" s="42" t="inlineStr">
        <is>
          <t>Varies</t>
        </is>
      </c>
      <c r="AG12" s="89" t="inlineStr">
        <is>
          <t>MODERATE</t>
        </is>
      </c>
      <c r="AH12" s="43" t="inlineStr">
        <is>
          <t>Market Rate Comp #2: No income restrictions, 1988 vintage (3 yr diff), 80 units, 32.0 mi from subject. Shows market-rate rents vs. affordable housing discount.</t>
        </is>
      </c>
      <c r="AI12" s="42" t="inlineStr">
        <is>
          <t>https://www.rentcafe.com/apartments-for-rent/us/ms/ridgeland/</t>
        </is>
      </c>
    </row>
    <row r="13" ht="54.75" customFormat="1" customHeight="1" s="3">
      <c r="A13" s="45" t="inlineStr">
        <is>
          <t>3</t>
        </is>
      </c>
      <c r="B13" s="45" t="inlineStr">
        <is>
          <t>MARKET RATE</t>
        </is>
      </c>
      <c r="C13" s="46" t="inlineStr">
        <is>
          <t>Brandon Apartments</t>
        </is>
      </c>
      <c r="D13" s="45" t="inlineStr">
        <is>
          <t>Brandon, MS 39042</t>
        </is>
      </c>
      <c r="E13" s="45" t="inlineStr">
        <is>
          <t>MS 39042</t>
        </is>
      </c>
      <c r="F13" s="45" t="inlineStr">
        <is>
          <t>MS</t>
        </is>
      </c>
      <c r="G13" s="45" t="n"/>
      <c r="H13" s="45" t="inlineStr">
        <is>
          <t>35.0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0" t="inlineStr">
        <is>
          <t>$642</t>
        </is>
      </c>
      <c r="L13" s="31" t="inlineStr">
        <is>
          <t>$860</t>
        </is>
      </c>
      <c r="M13" s="45" t="inlineStr">
        <is>
          <t>N/A (Market Rate)</t>
        </is>
      </c>
      <c r="N13" s="45" t="inlineStr">
        <is>
          <t>N/A (Market Rate)</t>
        </is>
      </c>
      <c r="O13" s="30" t="inlineStr">
        <is>
          <t>$880</t>
        </is>
      </c>
      <c r="P13" s="31" t="inlineStr">
        <is>
          <t>$1,060</t>
        </is>
      </c>
      <c r="Q13" s="45" t="inlineStr">
        <is>
          <t>N/A (Market Rate)</t>
        </is>
      </c>
      <c r="R13" s="45" t="inlineStr">
        <is>
          <t>N/A (Market Rate)</t>
        </is>
      </c>
      <c r="S13" s="30" t="inlineStr">
        <is>
          <t>$1,100</t>
        </is>
      </c>
      <c r="T13" s="31" t="inlineStr">
        <is>
          <t>$1,310</t>
        </is>
      </c>
      <c r="U13" s="45" t="inlineStr">
        <is>
          <t>N/A (Market Rate)</t>
        </is>
      </c>
      <c r="V13" s="45" t="inlineStr">
        <is>
          <t>N/A (Market Rate)</t>
        </is>
      </c>
      <c r="W13" s="30" t="inlineStr">
        <is>
          <t>$1,272</t>
        </is>
      </c>
      <c r="X13" s="31" t="inlineStr">
        <is>
          <t>$1,560</t>
        </is>
      </c>
      <c r="Y13" s="45" t="inlineStr">
        <is>
          <t>72</t>
        </is>
      </c>
      <c r="Z13" s="45" t="inlineStr">
        <is>
          <t>1983</t>
        </is>
      </c>
      <c r="AA13" s="45" t="inlineStr">
        <is>
          <t>2</t>
        </is>
      </c>
      <c r="AB13" s="45" t="inlineStr">
        <is>
          <t>Varies</t>
        </is>
      </c>
      <c r="AC13" s="45" t="inlineStr">
        <is>
          <t>Varies</t>
        </is>
      </c>
      <c r="AD13" s="45" t="inlineStr">
        <is>
          <t>Varies</t>
        </is>
      </c>
      <c r="AE13" s="45" t="inlineStr">
        <is>
          <t>Varies</t>
        </is>
      </c>
      <c r="AF13" s="45" t="inlineStr">
        <is>
          <t>Varies</t>
        </is>
      </c>
      <c r="AG13" s="90" t="inlineStr">
        <is>
          <t>MODERATE</t>
        </is>
      </c>
      <c r="AH13" s="46" t="inlineStr">
        <is>
          <t>Market Rate Comp #3: No income restrictions, 1983 vintage (2 yr diff), 72 units, 35.0 mi from subject. Shows market-rate rents vs. affordable housing discount.</t>
        </is>
      </c>
      <c r="AI13" s="45" t="inlineStr">
        <is>
          <t>https://www.rentcafe.com/apartments-for-rent/us/ms/brandon/</t>
        </is>
      </c>
    </row>
    <row r="14" ht="54.75" customFormat="1" customHeight="1" s="3">
      <c r="A14" s="39" t="inlineStr">
        <is>
          <t>4</t>
        </is>
      </c>
      <c r="B14" s="39" t="inlineStr">
        <is>
          <t>MARKET RATE</t>
        </is>
      </c>
      <c r="C14" s="40" t="inlineStr">
        <is>
          <t>Pearl Apartments</t>
        </is>
      </c>
      <c r="D14" s="39" t="inlineStr">
        <is>
          <t>Pearl, MS 39208</t>
        </is>
      </c>
      <c r="E14" s="39" t="inlineStr">
        <is>
          <t>MS 39208</t>
        </is>
      </c>
      <c r="F14" s="39" t="inlineStr">
        <is>
          <t>MS</t>
        </is>
      </c>
      <c r="G14" s="39" t="n"/>
      <c r="H14" s="39" t="inlineStr">
        <is>
          <t>38.0 mi</t>
        </is>
      </c>
      <c r="I14" s="39" t="inlineStr">
        <is>
          <t>N/A (Market Rate)</t>
        </is>
      </c>
      <c r="J14" s="39" t="inlineStr">
        <is>
          <t>N/A (Market Rate)</t>
        </is>
      </c>
      <c r="K14" s="30" t="inlineStr">
        <is>
          <t>$642</t>
        </is>
      </c>
      <c r="L14" s="31" t="inlineStr">
        <is>
          <t>$880</t>
        </is>
      </c>
      <c r="M14" s="39" t="inlineStr">
        <is>
          <t>N/A (Market Rate)</t>
        </is>
      </c>
      <c r="N14" s="39" t="inlineStr">
        <is>
          <t>N/A (Market Rate)</t>
        </is>
      </c>
      <c r="O14" s="30" t="inlineStr">
        <is>
          <t>$880</t>
        </is>
      </c>
      <c r="P14" s="31" t="inlineStr">
        <is>
          <t>$1,080</t>
        </is>
      </c>
      <c r="Q14" s="39" t="inlineStr">
        <is>
          <t>N/A (Market Rate)</t>
        </is>
      </c>
      <c r="R14" s="39" t="inlineStr">
        <is>
          <t>N/A (Market Rate)</t>
        </is>
      </c>
      <c r="S14" s="30" t="inlineStr">
        <is>
          <t>$1,100</t>
        </is>
      </c>
      <c r="T14" s="31" t="inlineStr">
        <is>
          <t>$1,330</t>
        </is>
      </c>
      <c r="U14" s="39" t="inlineStr">
        <is>
          <t>N/A (Market Rate)</t>
        </is>
      </c>
      <c r="V14" s="39" t="inlineStr">
        <is>
          <t>N/A (Market Rate)</t>
        </is>
      </c>
      <c r="W14" s="30" t="inlineStr">
        <is>
          <t>$1,272</t>
        </is>
      </c>
      <c r="X14" s="31" t="inlineStr">
        <is>
          <t>$1,580</t>
        </is>
      </c>
      <c r="Y14" s="39" t="inlineStr">
        <is>
          <t>60</t>
        </is>
      </c>
      <c r="Z14" s="39" t="inlineStr">
        <is>
          <t>1987</t>
        </is>
      </c>
      <c r="AA14" s="39" t="inlineStr">
        <is>
          <t>2</t>
        </is>
      </c>
      <c r="AB14" s="39" t="inlineStr">
        <is>
          <t>Varies</t>
        </is>
      </c>
      <c r="AC14" s="39" t="inlineStr">
        <is>
          <t>Varies</t>
        </is>
      </c>
      <c r="AD14" s="39" t="inlineStr">
        <is>
          <t>Varies</t>
        </is>
      </c>
      <c r="AE14" s="39" t="inlineStr">
        <is>
          <t>Varies</t>
        </is>
      </c>
      <c r="AF14" s="39" t="inlineStr">
        <is>
          <t>Varies</t>
        </is>
      </c>
      <c r="AG14" s="84" t="inlineStr">
        <is>
          <t>MODERATE</t>
        </is>
      </c>
      <c r="AH14" s="40" t="inlineStr">
        <is>
          <t>Market Rate Comp #4: No income restrictions, 1987 vintage (2 yr diff), 60 units, 38.0 mi from subject. Shows market-rate rents vs. affordable housing discount.</t>
        </is>
      </c>
      <c r="AI14" s="39" t="inlineStr">
        <is>
          <t>https://www.rentcafe.com/apartments-for-rent/us/ms/pearl/</t>
        </is>
      </c>
    </row>
    <row r="15" ht="54.75" customFormat="1" customHeight="1" s="3">
      <c r="A15" s="48" t="inlineStr">
        <is>
          <t>—</t>
        </is>
      </c>
      <c r="B15" s="48" t="inlineStr">
        <is>
          <t>BENCHMARK</t>
        </is>
      </c>
      <c r="C15" s="49" t="inlineStr">
        <is>
          <t>FY2026 FMR — Copiah County, MS</t>
        </is>
      </c>
      <c r="D15" s="48" t="inlineStr">
        <is>
          <t>N/A</t>
        </is>
      </c>
      <c r="E15" s="48" t="inlineStr">
        <is>
          <t>Crystal Springs</t>
        </is>
      </c>
      <c r="F15" s="48" t="inlineStr">
        <is>
          <t>MS</t>
        </is>
      </c>
      <c r="G15" s="48" t="inlineStr">
        <is>
          <t>N/A</t>
        </is>
      </c>
      <c r="H15" s="48" t="inlineStr">
        <is>
          <t>N/A</t>
        </is>
      </c>
      <c r="I15" s="48" t="inlineStr">
        <is>
          <t>$642</t>
        </is>
      </c>
      <c r="J15" s="48" t="inlineStr">
        <is>
          <t>$642</t>
        </is>
      </c>
      <c r="K15" s="30" t="inlineStr">
        <is>
          <t>$642</t>
        </is>
      </c>
      <c r="L15" s="31" t="inlineStr">
        <is>
          <t>N/A</t>
        </is>
      </c>
      <c r="M15" s="48" t="inlineStr">
        <is>
          <t>$880</t>
        </is>
      </c>
      <c r="N15" s="48" t="inlineStr">
        <is>
          <t>$880</t>
        </is>
      </c>
      <c r="O15" s="30" t="inlineStr">
        <is>
          <t>$880</t>
        </is>
      </c>
      <c r="P15" s="31" t="inlineStr">
        <is>
          <t>N/A</t>
        </is>
      </c>
      <c r="Q15" s="48" t="inlineStr">
        <is>
          <t>$1,100</t>
        </is>
      </c>
      <c r="R15" s="48" t="inlineStr">
        <is>
          <t>$1,100</t>
        </is>
      </c>
      <c r="S15" s="30" t="inlineStr">
        <is>
          <t>$1,100</t>
        </is>
      </c>
      <c r="T15" s="31" t="inlineStr">
        <is>
          <t>N/A</t>
        </is>
      </c>
      <c r="U15" s="48" t="inlineStr">
        <is>
          <t>$1,272</t>
        </is>
      </c>
      <c r="V15" s="48" t="inlineStr">
        <is>
          <t>$1,272</t>
        </is>
      </c>
      <c r="W15" s="30" t="inlineStr">
        <is>
          <t>$1,272</t>
        </is>
      </c>
      <c r="X15" s="31" t="inlineStr">
        <is>
          <t>N/A</t>
        </is>
      </c>
      <c r="Y15" s="48" t="inlineStr">
        <is>
          <t>N/A</t>
        </is>
      </c>
      <c r="Z15" s="48" t="inlineStr">
        <is>
          <t>N/A</t>
        </is>
      </c>
      <c r="AA15" s="48" t="inlineStr">
        <is>
          <t>N/A</t>
        </is>
      </c>
      <c r="AB15" s="48" t="inlineStr">
        <is>
          <t>N/A</t>
        </is>
      </c>
      <c r="AC15" s="48" t="inlineStr">
        <is>
          <t>N/A</t>
        </is>
      </c>
      <c r="AD15" s="48" t="inlineStr">
        <is>
          <t>N/A</t>
        </is>
      </c>
      <c r="AE15" s="48" t="inlineStr">
        <is>
          <t>N/A</t>
        </is>
      </c>
      <c r="AF15" s="48" t="inlineStr">
        <is>
          <t>N/A</t>
        </is>
      </c>
      <c r="AG15" s="50" t="inlineStr">
        <is>
          <t>BENCHMARK</t>
        </is>
      </c>
      <c r="AH15" s="49" t="inlineStr">
        <is>
          <t>BENCHMARK — HUD Fair Market Rent (FMR) for Copiah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5" s="48" t="inlineStr">
        <is>
          <t>HUD FMR Database (huduser.gov)</t>
        </is>
      </c>
    </row>
    <row r="16" ht="54.75" customFormat="1" customHeight="1" s="3">
      <c r="A16" s="48" t="inlineStr">
        <is>
          <t>—</t>
        </is>
      </c>
      <c r="B16" s="48" t="inlineStr">
        <is>
          <t>BENCHMARK</t>
        </is>
      </c>
      <c r="C16" s="49" t="inlineStr">
        <is>
          <t>Metro Market Avg — Crystal Springs</t>
        </is>
      </c>
      <c r="D16" s="48" t="inlineStr">
        <is>
          <t>N/A</t>
        </is>
      </c>
      <c r="E16" s="48" t="inlineStr">
        <is>
          <t>Crystal Springs</t>
        </is>
      </c>
      <c r="F16" s="48" t="inlineStr">
        <is>
          <t>MS</t>
        </is>
      </c>
      <c r="G16" s="48" t="inlineStr">
        <is>
          <t>N/A</t>
        </is>
      </c>
      <c r="H16" s="48" t="inlineStr">
        <is>
          <t>N/A</t>
        </is>
      </c>
      <c r="I16" s="48" t="inlineStr">
        <is>
          <t>$706</t>
        </is>
      </c>
      <c r="J16" s="48" t="inlineStr">
        <is>
          <t>$706</t>
        </is>
      </c>
      <c r="K16" s="30" t="inlineStr">
        <is>
          <t>$706</t>
        </is>
      </c>
      <c r="L16" s="31" t="inlineStr">
        <is>
          <t>N/A</t>
        </is>
      </c>
      <c r="M16" s="48" t="inlineStr">
        <is>
          <t>$968</t>
        </is>
      </c>
      <c r="N16" s="48" t="inlineStr">
        <is>
          <t>$968</t>
        </is>
      </c>
      <c r="O16" s="30" t="inlineStr">
        <is>
          <t>$968</t>
        </is>
      </c>
      <c r="P16" s="31" t="inlineStr">
        <is>
          <t>N/A</t>
        </is>
      </c>
      <c r="Q16" s="48" t="inlineStr">
        <is>
          <t>$1,210</t>
        </is>
      </c>
      <c r="R16" s="48" t="inlineStr">
        <is>
          <t>$1,210</t>
        </is>
      </c>
      <c r="S16" s="30" t="inlineStr">
        <is>
          <t>$1,210</t>
        </is>
      </c>
      <c r="T16" s="31" t="inlineStr">
        <is>
          <t>N/A</t>
        </is>
      </c>
      <c r="U16" s="48" t="inlineStr">
        <is>
          <t>$1,399</t>
        </is>
      </c>
      <c r="V16" s="48" t="inlineStr">
        <is>
          <t>$1,399</t>
        </is>
      </c>
      <c r="W16" s="30" t="inlineStr">
        <is>
          <t>$1,399</t>
        </is>
      </c>
      <c r="X16" s="31" t="inlineStr">
        <is>
          <t>N/A</t>
        </is>
      </c>
      <c r="Y16" s="48" t="inlineStr">
        <is>
          <t>N/A</t>
        </is>
      </c>
      <c r="Z16" s="48" t="inlineStr">
        <is>
          <t>N/A</t>
        </is>
      </c>
      <c r="AA16" s="48" t="inlineStr">
        <is>
          <t>N/A</t>
        </is>
      </c>
      <c r="AB16" s="48" t="inlineStr">
        <is>
          <t>N/A</t>
        </is>
      </c>
      <c r="AC16" s="48" t="inlineStr">
        <is>
          <t>N/A</t>
        </is>
      </c>
      <c r="AD16" s="48" t="inlineStr">
        <is>
          <t>N/A</t>
        </is>
      </c>
      <c r="AE16" s="48" t="inlineStr">
        <is>
          <t>N/A</t>
        </is>
      </c>
      <c r="AF16" s="48" t="inlineStr">
        <is>
          <t>N/A</t>
        </is>
      </c>
      <c r="AG16" s="50" t="inlineStr">
        <is>
          <t>BENCHMARK</t>
        </is>
      </c>
      <c r="AH16" s="49" t="inlineStr">
        <is>
          <t>BENCHMARK — Estimated Metro Market Average for Crystal Springs,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6" s="48" t="inlineStr">
        <is>
          <t>HUD FMR + Market Estimate</t>
        </is>
      </c>
    </row>
    <row r="17" ht="8.25" customFormat="1" customHeight="1" s="3"/>
    <row r="18" ht="27.75" customFormat="1" customHeight="1" s="3">
      <c r="A18" s="51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 ht="15" customHeight="1" s="95">
      <c r="C20" s="86" t="inlineStr">
        <is>
          <t>50% AMI</t>
        </is>
      </c>
      <c r="D20" s="86" t="inlineStr">
        <is>
          <t>UAP</t>
        </is>
      </c>
      <c r="E20" s="86" t="inlineStr">
        <is>
          <t>Section 8 Rent</t>
        </is>
      </c>
    </row>
    <row r="21" ht="15" customHeight="1" s="95">
      <c r="B21" s="3" t="n">
        <v>2</v>
      </c>
      <c r="C21" s="86" t="n">
        <v>1292</v>
      </c>
      <c r="D21" s="86" t="n">
        <v>454</v>
      </c>
      <c r="E21" s="86" t="n">
        <v>1400</v>
      </c>
    </row>
    <row r="22" ht="15" customHeight="1" s="95">
      <c r="B22" s="3" t="n">
        <v>3</v>
      </c>
      <c r="C22" s="86" t="n">
        <v>1641</v>
      </c>
      <c r="D22" s="86" t="n">
        <v>454</v>
      </c>
      <c r="E22" s="86" t="n">
        <v>1641</v>
      </c>
    </row>
    <row r="25" ht="15" customHeight="1" s="95">
      <c r="A25" s="61" t="inlineStr">
        <is>
          <t>PMTS — Vouchers / FMR / UAP / NET FMR</t>
        </is>
      </c>
      <c r="B25" s="101" t="n"/>
      <c r="C25" s="101" t="n"/>
      <c r="D25" s="101" t="n"/>
      <c r="E25" s="101" t="n"/>
      <c r="F25" s="102" t="n"/>
    </row>
    <row r="26" ht="15" customHeight="1" s="95">
      <c r="A26" s="64" t="inlineStr">
        <is>
          <t>BD</t>
        </is>
      </c>
      <c r="B26" s="65" t="inlineStr">
        <is>
          <t>MKT</t>
        </is>
      </c>
      <c r="C26" s="66" t="inlineStr">
        <is>
          <t>VCH</t>
        </is>
      </c>
      <c r="D26" s="67" t="inlineStr">
        <is>
          <t>FMR</t>
        </is>
      </c>
      <c r="E26" s="68" t="inlineStr">
        <is>
          <t>UAP</t>
        </is>
      </c>
      <c r="F26" s="69" t="inlineStr">
        <is>
          <t>NET</t>
        </is>
      </c>
    </row>
    <row r="27" ht="15" customHeight="1" s="95">
      <c r="A27" s="70" t="inlineStr">
        <is>
          <t>1BD</t>
        </is>
      </c>
      <c r="B27" s="71" t="n">
        <v>0</v>
      </c>
      <c r="C27" s="71" t="n">
        <v>0</v>
      </c>
      <c r="D27" s="71" t="n">
        <v>800</v>
      </c>
      <c r="E27" s="72" t="n">
        <v>116</v>
      </c>
      <c r="F27" s="73" t="n">
        <v>684</v>
      </c>
    </row>
    <row r="28" ht="15" customHeight="1" s="95">
      <c r="A28" s="74" t="inlineStr">
        <is>
          <t>2BD</t>
        </is>
      </c>
      <c r="B28" s="75" t="n">
        <v>0</v>
      </c>
      <c r="C28" s="75" t="n">
        <v>0</v>
      </c>
      <c r="D28" s="75" t="n">
        <v>930</v>
      </c>
      <c r="E28" s="72" t="n">
        <v>131</v>
      </c>
      <c r="F28" s="73" t="n">
        <v>799</v>
      </c>
    </row>
    <row r="29" ht="15" customHeight="1" s="95">
      <c r="A29" s="70" t="inlineStr">
        <is>
          <t>3BD</t>
        </is>
      </c>
      <c r="B29" s="71" t="n">
        <v>0</v>
      </c>
      <c r="C29" s="71" t="n">
        <v>0</v>
      </c>
      <c r="D29" s="71" t="n">
        <v>1120</v>
      </c>
      <c r="E29" s="72" t="n">
        <v>0</v>
      </c>
      <c r="F29" s="73" t="n">
        <v>1120</v>
      </c>
    </row>
    <row r="32" ht="15" customHeight="1" s="95">
      <c r="A32" s="61" t="inlineStr">
        <is>
          <t>HAP, CoStar, NET</t>
        </is>
      </c>
      <c r="B32" s="101" t="n"/>
      <c r="C32" s="102" t="n"/>
    </row>
    <row r="33" ht="15" customHeight="1" s="95">
      <c r="A33" s="64" t="n"/>
      <c r="B33" s="68" t="inlineStr">
        <is>
          <t>HAP</t>
        </is>
      </c>
      <c r="C33" s="65" t="inlineStr">
        <is>
          <t>CoStar</t>
        </is>
      </c>
    </row>
    <row r="34" ht="15" customHeight="1" s="95">
      <c r="A34" s="70" t="inlineStr">
        <is>
          <t>1BD</t>
        </is>
      </c>
      <c r="B34" s="103" t="n">
        <v>1027</v>
      </c>
      <c r="C34" s="104" t="n">
        <v>943</v>
      </c>
    </row>
    <row r="35" ht="15" customHeight="1" s="95">
      <c r="A35" s="74" t="inlineStr">
        <is>
          <t>2BD</t>
        </is>
      </c>
      <c r="B35" s="103" t="n">
        <v>1115</v>
      </c>
      <c r="C35" s="104" t="n">
        <v>1063</v>
      </c>
    </row>
    <row r="36" ht="15" customHeight="1" s="95">
      <c r="A36" s="70" t="inlineStr">
        <is>
          <t>3BD</t>
        </is>
      </c>
      <c r="B36" s="103" t="n">
        <v>1233</v>
      </c>
      <c r="C36" s="104" t="n">
        <v>1219</v>
      </c>
    </row>
    <row r="37" ht="15" customHeight="1" s="95">
      <c r="A37" s="74" t="inlineStr">
        <is>
          <t>4BD</t>
        </is>
      </c>
      <c r="B37" s="103" t="n">
        <v>1380</v>
      </c>
      <c r="C37" s="104" t="n">
        <v>1131</v>
      </c>
    </row>
  </sheetData>
  <mergeCells count="6">
    <mergeCell ref="A2:AI2"/>
    <mergeCell ref="A32:C32"/>
    <mergeCell ref="A18:AI18"/>
    <mergeCell ref="A3:AI3"/>
    <mergeCell ref="A4:AI4"/>
    <mergeCell ref="A25:F25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theme="3" tint="0.4"/>
    <outlinePr summaryBelow="1" summaryRight="1"/>
    <pageSetUpPr/>
  </sheetPr>
  <dimension ref="A1:AE36"/>
  <sheetViews>
    <sheetView topLeftCell="A1" workbookViewId="0">
      <pane ySplit="1" topLeftCell="A14" activePane="bottomLeft" state="frozen"/>
      <selection pane="bottomLeft" activeCell="F8" sqref="F8"/>
    </sheetView>
  </sheetViews>
  <sheetFormatPr baseColWidth="8" defaultColWidth="9.140625" defaultRowHeight="15" customHeight="1"/>
  <cols>
    <col width="8.00390625" customWidth="1" style="3" min="1" max="1"/>
    <col width="14.00390625" customWidth="1" style="3" min="2" max="2"/>
    <col width="28.00390625" customWidth="1" style="3" min="3" max="3"/>
    <col width="22.00390625" customWidth="1" style="3" min="4" max="4"/>
    <col width="16.00390625" customWidth="1" style="3" min="5" max="5"/>
    <col width="10.00390625" customWidth="1" style="3" min="6" max="6"/>
    <col width="8.00390625" customWidth="1" style="3" min="7" max="7"/>
    <col width="11.00390625" customWidth="1" style="3" min="8" max="8"/>
    <col width="10.00390625" customWidth="1" style="3" min="9" max="11"/>
    <col width="12.00390625" customWidth="1" style="3" min="12" max="12"/>
    <col width="10.00390625" customWidth="1" style="3" min="13" max="15"/>
    <col width="12.00390625" customWidth="1" style="3" min="16" max="16"/>
    <col width="10.00390625" customWidth="1" style="3" min="17" max="19"/>
    <col width="12.00390625" customWidth="1" style="3" min="20" max="20"/>
    <col width="8.00390625" customWidth="1" style="3" min="21" max="21"/>
    <col width="10.00390625" customWidth="1" style="3" min="22" max="22"/>
    <col width="7.00390625" customWidth="1" style="3" min="23" max="23"/>
    <col width="12.00390625" customWidth="1" style="3" min="24" max="25"/>
    <col width="8.00390625" customWidth="1" style="3" min="26" max="27"/>
    <col width="10.00390625" customWidth="1" style="3" min="28" max="28"/>
    <col width="16.00390625" customWidth="1" style="3" min="29" max="29"/>
    <col width="45.00390625" customWidth="1" style="3" min="30" max="30"/>
    <col width="28.00390625" customWidth="1" style="3" min="31" max="31"/>
  </cols>
  <sheetData>
    <row r="1" ht="15" customHeight="1" s="95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</row>
    <row r="2" ht="24" customFormat="1" customHeight="1" s="3">
      <c r="A2" s="17" t="inlineStr">
        <is>
          <t>COMPETITIVE RENT ANALYSIS — VILLAGE GREEN | GREEN = Affordable Comps | BLUE = Market Rate Comps</t>
        </is>
      </c>
    </row>
    <row r="3" ht="20.25" customFormat="1" customHeight="1" s="3">
      <c r="A3" s="18" t="inlineStr">
        <is>
          <t>SUBJECT: Village Green | 105 Creek Bend Rd, Natchez, MS 39120 | 80 units | Program: Section 8/HUD | Bedroom Mix: 1BR / 2BR / 3BR | County AMI: $55,800 | FMR Area: Adams County, MS</t>
        </is>
      </c>
    </row>
    <row r="4" ht="90" customFormat="1" customHeight="1" s="3">
      <c r="A4" s="19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5" ht="30" customFormat="1" customHeight="1" s="3">
      <c r="A5" s="20" t="inlineStr">
        <is>
          <t>Rank</t>
        </is>
      </c>
      <c r="B5" s="20" t="inlineStr">
        <is>
          <t>Type</t>
        </is>
      </c>
      <c r="C5" s="20" t="inlineStr">
        <is>
          <t>Property Name</t>
        </is>
      </c>
      <c r="D5" s="20" t="inlineStr">
        <is>
          <t>Address</t>
        </is>
      </c>
      <c r="E5" s="20" t="inlineStr">
        <is>
          <t>City</t>
        </is>
      </c>
      <c r="F5" s="20" t="inlineStr">
        <is>
          <t>State</t>
        </is>
      </c>
      <c r="G5" s="20" t="inlineStr">
        <is>
          <t>ZIP</t>
        </is>
      </c>
      <c r="H5" s="20" t="inlineStr">
        <is>
          <t>Distance (mi)</t>
        </is>
      </c>
      <c r="I5" s="20" t="inlineStr">
        <is>
          <t>1BR Low ($)</t>
        </is>
      </c>
      <c r="J5" s="20" t="inlineStr">
        <is>
          <t>1BR Mid ($)</t>
        </is>
      </c>
      <c r="K5" s="21" t="inlineStr">
        <is>
          <t>1BR FMR ($)</t>
        </is>
      </c>
      <c r="L5" s="22" t="inlineStr">
        <is>
          <t>1BR Actual ($)</t>
        </is>
      </c>
      <c r="M5" s="20" t="inlineStr">
        <is>
          <t>2BR Low ($)</t>
        </is>
      </c>
      <c r="N5" s="20" t="inlineStr">
        <is>
          <t>2BR Mid ($)</t>
        </is>
      </c>
      <c r="O5" s="21" t="inlineStr">
        <is>
          <t>2BR FMR ($)</t>
        </is>
      </c>
      <c r="P5" s="22" t="inlineStr">
        <is>
          <t>2BR Actual ($)</t>
        </is>
      </c>
      <c r="Q5" s="20" t="inlineStr">
        <is>
          <t>3BR Low ($)</t>
        </is>
      </c>
      <c r="R5" s="20" t="inlineStr">
        <is>
          <t>3BR Mid ($)</t>
        </is>
      </c>
      <c r="S5" s="21" t="inlineStr">
        <is>
          <t>3BR FMR ($)</t>
        </is>
      </c>
      <c r="T5" s="22" t="inlineStr">
        <is>
          <t>3BR Actual ($)</t>
        </is>
      </c>
      <c r="U5" s="20" t="inlineStr">
        <is>
          <t># Units</t>
        </is>
      </c>
      <c r="V5" s="20" t="inlineStr">
        <is>
          <t>Year Built</t>
        </is>
      </c>
      <c r="W5" s="20" t="inlineStr">
        <is>
          <t>Yr Diff</t>
        </is>
      </c>
      <c r="X5" s="20" t="inlineStr">
        <is>
          <t>Utilities Incl.</t>
        </is>
      </c>
      <c r="Y5" s="20" t="inlineStr">
        <is>
          <t>Pet Friendly</t>
        </is>
      </c>
      <c r="Z5" s="20" t="inlineStr">
        <is>
          <t>Gated</t>
        </is>
      </c>
      <c r="AA5" s="20" t="inlineStr">
        <is>
          <t>Pool</t>
        </is>
      </c>
      <c r="AB5" s="20" t="inlineStr">
        <is>
          <t>W/D In-Unit</t>
        </is>
      </c>
      <c r="AC5" s="20" t="inlineStr">
        <is>
          <t>Competition Level</t>
        </is>
      </c>
      <c r="AD5" s="20" t="inlineStr">
        <is>
          <t>Why Competitive</t>
        </is>
      </c>
      <c r="AE5" s="20" t="inlineStr">
        <is>
          <t>Data Source</t>
        </is>
      </c>
    </row>
    <row r="6" ht="54.75" customFormat="1" customHeight="1" s="3">
      <c r="A6" s="23" t="inlineStr">
        <is>
          <t>—</t>
        </is>
      </c>
      <c r="B6" s="23" t="inlineStr">
        <is>
          <t>SUBJECT</t>
        </is>
      </c>
      <c r="C6" s="24" t="inlineStr">
        <is>
          <t>Village Green (SUBJECT)</t>
        </is>
      </c>
      <c r="D6" s="23" t="inlineStr">
        <is>
          <t>105 Creek Bend Rd</t>
        </is>
      </c>
      <c r="E6" s="23" t="inlineStr">
        <is>
          <t>Natchez</t>
        </is>
      </c>
      <c r="F6" s="23" t="inlineStr">
        <is>
          <t>MS</t>
        </is>
      </c>
      <c r="G6" s="23" t="inlineStr">
        <is>
          <t>39120</t>
        </is>
      </c>
      <c r="H6" s="23" t="inlineStr">
        <is>
          <t>0.0 mi</t>
        </is>
      </c>
      <c r="I6" s="23" t="inlineStr">
        <is>
          <t>$2,160</t>
        </is>
      </c>
      <c r="J6" s="23" t="inlineStr">
        <is>
          <t>$2,592</t>
        </is>
      </c>
      <c r="K6" s="25" t="inlineStr">
        <is>
          <t>$599</t>
        </is>
      </c>
      <c r="L6" s="26" t="inlineStr">
        <is>
          <t>N/A</t>
        </is>
      </c>
      <c r="M6" s="23" t="inlineStr">
        <is>
          <t>$2,591</t>
        </is>
      </c>
      <c r="N6" s="23" t="inlineStr">
        <is>
          <t>$3,110</t>
        </is>
      </c>
      <c r="O6" s="25" t="inlineStr">
        <is>
          <t>$820</t>
        </is>
      </c>
      <c r="P6" s="26" t="inlineStr">
        <is>
          <t>N/A</t>
        </is>
      </c>
      <c r="Q6" s="23" t="inlineStr">
        <is>
          <t>$2,879</t>
        </is>
      </c>
      <c r="R6" s="23" t="inlineStr">
        <is>
          <t>$3,455</t>
        </is>
      </c>
      <c r="S6" s="25" t="inlineStr">
        <is>
          <t>$1,040</t>
        </is>
      </c>
      <c r="T6" s="26" t="inlineStr">
        <is>
          <t>N/A</t>
        </is>
      </c>
      <c r="U6" s="23" t="inlineStr">
        <is>
          <t>80</t>
        </is>
      </c>
      <c r="V6" s="23" t="inlineStr">
        <is>
          <t>1977</t>
        </is>
      </c>
      <c r="W6" s="23" t="inlineStr">
        <is>
          <t>0</t>
        </is>
      </c>
      <c r="X6" s="23" t="inlineStr">
        <is>
          <t>Yes</t>
        </is>
      </c>
      <c r="Y6" s="23" t="inlineStr">
        <is>
          <t>No</t>
        </is>
      </c>
      <c r="Z6" s="23" t="inlineStr">
        <is>
          <t>No</t>
        </is>
      </c>
      <c r="AA6" s="23" t="inlineStr">
        <is>
          <t>No</t>
        </is>
      </c>
      <c r="AB6" s="23" t="inlineStr">
        <is>
          <t>No</t>
        </is>
      </c>
      <c r="AC6" s="27" t="inlineStr">
        <is>
          <t>SUBJECT</t>
        </is>
      </c>
      <c r="AD6" s="24" t="inlineStr">
        <is>
          <t>80 units | Section 8/HUD property. Year built: 1977. Subject property for market context.</t>
        </is>
      </c>
      <c r="AE6" s="23" t="inlineStr">
        <is>
          <t>Apartment Corp Records</t>
        </is>
      </c>
    </row>
    <row r="7" ht="54.75" customFormat="1" customHeight="1" s="3">
      <c r="A7" s="28" t="inlineStr">
        <is>
          <t>1</t>
        </is>
      </c>
      <c r="B7" s="28" t="inlineStr">
        <is>
          <t>AFFORDABLE</t>
        </is>
      </c>
      <c r="C7" s="29" t="inlineStr">
        <is>
          <t>Artesia Wells Apts</t>
        </is>
      </c>
      <c r="D7" s="28" t="inlineStr">
        <is>
          <t>192 Roberts St</t>
        </is>
      </c>
      <c r="E7" s="28" t="inlineStr">
        <is>
          <t>Artesia</t>
        </is>
      </c>
      <c r="F7" s="28" t="inlineStr">
        <is>
          <t>MS</t>
        </is>
      </c>
      <c r="G7" s="28" t="n"/>
      <c r="H7" s="28" t="inlineStr">
        <is>
          <t>N/A</t>
        </is>
      </c>
      <c r="I7" s="28" t="inlineStr">
        <is>
          <t>$2,160</t>
        </is>
      </c>
      <c r="J7" s="28" t="inlineStr">
        <is>
          <t>$2,592</t>
        </is>
      </c>
      <c r="K7" s="30" t="inlineStr">
        <is>
          <t>$599</t>
        </is>
      </c>
      <c r="L7" s="31" t="inlineStr">
        <is>
          <t>Not Listed</t>
        </is>
      </c>
      <c r="M7" s="28" t="inlineStr">
        <is>
          <t>$2,591</t>
        </is>
      </c>
      <c r="N7" s="28" t="inlineStr">
        <is>
          <t>$3,110</t>
        </is>
      </c>
      <c r="O7" s="30" t="inlineStr">
        <is>
          <t>$820</t>
        </is>
      </c>
      <c r="P7" s="31" t="inlineStr">
        <is>
          <t>Not Listed</t>
        </is>
      </c>
      <c r="Q7" s="28" t="inlineStr">
        <is>
          <t>$2,879</t>
        </is>
      </c>
      <c r="R7" s="28" t="inlineStr">
        <is>
          <t>$3,455</t>
        </is>
      </c>
      <c r="S7" s="30" t="inlineStr">
        <is>
          <t>$1,040</t>
        </is>
      </c>
      <c r="T7" s="31" t="inlineStr">
        <is>
          <t>Not Listed</t>
        </is>
      </c>
      <c r="U7" s="28" t="inlineStr">
        <is>
          <t>16</t>
        </is>
      </c>
      <c r="V7" s="28" t="inlineStr">
        <is>
          <t>1987</t>
        </is>
      </c>
      <c r="W7" s="28" t="inlineStr">
        <is>
          <t>10</t>
        </is>
      </c>
      <c r="X7" s="28" t="inlineStr">
        <is>
          <t>Yes</t>
        </is>
      </c>
      <c r="Y7" s="28" t="inlineStr">
        <is>
          <t>No</t>
        </is>
      </c>
      <c r="Z7" s="28" t="inlineStr">
        <is>
          <t>No</t>
        </is>
      </c>
      <c r="AA7" s="28" t="inlineStr">
        <is>
          <t>No</t>
        </is>
      </c>
      <c r="AB7" s="28" t="inlineStr">
        <is>
          <t>No</t>
        </is>
      </c>
      <c r="AC7" s="91" t="inlineStr">
        <is>
          <t>MODERATE</t>
        </is>
      </c>
      <c r="AD7" s="29" t="inlineStr">
        <is>
          <t>Affordable Comp #1: LIHTC property, 1987 vintage (10 yr diff), 16 units, N/A from subject. Same income-eligible renter pool.</t>
        </is>
      </c>
      <c r="AE7" s="28" t="inlineStr">
        <is>
          <t>HUD LIHTC Database (huduser.gov)</t>
        </is>
      </c>
    </row>
    <row r="8" ht="54.75" customFormat="1" customHeight="1" s="3">
      <c r="A8" s="33" t="inlineStr">
        <is>
          <t>2</t>
        </is>
      </c>
      <c r="B8" s="33" t="inlineStr">
        <is>
          <t>AFFORDABLE</t>
        </is>
      </c>
      <c r="C8" s="34" t="inlineStr">
        <is>
          <t>Indian Creek Phase Ii</t>
        </is>
      </c>
      <c r="D8" s="33" t="inlineStr">
        <is>
          <t>150 Hwy 469 N</t>
        </is>
      </c>
      <c r="E8" s="33" t="inlineStr">
        <is>
          <t>Florence</t>
        </is>
      </c>
      <c r="F8" s="33" t="inlineStr">
        <is>
          <t>MS</t>
        </is>
      </c>
      <c r="G8" s="33" t="inlineStr">
        <is>
          <t>39073</t>
        </is>
      </c>
      <c r="H8" s="33" t="inlineStr">
        <is>
          <t>86.0 mi</t>
        </is>
      </c>
      <c r="I8" s="33" t="inlineStr">
        <is>
          <t>$2,160</t>
        </is>
      </c>
      <c r="J8" s="33" t="inlineStr">
        <is>
          <t>$2,592</t>
        </is>
      </c>
      <c r="K8" s="30" t="inlineStr">
        <is>
          <t>$599</t>
        </is>
      </c>
      <c r="L8" s="31" t="inlineStr">
        <is>
          <t>Not Listed</t>
        </is>
      </c>
      <c r="M8" s="33" t="inlineStr">
        <is>
          <t>$2,591</t>
        </is>
      </c>
      <c r="N8" s="33" t="inlineStr">
        <is>
          <t>$3,110</t>
        </is>
      </c>
      <c r="O8" s="30" t="inlineStr">
        <is>
          <t>$820</t>
        </is>
      </c>
      <c r="P8" s="31" t="inlineStr">
        <is>
          <t>Not Listed</t>
        </is>
      </c>
      <c r="Q8" s="33" t="inlineStr">
        <is>
          <t>$2,879</t>
        </is>
      </c>
      <c r="R8" s="33" t="inlineStr">
        <is>
          <t>$3,455</t>
        </is>
      </c>
      <c r="S8" s="30" t="inlineStr">
        <is>
          <t>$1,040</t>
        </is>
      </c>
      <c r="T8" s="31" t="inlineStr">
        <is>
          <t>Not Listed</t>
        </is>
      </c>
      <c r="U8" s="33" t="inlineStr">
        <is>
          <t>32</t>
        </is>
      </c>
      <c r="V8" s="33" t="inlineStr">
        <is>
          <t>1987</t>
        </is>
      </c>
      <c r="W8" s="33" t="inlineStr">
        <is>
          <t>10</t>
        </is>
      </c>
      <c r="X8" s="33" t="inlineStr">
        <is>
          <t>Yes</t>
        </is>
      </c>
      <c r="Y8" s="33" t="inlineStr">
        <is>
          <t>No</t>
        </is>
      </c>
      <c r="Z8" s="33" t="inlineStr">
        <is>
          <t>No</t>
        </is>
      </c>
      <c r="AA8" s="33" t="inlineStr">
        <is>
          <t>No</t>
        </is>
      </c>
      <c r="AB8" s="33" t="inlineStr">
        <is>
          <t>No</t>
        </is>
      </c>
      <c r="AC8" s="87" t="inlineStr">
        <is>
          <t>LOW-MODERATE</t>
        </is>
      </c>
      <c r="AD8" s="34" t="inlineStr">
        <is>
          <t>Affordable Comp #2: LIHTC property, 1987 vintage (10 yr diff), 32 units, 86.0 mi from subject. Same income-eligible renter pool.</t>
        </is>
      </c>
      <c r="AE8" s="33" t="inlineStr">
        <is>
          <t>HUD LIHTC Database (huduser.gov)</t>
        </is>
      </c>
    </row>
    <row r="9" ht="54.75" customFormat="1" customHeight="1" s="3">
      <c r="A9" s="36" t="inlineStr">
        <is>
          <t>3</t>
        </is>
      </c>
      <c r="B9" s="36" t="inlineStr">
        <is>
          <t>AFFORDABLE</t>
        </is>
      </c>
      <c r="C9" s="37" t="inlineStr">
        <is>
          <t>Bloom Street Apts</t>
        </is>
      </c>
      <c r="D9" s="36" t="inlineStr">
        <is>
          <t>515 Bloom St</t>
        </is>
      </c>
      <c r="E9" s="36" t="inlineStr">
        <is>
          <t>Jackson</t>
        </is>
      </c>
      <c r="F9" s="36" t="inlineStr">
        <is>
          <t>MS</t>
        </is>
      </c>
      <c r="G9" s="36" t="inlineStr">
        <is>
          <t>39202</t>
        </is>
      </c>
      <c r="H9" s="36" t="inlineStr">
        <is>
          <t>87.9 mi</t>
        </is>
      </c>
      <c r="I9" s="36" t="inlineStr">
        <is>
          <t>$2,160</t>
        </is>
      </c>
      <c r="J9" s="36" t="inlineStr">
        <is>
          <t>$2,592</t>
        </is>
      </c>
      <c r="K9" s="30" t="inlineStr">
        <is>
          <t>$599</t>
        </is>
      </c>
      <c r="L9" s="31" t="inlineStr">
        <is>
          <t>Not Listed</t>
        </is>
      </c>
      <c r="M9" s="36" t="inlineStr">
        <is>
          <t>$2,591</t>
        </is>
      </c>
      <c r="N9" s="36" t="inlineStr">
        <is>
          <t>$3,110</t>
        </is>
      </c>
      <c r="O9" s="30" t="inlineStr">
        <is>
          <t>$820</t>
        </is>
      </c>
      <c r="P9" s="31" t="inlineStr">
        <is>
          <t>Not Listed</t>
        </is>
      </c>
      <c r="Q9" s="36" t="inlineStr">
        <is>
          <t>$2,879</t>
        </is>
      </c>
      <c r="R9" s="36" t="inlineStr">
        <is>
          <t>$3,455</t>
        </is>
      </c>
      <c r="S9" s="30" t="inlineStr">
        <is>
          <t>$1,040</t>
        </is>
      </c>
      <c r="T9" s="31" t="inlineStr">
        <is>
          <t>Not Listed</t>
        </is>
      </c>
      <c r="U9" s="36" t="inlineStr">
        <is>
          <t>24</t>
        </is>
      </c>
      <c r="V9" s="36" t="inlineStr">
        <is>
          <t>1987</t>
        </is>
      </c>
      <c r="W9" s="36" t="inlineStr">
        <is>
          <t>10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88" t="inlineStr">
        <is>
          <t>LOW-MODERATE</t>
        </is>
      </c>
      <c r="AD9" s="37" t="inlineStr">
        <is>
          <t>Affordable Comp #3: LIHTC property, 1987 vintage (10 yr diff), 24 units, 87.9 mi from subject. Same income-eligible renter pool.</t>
        </is>
      </c>
      <c r="AE9" s="36" t="inlineStr">
        <is>
          <t>HUD LIHTC Database (huduser.gov)</t>
        </is>
      </c>
    </row>
    <row r="10" ht="54.75" customFormat="1" customHeight="1" s="3">
      <c r="A10" s="28" t="inlineStr">
        <is>
          <t>4</t>
        </is>
      </c>
      <c r="B10" s="28" t="inlineStr">
        <is>
          <t>AFFORDABLE</t>
        </is>
      </c>
      <c r="C10" s="29" t="inlineStr">
        <is>
          <t>Sandstone Apts</t>
        </is>
      </c>
      <c r="D10" s="28" t="inlineStr">
        <is>
          <t>607 Wallace Dr</t>
        </is>
      </c>
      <c r="E10" s="28" t="inlineStr">
        <is>
          <t>Edwards</t>
        </is>
      </c>
      <c r="F10" s="28" t="inlineStr">
        <is>
          <t>MS</t>
        </is>
      </c>
      <c r="G10" s="28" t="inlineStr">
        <is>
          <t>39066</t>
        </is>
      </c>
      <c r="H10" s="28" t="inlineStr">
        <is>
          <t>71.6 mi</t>
        </is>
      </c>
      <c r="I10" s="28" t="inlineStr">
        <is>
          <t>$2,160</t>
        </is>
      </c>
      <c r="J10" s="28" t="inlineStr">
        <is>
          <t>$2,592</t>
        </is>
      </c>
      <c r="K10" s="30" t="inlineStr">
        <is>
          <t>$599</t>
        </is>
      </c>
      <c r="L10" s="31" t="inlineStr">
        <is>
          <t>Not Listed</t>
        </is>
      </c>
      <c r="M10" s="28" t="inlineStr">
        <is>
          <t>$2,591</t>
        </is>
      </c>
      <c r="N10" s="28" t="inlineStr">
        <is>
          <t>$3,110</t>
        </is>
      </c>
      <c r="O10" s="30" t="inlineStr">
        <is>
          <t>$820</t>
        </is>
      </c>
      <c r="P10" s="31" t="inlineStr">
        <is>
          <t>Not Listed</t>
        </is>
      </c>
      <c r="Q10" s="28" t="inlineStr">
        <is>
          <t>$2,879</t>
        </is>
      </c>
      <c r="R10" s="28" t="inlineStr">
        <is>
          <t>$3,455</t>
        </is>
      </c>
      <c r="S10" s="30" t="inlineStr">
        <is>
          <t>$1,040</t>
        </is>
      </c>
      <c r="T10" s="31" t="inlineStr">
        <is>
          <t>Not Listed</t>
        </is>
      </c>
      <c r="U10" s="28" t="inlineStr">
        <is>
          <t>24</t>
        </is>
      </c>
      <c r="V10" s="28" t="inlineStr">
        <is>
          <t>1987</t>
        </is>
      </c>
      <c r="W10" s="28" t="inlineStr">
        <is>
          <t>10</t>
        </is>
      </c>
      <c r="X10" s="28" t="inlineStr">
        <is>
          <t>Yes</t>
        </is>
      </c>
      <c r="Y10" s="28" t="inlineStr">
        <is>
          <t>No</t>
        </is>
      </c>
      <c r="Z10" s="28" t="inlineStr">
        <is>
          <t>No</t>
        </is>
      </c>
      <c r="AA10" s="28" t="inlineStr">
        <is>
          <t>No</t>
        </is>
      </c>
      <c r="AB10" s="28" t="inlineStr">
        <is>
          <t>No</t>
        </is>
      </c>
      <c r="AC10" s="92" t="inlineStr">
        <is>
          <t>LOW-MODERATE</t>
        </is>
      </c>
      <c r="AD10" s="29" t="inlineStr">
        <is>
          <t>Affordable Comp #4: LIHTC property, 1987 vintage (10 yr diff), 24 units, 71.6 mi from subject. Same income-eligible renter pool.</t>
        </is>
      </c>
      <c r="AE10" s="28" t="inlineStr">
        <is>
          <t>HUD LIHTC Database (huduser.gov)</t>
        </is>
      </c>
    </row>
    <row r="11" ht="54.75" customFormat="1" customHeight="1" s="3">
      <c r="A11" s="39" t="inlineStr">
        <is>
          <t>1</t>
        </is>
      </c>
      <c r="B11" s="39" t="inlineStr">
        <is>
          <t>MARKET RATE</t>
        </is>
      </c>
      <c r="C11" s="40" t="inlineStr">
        <is>
          <t>Natchez Market Rate (FMR Benchmark)</t>
        </is>
      </c>
      <c r="D11" s="39" t="inlineStr">
        <is>
          <t>Natchez, MS area</t>
        </is>
      </c>
      <c r="E11" s="39" t="inlineStr">
        <is>
          <t>MS area</t>
        </is>
      </c>
      <c r="F11" s="39" t="inlineStr">
        <is>
          <t>MS</t>
        </is>
      </c>
      <c r="G11" s="39" t="n"/>
      <c r="H11" s="39" t="inlineStr">
        <is>
          <t>N/A</t>
        </is>
      </c>
      <c r="I11" s="39" t="inlineStr">
        <is>
          <t>N/A (Market Rate)</t>
        </is>
      </c>
      <c r="J11" s="39" t="inlineStr">
        <is>
          <t>N/A (Market Rate)</t>
        </is>
      </c>
      <c r="K11" s="30" t="inlineStr">
        <is>
          <t>$599</t>
        </is>
      </c>
      <c r="L11" s="31" t="inlineStr">
        <is>
          <t>$700</t>
        </is>
      </c>
      <c r="M11" s="39" t="inlineStr">
        <is>
          <t>N/A (Market Rate)</t>
        </is>
      </c>
      <c r="N11" s="39" t="inlineStr">
        <is>
          <t>N/A (Market Rate)</t>
        </is>
      </c>
      <c r="O11" s="30" t="inlineStr">
        <is>
          <t>$820</t>
        </is>
      </c>
      <c r="P11" s="31" t="inlineStr">
        <is>
          <t>$820</t>
        </is>
      </c>
      <c r="Q11" s="39" t="inlineStr">
        <is>
          <t>N/A (Market Rate)</t>
        </is>
      </c>
      <c r="R11" s="39" t="inlineStr">
        <is>
          <t>N/A (Market Rate)</t>
        </is>
      </c>
      <c r="S11" s="30" t="inlineStr">
        <is>
          <t>$1,040</t>
        </is>
      </c>
      <c r="T11" s="31" t="inlineStr">
        <is>
          <t>$1,040</t>
        </is>
      </c>
      <c r="U11" s="39" t="inlineStr">
        <is>
          <t>N/A</t>
        </is>
      </c>
      <c r="V11" s="39" t="inlineStr">
        <is>
          <t>1977</t>
        </is>
      </c>
      <c r="W11" s="39" t="inlineStr">
        <is>
          <t>0</t>
        </is>
      </c>
      <c r="X11" s="39" t="inlineStr">
        <is>
          <t>Varies</t>
        </is>
      </c>
      <c r="Y11" s="39" t="inlineStr">
        <is>
          <t>Varies</t>
        </is>
      </c>
      <c r="Z11" s="39" t="inlineStr">
        <is>
          <t>Varies</t>
        </is>
      </c>
      <c r="AA11" s="39" t="inlineStr">
        <is>
          <t>Varies</t>
        </is>
      </c>
      <c r="AB11" s="39" t="inlineStr">
        <is>
          <t>Varies</t>
        </is>
      </c>
      <c r="AC11" s="41" t="inlineStr">
        <is>
          <t>HIGH</t>
        </is>
      </c>
      <c r="AD11" s="40" t="inlineStr">
        <is>
          <t>Market Rate Comp #1: No income restrictions, 1977 vintage (0 yr diff), N/A units, N/A from subject. Shows market-rate rents vs. affordable housing discount.</t>
        </is>
      </c>
      <c r="AE11" s="39" t="inlineStr">
        <is>
          <t>HUD FY2026 FMR - Adams County, MS (limited market rate inventory in Natchez)</t>
        </is>
      </c>
    </row>
    <row r="12" ht="54.75" customFormat="1" customHeight="1" s="3">
      <c r="A12" s="42" t="inlineStr">
        <is>
          <t>2</t>
        </is>
      </c>
      <c r="B12" s="42" t="inlineStr">
        <is>
          <t>Camelot Apartments</t>
        </is>
      </c>
      <c r="C12" s="43" t="inlineStr">
        <is>
          <t>156 Jefferson Davis Blvd, Natchez, MS 39120</t>
        </is>
      </c>
      <c r="D12" s="42" t="inlineStr">
        <is>
          <t>Natchez, MS area</t>
        </is>
      </c>
      <c r="E12" s="42" t="inlineStr">
        <is>
          <t>MS area</t>
        </is>
      </c>
      <c r="F12" s="42" t="inlineStr">
        <is>
          <t>MS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0" t="inlineStr">
        <is>
          <t>$599</t>
        </is>
      </c>
      <c r="L12" s="31" t="inlineStr">
        <is>
          <t>$700</t>
        </is>
      </c>
      <c r="M12" s="42" t="inlineStr">
        <is>
          <t>N/A (Market Rate)</t>
        </is>
      </c>
      <c r="N12" s="42" t="inlineStr">
        <is>
          <t>N/A (Market Rate)</t>
        </is>
      </c>
      <c r="O12" s="30" t="inlineStr">
        <is>
          <t>$820</t>
        </is>
      </c>
      <c r="P12" s="31" t="inlineStr">
        <is>
          <t>$820</t>
        </is>
      </c>
      <c r="Q12" s="42" t="inlineStr">
        <is>
          <t>N/A (Market Rate)</t>
        </is>
      </c>
      <c r="R12" s="42" t="inlineStr">
        <is>
          <t>N/A (Market Rate)</t>
        </is>
      </c>
      <c r="S12" s="30" t="inlineStr">
        <is>
          <t>$1,040</t>
        </is>
      </c>
      <c r="T12" s="31" t="inlineStr">
        <is>
          <t>$1,040</t>
        </is>
      </c>
      <c r="U12" s="42" t="inlineStr">
        <is>
          <t>N/A</t>
        </is>
      </c>
      <c r="V12" s="42" t="inlineStr">
        <is>
          <t>1975</t>
        </is>
      </c>
      <c r="W12" s="42" t="inlineStr">
        <is>
          <t>2</t>
        </is>
      </c>
      <c r="X12" s="42" t="inlineStr">
        <is>
          <t>Varies</t>
        </is>
      </c>
      <c r="Y12" s="42" t="inlineStr">
        <is>
          <t>Varies</t>
        </is>
      </c>
      <c r="Z12" s="42" t="inlineStr">
        <is>
          <t>Varies</t>
        </is>
      </c>
      <c r="AA12" s="42" t="inlineStr">
        <is>
          <t>Varies</t>
        </is>
      </c>
      <c r="AB12" s="42" t="inlineStr">
        <is>
          <t>Varies</t>
        </is>
      </c>
      <c r="AC12" s="44" t="inlineStr">
        <is>
          <t>HIGH</t>
        </is>
      </c>
      <c r="AD12" s="43" t="inlineStr">
        <is>
          <t>Market Rate Comp #2: No income restrictions, 1975 vintage (2 yr diff), N/A units, N/A from subject. Shows market-rate rents vs. affordable housing discount.</t>
        </is>
      </c>
      <c r="AE12" s="42" t="inlineStr">
        <is>
          <t>HUD FY2026 FMR - Adams County, MS</t>
        </is>
      </c>
    </row>
    <row r="13" ht="54.75" customFormat="1" customHeight="1" s="3">
      <c r="A13" s="45" t="inlineStr">
        <is>
          <t>3</t>
        </is>
      </c>
      <c r="B13" s="45" t="inlineStr">
        <is>
          <t>Bienville Apartments</t>
        </is>
      </c>
      <c r="C13" s="46" t="inlineStr">
        <is>
          <t>500 N Commerce St, Natchez, MS 39120</t>
        </is>
      </c>
      <c r="D13" s="45" t="inlineStr">
        <is>
          <t>Natchez, MS area</t>
        </is>
      </c>
      <c r="E13" s="45" t="inlineStr">
        <is>
          <t>MS area</t>
        </is>
      </c>
      <c r="F13" s="45" t="inlineStr">
        <is>
          <t>MS</t>
        </is>
      </c>
      <c r="G13" s="45" t="n"/>
      <c r="H13" s="45" t="inlineStr">
        <is>
          <t>N/A</t>
        </is>
      </c>
      <c r="I13" s="45" t="inlineStr">
        <is>
          <t>N/A (Market Rate)</t>
        </is>
      </c>
      <c r="J13" s="45" t="inlineStr">
        <is>
          <t>N/A (Market Rate)</t>
        </is>
      </c>
      <c r="K13" s="30" t="inlineStr">
        <is>
          <t>$599</t>
        </is>
      </c>
      <c r="L13" s="31" t="inlineStr">
        <is>
          <t>$700</t>
        </is>
      </c>
      <c r="M13" s="45" t="inlineStr">
        <is>
          <t>N/A (Market Rate)</t>
        </is>
      </c>
      <c r="N13" s="45" t="inlineStr">
        <is>
          <t>N/A (Market Rate)</t>
        </is>
      </c>
      <c r="O13" s="30" t="inlineStr">
        <is>
          <t>$820</t>
        </is>
      </c>
      <c r="P13" s="31" t="inlineStr">
        <is>
          <t>$820</t>
        </is>
      </c>
      <c r="Q13" s="45" t="inlineStr">
        <is>
          <t>N/A (Market Rate)</t>
        </is>
      </c>
      <c r="R13" s="45" t="inlineStr">
        <is>
          <t>N/A (Market Rate)</t>
        </is>
      </c>
      <c r="S13" s="30" t="inlineStr">
        <is>
          <t>$1,040</t>
        </is>
      </c>
      <c r="T13" s="31" t="inlineStr">
        <is>
          <t>$1,040</t>
        </is>
      </c>
      <c r="U13" s="45" t="inlineStr">
        <is>
          <t>N/A</t>
        </is>
      </c>
      <c r="V13" s="45" t="inlineStr">
        <is>
          <t>1980</t>
        </is>
      </c>
      <c r="W13" s="45" t="inlineStr">
        <is>
          <t>3</t>
        </is>
      </c>
      <c r="X13" s="45" t="inlineStr">
        <is>
          <t>Varies</t>
        </is>
      </c>
      <c r="Y13" s="45" t="inlineStr">
        <is>
          <t>Varies</t>
        </is>
      </c>
      <c r="Z13" s="45" t="inlineStr">
        <is>
          <t>Varies</t>
        </is>
      </c>
      <c r="AA13" s="45" t="inlineStr">
        <is>
          <t>Varies</t>
        </is>
      </c>
      <c r="AB13" s="45" t="inlineStr">
        <is>
          <t>Varies</t>
        </is>
      </c>
      <c r="AC13" s="47" t="inlineStr">
        <is>
          <t>HIGH</t>
        </is>
      </c>
      <c r="AD13" s="46" t="inlineStr">
        <is>
          <t>Market Rate Comp #3: No income restrictions, 1980 vintage (3 yr diff), N/A units, N/A from subject. Shows market-rate rents vs. affordable housing discount.</t>
        </is>
      </c>
      <c r="AE13" s="45" t="inlineStr">
        <is>
          <t>HUD FY2026 FMR - Adams County, MS</t>
        </is>
      </c>
    </row>
    <row r="14" ht="54.75" customFormat="1" customHeight="1" s="3">
      <c r="A14" s="39" t="inlineStr">
        <is>
          <t>4</t>
        </is>
      </c>
      <c r="B14" s="39" t="inlineStr">
        <is>
          <t>Riverbreeze Manor Apartments</t>
        </is>
      </c>
      <c r="C14" s="40" t="inlineStr">
        <is>
          <t>144 N Shields Ln, Natchez, MS 39120</t>
        </is>
      </c>
      <c r="D14" s="39" t="inlineStr">
        <is>
          <t>Natchez, MS area</t>
        </is>
      </c>
      <c r="E14" s="39" t="inlineStr">
        <is>
          <t>MS area</t>
        </is>
      </c>
      <c r="F14" s="39" t="inlineStr">
        <is>
          <t>MS</t>
        </is>
      </c>
      <c r="G14" s="39" t="n"/>
      <c r="H14" s="39" t="inlineStr">
        <is>
          <t>N/A</t>
        </is>
      </c>
      <c r="I14" s="39" t="inlineStr">
        <is>
          <t>N/A (Market Rate)</t>
        </is>
      </c>
      <c r="J14" s="39" t="inlineStr">
        <is>
          <t>N/A (Market Rate)</t>
        </is>
      </c>
      <c r="K14" s="30" t="inlineStr">
        <is>
          <t>$599</t>
        </is>
      </c>
      <c r="L14" s="31" t="inlineStr">
        <is>
          <t>$700</t>
        </is>
      </c>
      <c r="M14" s="39" t="inlineStr">
        <is>
          <t>N/A (Market Rate)</t>
        </is>
      </c>
      <c r="N14" s="39" t="inlineStr">
        <is>
          <t>N/A (Market Rate)</t>
        </is>
      </c>
      <c r="O14" s="30" t="inlineStr">
        <is>
          <t>$820</t>
        </is>
      </c>
      <c r="P14" s="31" t="inlineStr">
        <is>
          <t>$820</t>
        </is>
      </c>
      <c r="Q14" s="39" t="inlineStr">
        <is>
          <t>N/A (Market Rate)</t>
        </is>
      </c>
      <c r="R14" s="39" t="inlineStr">
        <is>
          <t>N/A (Market Rate)</t>
        </is>
      </c>
      <c r="S14" s="30" t="inlineStr">
        <is>
          <t>$1,040</t>
        </is>
      </c>
      <c r="T14" s="31" t="inlineStr">
        <is>
          <t>$1,040</t>
        </is>
      </c>
      <c r="U14" s="39" t="inlineStr">
        <is>
          <t>N/A</t>
        </is>
      </c>
      <c r="V14" s="39" t="inlineStr">
        <is>
          <t>1982</t>
        </is>
      </c>
      <c r="W14" s="39" t="inlineStr">
        <is>
          <t>5</t>
        </is>
      </c>
      <c r="X14" s="39" t="inlineStr">
        <is>
          <t>Varies</t>
        </is>
      </c>
      <c r="Y14" s="39" t="inlineStr">
        <is>
          <t>Varies</t>
        </is>
      </c>
      <c r="Z14" s="39" t="inlineStr">
        <is>
          <t>Varies</t>
        </is>
      </c>
      <c r="AA14" s="39" t="inlineStr">
        <is>
          <t>Varies</t>
        </is>
      </c>
      <c r="AB14" s="39" t="inlineStr">
        <is>
          <t>Varies</t>
        </is>
      </c>
      <c r="AC14" s="41" t="inlineStr">
        <is>
          <t>HIGH</t>
        </is>
      </c>
      <c r="AD14" s="40" t="inlineStr">
        <is>
          <t>Market Rate Comp #4: No income restrictions, 1982 vintage (5 yr diff), N/A units, N/A from subject. Shows market-rate rents vs. affordable housing discount.</t>
        </is>
      </c>
      <c r="AE14" s="39" t="inlineStr">
        <is>
          <t>HUD FY2026 FMR - Adams County, MS</t>
        </is>
      </c>
    </row>
    <row r="15" ht="54.75" customFormat="1" customHeight="1" s="3">
      <c r="A15" s="48" t="inlineStr">
        <is>
          <t>—</t>
        </is>
      </c>
      <c r="B15" s="48" t="inlineStr">
        <is>
          <t>BENCHMARK</t>
        </is>
      </c>
      <c r="C15" s="49" t="inlineStr">
        <is>
          <t>FY2026 FMR — Adams County, MS</t>
        </is>
      </c>
      <c r="D15" s="48" t="inlineStr">
        <is>
          <t>N/A</t>
        </is>
      </c>
      <c r="E15" s="48" t="inlineStr">
        <is>
          <t>Natchez</t>
        </is>
      </c>
      <c r="F15" s="48" t="inlineStr">
        <is>
          <t>MS</t>
        </is>
      </c>
      <c r="G15" s="48" t="inlineStr">
        <is>
          <t>N/A</t>
        </is>
      </c>
      <c r="H15" s="48" t="inlineStr">
        <is>
          <t>N/A</t>
        </is>
      </c>
      <c r="I15" s="48" t="inlineStr">
        <is>
          <t>$599</t>
        </is>
      </c>
      <c r="J15" s="48" t="inlineStr">
        <is>
          <t>$599</t>
        </is>
      </c>
      <c r="K15" s="30" t="inlineStr">
        <is>
          <t>$599</t>
        </is>
      </c>
      <c r="L15" s="31" t="inlineStr">
        <is>
          <t>N/A</t>
        </is>
      </c>
      <c r="M15" s="48" t="inlineStr">
        <is>
          <t>$820</t>
        </is>
      </c>
      <c r="N15" s="48" t="inlineStr">
        <is>
          <t>$820</t>
        </is>
      </c>
      <c r="O15" s="30" t="inlineStr">
        <is>
          <t>$820</t>
        </is>
      </c>
      <c r="P15" s="31" t="inlineStr">
        <is>
          <t>N/A</t>
        </is>
      </c>
      <c r="Q15" s="48" t="inlineStr">
        <is>
          <t>$1,040</t>
        </is>
      </c>
      <c r="R15" s="48" t="inlineStr">
        <is>
          <t>$1,040</t>
        </is>
      </c>
      <c r="S15" s="30" t="inlineStr">
        <is>
          <t>$1,040</t>
        </is>
      </c>
      <c r="T15" s="31" t="inlineStr">
        <is>
          <t>N/A</t>
        </is>
      </c>
      <c r="U15" s="48" t="inlineStr">
        <is>
          <t>N/A</t>
        </is>
      </c>
      <c r="V15" s="48" t="inlineStr">
        <is>
          <t>N/A</t>
        </is>
      </c>
      <c r="W15" s="48" t="inlineStr">
        <is>
          <t>N/A</t>
        </is>
      </c>
      <c r="X15" s="48" t="inlineStr">
        <is>
          <t>N/A</t>
        </is>
      </c>
      <c r="Y15" s="48" t="inlineStr">
        <is>
          <t>N/A</t>
        </is>
      </c>
      <c r="Z15" s="48" t="inlineStr">
        <is>
          <t>N/A</t>
        </is>
      </c>
      <c r="AA15" s="48" t="inlineStr">
        <is>
          <t>N/A</t>
        </is>
      </c>
      <c r="AB15" s="48" t="inlineStr">
        <is>
          <t>N/A</t>
        </is>
      </c>
      <c r="AC15" s="50" t="inlineStr">
        <is>
          <t>BENCHMARK</t>
        </is>
      </c>
      <c r="AD15" s="49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5" s="48" t="inlineStr">
        <is>
          <t>HUD FMR Database (huduser.gov)</t>
        </is>
      </c>
    </row>
    <row r="16" ht="54.75" customFormat="1" customHeight="1" s="3">
      <c r="A16" s="48" t="inlineStr">
        <is>
          <t>—</t>
        </is>
      </c>
      <c r="B16" s="48" t="inlineStr">
        <is>
          <t>BENCHMARK</t>
        </is>
      </c>
      <c r="C16" s="49" t="inlineStr">
        <is>
          <t>Metro Market Avg — Natchez</t>
        </is>
      </c>
      <c r="D16" s="48" t="inlineStr">
        <is>
          <t>N/A</t>
        </is>
      </c>
      <c r="E16" s="48" t="inlineStr">
        <is>
          <t>Natchez</t>
        </is>
      </c>
      <c r="F16" s="48" t="inlineStr">
        <is>
          <t>MS</t>
        </is>
      </c>
      <c r="G16" s="48" t="inlineStr">
        <is>
          <t>N/A</t>
        </is>
      </c>
      <c r="H16" s="48" t="inlineStr">
        <is>
          <t>N/A</t>
        </is>
      </c>
      <c r="I16" s="48" t="inlineStr">
        <is>
          <t>$658</t>
        </is>
      </c>
      <c r="J16" s="48" t="inlineStr">
        <is>
          <t>$658</t>
        </is>
      </c>
      <c r="K16" s="30" t="inlineStr">
        <is>
          <t>$658</t>
        </is>
      </c>
      <c r="L16" s="31" t="inlineStr">
        <is>
          <t>N/A</t>
        </is>
      </c>
      <c r="M16" s="48" t="inlineStr">
        <is>
          <t>$902</t>
        </is>
      </c>
      <c r="N16" s="48" t="inlineStr">
        <is>
          <t>$902</t>
        </is>
      </c>
      <c r="O16" s="30" t="inlineStr">
        <is>
          <t>$902</t>
        </is>
      </c>
      <c r="P16" s="31" t="inlineStr">
        <is>
          <t>N/A</t>
        </is>
      </c>
      <c r="Q16" s="48" t="inlineStr">
        <is>
          <t>$1,144</t>
        </is>
      </c>
      <c r="R16" s="48" t="inlineStr">
        <is>
          <t>$1,144</t>
        </is>
      </c>
      <c r="S16" s="30" t="inlineStr">
        <is>
          <t>$1,144</t>
        </is>
      </c>
      <c r="T16" s="31" t="inlineStr">
        <is>
          <t>N/A</t>
        </is>
      </c>
      <c r="U16" s="48" t="inlineStr">
        <is>
          <t>N/A</t>
        </is>
      </c>
      <c r="V16" s="48" t="inlineStr">
        <is>
          <t>N/A</t>
        </is>
      </c>
      <c r="W16" s="48" t="inlineStr">
        <is>
          <t>N/A</t>
        </is>
      </c>
      <c r="X16" s="48" t="inlineStr">
        <is>
          <t>N/A</t>
        </is>
      </c>
      <c r="Y16" s="48" t="inlineStr">
        <is>
          <t>N/A</t>
        </is>
      </c>
      <c r="Z16" s="48" t="inlineStr">
        <is>
          <t>N/A</t>
        </is>
      </c>
      <c r="AA16" s="48" t="inlineStr">
        <is>
          <t>N/A</t>
        </is>
      </c>
      <c r="AB16" s="48" t="inlineStr">
        <is>
          <t>N/A</t>
        </is>
      </c>
      <c r="AC16" s="50" t="inlineStr">
        <is>
          <t>BENCHMARK</t>
        </is>
      </c>
      <c r="AD16" s="49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6" s="48" t="inlineStr">
        <is>
          <t>HUD FMR + Market Estimate</t>
        </is>
      </c>
    </row>
    <row r="17" ht="8.25" customFormat="1" customHeight="1" s="3"/>
    <row r="18" ht="27.75" customFormat="1" customHeight="1" s="3">
      <c r="A18" s="51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 ht="15" customHeight="1" s="95">
      <c r="C20" s="86" t="inlineStr">
        <is>
          <t>50% AMI</t>
        </is>
      </c>
      <c r="D20" s="86" t="inlineStr">
        <is>
          <t>UAP</t>
        </is>
      </c>
      <c r="E20" s="86" t="inlineStr">
        <is>
          <t>Section 8 Rent</t>
        </is>
      </c>
    </row>
    <row r="21" ht="15" customHeight="1" s="95">
      <c r="B21" s="3" t="n">
        <v>2</v>
      </c>
      <c r="C21" s="86" t="n">
        <v>1292</v>
      </c>
      <c r="D21" s="86" t="n">
        <v>454</v>
      </c>
      <c r="E21" s="86" t="n">
        <v>1400</v>
      </c>
    </row>
    <row r="22" ht="15" customHeight="1" s="95">
      <c r="B22" s="3" t="n">
        <v>3</v>
      </c>
      <c r="C22" s="86" t="n">
        <v>1641</v>
      </c>
      <c r="D22" s="86" t="n">
        <v>454</v>
      </c>
      <c r="E22" s="86" t="n">
        <v>1641</v>
      </c>
    </row>
    <row r="25" ht="15" customHeight="1" s="95">
      <c r="A25" s="61" t="inlineStr">
        <is>
          <t>PMTS — Vouchers / FMR / UAP / NET FMR</t>
        </is>
      </c>
      <c r="B25" s="101" t="n"/>
      <c r="C25" s="101" t="n"/>
      <c r="D25" s="101" t="n"/>
      <c r="E25" s="101" t="n"/>
      <c r="F25" s="102" t="n"/>
    </row>
    <row r="26" ht="15" customHeight="1" s="95">
      <c r="A26" s="64" t="inlineStr">
        <is>
          <t>BD</t>
        </is>
      </c>
      <c r="B26" s="65" t="inlineStr">
        <is>
          <t>MKT</t>
        </is>
      </c>
      <c r="C26" s="66" t="inlineStr">
        <is>
          <t>VCH</t>
        </is>
      </c>
      <c r="D26" s="67" t="inlineStr">
        <is>
          <t>FMR</t>
        </is>
      </c>
      <c r="E26" s="68" t="inlineStr">
        <is>
          <t>UAP</t>
        </is>
      </c>
      <c r="F26" s="69" t="inlineStr">
        <is>
          <t>NET</t>
        </is>
      </c>
    </row>
    <row r="27" ht="15" customHeight="1" s="95">
      <c r="A27" s="70" t="inlineStr">
        <is>
          <t>1BD</t>
        </is>
      </c>
      <c r="B27" s="71" t="n">
        <v>755</v>
      </c>
      <c r="C27" s="71" t="n">
        <v>0</v>
      </c>
      <c r="D27" s="71" t="n">
        <v>840</v>
      </c>
      <c r="E27" s="72" t="n">
        <v>0</v>
      </c>
      <c r="F27" s="73" t="n">
        <v>840</v>
      </c>
    </row>
    <row r="28" ht="15" customHeight="1" s="95">
      <c r="A28" s="74" t="inlineStr">
        <is>
          <t>2BD</t>
        </is>
      </c>
      <c r="B28" s="75" t="n">
        <v>800</v>
      </c>
      <c r="C28" s="75" t="n">
        <v>0</v>
      </c>
      <c r="D28" s="75" t="n">
        <v>940</v>
      </c>
      <c r="E28" s="72" t="n">
        <v>148</v>
      </c>
      <c r="F28" s="73" t="n">
        <v>792</v>
      </c>
    </row>
    <row r="29" ht="15" customHeight="1" s="95">
      <c r="A29" s="70" t="inlineStr">
        <is>
          <t>3BD</t>
        </is>
      </c>
      <c r="B29" s="71" t="n">
        <v>880</v>
      </c>
      <c r="C29" s="71" t="n">
        <v>0</v>
      </c>
      <c r="D29" s="71" t="n">
        <v>1240</v>
      </c>
      <c r="E29" s="72" t="n">
        <v>0</v>
      </c>
      <c r="F29" s="73" t="n">
        <v>1240</v>
      </c>
    </row>
    <row r="32" ht="15" customHeight="1" s="95">
      <c r="A32" s="61" t="inlineStr">
        <is>
          <t>HAP, CoStar, NET</t>
        </is>
      </c>
      <c r="B32" s="101" t="n"/>
      <c r="C32" s="102" t="n"/>
    </row>
    <row r="33" ht="15" customHeight="1" s="95">
      <c r="A33" s="64" t="n"/>
      <c r="B33" s="68" t="inlineStr">
        <is>
          <t>HAP</t>
        </is>
      </c>
      <c r="C33" s="65" t="inlineStr">
        <is>
          <t>CoStar</t>
        </is>
      </c>
    </row>
    <row r="34" ht="15" customHeight="1" s="95">
      <c r="A34" s="70" t="inlineStr">
        <is>
          <t>1BD</t>
        </is>
      </c>
      <c r="B34" s="103" t="n">
        <v>0</v>
      </c>
      <c r="C34" s="104" t="n">
        <v>762</v>
      </c>
    </row>
    <row r="35" ht="15" customHeight="1" s="95">
      <c r="A35" s="74" t="inlineStr">
        <is>
          <t>2BD</t>
        </is>
      </c>
      <c r="B35" s="103" t="n">
        <v>886</v>
      </c>
      <c r="C35" s="104" t="n">
        <v>829</v>
      </c>
    </row>
    <row r="36" ht="15" customHeight="1" s="95">
      <c r="A36" s="70" t="inlineStr">
        <is>
          <t>3BD</t>
        </is>
      </c>
      <c r="B36" s="103" t="n">
        <v>0</v>
      </c>
      <c r="C36" s="104" t="n">
        <v>901</v>
      </c>
    </row>
  </sheetData>
  <mergeCells count="6">
    <mergeCell ref="A4:AE4"/>
    <mergeCell ref="A2:AE2"/>
    <mergeCell ref="A32:C32"/>
    <mergeCell ref="A18:AE18"/>
    <mergeCell ref="A3:AE3"/>
    <mergeCell ref="A25:F25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theme="3" tint="0.4"/>
    <outlinePr summaryBelow="1" summaryRight="1"/>
    <pageSetUpPr/>
  </sheetPr>
  <dimension ref="A1:AA41"/>
  <sheetViews>
    <sheetView topLeftCell="A1" workbookViewId="0">
      <pane ySplit="1" topLeftCell="A14" activePane="bottomLeft" state="frozen"/>
      <selection pane="bottomLeft" activeCell="F8" sqref="F8"/>
    </sheetView>
  </sheetViews>
  <sheetFormatPr baseColWidth="8" defaultColWidth="9.140625" defaultRowHeight="15" customHeight="1"/>
  <cols>
    <col width="8.00390625" customWidth="1" style="3" min="1" max="1"/>
    <col width="14.00390625" customWidth="1" style="3" min="2" max="2"/>
    <col width="28.00390625" customWidth="1" style="3" min="3" max="3"/>
    <col width="22.00390625" customWidth="1" style="3" min="4" max="4"/>
    <col width="16.00390625" customWidth="1" style="3" min="5" max="5"/>
    <col width="10.00390625" customWidth="1" style="3" min="6" max="6"/>
    <col width="8.00390625" customWidth="1" style="3" min="7" max="7"/>
    <col width="11.00390625" customWidth="1" style="3" min="8" max="8"/>
    <col width="10.00390625" customWidth="1" style="3" min="9" max="11"/>
    <col width="12.00390625" customWidth="1" style="3" min="12" max="12"/>
    <col width="10.00390625" customWidth="1" style="3" min="13" max="15"/>
    <col width="12.00390625" customWidth="1" style="3" min="16" max="16"/>
    <col width="8.00390625" customWidth="1" style="3" min="17" max="17"/>
    <col width="10.00390625" customWidth="1" style="3" min="18" max="18"/>
    <col width="7.00390625" customWidth="1" style="3" min="19" max="19"/>
    <col width="12.00390625" customWidth="1" style="3" min="20" max="21"/>
    <col width="8.00390625" customWidth="1" style="3" min="22" max="23"/>
    <col width="10.00390625" customWidth="1" style="3" min="24" max="24"/>
    <col width="16.00390625" customWidth="1" style="3" min="25" max="25"/>
    <col width="45.00390625" customWidth="1" style="3" min="26" max="26"/>
    <col width="28.00390625" customWidth="1" style="3" min="27" max="27"/>
  </cols>
  <sheetData>
    <row r="1" ht="15" customHeight="1" s="95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</row>
    <row r="2" ht="24" customFormat="1" customHeight="1" s="3">
      <c r="A2" s="17" t="inlineStr">
        <is>
          <t>COMPETITIVE RENT ANALYSIS — WALNUT HILL | GREEN = Affordable Comps | BLUE = Market Rate Comps</t>
        </is>
      </c>
    </row>
    <row r="3" ht="20.25" customFormat="1" customHeight="1" s="3">
      <c r="A3" s="18" t="inlineStr">
        <is>
          <t>SUBJECT: Walnut Hill | Natchez, Natchez, MS 39120 | 168 units | Program: Section 8/HUD | Bedroom Mix: 2BR / 3BR | County AMI: $55,800 | FMR Area: Adams County, MS</t>
        </is>
      </c>
    </row>
    <row r="4" ht="90" customFormat="1" customHeight="1" s="3">
      <c r="A4" s="19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5" ht="30" customFormat="1" customHeight="1" s="3">
      <c r="A5" s="20" t="inlineStr">
        <is>
          <t>Rank</t>
        </is>
      </c>
      <c r="B5" s="20" t="inlineStr">
        <is>
          <t>Type</t>
        </is>
      </c>
      <c r="C5" s="20" t="inlineStr">
        <is>
          <t>Property Name</t>
        </is>
      </c>
      <c r="D5" s="20" t="inlineStr">
        <is>
          <t>Address</t>
        </is>
      </c>
      <c r="E5" s="20" t="inlineStr">
        <is>
          <t>City</t>
        </is>
      </c>
      <c r="F5" s="20" t="inlineStr">
        <is>
          <t>State</t>
        </is>
      </c>
      <c r="G5" s="20" t="inlineStr">
        <is>
          <t>ZIP</t>
        </is>
      </c>
      <c r="H5" s="20" t="inlineStr">
        <is>
          <t>Distance (mi)</t>
        </is>
      </c>
      <c r="I5" s="20" t="inlineStr">
        <is>
          <t>2BR Low ($)</t>
        </is>
      </c>
      <c r="J5" s="20" t="inlineStr">
        <is>
          <t>2BR Mid ($)</t>
        </is>
      </c>
      <c r="K5" s="21" t="inlineStr">
        <is>
          <t>2BR FMR ($)</t>
        </is>
      </c>
      <c r="L5" s="22" t="inlineStr">
        <is>
          <t>2BR Actual ($)</t>
        </is>
      </c>
      <c r="M5" s="20" t="inlineStr">
        <is>
          <t>3BR Low ($)</t>
        </is>
      </c>
      <c r="N5" s="20" t="inlineStr">
        <is>
          <t>3BR Mid ($)</t>
        </is>
      </c>
      <c r="O5" s="21" t="inlineStr">
        <is>
          <t>3BR FMR ($)</t>
        </is>
      </c>
      <c r="P5" s="22" t="inlineStr">
        <is>
          <t>3BR Actual ($)</t>
        </is>
      </c>
      <c r="Q5" s="20" t="inlineStr">
        <is>
          <t># Units</t>
        </is>
      </c>
      <c r="R5" s="20" t="inlineStr">
        <is>
          <t>Year Built</t>
        </is>
      </c>
      <c r="S5" s="20" t="inlineStr">
        <is>
          <t>Yr Diff</t>
        </is>
      </c>
      <c r="T5" s="20" t="inlineStr">
        <is>
          <t>Utilities Incl.</t>
        </is>
      </c>
      <c r="U5" s="20" t="inlineStr">
        <is>
          <t>Pet Friendly</t>
        </is>
      </c>
      <c r="V5" s="20" t="inlineStr">
        <is>
          <t>Gated</t>
        </is>
      </c>
      <c r="W5" s="20" t="inlineStr">
        <is>
          <t>Pool</t>
        </is>
      </c>
      <c r="X5" s="20" t="inlineStr">
        <is>
          <t>W/D In-Unit</t>
        </is>
      </c>
      <c r="Y5" s="20" t="inlineStr">
        <is>
          <t>Competition Level</t>
        </is>
      </c>
      <c r="Z5" s="20" t="inlineStr">
        <is>
          <t>Why Competitive</t>
        </is>
      </c>
      <c r="AA5" s="20" t="inlineStr">
        <is>
          <t>Data Source</t>
        </is>
      </c>
    </row>
    <row r="6" ht="54.75" customFormat="1" customHeight="1" s="3">
      <c r="A6" s="23" t="inlineStr">
        <is>
          <t>—</t>
        </is>
      </c>
      <c r="B6" s="23" t="inlineStr">
        <is>
          <t>SUBJECT</t>
        </is>
      </c>
      <c r="C6" s="24" t="inlineStr">
        <is>
          <t>Walnut Hill (SUBJECT)</t>
        </is>
      </c>
      <c r="D6" s="23" t="inlineStr">
        <is>
          <t>Natchez</t>
        </is>
      </c>
      <c r="E6" s="23" t="inlineStr">
        <is>
          <t>Natchez</t>
        </is>
      </c>
      <c r="F6" s="23" t="inlineStr">
        <is>
          <t>MS</t>
        </is>
      </c>
      <c r="G6" s="23" t="inlineStr">
        <is>
          <t>39120</t>
        </is>
      </c>
      <c r="H6" s="23" t="inlineStr">
        <is>
          <t>0.0 mi</t>
        </is>
      </c>
      <c r="I6" s="23" t="inlineStr">
        <is>
          <t>$2,591</t>
        </is>
      </c>
      <c r="J6" s="23" t="inlineStr">
        <is>
          <t>$3,110</t>
        </is>
      </c>
      <c r="K6" s="25" t="inlineStr">
        <is>
          <t>$820</t>
        </is>
      </c>
      <c r="L6" s="26" t="inlineStr">
        <is>
          <t>N/A</t>
        </is>
      </c>
      <c r="M6" s="23" t="inlineStr">
        <is>
          <t>$2,879</t>
        </is>
      </c>
      <c r="N6" s="23" t="inlineStr">
        <is>
          <t>$3,455</t>
        </is>
      </c>
      <c r="O6" s="25" t="inlineStr">
        <is>
          <t>$1,040</t>
        </is>
      </c>
      <c r="P6" s="26" t="inlineStr">
        <is>
          <t>N/A</t>
        </is>
      </c>
      <c r="Q6" s="23" t="inlineStr">
        <is>
          <t>168</t>
        </is>
      </c>
      <c r="R6" s="23" t="inlineStr">
        <is>
          <t>1975</t>
        </is>
      </c>
      <c r="S6" s="23" t="inlineStr">
        <is>
          <t>0</t>
        </is>
      </c>
      <c r="T6" s="23" t="inlineStr">
        <is>
          <t>Yes</t>
        </is>
      </c>
      <c r="U6" s="23" t="inlineStr">
        <is>
          <t>No</t>
        </is>
      </c>
      <c r="V6" s="23" t="inlineStr">
        <is>
          <t>No</t>
        </is>
      </c>
      <c r="W6" s="23" t="inlineStr">
        <is>
          <t>No</t>
        </is>
      </c>
      <c r="X6" s="23" t="inlineStr">
        <is>
          <t>No</t>
        </is>
      </c>
      <c r="Y6" s="27" t="inlineStr">
        <is>
          <t>SUBJECT</t>
        </is>
      </c>
      <c r="Z6" s="24" t="inlineStr">
        <is>
          <t>168 units | Section 8/HUD property. Year built: 1975. Subject property for market context.</t>
        </is>
      </c>
      <c r="AA6" s="23" t="inlineStr">
        <is>
          <t>Apartment Corp Records</t>
        </is>
      </c>
    </row>
    <row r="7" ht="54.75" customFormat="1" customHeight="1" s="3">
      <c r="A7" s="28" t="inlineStr">
        <is>
          <t>1</t>
        </is>
      </c>
      <c r="B7" s="28" t="inlineStr">
        <is>
          <t>AFFORDABLE</t>
        </is>
      </c>
      <c r="C7" s="29" t="inlineStr">
        <is>
          <t>Natchez Housing Authority - Duncan Park Homes</t>
        </is>
      </c>
      <c r="D7" s="28" t="inlineStr">
        <is>
          <t>400 Duncan Ave</t>
        </is>
      </c>
      <c r="E7" s="28" t="inlineStr">
        <is>
          <t>Natchez</t>
        </is>
      </c>
      <c r="F7" s="28" t="inlineStr">
        <is>
          <t>MS</t>
        </is>
      </c>
      <c r="G7" s="28" t="inlineStr">
        <is>
          <t>39120</t>
        </is>
      </c>
      <c r="H7" s="28" t="inlineStr">
        <is>
          <t>1.5 mi</t>
        </is>
      </c>
      <c r="I7" s="28" t="inlineStr">
        <is>
          <t>$2,591</t>
        </is>
      </c>
      <c r="J7" s="28" t="inlineStr">
        <is>
          <t>$3,110</t>
        </is>
      </c>
      <c r="K7" s="30" t="inlineStr">
        <is>
          <t>$820</t>
        </is>
      </c>
      <c r="L7" s="31" t="inlineStr">
        <is>
          <t>Not Listed</t>
        </is>
      </c>
      <c r="M7" s="28" t="inlineStr">
        <is>
          <t>$2,879</t>
        </is>
      </c>
      <c r="N7" s="28" t="inlineStr">
        <is>
          <t>$3,455</t>
        </is>
      </c>
      <c r="O7" s="30" t="inlineStr">
        <is>
          <t>$1,040</t>
        </is>
      </c>
      <c r="P7" s="31" t="inlineStr">
        <is>
          <t>Not Listed</t>
        </is>
      </c>
      <c r="Q7" s="28" t="inlineStr">
        <is>
          <t>160</t>
        </is>
      </c>
      <c r="R7" s="28" t="inlineStr">
        <is>
          <t>1975</t>
        </is>
      </c>
      <c r="S7" s="28" t="inlineStr">
        <is>
          <t>0</t>
        </is>
      </c>
      <c r="T7" s="28" t="inlineStr">
        <is>
          <t>Yes</t>
        </is>
      </c>
      <c r="U7" s="28" t="inlineStr">
        <is>
          <t>No</t>
        </is>
      </c>
      <c r="V7" s="28" t="inlineStr">
        <is>
          <t>No</t>
        </is>
      </c>
      <c r="W7" s="28" t="inlineStr">
        <is>
          <t>No</t>
        </is>
      </c>
      <c r="X7" s="28" t="inlineStr">
        <is>
          <t>No</t>
        </is>
      </c>
      <c r="Y7" s="32" t="inlineStr">
        <is>
          <t>HIGH</t>
        </is>
      </c>
      <c r="Z7" s="29" t="inlineStr">
        <is>
          <t>Affordable Comp #1: Public Housing/HUD property, 1975 vintage (0 yr diff), 160 units, 1.5 mi from subject. Same income-eligible renter pool.</t>
        </is>
      </c>
      <c r="AA7" s="28" t="inlineStr">
        <is>
          <t>Natchez Housing Authority</t>
        </is>
      </c>
    </row>
    <row r="8" ht="54.75" customFormat="1" customHeight="1" s="3">
      <c r="A8" s="33" t="inlineStr">
        <is>
          <t>2</t>
        </is>
      </c>
      <c r="B8" s="33" t="inlineStr">
        <is>
          <t>AFFORDABLE</t>
        </is>
      </c>
      <c r="C8" s="34" t="inlineStr">
        <is>
          <t>Vicksburg Housing Authority - Parkway Village</t>
        </is>
      </c>
      <c r="D8" s="33" t="inlineStr">
        <is>
          <t>300 Parkway Blvd</t>
        </is>
      </c>
      <c r="E8" s="33" t="inlineStr">
        <is>
          <t>Vicksburg</t>
        </is>
      </c>
      <c r="F8" s="33" t="inlineStr">
        <is>
          <t>MS</t>
        </is>
      </c>
      <c r="G8" s="33" t="inlineStr">
        <is>
          <t>39180</t>
        </is>
      </c>
      <c r="H8" s="33" t="inlineStr">
        <is>
          <t>72.0 mi</t>
        </is>
      </c>
      <c r="I8" s="33" t="inlineStr">
        <is>
          <t>$2,591</t>
        </is>
      </c>
      <c r="J8" s="33" t="inlineStr">
        <is>
          <t>$3,110</t>
        </is>
      </c>
      <c r="K8" s="30" t="inlineStr">
        <is>
          <t>$820</t>
        </is>
      </c>
      <c r="L8" s="31" t="inlineStr">
        <is>
          <t>Not Listed</t>
        </is>
      </c>
      <c r="M8" s="33" t="inlineStr">
        <is>
          <t>$2,879</t>
        </is>
      </c>
      <c r="N8" s="33" t="inlineStr">
        <is>
          <t>$3,455</t>
        </is>
      </c>
      <c r="O8" s="30" t="inlineStr">
        <is>
          <t>$1,040</t>
        </is>
      </c>
      <c r="P8" s="31" t="inlineStr">
        <is>
          <t>Not Listed</t>
        </is>
      </c>
      <c r="Q8" s="33" t="inlineStr">
        <is>
          <t>150</t>
        </is>
      </c>
      <c r="R8" s="33" t="inlineStr">
        <is>
          <t>1976</t>
        </is>
      </c>
      <c r="S8" s="33" t="inlineStr">
        <is>
          <t>1</t>
        </is>
      </c>
      <c r="T8" s="33" t="inlineStr">
        <is>
          <t>Yes</t>
        </is>
      </c>
      <c r="U8" s="33" t="inlineStr">
        <is>
          <t>No</t>
        </is>
      </c>
      <c r="V8" s="33" t="inlineStr">
        <is>
          <t>No</t>
        </is>
      </c>
      <c r="W8" s="33" t="inlineStr">
        <is>
          <t>No</t>
        </is>
      </c>
      <c r="X8" s="33" t="inlineStr">
        <is>
          <t>No</t>
        </is>
      </c>
      <c r="Y8" s="87" t="inlineStr">
        <is>
          <t>LOW-MODERATE</t>
        </is>
      </c>
      <c r="Z8" s="34" t="inlineStr">
        <is>
          <t>Affordable Comp #2: Section 8/HUD property, 1976 vintage (1 yr diff), 150 units, 72.0 mi from subject. Same income-eligible renter pool.</t>
        </is>
      </c>
      <c r="AA8" s="33" t="inlineStr">
        <is>
          <t>HUD Multifamily Assisted Housing</t>
        </is>
      </c>
    </row>
    <row r="9" ht="54.75" customFormat="1" customHeight="1" s="3">
      <c r="A9" s="36" t="inlineStr">
        <is>
          <t>3</t>
        </is>
      </c>
      <c r="B9" s="36" t="inlineStr">
        <is>
          <t>AFFORDABLE</t>
        </is>
      </c>
      <c r="C9" s="37" t="inlineStr">
        <is>
          <t>Hattiesburg Housing Authority - Eureka Homes</t>
        </is>
      </c>
      <c r="D9" s="36" t="inlineStr">
        <is>
          <t>200 Eureka St</t>
        </is>
      </c>
      <c r="E9" s="36" t="inlineStr">
        <is>
          <t>Hattiesburg</t>
        </is>
      </c>
      <c r="F9" s="36" t="inlineStr">
        <is>
          <t>MS</t>
        </is>
      </c>
      <c r="G9" s="36" t="inlineStr">
        <is>
          <t>39401</t>
        </is>
      </c>
      <c r="H9" s="36" t="inlineStr">
        <is>
          <t>145.0 mi</t>
        </is>
      </c>
      <c r="I9" s="36" t="inlineStr">
        <is>
          <t>$2,591</t>
        </is>
      </c>
      <c r="J9" s="36" t="inlineStr">
        <is>
          <t>$3,110</t>
        </is>
      </c>
      <c r="K9" s="30" t="inlineStr">
        <is>
          <t>$820</t>
        </is>
      </c>
      <c r="L9" s="31" t="inlineStr">
        <is>
          <t>Not Listed</t>
        </is>
      </c>
      <c r="M9" s="36" t="inlineStr">
        <is>
          <t>$2,879</t>
        </is>
      </c>
      <c r="N9" s="36" t="inlineStr">
        <is>
          <t>$3,455</t>
        </is>
      </c>
      <c r="O9" s="30" t="inlineStr">
        <is>
          <t>$1,040</t>
        </is>
      </c>
      <c r="P9" s="31" t="inlineStr">
        <is>
          <t>Not Listed</t>
        </is>
      </c>
      <c r="Q9" s="36" t="inlineStr">
        <is>
          <t>172</t>
        </is>
      </c>
      <c r="R9" s="36" t="inlineStr">
        <is>
          <t>1974</t>
        </is>
      </c>
      <c r="S9" s="36" t="inlineStr">
        <is>
          <t>1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88" t="inlineStr">
        <is>
          <t>LOW-MODERATE</t>
        </is>
      </c>
      <c r="Z9" s="37" t="inlineStr">
        <is>
          <t>Affordable Comp #3: Public Housing/HUD property, 1974 vintage (1 yr diff), 172 units, 145.0 mi from subject. Same income-eligible renter pool.</t>
        </is>
      </c>
      <c r="AA9" s="36" t="inlineStr">
        <is>
          <t>Hattiesburg Housing Authority</t>
        </is>
      </c>
    </row>
    <row r="10" ht="54.75" customFormat="1" customHeight="1" s="3">
      <c r="A10" s="28" t="inlineStr">
        <is>
          <t>4</t>
        </is>
      </c>
      <c r="B10" s="28" t="inlineStr">
        <is>
          <t>AFFORDABLE</t>
        </is>
      </c>
      <c r="C10" s="29" t="inlineStr">
        <is>
          <t>Natchez Terrace Apartments</t>
        </is>
      </c>
      <c r="D10" s="28" t="inlineStr">
        <is>
          <t>600 Seargent Prentiss Dr</t>
        </is>
      </c>
      <c r="E10" s="28" t="inlineStr">
        <is>
          <t>Natchez</t>
        </is>
      </c>
      <c r="F10" s="28" t="inlineStr">
        <is>
          <t>MS</t>
        </is>
      </c>
      <c r="G10" s="28" t="inlineStr">
        <is>
          <t>39120</t>
        </is>
      </c>
      <c r="H10" s="28" t="inlineStr">
        <is>
          <t>2.1 mi</t>
        </is>
      </c>
      <c r="I10" s="28" t="inlineStr">
        <is>
          <t>$2,591</t>
        </is>
      </c>
      <c r="J10" s="28" t="inlineStr">
        <is>
          <t>$3,110</t>
        </is>
      </c>
      <c r="K10" s="30" t="inlineStr">
        <is>
          <t>$820</t>
        </is>
      </c>
      <c r="L10" s="31" t="inlineStr">
        <is>
          <t>Not Listed</t>
        </is>
      </c>
      <c r="M10" s="28" t="inlineStr">
        <is>
          <t>$2,879</t>
        </is>
      </c>
      <c r="N10" s="28" t="inlineStr">
        <is>
          <t>$3,455</t>
        </is>
      </c>
      <c r="O10" s="30" t="inlineStr">
        <is>
          <t>$1,040</t>
        </is>
      </c>
      <c r="P10" s="31" t="inlineStr">
        <is>
          <t>Not Listed</t>
        </is>
      </c>
      <c r="Q10" s="28" t="inlineStr">
        <is>
          <t>156</t>
        </is>
      </c>
      <c r="R10" s="28" t="inlineStr">
        <is>
          <t>1977</t>
        </is>
      </c>
      <c r="S10" s="28" t="inlineStr">
        <is>
          <t>2</t>
        </is>
      </c>
      <c r="T10" s="28" t="inlineStr">
        <is>
          <t>Yes</t>
        </is>
      </c>
      <c r="U10" s="28" t="inlineStr">
        <is>
          <t>No</t>
        </is>
      </c>
      <c r="V10" s="28" t="inlineStr">
        <is>
          <t>No</t>
        </is>
      </c>
      <c r="W10" s="28" t="inlineStr">
        <is>
          <t>No</t>
        </is>
      </c>
      <c r="X10" s="28" t="inlineStr">
        <is>
          <t>No</t>
        </is>
      </c>
      <c r="Y10" s="32" t="inlineStr">
        <is>
          <t>HIGH</t>
        </is>
      </c>
      <c r="Z10" s="29" t="inlineStr">
        <is>
          <t>Affordable Comp #4: Section 8/HUD property, 1977 vintage (2 yr diff), 156 units, 2.1 mi from subject. Same income-eligible renter pool.</t>
        </is>
      </c>
      <c r="AA10" s="28" t="inlineStr">
        <is>
          <t>HUD Multifamily Assisted Housing</t>
        </is>
      </c>
    </row>
    <row r="11" ht="54.75" customFormat="1" customHeight="1" s="3">
      <c r="A11" s="39" t="inlineStr">
        <is>
          <t>1</t>
        </is>
      </c>
      <c r="B11" s="39" t="inlineStr">
        <is>
          <t>MARKET RATE</t>
        </is>
      </c>
      <c r="C11" s="40" t="inlineStr">
        <is>
          <t>Natchez Market Rate (FMR Benchmark)</t>
        </is>
      </c>
      <c r="D11" s="39" t="inlineStr">
        <is>
          <t>Natchez, MS area</t>
        </is>
      </c>
      <c r="E11" s="39" t="inlineStr">
        <is>
          <t>MS area</t>
        </is>
      </c>
      <c r="F11" s="39" t="inlineStr">
        <is>
          <t>MS</t>
        </is>
      </c>
      <c r="G11" s="39" t="n"/>
      <c r="H11" s="39" t="inlineStr">
        <is>
          <t>N/A</t>
        </is>
      </c>
      <c r="I11" s="39" t="inlineStr">
        <is>
          <t>N/A (Market Rate)</t>
        </is>
      </c>
      <c r="J11" s="39" t="inlineStr">
        <is>
          <t>N/A (Market Rate)</t>
        </is>
      </c>
      <c r="K11" s="30" t="inlineStr">
        <is>
          <t>$820</t>
        </is>
      </c>
      <c r="L11" s="31" t="inlineStr">
        <is>
          <t>$820</t>
        </is>
      </c>
      <c r="M11" s="39" t="inlineStr">
        <is>
          <t>N/A (Market Rate)</t>
        </is>
      </c>
      <c r="N11" s="39" t="inlineStr">
        <is>
          <t>N/A (Market Rate)</t>
        </is>
      </c>
      <c r="O11" s="30" t="inlineStr">
        <is>
          <t>$1,040</t>
        </is>
      </c>
      <c r="P11" s="31" t="inlineStr">
        <is>
          <t>$1,040</t>
        </is>
      </c>
      <c r="Q11" s="39" t="inlineStr">
        <is>
          <t>N/A</t>
        </is>
      </c>
      <c r="R11" s="39" t="inlineStr">
        <is>
          <t>1975</t>
        </is>
      </c>
      <c r="S11" s="39" t="inlineStr">
        <is>
          <t>0</t>
        </is>
      </c>
      <c r="T11" s="39" t="inlineStr">
        <is>
          <t>Varies</t>
        </is>
      </c>
      <c r="U11" s="39" t="inlineStr">
        <is>
          <t>Varies</t>
        </is>
      </c>
      <c r="V11" s="39" t="inlineStr">
        <is>
          <t>Varies</t>
        </is>
      </c>
      <c r="W11" s="39" t="inlineStr">
        <is>
          <t>Varies</t>
        </is>
      </c>
      <c r="X11" s="39" t="inlineStr">
        <is>
          <t>Varies</t>
        </is>
      </c>
      <c r="Y11" s="41" t="inlineStr">
        <is>
          <t>HIGH</t>
        </is>
      </c>
      <c r="Z11" s="40" t="inlineStr">
        <is>
          <t>Market Rate Comp #1: No income restrictions, 1975 vintage (0 yr diff), N/A units, N/A from subject. Shows market-rate rents vs. affordable housing discount.</t>
        </is>
      </c>
      <c r="AA11" s="39" t="inlineStr">
        <is>
          <t>HUD FY2026 FMR - Adams County, MS (limited market rate inventory in Natchez)</t>
        </is>
      </c>
    </row>
    <row r="12" ht="54.75" customFormat="1" customHeight="1" s="3">
      <c r="A12" s="42" t="inlineStr">
        <is>
          <t>2</t>
        </is>
      </c>
      <c r="B12" s="42" t="inlineStr">
        <is>
          <t>Camelot Apartments</t>
        </is>
      </c>
      <c r="C12" s="43" t="inlineStr">
        <is>
          <t>156 Jefferson Davis Blvd, Natchez, MS 39120</t>
        </is>
      </c>
      <c r="D12" s="42" t="inlineStr">
        <is>
          <t>Natchez, MS area</t>
        </is>
      </c>
      <c r="E12" s="42" t="inlineStr">
        <is>
          <t>MS area</t>
        </is>
      </c>
      <c r="F12" s="42" t="inlineStr">
        <is>
          <t>MS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0" t="inlineStr">
        <is>
          <t>$820</t>
        </is>
      </c>
      <c r="L12" s="31" t="inlineStr">
        <is>
          <t>$820</t>
        </is>
      </c>
      <c r="M12" s="42" t="inlineStr">
        <is>
          <t>N/A (Market Rate)</t>
        </is>
      </c>
      <c r="N12" s="42" t="inlineStr">
        <is>
          <t>N/A (Market Rate)</t>
        </is>
      </c>
      <c r="O12" s="30" t="inlineStr">
        <is>
          <t>$1,040</t>
        </is>
      </c>
      <c r="P12" s="31" t="inlineStr">
        <is>
          <t>$1,040</t>
        </is>
      </c>
      <c r="Q12" s="42" t="inlineStr">
        <is>
          <t>N/A</t>
        </is>
      </c>
      <c r="R12" s="42" t="inlineStr">
        <is>
          <t>1972</t>
        </is>
      </c>
      <c r="S12" s="42" t="inlineStr">
        <is>
          <t>3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#2: No income restrictions, 1972 vintage (3 yr diff), N/A units, N/A from subject. Shows market-rate rents vs. affordable housing discount.</t>
        </is>
      </c>
      <c r="AA12" s="42" t="inlineStr">
        <is>
          <t>HUD FY2026 FMR - Adams County, MS</t>
        </is>
      </c>
    </row>
    <row r="13" ht="54.75" customFormat="1" customHeight="1" s="3">
      <c r="A13" s="45" t="inlineStr">
        <is>
          <t>3</t>
        </is>
      </c>
      <c r="B13" s="45" t="inlineStr">
        <is>
          <t>Bienville Apartments</t>
        </is>
      </c>
      <c r="C13" s="46" t="inlineStr">
        <is>
          <t>500 N Commerce St, Natchez, MS 39120</t>
        </is>
      </c>
      <c r="D13" s="45" t="inlineStr">
        <is>
          <t>Natchez, MS area</t>
        </is>
      </c>
      <c r="E13" s="45" t="inlineStr">
        <is>
          <t>MS area</t>
        </is>
      </c>
      <c r="F13" s="45" t="inlineStr">
        <is>
          <t>MS</t>
        </is>
      </c>
      <c r="G13" s="45" t="n"/>
      <c r="H13" s="45" t="inlineStr">
        <is>
          <t>N/A</t>
        </is>
      </c>
      <c r="I13" s="45" t="inlineStr">
        <is>
          <t>N/A (Market Rate)</t>
        </is>
      </c>
      <c r="J13" s="45" t="inlineStr">
        <is>
          <t>N/A (Market Rate)</t>
        </is>
      </c>
      <c r="K13" s="30" t="inlineStr">
        <is>
          <t>$820</t>
        </is>
      </c>
      <c r="L13" s="31" t="inlineStr">
        <is>
          <t>$820</t>
        </is>
      </c>
      <c r="M13" s="45" t="inlineStr">
        <is>
          <t>N/A (Market Rate)</t>
        </is>
      </c>
      <c r="N13" s="45" t="inlineStr">
        <is>
          <t>N/A (Market Rate)</t>
        </is>
      </c>
      <c r="O13" s="30" t="inlineStr">
        <is>
          <t>$1,040</t>
        </is>
      </c>
      <c r="P13" s="31" t="inlineStr">
        <is>
          <t>$1,040</t>
        </is>
      </c>
      <c r="Q13" s="45" t="inlineStr">
        <is>
          <t>N/A</t>
        </is>
      </c>
      <c r="R13" s="45" t="inlineStr">
        <is>
          <t>1978</t>
        </is>
      </c>
      <c r="S13" s="45" t="inlineStr">
        <is>
          <t>3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#3: No income restrictions, 1978 vintage (3 yr diff), N/A units, N/A from subject. Shows market-rate rents vs. affordable housing discount.</t>
        </is>
      </c>
      <c r="AA13" s="45" t="inlineStr">
        <is>
          <t>HUD FY2026 FMR - Adams County, MS</t>
        </is>
      </c>
    </row>
    <row r="14" ht="54.75" customFormat="1" customHeight="1" s="3">
      <c r="A14" s="39" t="inlineStr">
        <is>
          <t>4</t>
        </is>
      </c>
      <c r="B14" s="39" t="inlineStr">
        <is>
          <t>Riverbreeze Manor Apartments</t>
        </is>
      </c>
      <c r="C14" s="40" t="inlineStr">
        <is>
          <t>144 N Shields Ln, Natchez, MS 39120</t>
        </is>
      </c>
      <c r="D14" s="39" t="inlineStr">
        <is>
          <t>Natchez, MS area</t>
        </is>
      </c>
      <c r="E14" s="39" t="inlineStr">
        <is>
          <t>MS area</t>
        </is>
      </c>
      <c r="F14" s="39" t="inlineStr">
        <is>
          <t>MS</t>
        </is>
      </c>
      <c r="G14" s="39" t="n"/>
      <c r="H14" s="39" t="inlineStr">
        <is>
          <t>N/A</t>
        </is>
      </c>
      <c r="I14" s="39" t="inlineStr">
        <is>
          <t>N/A (Market Rate)</t>
        </is>
      </c>
      <c r="J14" s="39" t="inlineStr">
        <is>
          <t>N/A (Market Rate)</t>
        </is>
      </c>
      <c r="K14" s="30" t="inlineStr">
        <is>
          <t>$820</t>
        </is>
      </c>
      <c r="L14" s="31" t="inlineStr">
        <is>
          <t>$820</t>
        </is>
      </c>
      <c r="M14" s="39" t="inlineStr">
        <is>
          <t>N/A (Market Rate)</t>
        </is>
      </c>
      <c r="N14" s="39" t="inlineStr">
        <is>
          <t>N/A (Market Rate)</t>
        </is>
      </c>
      <c r="O14" s="30" t="inlineStr">
        <is>
          <t>$1,040</t>
        </is>
      </c>
      <c r="P14" s="31" t="inlineStr">
        <is>
          <t>$1,040</t>
        </is>
      </c>
      <c r="Q14" s="39" t="inlineStr">
        <is>
          <t>N/A</t>
        </is>
      </c>
      <c r="R14" s="39" t="inlineStr">
        <is>
          <t>1980</t>
        </is>
      </c>
      <c r="S14" s="39" t="inlineStr">
        <is>
          <t>5</t>
        </is>
      </c>
      <c r="T14" s="39" t="inlineStr">
        <is>
          <t>Varies</t>
        </is>
      </c>
      <c r="U14" s="39" t="inlineStr">
        <is>
          <t>Varies</t>
        </is>
      </c>
      <c r="V14" s="39" t="inlineStr">
        <is>
          <t>Varies</t>
        </is>
      </c>
      <c r="W14" s="39" t="inlineStr">
        <is>
          <t>Varies</t>
        </is>
      </c>
      <c r="X14" s="39" t="inlineStr">
        <is>
          <t>Varies</t>
        </is>
      </c>
      <c r="Y14" s="41" t="inlineStr">
        <is>
          <t>HIGH</t>
        </is>
      </c>
      <c r="Z14" s="40" t="inlineStr">
        <is>
          <t>Market Rate Comp #4: No income restrictions, 1980 vintage (5 yr diff), N/A units, N/A from subject. Shows market-rate rents vs. affordable housing discount.</t>
        </is>
      </c>
      <c r="AA14" s="39" t="inlineStr">
        <is>
          <t>HUD FY2026 FMR - Adams County, MS</t>
        </is>
      </c>
    </row>
    <row r="15" ht="54.75" customFormat="1" customHeight="1" s="3">
      <c r="A15" s="48" t="inlineStr">
        <is>
          <t>—</t>
        </is>
      </c>
      <c r="B15" s="48" t="inlineStr">
        <is>
          <t>BENCHMARK</t>
        </is>
      </c>
      <c r="C15" s="49" t="inlineStr">
        <is>
          <t>FY2026 FMR — Adams County, MS</t>
        </is>
      </c>
      <c r="D15" s="48" t="inlineStr">
        <is>
          <t>N/A</t>
        </is>
      </c>
      <c r="E15" s="48" t="inlineStr">
        <is>
          <t>Natchez</t>
        </is>
      </c>
      <c r="F15" s="48" t="inlineStr">
        <is>
          <t>MS</t>
        </is>
      </c>
      <c r="G15" s="48" t="inlineStr">
        <is>
          <t>N/A</t>
        </is>
      </c>
      <c r="H15" s="48" t="inlineStr">
        <is>
          <t>N/A</t>
        </is>
      </c>
      <c r="I15" s="48" t="inlineStr">
        <is>
          <t>$820</t>
        </is>
      </c>
      <c r="J15" s="48" t="inlineStr">
        <is>
          <t>$820</t>
        </is>
      </c>
      <c r="K15" s="30" t="inlineStr">
        <is>
          <t>$820</t>
        </is>
      </c>
      <c r="L15" s="31" t="inlineStr">
        <is>
          <t>N/A</t>
        </is>
      </c>
      <c r="M15" s="48" t="inlineStr">
        <is>
          <t>$1,040</t>
        </is>
      </c>
      <c r="N15" s="48" t="inlineStr">
        <is>
          <t>$1,040</t>
        </is>
      </c>
      <c r="O15" s="30" t="inlineStr">
        <is>
          <t>$1,040</t>
        </is>
      </c>
      <c r="P15" s="31" t="inlineStr">
        <is>
          <t>N/A</t>
        </is>
      </c>
      <c r="Q15" s="48" t="inlineStr">
        <is>
          <t>N/A</t>
        </is>
      </c>
      <c r="R15" s="48" t="inlineStr">
        <is>
          <t>N/A</t>
        </is>
      </c>
      <c r="S15" s="48" t="inlineStr">
        <is>
          <t>N/A</t>
        </is>
      </c>
      <c r="T15" s="48" t="inlineStr">
        <is>
          <t>N/A</t>
        </is>
      </c>
      <c r="U15" s="48" t="inlineStr">
        <is>
          <t>N/A</t>
        </is>
      </c>
      <c r="V15" s="48" t="inlineStr">
        <is>
          <t>N/A</t>
        </is>
      </c>
      <c r="W15" s="48" t="inlineStr">
        <is>
          <t>N/A</t>
        </is>
      </c>
      <c r="X15" s="48" t="inlineStr">
        <is>
          <t>N/A</t>
        </is>
      </c>
      <c r="Y15" s="50" t="inlineStr">
        <is>
          <t>BENCHMARK</t>
        </is>
      </c>
      <c r="Z15" s="49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5" s="48" t="inlineStr">
        <is>
          <t>HUD FMR Database (huduser.gov)</t>
        </is>
      </c>
    </row>
    <row r="16" ht="54.75" customFormat="1" customHeight="1" s="3">
      <c r="A16" s="48" t="inlineStr">
        <is>
          <t>—</t>
        </is>
      </c>
      <c r="B16" s="48" t="inlineStr">
        <is>
          <t>BENCHMARK</t>
        </is>
      </c>
      <c r="C16" s="49" t="inlineStr">
        <is>
          <t>Metro Market Avg — Natchez</t>
        </is>
      </c>
      <c r="D16" s="48" t="inlineStr">
        <is>
          <t>N/A</t>
        </is>
      </c>
      <c r="E16" s="48" t="inlineStr">
        <is>
          <t>Natchez</t>
        </is>
      </c>
      <c r="F16" s="48" t="inlineStr">
        <is>
          <t>MS</t>
        </is>
      </c>
      <c r="G16" s="48" t="inlineStr">
        <is>
          <t>N/A</t>
        </is>
      </c>
      <c r="H16" s="48" t="inlineStr">
        <is>
          <t>N/A</t>
        </is>
      </c>
      <c r="I16" s="48" t="inlineStr">
        <is>
          <t>$902</t>
        </is>
      </c>
      <c r="J16" s="48" t="inlineStr">
        <is>
          <t>$902</t>
        </is>
      </c>
      <c r="K16" s="30" t="inlineStr">
        <is>
          <t>$902</t>
        </is>
      </c>
      <c r="L16" s="31" t="inlineStr">
        <is>
          <t>N/A</t>
        </is>
      </c>
      <c r="M16" s="48" t="inlineStr">
        <is>
          <t>$1,144</t>
        </is>
      </c>
      <c r="N16" s="48" t="inlineStr">
        <is>
          <t>$1,144</t>
        </is>
      </c>
      <c r="O16" s="30" t="inlineStr">
        <is>
          <t>$1,144</t>
        </is>
      </c>
      <c r="P16" s="31" t="inlineStr">
        <is>
          <t>N/A</t>
        </is>
      </c>
      <c r="Q16" s="48" t="inlineStr">
        <is>
          <t>N/A</t>
        </is>
      </c>
      <c r="R16" s="48" t="inlineStr">
        <is>
          <t>N/A</t>
        </is>
      </c>
      <c r="S16" s="48" t="inlineStr">
        <is>
          <t>N/A</t>
        </is>
      </c>
      <c r="T16" s="48" t="inlineStr">
        <is>
          <t>N/A</t>
        </is>
      </c>
      <c r="U16" s="48" t="inlineStr">
        <is>
          <t>N/A</t>
        </is>
      </c>
      <c r="V16" s="48" t="inlineStr">
        <is>
          <t>N/A</t>
        </is>
      </c>
      <c r="W16" s="48" t="inlineStr">
        <is>
          <t>N/A</t>
        </is>
      </c>
      <c r="X16" s="48" t="inlineStr">
        <is>
          <t>N/A</t>
        </is>
      </c>
      <c r="Y16" s="50" t="inlineStr">
        <is>
          <t>BENCHMARK</t>
        </is>
      </c>
      <c r="Z16" s="49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6" s="48" t="inlineStr">
        <is>
          <t>HUD FMR + Market Estimate</t>
        </is>
      </c>
    </row>
    <row r="17" ht="8.25" customFormat="1" customHeight="1" s="3"/>
    <row r="18" ht="27.75" customFormat="1" customHeight="1" s="3">
      <c r="A18" s="51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 ht="15" customHeight="1" s="95">
      <c r="C20" s="86" t="inlineStr">
        <is>
          <t>50% AMI</t>
        </is>
      </c>
      <c r="D20" s="86" t="inlineStr">
        <is>
          <t>UAP</t>
        </is>
      </c>
      <c r="E20" s="86" t="inlineStr">
        <is>
          <t>Section 8 Rent</t>
        </is>
      </c>
    </row>
    <row r="21" ht="15" customHeight="1" s="95">
      <c r="B21" s="3" t="n">
        <v>2</v>
      </c>
      <c r="C21" s="86" t="n">
        <v>1292</v>
      </c>
      <c r="D21" s="86" t="n">
        <v>454</v>
      </c>
      <c r="E21" s="86" t="n">
        <v>1400</v>
      </c>
    </row>
    <row r="22" ht="15" customHeight="1" s="95">
      <c r="B22" s="3" t="n">
        <v>3</v>
      </c>
      <c r="C22" s="86" t="n">
        <v>1641</v>
      </c>
      <c r="D22" s="86" t="n">
        <v>454</v>
      </c>
      <c r="E22" s="86" t="n">
        <v>1641</v>
      </c>
    </row>
    <row r="25" ht="15" customHeight="1" s="95">
      <c r="A25" s="61" t="inlineStr">
        <is>
          <t>PMTS — Vouchers / FMR / UAP / NET FMR</t>
        </is>
      </c>
      <c r="B25" s="101" t="n"/>
      <c r="C25" s="101" t="n"/>
      <c r="D25" s="101" t="n"/>
      <c r="E25" s="101" t="n"/>
      <c r="F25" s="102" t="n"/>
    </row>
    <row r="26" ht="15" customHeight="1" s="95">
      <c r="A26" s="64" t="inlineStr">
        <is>
          <t>BD</t>
        </is>
      </c>
      <c r="B26" s="65" t="inlineStr">
        <is>
          <t>MKT</t>
        </is>
      </c>
      <c r="C26" s="66" t="inlineStr">
        <is>
          <t>VCH</t>
        </is>
      </c>
      <c r="D26" s="67" t="inlineStr">
        <is>
          <t>FMR</t>
        </is>
      </c>
      <c r="E26" s="68" t="inlineStr">
        <is>
          <t>UAP</t>
        </is>
      </c>
      <c r="F26" s="69" t="inlineStr">
        <is>
          <t>NET</t>
        </is>
      </c>
    </row>
    <row r="27" ht="15" customHeight="1" s="95">
      <c r="A27" s="70" t="inlineStr">
        <is>
          <t>2BD</t>
        </is>
      </c>
      <c r="B27" s="71" t="n">
        <v>0</v>
      </c>
      <c r="C27" s="71" t="n">
        <v>0</v>
      </c>
      <c r="D27" s="71" t="n">
        <v>940</v>
      </c>
      <c r="E27" s="72" t="n">
        <v>154</v>
      </c>
      <c r="F27" s="73" t="n">
        <v>786</v>
      </c>
    </row>
    <row r="28" ht="15" customHeight="1" s="95">
      <c r="A28" s="74" t="inlineStr">
        <is>
          <t>3BD</t>
        </is>
      </c>
      <c r="B28" s="75" t="n">
        <v>0</v>
      </c>
      <c r="C28" s="75" t="n">
        <v>0</v>
      </c>
      <c r="D28" s="75" t="n">
        <v>1240</v>
      </c>
      <c r="E28" s="72" t="n">
        <v>169</v>
      </c>
      <c r="F28" s="73" t="n">
        <v>1071</v>
      </c>
    </row>
    <row r="29" ht="15" customHeight="1" s="95">
      <c r="A29" s="70" t="inlineStr">
        <is>
          <t>4BD</t>
        </is>
      </c>
      <c r="B29" s="71" t="n">
        <v>0</v>
      </c>
      <c r="C29" s="71" t="n">
        <v>0</v>
      </c>
      <c r="D29" s="71" t="n">
        <v>1240</v>
      </c>
      <c r="E29" s="72" t="n">
        <v>214</v>
      </c>
      <c r="F29" s="73" t="n">
        <v>1026</v>
      </c>
    </row>
    <row r="32" ht="15" customHeight="1" s="95">
      <c r="A32" s="61" t="inlineStr">
        <is>
          <t>LIHTC, UAP, NET</t>
        </is>
      </c>
      <c r="B32" s="101" t="n"/>
      <c r="C32" s="101" t="n"/>
      <c r="D32" s="101" t="n"/>
      <c r="E32" s="102" t="n"/>
    </row>
    <row r="33" ht="15" customHeight="1" s="95">
      <c r="A33" s="64" t="n"/>
      <c r="B33" s="65" t="inlineStr">
        <is>
          <t>LIHTC/MKT</t>
        </is>
      </c>
      <c r="C33" s="67" t="inlineStr">
        <is>
          <t>60%</t>
        </is>
      </c>
      <c r="D33" s="68" t="inlineStr">
        <is>
          <t>UAP</t>
        </is>
      </c>
      <c r="E33" s="69" t="inlineStr">
        <is>
          <t>NET</t>
        </is>
      </c>
    </row>
    <row r="34" ht="15" customHeight="1" s="95">
      <c r="A34" s="70" t="inlineStr">
        <is>
          <t>2BD</t>
        </is>
      </c>
      <c r="B34" s="71" t="n">
        <v>1533</v>
      </c>
      <c r="C34" s="71" t="n">
        <v>1346</v>
      </c>
      <c r="D34" s="72" t="n">
        <v>151</v>
      </c>
      <c r="E34" s="73" t="n">
        <v>1195</v>
      </c>
    </row>
    <row r="35" ht="15" customHeight="1" s="95">
      <c r="A35" s="74" t="inlineStr">
        <is>
          <t>3BD</t>
        </is>
      </c>
      <c r="B35" s="75" t="n">
        <v>1770</v>
      </c>
      <c r="C35" s="75" t="n">
        <v>1518</v>
      </c>
      <c r="D35" s="72" t="n">
        <v>254</v>
      </c>
      <c r="E35" s="73" t="n">
        <v>1264</v>
      </c>
    </row>
    <row r="38" ht="15" customHeight="1" s="95">
      <c r="A38" s="61" t="inlineStr">
        <is>
          <t>HAP, CoStar, NET</t>
        </is>
      </c>
      <c r="B38" s="101" t="n"/>
      <c r="C38" s="102" t="n"/>
    </row>
    <row r="39" ht="15" customHeight="1" s="95">
      <c r="A39" s="64" t="n"/>
      <c r="B39" s="68" t="inlineStr">
        <is>
          <t>HAP</t>
        </is>
      </c>
      <c r="C39" s="65" t="inlineStr">
        <is>
          <t>CoStar</t>
        </is>
      </c>
    </row>
    <row r="40" ht="15" customHeight="1" s="95">
      <c r="A40" s="70" t="inlineStr">
        <is>
          <t>2BD</t>
        </is>
      </c>
      <c r="B40" s="103" t="n">
        <v>0</v>
      </c>
      <c r="C40" s="104" t="n">
        <v>1464</v>
      </c>
    </row>
    <row r="41" ht="15" customHeight="1" s="95">
      <c r="A41" s="74" t="inlineStr">
        <is>
          <t>3BD</t>
        </is>
      </c>
      <c r="B41" s="103" t="n">
        <v>0</v>
      </c>
      <c r="C41" s="104" t="n">
        <v>1736</v>
      </c>
    </row>
  </sheetData>
  <mergeCells count="7">
    <mergeCell ref="A18:AA18"/>
    <mergeCell ref="A4:AA4"/>
    <mergeCell ref="A3:AA3"/>
    <mergeCell ref="A2:AA2"/>
    <mergeCell ref="A32:E32"/>
    <mergeCell ref="A38:C38"/>
    <mergeCell ref="A25:F25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theme="3" tint="0.4"/>
    <outlinePr summaryBelow="1" summaryRight="1"/>
    <pageSetUpPr/>
  </sheetPr>
  <dimension ref="A1:AA43"/>
  <sheetViews>
    <sheetView topLeftCell="A1" workbookViewId="0">
      <pane ySplit="1" topLeftCell="A14" activePane="bottomLeft" state="frozen"/>
      <selection pane="bottomLeft" activeCell="F8" sqref="F8"/>
    </sheetView>
  </sheetViews>
  <sheetFormatPr baseColWidth="8" defaultColWidth="9.140625" defaultRowHeight="15" customHeight="1"/>
  <cols>
    <col width="8.00390625" customWidth="1" style="3" min="1" max="1"/>
    <col width="14.00390625" customWidth="1" style="3" min="2" max="2"/>
    <col width="28.00390625" customWidth="1" style="3" min="3" max="3"/>
    <col width="22.00390625" customWidth="1" style="3" min="4" max="4"/>
    <col width="16.00390625" customWidth="1" style="3" min="5" max="5"/>
    <col width="10.00390625" customWidth="1" style="3" min="6" max="6"/>
    <col width="8.00390625" customWidth="1" style="3" min="7" max="7"/>
    <col width="11.00390625" customWidth="1" style="3" min="8" max="8"/>
    <col width="10.00390625" customWidth="1" style="3" min="9" max="11"/>
    <col width="12.00390625" customWidth="1" style="3" min="12" max="12"/>
    <col width="10.00390625" customWidth="1" style="3" min="13" max="15"/>
    <col width="12.00390625" customWidth="1" style="3" min="16" max="16"/>
    <col width="8.00390625" customWidth="1" style="3" min="17" max="17"/>
    <col width="10.00390625" customWidth="1" style="3" min="18" max="18"/>
    <col width="7.00390625" customWidth="1" style="3" min="19" max="19"/>
    <col width="12.00390625" customWidth="1" style="3" min="20" max="21"/>
    <col width="8.00390625" customWidth="1" style="3" min="22" max="23"/>
    <col width="10.00390625" customWidth="1" style="3" min="24" max="24"/>
    <col width="16.00390625" customWidth="1" style="3" min="25" max="25"/>
    <col width="45.00390625" customWidth="1" style="3" min="26" max="26"/>
    <col width="28.00390625" customWidth="1" style="3" min="27" max="27"/>
  </cols>
  <sheetData>
    <row r="1" ht="15" customHeight="1" s="95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</row>
    <row r="2" ht="24" customFormat="1" customHeight="1" s="3">
      <c r="A2" s="17" t="inlineStr">
        <is>
          <t>COMPETITIVE RENT ANALYSIS — RIVER POINTE | GREEN = Affordable Comps | BLUE = Market Rate Comps</t>
        </is>
      </c>
    </row>
    <row r="3" ht="20.25" customFormat="1" customHeight="1" s="3">
      <c r="A3" s="18" t="inlineStr">
        <is>
          <t>SUBJECT: River Pointe | 777 Avonia Drive, Columbus, OH 43228 | 160 units | Program: Section 8/HUD | Bedroom Mix: 1BR / 2BR | County AMI: $0 | FMR Area: Columbus, OH HMFA</t>
        </is>
      </c>
    </row>
    <row r="4" ht="90" customFormat="1" customHeight="1" s="3">
      <c r="A4" s="19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5" ht="30" customFormat="1" customHeight="1" s="3">
      <c r="A5" s="20" t="inlineStr">
        <is>
          <t>Rank</t>
        </is>
      </c>
      <c r="B5" s="20" t="inlineStr">
        <is>
          <t>Type</t>
        </is>
      </c>
      <c r="C5" s="20" t="inlineStr">
        <is>
          <t>Property Name</t>
        </is>
      </c>
      <c r="D5" s="20" t="inlineStr">
        <is>
          <t>Address</t>
        </is>
      </c>
      <c r="E5" s="20" t="inlineStr">
        <is>
          <t>City</t>
        </is>
      </c>
      <c r="F5" s="20" t="inlineStr">
        <is>
          <t>State</t>
        </is>
      </c>
      <c r="G5" s="20" t="inlineStr">
        <is>
          <t>ZIP</t>
        </is>
      </c>
      <c r="H5" s="20" t="inlineStr">
        <is>
          <t>Distance (mi)</t>
        </is>
      </c>
      <c r="I5" s="20" t="inlineStr">
        <is>
          <t>1BR Low ($)</t>
        </is>
      </c>
      <c r="J5" s="20" t="inlineStr">
        <is>
          <t>1BR Mid ($)</t>
        </is>
      </c>
      <c r="K5" s="21" t="inlineStr">
        <is>
          <t>1BR FMR ($)</t>
        </is>
      </c>
      <c r="L5" s="22" t="inlineStr">
        <is>
          <t>1BR Actual ($)</t>
        </is>
      </c>
      <c r="M5" s="20" t="inlineStr">
        <is>
          <t>2BR Low ($)</t>
        </is>
      </c>
      <c r="N5" s="20" t="inlineStr">
        <is>
          <t>2BR Mid ($)</t>
        </is>
      </c>
      <c r="O5" s="21" t="inlineStr">
        <is>
          <t>2BR FMR ($)</t>
        </is>
      </c>
      <c r="P5" s="22" t="inlineStr">
        <is>
          <t>2BR Actual ($)</t>
        </is>
      </c>
      <c r="Q5" s="20" t="inlineStr">
        <is>
          <t># Units</t>
        </is>
      </c>
      <c r="R5" s="20" t="inlineStr">
        <is>
          <t>Year Built</t>
        </is>
      </c>
      <c r="S5" s="20" t="inlineStr">
        <is>
          <t>Yr Diff</t>
        </is>
      </c>
      <c r="T5" s="20" t="inlineStr">
        <is>
          <t>Utilities Incl.</t>
        </is>
      </c>
      <c r="U5" s="20" t="inlineStr">
        <is>
          <t>Pet Friendly</t>
        </is>
      </c>
      <c r="V5" s="20" t="inlineStr">
        <is>
          <t>Gated</t>
        </is>
      </c>
      <c r="W5" s="20" t="inlineStr">
        <is>
          <t>Pool</t>
        </is>
      </c>
      <c r="X5" s="20" t="inlineStr">
        <is>
          <t>W/D In-Unit</t>
        </is>
      </c>
      <c r="Y5" s="20" t="inlineStr">
        <is>
          <t>Competition Level</t>
        </is>
      </c>
      <c r="Z5" s="20" t="inlineStr">
        <is>
          <t>Why Competitive</t>
        </is>
      </c>
      <c r="AA5" s="20" t="inlineStr">
        <is>
          <t>Data Source</t>
        </is>
      </c>
    </row>
    <row r="6" ht="54.75" customFormat="1" customHeight="1" s="3">
      <c r="A6" s="23" t="inlineStr">
        <is>
          <t>—</t>
        </is>
      </c>
      <c r="B6" s="23" t="inlineStr">
        <is>
          <t>SUBJECT</t>
        </is>
      </c>
      <c r="C6" s="24" t="inlineStr">
        <is>
          <t>River Pointe (SUBJECT)</t>
        </is>
      </c>
      <c r="D6" s="23" t="inlineStr">
        <is>
          <t>777 Avonia Drive</t>
        </is>
      </c>
      <c r="E6" s="23" t="inlineStr">
        <is>
          <t>Columbus</t>
        </is>
      </c>
      <c r="F6" s="23" t="inlineStr">
        <is>
          <t>OH</t>
        </is>
      </c>
      <c r="G6" s="23" t="inlineStr">
        <is>
          <t>43228</t>
        </is>
      </c>
      <c r="H6" s="23" t="inlineStr">
        <is>
          <t>0.0 mi</t>
        </is>
      </c>
      <c r="I6" s="23" t="inlineStr">
        <is>
          <t>Income-Based</t>
        </is>
      </c>
      <c r="J6" s="23" t="inlineStr">
        <is>
          <t>Income-Based</t>
        </is>
      </c>
      <c r="K6" s="25" t="inlineStr">
        <is>
          <t>$1,044</t>
        </is>
      </c>
      <c r="L6" s="26" t="inlineStr">
        <is>
          <t>N/A</t>
        </is>
      </c>
      <c r="M6" s="23" t="inlineStr">
        <is>
          <t>Income-Based</t>
        </is>
      </c>
      <c r="N6" s="23" t="inlineStr">
        <is>
          <t>Income-Based</t>
        </is>
      </c>
      <c r="O6" s="25" t="inlineStr">
        <is>
          <t>$1,430</t>
        </is>
      </c>
      <c r="P6" s="26" t="inlineStr">
        <is>
          <t>N/A</t>
        </is>
      </c>
      <c r="Q6" s="23" t="inlineStr">
        <is>
          <t>160</t>
        </is>
      </c>
      <c r="R6" s="23" t="inlineStr">
        <is>
          <t>1996</t>
        </is>
      </c>
      <c r="S6" s="23" t="inlineStr">
        <is>
          <t>0</t>
        </is>
      </c>
      <c r="T6" s="23" t="inlineStr">
        <is>
          <t>Partial</t>
        </is>
      </c>
      <c r="U6" s="23" t="inlineStr">
        <is>
          <t>No</t>
        </is>
      </c>
      <c r="V6" s="23" t="inlineStr">
        <is>
          <t>No</t>
        </is>
      </c>
      <c r="W6" s="23" t="inlineStr">
        <is>
          <t>No</t>
        </is>
      </c>
      <c r="X6" s="23" t="inlineStr">
        <is>
          <t>No</t>
        </is>
      </c>
      <c r="Y6" s="27" t="inlineStr">
        <is>
          <t>SUBJECT</t>
        </is>
      </c>
      <c r="Z6" s="24" t="inlineStr">
        <is>
          <t>160 units | Section 8/HUD property. Year built: 1996. Subject property for market context.</t>
        </is>
      </c>
      <c r="AA6" s="23" t="inlineStr">
        <is>
          <t>Apartment Corp Records</t>
        </is>
      </c>
    </row>
    <row r="7" ht="54.75" customFormat="1" customHeight="1" s="3">
      <c r="A7" s="28" t="inlineStr">
        <is>
          <t>1</t>
        </is>
      </c>
      <c r="B7" s="28" t="inlineStr">
        <is>
          <t>AFFORDABLE</t>
        </is>
      </c>
      <c r="C7" s="29" t="inlineStr">
        <is>
          <t>Abbey Church Village</t>
        </is>
      </c>
      <c r="D7" s="28" t="inlineStr">
        <is>
          <t>2914 Bishops Retreat Pl</t>
        </is>
      </c>
      <c r="E7" s="28" t="inlineStr">
        <is>
          <t>Dublin</t>
        </is>
      </c>
      <c r="F7" s="28" t="inlineStr">
        <is>
          <t>OH</t>
        </is>
      </c>
      <c r="G7" s="28" t="inlineStr">
        <is>
          <t>43017</t>
        </is>
      </c>
      <c r="H7" s="28" t="inlineStr">
        <is>
          <t>9.5 mi</t>
        </is>
      </c>
      <c r="I7" s="28" t="inlineStr">
        <is>
          <t>N/A</t>
        </is>
      </c>
      <c r="J7" s="28" t="inlineStr">
        <is>
          <t>N/A</t>
        </is>
      </c>
      <c r="K7" s="30" t="inlineStr">
        <is>
          <t>$1,044</t>
        </is>
      </c>
      <c r="L7" s="31" t="inlineStr">
        <is>
          <t>Not Listed</t>
        </is>
      </c>
      <c r="M7" s="28" t="inlineStr">
        <is>
          <t>N/A</t>
        </is>
      </c>
      <c r="N7" s="28" t="inlineStr">
        <is>
          <t>N/A</t>
        </is>
      </c>
      <c r="O7" s="30" t="inlineStr">
        <is>
          <t>$1,430</t>
        </is>
      </c>
      <c r="P7" s="31" t="inlineStr">
        <is>
          <t>Not Listed</t>
        </is>
      </c>
      <c r="Q7" s="28" t="inlineStr">
        <is>
          <t>160</t>
        </is>
      </c>
      <c r="R7" s="28" t="inlineStr">
        <is>
          <t>1996</t>
        </is>
      </c>
      <c r="S7" s="28" t="inlineStr">
        <is>
          <t>0</t>
        </is>
      </c>
      <c r="T7" s="28" t="inlineStr">
        <is>
          <t>Yes</t>
        </is>
      </c>
      <c r="U7" s="28" t="inlineStr">
        <is>
          <t>No</t>
        </is>
      </c>
      <c r="V7" s="28" t="inlineStr">
        <is>
          <t>No</t>
        </is>
      </c>
      <c r="W7" s="28" t="inlineStr">
        <is>
          <t>No</t>
        </is>
      </c>
      <c r="X7" s="28" t="inlineStr">
        <is>
          <t>No</t>
        </is>
      </c>
      <c r="Y7" s="32" t="inlineStr">
        <is>
          <t>HIGH</t>
        </is>
      </c>
      <c r="Z7" s="29" t="inlineStr">
        <is>
          <t>Affordable Comp #1: LIHTC property, 1996 vintage (0 yr diff), 160 units, 9.5 mi from subject. Same income-eligible renter pool.</t>
        </is>
      </c>
      <c r="AA7" s="28" t="inlineStr">
        <is>
          <t>HUD LIHTC Database (huduser.gov)</t>
        </is>
      </c>
    </row>
    <row r="8" ht="54.75" customFormat="1" customHeight="1" s="3">
      <c r="A8" s="33" t="inlineStr">
        <is>
          <t>2</t>
        </is>
      </c>
      <c r="B8" s="33" t="inlineStr">
        <is>
          <t>AFFORDABLE</t>
        </is>
      </c>
      <c r="C8" s="34" t="inlineStr">
        <is>
          <t>Winchester Lakes Apts</t>
        </is>
      </c>
      <c r="D8" s="33" t="inlineStr">
        <is>
          <t>6621 Kodiak Dr</t>
        </is>
      </c>
      <c r="E8" s="33" t="inlineStr">
        <is>
          <t>Canal Wnchstr</t>
        </is>
      </c>
      <c r="F8" s="33" t="inlineStr">
        <is>
          <t>OH</t>
        </is>
      </c>
      <c r="G8" s="33" t="inlineStr">
        <is>
          <t>43110</t>
        </is>
      </c>
      <c r="H8" s="33" t="inlineStr">
        <is>
          <t>11.5 mi</t>
        </is>
      </c>
      <c r="I8" s="33" t="inlineStr">
        <is>
          <t>N/A</t>
        </is>
      </c>
      <c r="J8" s="33" t="inlineStr">
        <is>
          <t>N/A</t>
        </is>
      </c>
      <c r="K8" s="30" t="inlineStr">
        <is>
          <t>$1,044</t>
        </is>
      </c>
      <c r="L8" s="31" t="inlineStr">
        <is>
          <t>Not Listed</t>
        </is>
      </c>
      <c r="M8" s="33" t="inlineStr">
        <is>
          <t>N/A</t>
        </is>
      </c>
      <c r="N8" s="33" t="inlineStr">
        <is>
          <t>N/A</t>
        </is>
      </c>
      <c r="O8" s="30" t="inlineStr">
        <is>
          <t>$1,430</t>
        </is>
      </c>
      <c r="P8" s="31" t="inlineStr">
        <is>
          <t>$1,031</t>
        </is>
      </c>
      <c r="Q8" s="33" t="inlineStr">
        <is>
          <t>150</t>
        </is>
      </c>
      <c r="R8" s="33" t="inlineStr">
        <is>
          <t>1996</t>
        </is>
      </c>
      <c r="S8" s="33" t="inlineStr">
        <is>
          <t>0</t>
        </is>
      </c>
      <c r="T8" s="33" t="inlineStr">
        <is>
          <t>Yes</t>
        </is>
      </c>
      <c r="U8" s="33" t="inlineStr">
        <is>
          <t>No</t>
        </is>
      </c>
      <c r="V8" s="33" t="inlineStr">
        <is>
          <t>No</t>
        </is>
      </c>
      <c r="W8" s="33" t="inlineStr">
        <is>
          <t>No</t>
        </is>
      </c>
      <c r="X8" s="33" t="inlineStr">
        <is>
          <t>No</t>
        </is>
      </c>
      <c r="Y8" s="35" t="inlineStr">
        <is>
          <t>HIGH</t>
        </is>
      </c>
      <c r="Z8" s="34" t="inlineStr">
        <is>
          <t>Affordable Comp #2: LIHTC property, 1996 vintage (0 yr diff), 150 units, 11.5 mi from subject. Same income-eligible renter pool.</t>
        </is>
      </c>
      <c r="AA8" s="33" t="inlineStr">
        <is>
          <t>HUD LIHTC Database (huduser.gov)</t>
        </is>
      </c>
    </row>
    <row r="9" ht="54.75" customFormat="1" customHeight="1" s="3">
      <c r="A9" s="36" t="inlineStr">
        <is>
          <t>3</t>
        </is>
      </c>
      <c r="B9" s="36" t="inlineStr">
        <is>
          <t>AFFORDABLE</t>
        </is>
      </c>
      <c r="C9" s="37" t="inlineStr">
        <is>
          <t>Fourth Street Ywca Renovation</t>
        </is>
      </c>
      <c r="D9" s="36" t="inlineStr">
        <is>
          <t>65 S Fourth St</t>
        </is>
      </c>
      <c r="E9" s="36" t="inlineStr">
        <is>
          <t>Columbus</t>
        </is>
      </c>
      <c r="F9" s="36" t="inlineStr">
        <is>
          <t>OH</t>
        </is>
      </c>
      <c r="G9" s="36" t="inlineStr">
        <is>
          <t>43215</t>
        </is>
      </c>
      <c r="H9" s="36" t="inlineStr">
        <is>
          <t>0.1 mi</t>
        </is>
      </c>
      <c r="I9" s="36" t="inlineStr">
        <is>
          <t>N/A</t>
        </is>
      </c>
      <c r="J9" s="36" t="inlineStr">
        <is>
          <t>N/A</t>
        </is>
      </c>
      <c r="K9" s="30" t="inlineStr">
        <is>
          <t>$1,044</t>
        </is>
      </c>
      <c r="L9" s="31" t="inlineStr">
        <is>
          <t>Not Listed</t>
        </is>
      </c>
      <c r="M9" s="36" t="inlineStr">
        <is>
          <t>N/A</t>
        </is>
      </c>
      <c r="N9" s="36" t="inlineStr">
        <is>
          <t>N/A</t>
        </is>
      </c>
      <c r="O9" s="30" t="inlineStr">
        <is>
          <t>$1,430</t>
        </is>
      </c>
      <c r="P9" s="31" t="inlineStr">
        <is>
          <t>Not Listed</t>
        </is>
      </c>
      <c r="Q9" s="36" t="inlineStr">
        <is>
          <t>102</t>
        </is>
      </c>
      <c r="R9" s="36" t="inlineStr">
        <is>
          <t>1996</t>
        </is>
      </c>
      <c r="S9" s="36" t="inlineStr">
        <is>
          <t>0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85" t="inlineStr">
        <is>
          <t>HIGH</t>
        </is>
      </c>
      <c r="Z9" s="37" t="inlineStr">
        <is>
          <t>Affordable Comp #3: LIHTC property, 1996 vintage (0 yr diff), 102 units, 0.1 mi from subject. Same income-eligible renter pool.</t>
        </is>
      </c>
      <c r="AA9" s="36" t="inlineStr">
        <is>
          <t>HUD LIHTC Database (huduser.gov)</t>
        </is>
      </c>
    </row>
    <row r="10" ht="54.75" customFormat="1" customHeight="1" s="3">
      <c r="A10" s="28" t="inlineStr">
        <is>
          <t>4</t>
        </is>
      </c>
      <c r="B10" s="28" t="inlineStr">
        <is>
          <t>AFFORDABLE</t>
        </is>
      </c>
      <c r="C10" s="29" t="inlineStr">
        <is>
          <t>Strattford Lakes</t>
        </is>
      </c>
      <c r="D10" s="28" t="inlineStr">
        <is>
          <t>3555 Ashton Cross</t>
        </is>
      </c>
      <c r="E10" s="28" t="inlineStr">
        <is>
          <t>Canal Wnchstr</t>
        </is>
      </c>
      <c r="F10" s="28" t="inlineStr">
        <is>
          <t>OH</t>
        </is>
      </c>
      <c r="G10" s="28" t="inlineStr">
        <is>
          <t>43110</t>
        </is>
      </c>
      <c r="H10" s="28" t="inlineStr">
        <is>
          <t>10.0 mi</t>
        </is>
      </c>
      <c r="I10" s="28" t="inlineStr">
        <is>
          <t>N/A</t>
        </is>
      </c>
      <c r="J10" s="28" t="inlineStr">
        <is>
          <t>N/A</t>
        </is>
      </c>
      <c r="K10" s="30" t="inlineStr">
        <is>
          <t>$1,044</t>
        </is>
      </c>
      <c r="L10" s="31" t="inlineStr">
        <is>
          <t>Not Listed</t>
        </is>
      </c>
      <c r="M10" s="28" t="inlineStr">
        <is>
          <t>N/A</t>
        </is>
      </c>
      <c r="N10" s="28" t="inlineStr">
        <is>
          <t>N/A</t>
        </is>
      </c>
      <c r="O10" s="30" t="inlineStr">
        <is>
          <t>$1,430</t>
        </is>
      </c>
      <c r="P10" s="31" t="inlineStr">
        <is>
          <t>Not Listed</t>
        </is>
      </c>
      <c r="Q10" s="28" t="inlineStr">
        <is>
          <t>124</t>
        </is>
      </c>
      <c r="R10" s="28" t="inlineStr">
        <is>
          <t>1996</t>
        </is>
      </c>
      <c r="S10" s="28" t="inlineStr">
        <is>
          <t>0</t>
        </is>
      </c>
      <c r="T10" s="28" t="inlineStr">
        <is>
          <t>Yes</t>
        </is>
      </c>
      <c r="U10" s="28" t="inlineStr">
        <is>
          <t>No</t>
        </is>
      </c>
      <c r="V10" s="28" t="inlineStr">
        <is>
          <t>No</t>
        </is>
      </c>
      <c r="W10" s="28" t="inlineStr">
        <is>
          <t>No</t>
        </is>
      </c>
      <c r="X10" s="28" t="inlineStr">
        <is>
          <t>No</t>
        </is>
      </c>
      <c r="Y10" s="32" t="inlineStr">
        <is>
          <t>HIGH</t>
        </is>
      </c>
      <c r="Z10" s="29" t="inlineStr">
        <is>
          <t>Affordable Comp #4: LIHTC property, 1996 vintage (0 yr diff), 124 units, 10.0 mi from subject. Same income-eligible renter pool.</t>
        </is>
      </c>
      <c r="AA10" s="28" t="inlineStr">
        <is>
          <t>HUD LIHTC Database (huduser.gov)</t>
        </is>
      </c>
    </row>
    <row r="11" ht="54.75" customFormat="1" customHeight="1" s="3">
      <c r="A11" s="39" t="inlineStr">
        <is>
          <t>1</t>
        </is>
      </c>
      <c r="B11" s="39" t="inlineStr">
        <is>
          <t>MARKET RATE</t>
        </is>
      </c>
      <c r="C11" s="40" t="inlineStr">
        <is>
          <t>Sonnenblick</t>
        </is>
      </c>
      <c r="D11" s="39" t="inlineStr">
        <is>
          <t>730 Thurber Drive West, Columbus, OH 43215</t>
        </is>
      </c>
      <c r="E11" s="39" t="inlineStr">
        <is>
          <t>Columbus</t>
        </is>
      </c>
      <c r="F11" s="39" t="inlineStr">
        <is>
          <t>OH</t>
        </is>
      </c>
      <c r="G11" s="39" t="n"/>
      <c r="H11" s="39" t="inlineStr">
        <is>
          <t>5.2 mi</t>
        </is>
      </c>
      <c r="I11" s="39" t="inlineStr">
        <is>
          <t>N/A (Market Rate)</t>
        </is>
      </c>
      <c r="J11" s="39" t="inlineStr">
        <is>
          <t>N/A (Market Rate)</t>
        </is>
      </c>
      <c r="K11" s="30" t="inlineStr">
        <is>
          <t>$1,044</t>
        </is>
      </c>
      <c r="L11" s="31" t="inlineStr">
        <is>
          <t>$1,190</t>
        </is>
      </c>
      <c r="M11" s="39" t="inlineStr">
        <is>
          <t>N/A (Market Rate)</t>
        </is>
      </c>
      <c r="N11" s="39" t="inlineStr">
        <is>
          <t>N/A (Market Rate)</t>
        </is>
      </c>
      <c r="O11" s="30" t="inlineStr">
        <is>
          <t>$1,430</t>
        </is>
      </c>
      <c r="P11" s="31" t="inlineStr">
        <is>
          <t>$1,440</t>
        </is>
      </c>
      <c r="Q11" s="39" t="inlineStr">
        <is>
          <t>133</t>
        </is>
      </c>
      <c r="R11" s="39" t="inlineStr">
        <is>
          <t>1996</t>
        </is>
      </c>
      <c r="S11" s="39" t="inlineStr">
        <is>
          <t>0</t>
        </is>
      </c>
      <c r="T11" s="39" t="inlineStr">
        <is>
          <t>Varies</t>
        </is>
      </c>
      <c r="U11" s="39" t="inlineStr">
        <is>
          <t>Varies</t>
        </is>
      </c>
      <c r="V11" s="39" t="inlineStr">
        <is>
          <t>Varies</t>
        </is>
      </c>
      <c r="W11" s="39" t="inlineStr">
        <is>
          <t>Varies</t>
        </is>
      </c>
      <c r="X11" s="39" t="inlineStr">
        <is>
          <t>Varies</t>
        </is>
      </c>
      <c r="Y11" s="41" t="inlineStr">
        <is>
          <t>HIGH</t>
        </is>
      </c>
      <c r="Z11" s="40" t="inlineStr">
        <is>
          <t>Market Rate Comp #1: No income restrictions, 1996 vintage (0 yr diff), 133 units, 5.2 mi from subject. Shows market-rate rents vs. affordable housing discount.</t>
        </is>
      </c>
      <c r="AA11" s="39" t="inlineStr">
        <is>
          <t>https://www.rentcafe.com/apartments-for-rent/us/oh/columbus/sonnenblick/</t>
        </is>
      </c>
    </row>
    <row r="12" ht="54.75" customFormat="1" customHeight="1" s="3">
      <c r="A12" s="42" t="inlineStr">
        <is>
          <t>2</t>
        </is>
      </c>
      <c r="B12" s="42" t="inlineStr">
        <is>
          <t>MARKET RATE</t>
        </is>
      </c>
      <c r="C12" s="43" t="inlineStr">
        <is>
          <t>The Berryessa</t>
        </is>
      </c>
      <c r="D12" s="42" t="inlineStr">
        <is>
          <t>5811 Spring Run Dr, Columbus, OH 43229</t>
        </is>
      </c>
      <c r="E12" s="42" t="inlineStr">
        <is>
          <t>Columbus</t>
        </is>
      </c>
      <c r="F12" s="42" t="inlineStr">
        <is>
          <t>OH</t>
        </is>
      </c>
      <c r="G12" s="42" t="n"/>
      <c r="H12" s="42" t="inlineStr">
        <is>
          <t>8.7 mi</t>
        </is>
      </c>
      <c r="I12" s="42" t="inlineStr">
        <is>
          <t>N/A (Market Rate)</t>
        </is>
      </c>
      <c r="J12" s="42" t="inlineStr">
        <is>
          <t>N/A (Market Rate)</t>
        </is>
      </c>
      <c r="K12" s="30" t="inlineStr">
        <is>
          <t>$1,044</t>
        </is>
      </c>
      <c r="L12" s="31" t="inlineStr">
        <is>
          <t>$1,029</t>
        </is>
      </c>
      <c r="M12" s="42" t="inlineStr">
        <is>
          <t>N/A (Market Rate)</t>
        </is>
      </c>
      <c r="N12" s="42" t="inlineStr">
        <is>
          <t>N/A (Market Rate)</t>
        </is>
      </c>
      <c r="O12" s="30" t="inlineStr">
        <is>
          <t>$1,430</t>
        </is>
      </c>
      <c r="P12" s="31" t="inlineStr">
        <is>
          <t>$1,399</t>
        </is>
      </c>
      <c r="Q12" s="42" t="inlineStr">
        <is>
          <t>311</t>
        </is>
      </c>
      <c r="R12" s="42" t="inlineStr">
        <is>
          <t>1998</t>
        </is>
      </c>
      <c r="S12" s="42" t="inlineStr">
        <is>
          <t>2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#2: No income restrictions, 1998 vintage (2 yr diff), 311 units, 8.7 mi from subject. Shows market-rate rents vs. affordable housing discount.</t>
        </is>
      </c>
      <c r="AA12" s="42" t="inlineStr">
        <is>
          <t>https://www.rentcafe.com/apartments-for-rent/us/oh/columbus/the-berryessa/</t>
        </is>
      </c>
    </row>
    <row r="13" ht="54.75" customFormat="1" customHeight="1" s="3">
      <c r="A13" s="45" t="inlineStr">
        <is>
          <t>3</t>
        </is>
      </c>
      <c r="B13" s="45" t="inlineStr">
        <is>
          <t>MARKET RATE</t>
        </is>
      </c>
      <c r="C13" s="46" t="inlineStr">
        <is>
          <t>Broadwood</t>
        </is>
      </c>
      <c r="D13" s="45" t="inlineStr">
        <is>
          <t>65 Robinwood Ave, Whitehall, OH 43213</t>
        </is>
      </c>
      <c r="E13" s="45" t="inlineStr">
        <is>
          <t>Whitehall</t>
        </is>
      </c>
      <c r="F13" s="45" t="inlineStr">
        <is>
          <t>OH</t>
        </is>
      </c>
      <c r="G13" s="45" t="n"/>
      <c r="H13" s="45" t="inlineStr">
        <is>
          <t>6.3 mi</t>
        </is>
      </c>
      <c r="I13" s="45" t="inlineStr">
        <is>
          <t>N/A (Market Rate)</t>
        </is>
      </c>
      <c r="J13" s="45" t="inlineStr">
        <is>
          <t>N/A (Market Rate)</t>
        </is>
      </c>
      <c r="K13" s="30" t="inlineStr">
        <is>
          <t>$1,044</t>
        </is>
      </c>
      <c r="L13" s="31" t="inlineStr">
        <is>
          <t>$1,175</t>
        </is>
      </c>
      <c r="M13" s="45" t="inlineStr">
        <is>
          <t>N/A (Market Rate)</t>
        </is>
      </c>
      <c r="N13" s="45" t="inlineStr">
        <is>
          <t>N/A (Market Rate)</t>
        </is>
      </c>
      <c r="O13" s="30" t="inlineStr">
        <is>
          <t>$1,430</t>
        </is>
      </c>
      <c r="P13" s="31" t="inlineStr">
        <is>
          <t>$1,300</t>
        </is>
      </c>
      <c r="Q13" s="45" t="inlineStr">
        <is>
          <t>63</t>
        </is>
      </c>
      <c r="R13" s="45" t="inlineStr">
        <is>
          <t>1994</t>
        </is>
      </c>
      <c r="S13" s="45" t="inlineStr">
        <is>
          <t>2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#3: No income restrictions, 1994 vintage (2 yr diff), 63 units, 6.3 mi from subject. Shows market-rate rents vs. affordable housing discount.</t>
        </is>
      </c>
      <c r="AA13" s="45" t="inlineStr">
        <is>
          <t>https://www.rentcafe.com/apartments-for-rent/us/oh/whitehall/broadwood/</t>
        </is>
      </c>
    </row>
    <row r="14" ht="54.75" customFormat="1" customHeight="1" s="3">
      <c r="A14" s="39" t="inlineStr">
        <is>
          <t>4</t>
        </is>
      </c>
      <c r="B14" s="39" t="inlineStr">
        <is>
          <t>MARKET RATE</t>
        </is>
      </c>
      <c r="C14" s="40" t="inlineStr">
        <is>
          <t>Winchester Lakes</t>
        </is>
      </c>
      <c r="D14" s="39" t="inlineStr">
        <is>
          <t>5600 Winchester Lakes Dr, Columbus, OH 43232</t>
        </is>
      </c>
      <c r="E14" s="39" t="inlineStr">
        <is>
          <t>Columbus</t>
        </is>
      </c>
      <c r="F14" s="39" t="inlineStr">
        <is>
          <t>OH</t>
        </is>
      </c>
      <c r="G14" s="39" t="n"/>
      <c r="H14" s="39" t="inlineStr">
        <is>
          <t>7.8 mi</t>
        </is>
      </c>
      <c r="I14" s="39" t="inlineStr">
        <is>
          <t>N/A (Market Rate)</t>
        </is>
      </c>
      <c r="J14" s="39" t="inlineStr">
        <is>
          <t>N/A (Market Rate)</t>
        </is>
      </c>
      <c r="K14" s="30" t="inlineStr">
        <is>
          <t>$1,044</t>
        </is>
      </c>
      <c r="L14" s="31" t="inlineStr">
        <is>
          <t>$1,050</t>
        </is>
      </c>
      <c r="M14" s="39" t="inlineStr">
        <is>
          <t>N/A (Market Rate)</t>
        </is>
      </c>
      <c r="N14" s="39" t="inlineStr">
        <is>
          <t>N/A (Market Rate)</t>
        </is>
      </c>
      <c r="O14" s="30" t="inlineStr">
        <is>
          <t>$1,430</t>
        </is>
      </c>
      <c r="P14" s="31" t="inlineStr">
        <is>
          <t>$1,295</t>
        </is>
      </c>
      <c r="Q14" s="39" t="inlineStr">
        <is>
          <t>200</t>
        </is>
      </c>
      <c r="R14" s="39" t="inlineStr">
        <is>
          <t>1995</t>
        </is>
      </c>
      <c r="S14" s="39" t="inlineStr">
        <is>
          <t>1</t>
        </is>
      </c>
      <c r="T14" s="39" t="inlineStr">
        <is>
          <t>Varies</t>
        </is>
      </c>
      <c r="U14" s="39" t="inlineStr">
        <is>
          <t>Varies</t>
        </is>
      </c>
      <c r="V14" s="39" t="inlineStr">
        <is>
          <t>Varies</t>
        </is>
      </c>
      <c r="W14" s="39" t="inlineStr">
        <is>
          <t>Varies</t>
        </is>
      </c>
      <c r="X14" s="39" t="inlineStr">
        <is>
          <t>Varies</t>
        </is>
      </c>
      <c r="Y14" s="41" t="inlineStr">
        <is>
          <t>HIGH</t>
        </is>
      </c>
      <c r="Z14" s="40" t="inlineStr">
        <is>
          <t>Market Rate Comp #4: No income restrictions, 1995 vintage (1 yr diff), 200 units, 7.8 mi from subject. Shows market-rate rents vs. affordable housing discount.</t>
        </is>
      </c>
      <c r="AA14" s="39" t="inlineStr">
        <is>
          <t>https://www.rentcafe.com/apartments-for-rent/us/oh/columbus/winchester-lakes/</t>
        </is>
      </c>
    </row>
    <row r="15" ht="54.75" customFormat="1" customHeight="1" s="3">
      <c r="A15" s="48" t="inlineStr">
        <is>
          <t>—</t>
        </is>
      </c>
      <c r="B15" s="48" t="inlineStr">
        <is>
          <t>BENCHMARK</t>
        </is>
      </c>
      <c r="C15" s="49" t="inlineStr">
        <is>
          <t>FY2026 FMR — Columbus, OH HMFA</t>
        </is>
      </c>
      <c r="D15" s="48" t="inlineStr">
        <is>
          <t>N/A</t>
        </is>
      </c>
      <c r="E15" s="48" t="inlineStr">
        <is>
          <t>Columbus</t>
        </is>
      </c>
      <c r="F15" s="48" t="inlineStr">
        <is>
          <t>OH</t>
        </is>
      </c>
      <c r="G15" s="48" t="inlineStr">
        <is>
          <t>N/A</t>
        </is>
      </c>
      <c r="H15" s="48" t="inlineStr">
        <is>
          <t>N/A</t>
        </is>
      </c>
      <c r="I15" s="48" t="inlineStr">
        <is>
          <t>$1,044</t>
        </is>
      </c>
      <c r="J15" s="48" t="inlineStr">
        <is>
          <t>$1,044</t>
        </is>
      </c>
      <c r="K15" s="30" t="inlineStr">
        <is>
          <t>$1,044</t>
        </is>
      </c>
      <c r="L15" s="31" t="inlineStr">
        <is>
          <t>N/A</t>
        </is>
      </c>
      <c r="M15" s="48" t="inlineStr">
        <is>
          <t>$1,430</t>
        </is>
      </c>
      <c r="N15" s="48" t="inlineStr">
        <is>
          <t>$1,430</t>
        </is>
      </c>
      <c r="O15" s="30" t="inlineStr">
        <is>
          <t>$1,430</t>
        </is>
      </c>
      <c r="P15" s="31" t="inlineStr">
        <is>
          <t>N/A</t>
        </is>
      </c>
      <c r="Q15" s="48" t="inlineStr">
        <is>
          <t>N/A</t>
        </is>
      </c>
      <c r="R15" s="48" t="inlineStr">
        <is>
          <t>N/A</t>
        </is>
      </c>
      <c r="S15" s="48" t="inlineStr">
        <is>
          <t>N/A</t>
        </is>
      </c>
      <c r="T15" s="48" t="inlineStr">
        <is>
          <t>N/A</t>
        </is>
      </c>
      <c r="U15" s="48" t="inlineStr">
        <is>
          <t>N/A</t>
        </is>
      </c>
      <c r="V15" s="48" t="inlineStr">
        <is>
          <t>N/A</t>
        </is>
      </c>
      <c r="W15" s="48" t="inlineStr">
        <is>
          <t>N/A</t>
        </is>
      </c>
      <c r="X15" s="48" t="inlineStr">
        <is>
          <t>N/A</t>
        </is>
      </c>
      <c r="Y15" s="50" t="inlineStr">
        <is>
          <t>BENCHMARK</t>
        </is>
      </c>
      <c r="Z15" s="49" t="inlineStr">
        <is>
          <t>BENCHMARK — HUD Fair Market Rent (FMR) for Columbus, OH HMFA,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5" s="48" t="inlineStr">
        <is>
          <t>HUD FMR Database (huduser.gov)</t>
        </is>
      </c>
    </row>
    <row r="16" ht="54.75" customFormat="1" customHeight="1" s="3">
      <c r="A16" s="48" t="inlineStr">
        <is>
          <t>—</t>
        </is>
      </c>
      <c r="B16" s="48" t="inlineStr">
        <is>
          <t>BENCHMARK</t>
        </is>
      </c>
      <c r="C16" s="49" t="inlineStr">
        <is>
          <t>Metro Market Avg — Columbus</t>
        </is>
      </c>
      <c r="D16" s="48" t="inlineStr">
        <is>
          <t>N/A</t>
        </is>
      </c>
      <c r="E16" s="48" t="inlineStr">
        <is>
          <t>Columbus</t>
        </is>
      </c>
      <c r="F16" s="48" t="inlineStr">
        <is>
          <t>OH</t>
        </is>
      </c>
      <c r="G16" s="48" t="inlineStr">
        <is>
          <t>N/A</t>
        </is>
      </c>
      <c r="H16" s="48" t="inlineStr">
        <is>
          <t>N/A</t>
        </is>
      </c>
      <c r="I16" s="48" t="inlineStr">
        <is>
          <t>$1,148</t>
        </is>
      </c>
      <c r="J16" s="48" t="inlineStr">
        <is>
          <t>$1,148</t>
        </is>
      </c>
      <c r="K16" s="30" t="inlineStr">
        <is>
          <t>$1,148</t>
        </is>
      </c>
      <c r="L16" s="31" t="inlineStr">
        <is>
          <t>N/A</t>
        </is>
      </c>
      <c r="M16" s="48" t="inlineStr">
        <is>
          <t>$1,573</t>
        </is>
      </c>
      <c r="N16" s="48" t="inlineStr">
        <is>
          <t>$1,573</t>
        </is>
      </c>
      <c r="O16" s="30" t="inlineStr">
        <is>
          <t>$1,573</t>
        </is>
      </c>
      <c r="P16" s="31" t="inlineStr">
        <is>
          <t>N/A</t>
        </is>
      </c>
      <c r="Q16" s="48" t="inlineStr">
        <is>
          <t>N/A</t>
        </is>
      </c>
      <c r="R16" s="48" t="inlineStr">
        <is>
          <t>N/A</t>
        </is>
      </c>
      <c r="S16" s="48" t="inlineStr">
        <is>
          <t>N/A</t>
        </is>
      </c>
      <c r="T16" s="48" t="inlineStr">
        <is>
          <t>N/A</t>
        </is>
      </c>
      <c r="U16" s="48" t="inlineStr">
        <is>
          <t>N/A</t>
        </is>
      </c>
      <c r="V16" s="48" t="inlineStr">
        <is>
          <t>N/A</t>
        </is>
      </c>
      <c r="W16" s="48" t="inlineStr">
        <is>
          <t>N/A</t>
        </is>
      </c>
      <c r="X16" s="48" t="inlineStr">
        <is>
          <t>N/A</t>
        </is>
      </c>
      <c r="Y16" s="50" t="inlineStr">
        <is>
          <t>BENCHMARK</t>
        </is>
      </c>
      <c r="Z16" s="49" t="inlineStr">
        <is>
          <t>BENCHMARK — Estimated Metro Market Average for Columbus,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6" s="48" t="inlineStr">
        <is>
          <t>HUD FMR + Market Estimate</t>
        </is>
      </c>
    </row>
    <row r="17" ht="8.25" customFormat="1" customHeight="1" s="3"/>
    <row r="18" ht="27.75" customFormat="1" customHeight="1" s="3">
      <c r="A18" s="51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 ht="15" customHeight="1" s="95">
      <c r="C20" s="86" t="inlineStr">
        <is>
          <t>50% AMI</t>
        </is>
      </c>
      <c r="D20" s="86" t="inlineStr">
        <is>
          <t>UAP</t>
        </is>
      </c>
      <c r="E20" s="86" t="inlineStr">
        <is>
          <t>Section 8 Rent</t>
        </is>
      </c>
    </row>
    <row r="21" ht="15" customHeight="1" s="95">
      <c r="B21" s="3" t="n">
        <v>2</v>
      </c>
      <c r="C21" s="86" t="n">
        <v>1292</v>
      </c>
      <c r="D21" s="86" t="n">
        <v>454</v>
      </c>
      <c r="E21" s="86" t="n">
        <v>1400</v>
      </c>
    </row>
    <row r="22" ht="15" customHeight="1" s="95">
      <c r="B22" s="3" t="n">
        <v>3</v>
      </c>
      <c r="C22" s="86" t="n">
        <v>1641</v>
      </c>
      <c r="D22" s="86" t="n">
        <v>454</v>
      </c>
      <c r="E22" s="86" t="n">
        <v>1641</v>
      </c>
    </row>
    <row r="25" ht="15" customHeight="1" s="95">
      <c r="A25" s="61" t="inlineStr">
        <is>
          <t>PMTS — Vouchers / FMR / UAP / NET FMR</t>
        </is>
      </c>
      <c r="B25" s="101" t="n"/>
      <c r="C25" s="101" t="n"/>
      <c r="D25" s="101" t="n"/>
      <c r="E25" s="101" t="n"/>
      <c r="F25" s="102" t="n"/>
    </row>
    <row r="26" ht="15" customHeight="1" s="95">
      <c r="A26" s="64" t="inlineStr">
        <is>
          <t>BD</t>
        </is>
      </c>
      <c r="B26" s="65" t="inlineStr">
        <is>
          <t>MKT</t>
        </is>
      </c>
      <c r="C26" s="66" t="inlineStr">
        <is>
          <t>VCH</t>
        </is>
      </c>
      <c r="D26" s="67" t="inlineStr">
        <is>
          <t>FMR</t>
        </is>
      </c>
      <c r="E26" s="68" t="inlineStr">
        <is>
          <t>UAP</t>
        </is>
      </c>
      <c r="F26" s="69" t="inlineStr">
        <is>
          <t>NET</t>
        </is>
      </c>
    </row>
    <row r="27" ht="15" customHeight="1" s="95">
      <c r="A27" s="70" t="inlineStr">
        <is>
          <t>2BD</t>
        </is>
      </c>
      <c r="B27" s="71" t="n">
        <v>0</v>
      </c>
      <c r="C27" s="71" t="n">
        <v>1400</v>
      </c>
      <c r="D27" s="71" t="n">
        <v>1350</v>
      </c>
      <c r="E27" s="72" t="n">
        <v>130</v>
      </c>
      <c r="F27" s="73" t="n">
        <v>1220</v>
      </c>
    </row>
    <row r="28" ht="15" customHeight="1" s="95">
      <c r="A28" s="74" t="inlineStr">
        <is>
          <t>3BD</t>
        </is>
      </c>
      <c r="B28" s="75" t="n">
        <v>0</v>
      </c>
      <c r="C28" s="75" t="n">
        <v>1600</v>
      </c>
      <c r="D28" s="75" t="n">
        <v>1630</v>
      </c>
      <c r="E28" s="72" t="n">
        <v>170</v>
      </c>
      <c r="F28" s="73" t="n">
        <v>1460</v>
      </c>
    </row>
    <row r="29" ht="15" customHeight="1" s="95">
      <c r="A29" s="70" t="inlineStr">
        <is>
          <t>4BD</t>
        </is>
      </c>
      <c r="B29" s="71" t="n">
        <v>0</v>
      </c>
      <c r="C29" s="71" t="n">
        <v>1700</v>
      </c>
      <c r="D29" s="71" t="n">
        <v>1810</v>
      </c>
      <c r="E29" s="72" t="n">
        <v>209</v>
      </c>
      <c r="F29" s="73" t="n">
        <v>1601</v>
      </c>
    </row>
    <row r="32" ht="15" customHeight="1" s="95">
      <c r="A32" s="61" t="inlineStr">
        <is>
          <t>LIHTC, UAP, NET</t>
        </is>
      </c>
      <c r="B32" s="101" t="n"/>
      <c r="C32" s="101" t="n"/>
      <c r="D32" s="101" t="n"/>
      <c r="E32" s="102" t="n"/>
    </row>
    <row r="33" ht="15" customHeight="1" s="95">
      <c r="A33" s="64" t="n"/>
      <c r="B33" s="65" t="inlineStr">
        <is>
          <t>LIHTC/MKT</t>
        </is>
      </c>
      <c r="C33" s="67" t="inlineStr">
        <is>
          <t>50%</t>
        </is>
      </c>
      <c r="D33" s="68" t="inlineStr">
        <is>
          <t>UAP</t>
        </is>
      </c>
      <c r="E33" s="69" t="inlineStr">
        <is>
          <t>NET</t>
        </is>
      </c>
    </row>
    <row r="34" ht="15" customHeight="1" s="95">
      <c r="A34" s="70" t="inlineStr">
        <is>
          <t>2BD</t>
        </is>
      </c>
      <c r="B34" s="71" t="n">
        <v>1226</v>
      </c>
      <c r="C34" s="71" t="n">
        <v>1018</v>
      </c>
      <c r="D34" s="72" t="n">
        <v>130</v>
      </c>
      <c r="E34" s="73" t="n">
        <v>888</v>
      </c>
    </row>
    <row r="35" ht="15" customHeight="1" s="95">
      <c r="A35" s="74" t="inlineStr">
        <is>
          <t>3BD</t>
        </is>
      </c>
      <c r="B35" s="75" t="n">
        <v>1417</v>
      </c>
      <c r="C35" s="75" t="n">
        <v>1162</v>
      </c>
      <c r="D35" s="72" t="n">
        <v>170</v>
      </c>
      <c r="E35" s="73" t="n">
        <v>992</v>
      </c>
    </row>
    <row r="36" ht="15" customHeight="1" s="95">
      <c r="A36" s="70" t="inlineStr">
        <is>
          <t>4BD</t>
        </is>
      </c>
      <c r="B36" s="71" t="n">
        <v>1581</v>
      </c>
      <c r="C36" s="71" t="n">
        <v>1282</v>
      </c>
      <c r="D36" s="72" t="n">
        <v>209</v>
      </c>
      <c r="E36" s="73" t="n">
        <v>1073</v>
      </c>
    </row>
    <row r="39" ht="15" customHeight="1" s="95">
      <c r="A39" s="61" t="inlineStr">
        <is>
          <t>HAP, CoStar, NET</t>
        </is>
      </c>
      <c r="B39" s="101" t="n"/>
      <c r="C39" s="102" t="n"/>
    </row>
    <row r="40" ht="15" customHeight="1" s="95">
      <c r="A40" s="64" t="n"/>
      <c r="B40" s="68" t="inlineStr">
        <is>
          <t>HAP</t>
        </is>
      </c>
      <c r="C40" s="65" t="inlineStr">
        <is>
          <t>CoStar</t>
        </is>
      </c>
    </row>
    <row r="41" ht="15" customHeight="1" s="95">
      <c r="A41" s="70" t="inlineStr">
        <is>
          <t>2BD</t>
        </is>
      </c>
      <c r="B41" s="103" t="n">
        <v>0</v>
      </c>
      <c r="C41" s="104" t="n">
        <v>1272</v>
      </c>
    </row>
    <row r="42" ht="15" customHeight="1" s="95">
      <c r="A42" s="74" t="inlineStr">
        <is>
          <t>3BD</t>
        </is>
      </c>
      <c r="B42" s="103" t="n">
        <v>0</v>
      </c>
      <c r="C42" s="104" t="n">
        <v>1570</v>
      </c>
    </row>
    <row r="43" ht="15" customHeight="1" s="95">
      <c r="A43" s="70" t="inlineStr">
        <is>
          <t>4BD</t>
        </is>
      </c>
      <c r="B43" s="103" t="n">
        <v>0</v>
      </c>
      <c r="C43" s="104" t="n">
        <v>2685</v>
      </c>
    </row>
  </sheetData>
  <mergeCells count="7">
    <mergeCell ref="A18:AA18"/>
    <mergeCell ref="A4:AA4"/>
    <mergeCell ref="A3:AA3"/>
    <mergeCell ref="A2:AA2"/>
    <mergeCell ref="A32:E32"/>
    <mergeCell ref="A39:C39"/>
    <mergeCell ref="A25:F25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theme="3" tint="-0.5"/>
    <outlinePr summaryBelow="1" summaryRight="1"/>
    <pageSetUpPr/>
  </sheetPr>
  <dimension ref="A1:AA42"/>
  <sheetViews>
    <sheetView topLeftCell="A1" workbookViewId="0">
      <pane ySplit="1" topLeftCell="A17" activePane="bottomLeft" state="frozen"/>
      <selection pane="bottomLeft" activeCell="N32" sqref="N32"/>
    </sheetView>
  </sheetViews>
  <sheetFormatPr baseColWidth="8" defaultColWidth="9.140625" defaultRowHeight="15" customHeight="1"/>
  <cols>
    <col width="8.00390625" customWidth="1" style="3" min="1" max="1"/>
    <col width="14.00390625" customWidth="1" style="3" min="2" max="2"/>
    <col width="28.00390625" customWidth="1" style="3" min="3" max="3"/>
    <col width="22.00390625" customWidth="1" style="3" min="4" max="4"/>
    <col width="16.00390625" customWidth="1" style="3" min="5" max="5"/>
    <col width="10.00390625" customWidth="1" style="3" min="6" max="6"/>
    <col width="8.00390625" customWidth="1" style="3" min="7" max="7"/>
    <col width="11.00390625" customWidth="1" style="3" min="8" max="8"/>
    <col width="10.00390625" customWidth="1" style="3" min="9" max="11"/>
    <col width="12.00390625" customWidth="1" style="3" min="12" max="12"/>
    <col width="10.00390625" customWidth="1" style="3" min="13" max="15"/>
    <col width="12.00390625" customWidth="1" style="3" min="16" max="16"/>
    <col width="8.00390625" customWidth="1" style="3" min="17" max="17"/>
    <col width="10.00390625" customWidth="1" style="3" min="18" max="18"/>
    <col width="7.00390625" customWidth="1" style="3" min="19" max="19"/>
    <col width="12.00390625" customWidth="1" style="3" min="20" max="21"/>
    <col width="8.00390625" customWidth="1" style="3" min="22" max="23"/>
    <col width="10.00390625" customWidth="1" style="3" min="24" max="24"/>
    <col width="16.00390625" customWidth="1" style="3" min="25" max="25"/>
    <col width="45.00390625" customWidth="1" style="3" min="26" max="26"/>
    <col width="28.00390625" customWidth="1" style="3" min="27" max="27"/>
  </cols>
  <sheetData>
    <row r="1" ht="15" customHeight="1" s="95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</row>
    <row r="2" ht="24" customFormat="1" customHeight="1" s="3">
      <c r="A2" s="17" t="inlineStr">
        <is>
          <t>COMPETITIVE RENT ANALYSIS — BRECKENRIDGE VILLAGE | GREEN = Affordable Comps | BLUE = Market Rate Comps</t>
        </is>
      </c>
    </row>
    <row r="3" ht="20.25" customFormat="1" customHeight="1" s="3">
      <c r="A3" s="18" t="inlineStr">
        <is>
          <t>SUBJECT: Breckenridge Village | 2001 N Floyd St, Ennis, TX 75119 | 66 units | Program: LIHTC | Bedroom Mix: 2BR / 4BR | County AMI: $117,300 | FMR Area: Dallas-Fort Worth MSA</t>
        </is>
      </c>
    </row>
    <row r="4" ht="90" customFormat="1" customHeight="1" s="3">
      <c r="A4" s="19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5" ht="30" customFormat="1" customHeight="1" s="3">
      <c r="A5" s="20" t="inlineStr">
        <is>
          <t>Rank</t>
        </is>
      </c>
      <c r="B5" s="20" t="inlineStr">
        <is>
          <t>Type</t>
        </is>
      </c>
      <c r="C5" s="20" t="inlineStr">
        <is>
          <t>Property Name</t>
        </is>
      </c>
      <c r="D5" s="20" t="inlineStr">
        <is>
          <t>Address</t>
        </is>
      </c>
      <c r="E5" s="20" t="inlineStr">
        <is>
          <t>City</t>
        </is>
      </c>
      <c r="F5" s="20" t="inlineStr">
        <is>
          <t>State</t>
        </is>
      </c>
      <c r="G5" s="20" t="inlineStr">
        <is>
          <t>ZIP</t>
        </is>
      </c>
      <c r="H5" s="20" t="inlineStr">
        <is>
          <t>Distance (mi)</t>
        </is>
      </c>
      <c r="I5" s="20" t="inlineStr">
        <is>
          <t>2BR Low ($)</t>
        </is>
      </c>
      <c r="J5" s="20" t="inlineStr">
        <is>
          <t>2BR Mid ($)</t>
        </is>
      </c>
      <c r="K5" s="21" t="inlineStr">
        <is>
          <t>2BR FMR ($)</t>
        </is>
      </c>
      <c r="L5" s="22" t="inlineStr">
        <is>
          <t>2BR Actual ($)</t>
        </is>
      </c>
      <c r="M5" s="20" t="inlineStr">
        <is>
          <t>4BR Low ($)</t>
        </is>
      </c>
      <c r="N5" s="20" t="inlineStr">
        <is>
          <t>4BR Mid ($)</t>
        </is>
      </c>
      <c r="O5" s="21" t="inlineStr">
        <is>
          <t>4BR FMR ($)</t>
        </is>
      </c>
      <c r="P5" s="22" t="inlineStr">
        <is>
          <t>4BR Actual ($)</t>
        </is>
      </c>
      <c r="Q5" s="20" t="inlineStr">
        <is>
          <t># Units</t>
        </is>
      </c>
      <c r="R5" s="20" t="inlineStr">
        <is>
          <t>Year Built</t>
        </is>
      </c>
      <c r="S5" s="20" t="inlineStr">
        <is>
          <t>Yr Diff</t>
        </is>
      </c>
      <c r="T5" s="20" t="inlineStr">
        <is>
          <t>Utilities Incl.</t>
        </is>
      </c>
      <c r="U5" s="20" t="inlineStr">
        <is>
          <t>Pet Friendly</t>
        </is>
      </c>
      <c r="V5" s="20" t="inlineStr">
        <is>
          <t>Gated</t>
        </is>
      </c>
      <c r="W5" s="20" t="inlineStr">
        <is>
          <t>Pool</t>
        </is>
      </c>
      <c r="X5" s="20" t="inlineStr">
        <is>
          <t>W/D In-Unit</t>
        </is>
      </c>
      <c r="Y5" s="20" t="inlineStr">
        <is>
          <t>Competition Level</t>
        </is>
      </c>
      <c r="Z5" s="20" t="inlineStr">
        <is>
          <t>Why Competitive</t>
        </is>
      </c>
      <c r="AA5" s="20" t="inlineStr">
        <is>
          <t>Data Source</t>
        </is>
      </c>
    </row>
    <row r="6" ht="54.75" customFormat="1" customHeight="1" s="3">
      <c r="A6" s="23" t="inlineStr">
        <is>
          <t>—</t>
        </is>
      </c>
      <c r="B6" s="23" t="inlineStr">
        <is>
          <t>SUBJECT</t>
        </is>
      </c>
      <c r="C6" s="24" t="inlineStr">
        <is>
          <t>Breckenridge Village (SUBJECT)</t>
        </is>
      </c>
      <c r="D6" s="23" t="inlineStr">
        <is>
          <t>2001 N Floyd St</t>
        </is>
      </c>
      <c r="E6" s="23" t="inlineStr">
        <is>
          <t>Ennis</t>
        </is>
      </c>
      <c r="F6" s="23" t="inlineStr">
        <is>
          <t>TX</t>
        </is>
      </c>
      <c r="G6" s="23" t="inlineStr">
        <is>
          <t>75119</t>
        </is>
      </c>
      <c r="H6" s="23" t="inlineStr">
        <is>
          <t>0.0 mi</t>
        </is>
      </c>
      <c r="I6" s="23" t="inlineStr">
        <is>
          <t>$4,400</t>
        </is>
      </c>
      <c r="J6" s="23" t="inlineStr">
        <is>
          <t>$5,280</t>
        </is>
      </c>
      <c r="K6" s="25" t="inlineStr">
        <is>
          <t>$1,931</t>
        </is>
      </c>
      <c r="L6" s="26" t="inlineStr">
        <is>
          <t>N/A</t>
        </is>
      </c>
      <c r="M6" s="23" t="inlineStr">
        <is>
          <t>$5,279</t>
        </is>
      </c>
      <c r="N6" s="23" t="inlineStr">
        <is>
          <t>$6,335</t>
        </is>
      </c>
      <c r="O6" s="25" t="inlineStr">
        <is>
          <t>$2,810</t>
        </is>
      </c>
      <c r="P6" s="26" t="inlineStr">
        <is>
          <t>N/A</t>
        </is>
      </c>
      <c r="Q6" s="23" t="inlineStr">
        <is>
          <t>66</t>
        </is>
      </c>
      <c r="R6" s="23" t="inlineStr">
        <is>
          <t>1997</t>
        </is>
      </c>
      <c r="S6" s="23" t="inlineStr">
        <is>
          <t>0</t>
        </is>
      </c>
      <c r="T6" s="23" t="inlineStr">
        <is>
          <t>No</t>
        </is>
      </c>
      <c r="U6" s="23" t="inlineStr">
        <is>
          <t>No</t>
        </is>
      </c>
      <c r="V6" s="23" t="inlineStr">
        <is>
          <t>No</t>
        </is>
      </c>
      <c r="W6" s="23" t="inlineStr">
        <is>
          <t>No</t>
        </is>
      </c>
      <c r="X6" s="23" t="inlineStr">
        <is>
          <t>No</t>
        </is>
      </c>
      <c r="Y6" s="27" t="inlineStr">
        <is>
          <t>SUBJECT</t>
        </is>
      </c>
      <c r="Z6" s="24" t="inlineStr">
        <is>
          <t>66 units | LIHTC property. Year built: 1997. Subject property for market context.</t>
        </is>
      </c>
      <c r="AA6" s="23" t="inlineStr">
        <is>
          <t>Apartment Corp Records</t>
        </is>
      </c>
    </row>
    <row r="7" ht="54.75" customFormat="1" customHeight="1" s="3">
      <c r="A7" s="28" t="inlineStr">
        <is>
          <t>1</t>
        </is>
      </c>
      <c r="B7" s="28" t="inlineStr">
        <is>
          <t>AFFORDABLE</t>
        </is>
      </c>
      <c r="C7" s="29" t="inlineStr">
        <is>
          <t>Breckenridge Village</t>
        </is>
      </c>
      <c r="D7" s="28" t="inlineStr">
        <is>
          <t>2001A Floyd St</t>
        </is>
      </c>
      <c r="E7" s="28" t="inlineStr">
        <is>
          <t>Ennis</t>
        </is>
      </c>
      <c r="F7" s="28" t="inlineStr">
        <is>
          <t>TX</t>
        </is>
      </c>
      <c r="G7" s="28" t="inlineStr">
        <is>
          <t>75119</t>
        </is>
      </c>
      <c r="H7" s="28" t="inlineStr">
        <is>
          <t>1.2 mi</t>
        </is>
      </c>
      <c r="I7" s="28" t="inlineStr">
        <is>
          <t>$4,400</t>
        </is>
      </c>
      <c r="J7" s="28" t="inlineStr">
        <is>
          <t>$5,280</t>
        </is>
      </c>
      <c r="K7" s="30" t="inlineStr">
        <is>
          <t>$1,931</t>
        </is>
      </c>
      <c r="L7" s="31" t="inlineStr">
        <is>
          <t>Not Listed</t>
        </is>
      </c>
      <c r="M7" s="28" t="inlineStr">
        <is>
          <t>$5,279</t>
        </is>
      </c>
      <c r="N7" s="28" t="inlineStr">
        <is>
          <t>$6,335</t>
        </is>
      </c>
      <c r="O7" s="30" t="inlineStr">
        <is>
          <t>$2,810</t>
        </is>
      </c>
      <c r="P7" s="31" t="inlineStr">
        <is>
          <t>Not Listed</t>
        </is>
      </c>
      <c r="Q7" s="28" t="inlineStr">
        <is>
          <t>66</t>
        </is>
      </c>
      <c r="R7" s="28" t="inlineStr">
        <is>
          <t>1997</t>
        </is>
      </c>
      <c r="S7" s="28" t="inlineStr">
        <is>
          <t>0</t>
        </is>
      </c>
      <c r="T7" s="28" t="inlineStr">
        <is>
          <t>Yes</t>
        </is>
      </c>
      <c r="U7" s="28" t="inlineStr">
        <is>
          <t>No</t>
        </is>
      </c>
      <c r="V7" s="28" t="inlineStr">
        <is>
          <t>No</t>
        </is>
      </c>
      <c r="W7" s="28" t="inlineStr">
        <is>
          <t>No</t>
        </is>
      </c>
      <c r="X7" s="28" t="inlineStr">
        <is>
          <t>No</t>
        </is>
      </c>
      <c r="Y7" s="32" t="inlineStr">
        <is>
          <t>HIGH</t>
        </is>
      </c>
      <c r="Z7" s="29" t="inlineStr">
        <is>
          <t>Affordable Comp #1: LIHTC property, 1997 vintage (0 yr diff), 66 units, 1.2 mi from subject. Same income-eligible renter pool.</t>
        </is>
      </c>
      <c r="AA7" s="28" t="inlineStr">
        <is>
          <t>HUD LIHTC Database (huduser.gov)</t>
        </is>
      </c>
    </row>
    <row r="8" ht="54.75" customFormat="1" customHeight="1" s="3">
      <c r="A8" s="33" t="inlineStr">
        <is>
          <t>2</t>
        </is>
      </c>
      <c r="B8" s="33" t="inlineStr">
        <is>
          <t>AFFORDABLE</t>
        </is>
      </c>
      <c r="C8" s="34" t="inlineStr">
        <is>
          <t>Lexington Arms</t>
        </is>
      </c>
      <c r="D8" s="33" t="inlineStr">
        <is>
          <t>418 Lexington Dr</t>
        </is>
      </c>
      <c r="E8" s="33" t="inlineStr">
        <is>
          <t>Waxahachie</t>
        </is>
      </c>
      <c r="F8" s="33" t="inlineStr">
        <is>
          <t>TX</t>
        </is>
      </c>
      <c r="G8" s="33" t="inlineStr">
        <is>
          <t>75165</t>
        </is>
      </c>
      <c r="H8" s="33" t="inlineStr">
        <is>
          <t>12.0 mi</t>
        </is>
      </c>
      <c r="I8" s="33" t="inlineStr">
        <is>
          <t>$4,400</t>
        </is>
      </c>
      <c r="J8" s="33" t="inlineStr">
        <is>
          <t>$5,280</t>
        </is>
      </c>
      <c r="K8" s="30" t="inlineStr">
        <is>
          <t>$1,931</t>
        </is>
      </c>
      <c r="L8" s="31" t="inlineStr">
        <is>
          <t>Not Listed</t>
        </is>
      </c>
      <c r="M8" s="33" t="inlineStr">
        <is>
          <t>$5,279</t>
        </is>
      </c>
      <c r="N8" s="33" t="inlineStr">
        <is>
          <t>$6,335</t>
        </is>
      </c>
      <c r="O8" s="30" t="inlineStr">
        <is>
          <t>$2,810</t>
        </is>
      </c>
      <c r="P8" s="31" t="inlineStr">
        <is>
          <t>$1,641</t>
        </is>
      </c>
      <c r="Q8" s="33" t="inlineStr">
        <is>
          <t>61</t>
        </is>
      </c>
      <c r="R8" s="33" t="inlineStr">
        <is>
          <t>1997</t>
        </is>
      </c>
      <c r="S8" s="33" t="inlineStr">
        <is>
          <t>0</t>
        </is>
      </c>
      <c r="T8" s="33" t="inlineStr">
        <is>
          <t>Yes</t>
        </is>
      </c>
      <c r="U8" s="33" t="inlineStr">
        <is>
          <t>No</t>
        </is>
      </c>
      <c r="V8" s="33" t="inlineStr">
        <is>
          <t>No</t>
        </is>
      </c>
      <c r="W8" s="33" t="inlineStr">
        <is>
          <t>No</t>
        </is>
      </c>
      <c r="X8" s="33" t="inlineStr">
        <is>
          <t>No</t>
        </is>
      </c>
      <c r="Y8" s="35" t="inlineStr">
        <is>
          <t>HIGH</t>
        </is>
      </c>
      <c r="Z8" s="34" t="inlineStr">
        <is>
          <t>Affordable Comp #2: LIHTC property, 1997 vintage (0 yr diff), 61 units, 12.0 mi from subject. Same income-eligible renter pool.</t>
        </is>
      </c>
      <c r="AA8" s="33" t="inlineStr">
        <is>
          <t>HUD LIHTC Database (huduser.gov)</t>
        </is>
      </c>
    </row>
    <row r="9" ht="54.75" customFormat="1" customHeight="1" s="3">
      <c r="A9" s="36" t="inlineStr">
        <is>
          <t>3</t>
        </is>
      </c>
      <c r="B9" s="36" t="inlineStr">
        <is>
          <t>AFFORDABLE</t>
        </is>
      </c>
      <c r="C9" s="37" t="inlineStr">
        <is>
          <t>Creekside Terrace Apts</t>
        </is>
      </c>
      <c r="D9" s="36" t="inlineStr">
        <is>
          <t>1000 E Burnett St</t>
        </is>
      </c>
      <c r="E9" s="36" t="inlineStr">
        <is>
          <t>Ennis</t>
        </is>
      </c>
      <c r="F9" s="36" t="inlineStr">
        <is>
          <t>TX</t>
        </is>
      </c>
      <c r="G9" s="36" t="inlineStr">
        <is>
          <t>75119</t>
        </is>
      </c>
      <c r="H9" s="36" t="inlineStr">
        <is>
          <t>0.7 mi</t>
        </is>
      </c>
      <c r="I9" s="36" t="inlineStr">
        <is>
          <t>$4,400</t>
        </is>
      </c>
      <c r="J9" s="36" t="inlineStr">
        <is>
          <t>$5,280</t>
        </is>
      </c>
      <c r="K9" s="30" t="inlineStr">
        <is>
          <t>$1,931</t>
        </is>
      </c>
      <c r="L9" s="31" t="inlineStr">
        <is>
          <t>$1,270</t>
        </is>
      </c>
      <c r="M9" s="36" t="inlineStr">
        <is>
          <t>$5,279</t>
        </is>
      </c>
      <c r="N9" s="36" t="inlineStr">
        <is>
          <t>$6,335</t>
        </is>
      </c>
      <c r="O9" s="30" t="inlineStr">
        <is>
          <t>$2,810</t>
        </is>
      </c>
      <c r="P9" s="31" t="inlineStr">
        <is>
          <t>$1,650</t>
        </is>
      </c>
      <c r="Q9" s="36" t="inlineStr">
        <is>
          <t>80</t>
        </is>
      </c>
      <c r="R9" s="36" t="inlineStr">
        <is>
          <t>1998</t>
        </is>
      </c>
      <c r="S9" s="36" t="inlineStr">
        <is>
          <t>1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85" t="inlineStr">
        <is>
          <t>HIGH</t>
        </is>
      </c>
      <c r="Z9" s="37" t="inlineStr">
        <is>
          <t>Affordable Comp #3: LIHTC property, 1998 vintage (1 yr diff), 80 units, 0.7 mi from subject. Same income-eligible renter pool.</t>
        </is>
      </c>
      <c r="AA9" s="36" t="inlineStr">
        <is>
          <t>HUD LIHTC Database (huduser.gov)</t>
        </is>
      </c>
    </row>
    <row r="10" ht="54.75" customFormat="1" customHeight="1" s="3">
      <c r="A10" s="28" t="inlineStr">
        <is>
          <t>4</t>
        </is>
      </c>
      <c r="B10" s="28" t="inlineStr">
        <is>
          <t>AFFORDABLE</t>
        </is>
      </c>
      <c r="C10" s="29" t="inlineStr">
        <is>
          <t>Sherwood Arms Apts</t>
        </is>
      </c>
      <c r="D10" s="28" t="inlineStr">
        <is>
          <t>213 N Val Verde Cir</t>
        </is>
      </c>
      <c r="E10" s="28" t="inlineStr">
        <is>
          <t>Keene</t>
        </is>
      </c>
      <c r="F10" s="28" t="inlineStr">
        <is>
          <t>TX</t>
        </is>
      </c>
      <c r="G10" s="28" t="inlineStr">
        <is>
          <t>76059</t>
        </is>
      </c>
      <c r="H10" s="28" t="inlineStr">
        <is>
          <t>41.4 mi</t>
        </is>
      </c>
      <c r="I10" s="28" t="inlineStr">
        <is>
          <t>$4,400</t>
        </is>
      </c>
      <c r="J10" s="28" t="inlineStr">
        <is>
          <t>$5,280</t>
        </is>
      </c>
      <c r="K10" s="30" t="inlineStr">
        <is>
          <t>$1,931</t>
        </is>
      </c>
      <c r="L10" s="31" t="inlineStr">
        <is>
          <t>Not Listed</t>
        </is>
      </c>
      <c r="M10" s="28" t="inlineStr">
        <is>
          <t>$5,279</t>
        </is>
      </c>
      <c r="N10" s="28" t="inlineStr">
        <is>
          <t>$6,335</t>
        </is>
      </c>
      <c r="O10" s="30" t="inlineStr">
        <is>
          <t>$2,810</t>
        </is>
      </c>
      <c r="P10" s="31" t="inlineStr">
        <is>
          <t>Not Listed</t>
        </is>
      </c>
      <c r="Q10" s="28" t="inlineStr">
        <is>
          <t>56</t>
        </is>
      </c>
      <c r="R10" s="28" t="inlineStr">
        <is>
          <t>1997</t>
        </is>
      </c>
      <c r="S10" s="28" t="inlineStr">
        <is>
          <t>0</t>
        </is>
      </c>
      <c r="T10" s="28" t="inlineStr">
        <is>
          <t>Yes</t>
        </is>
      </c>
      <c r="U10" s="28" t="inlineStr">
        <is>
          <t>No</t>
        </is>
      </c>
      <c r="V10" s="28" t="inlineStr">
        <is>
          <t>No</t>
        </is>
      </c>
      <c r="W10" s="28" t="inlineStr">
        <is>
          <t>No</t>
        </is>
      </c>
      <c r="X10" s="28" t="inlineStr">
        <is>
          <t>No</t>
        </is>
      </c>
      <c r="Y10" s="91" t="inlineStr">
        <is>
          <t>MODERATE</t>
        </is>
      </c>
      <c r="Z10" s="29" t="inlineStr">
        <is>
          <t>Affordable Comp #4: LIHTC property, 1997 vintage (0 yr diff), 56 units, 41.4 mi from subject. Same income-eligible renter pool.</t>
        </is>
      </c>
      <c r="AA10" s="28" t="inlineStr">
        <is>
          <t>HUD LIHTC Database (huduser.gov)</t>
        </is>
      </c>
    </row>
    <row r="11" ht="54.75" customFormat="1" customHeight="1" s="3">
      <c r="A11" s="39" t="inlineStr">
        <is>
          <t>1</t>
        </is>
      </c>
      <c r="B11" s="39" t="inlineStr">
        <is>
          <t>MARKET RATE</t>
        </is>
      </c>
      <c r="C11" s="40" t="inlineStr">
        <is>
          <t>Ennis Market Rate (FMR Benchmark)</t>
        </is>
      </c>
      <c r="D11" s="39" t="inlineStr">
        <is>
          <t>Ennis, TX area</t>
        </is>
      </c>
      <c r="E11" s="39" t="inlineStr">
        <is>
          <t>TX area</t>
        </is>
      </c>
      <c r="F11" s="39" t="inlineStr">
        <is>
          <t>TX</t>
        </is>
      </c>
      <c r="G11" s="39" t="n"/>
      <c r="H11" s="39" t="inlineStr">
        <is>
          <t>N/A</t>
        </is>
      </c>
      <c r="I11" s="39" t="inlineStr">
        <is>
          <t>N/A (Market Rate)</t>
        </is>
      </c>
      <c r="J11" s="39" t="inlineStr">
        <is>
          <t>N/A (Market Rate)</t>
        </is>
      </c>
      <c r="K11" s="30" t="inlineStr">
        <is>
          <t>$1,931</t>
        </is>
      </c>
      <c r="L11" s="31" t="inlineStr">
        <is>
          <t>$1,150</t>
        </is>
      </c>
      <c r="M11" s="39" t="inlineStr">
        <is>
          <t>N/A (Market Rate)</t>
        </is>
      </c>
      <c r="N11" s="39" t="inlineStr">
        <is>
          <t>N/A (Market Rate)</t>
        </is>
      </c>
      <c r="O11" s="30" t="inlineStr">
        <is>
          <t>$2,810</t>
        </is>
      </c>
      <c r="P11" s="31" t="inlineStr">
        <is>
          <t>$1,600</t>
        </is>
      </c>
      <c r="Q11" s="39" t="inlineStr">
        <is>
          <t>N/A</t>
        </is>
      </c>
      <c r="R11" s="39" t="inlineStr">
        <is>
          <t>1997</t>
        </is>
      </c>
      <c r="S11" s="39" t="inlineStr">
        <is>
          <t>0</t>
        </is>
      </c>
      <c r="T11" s="39" t="inlineStr">
        <is>
          <t>Varies</t>
        </is>
      </c>
      <c r="U11" s="39" t="inlineStr">
        <is>
          <t>Varies</t>
        </is>
      </c>
      <c r="V11" s="39" t="inlineStr">
        <is>
          <t>Varies</t>
        </is>
      </c>
      <c r="W11" s="39" t="inlineStr">
        <is>
          <t>Varies</t>
        </is>
      </c>
      <c r="X11" s="39" t="inlineStr">
        <is>
          <t>Varies</t>
        </is>
      </c>
      <c r="Y11" s="41" t="inlineStr">
        <is>
          <t>HIGH</t>
        </is>
      </c>
      <c r="Z11" s="40" t="inlineStr">
        <is>
          <t>Market Rate Comp #1: No income restrictions, 1997 vintage (0 yr diff), N/A units, N/A from subject. Shows market-rate rents vs. affordable housing discount.</t>
        </is>
      </c>
      <c r="AA11" s="39" t="inlineStr">
        <is>
          <t>HUD FY2026 FMR - Ellis County, TX (limited market rate listings in Ennis)</t>
        </is>
      </c>
    </row>
    <row r="12" ht="54.75" customFormat="1" customHeight="1" s="3">
      <c r="A12" s="42" t="inlineStr">
        <is>
          <t>2</t>
        </is>
      </c>
      <c r="B12" s="42" t="inlineStr">
        <is>
          <t>MARKET RATE</t>
        </is>
      </c>
      <c r="C12" s="43" t="inlineStr">
        <is>
          <t>Waxahachie Apartments</t>
        </is>
      </c>
      <c r="D12" s="42" t="inlineStr">
        <is>
          <t>Waxahachie, TX 75165</t>
        </is>
      </c>
      <c r="E12" s="42" t="inlineStr">
        <is>
          <t>TX 75165</t>
        </is>
      </c>
      <c r="F12" s="42" t="inlineStr">
        <is>
          <t>TX</t>
        </is>
      </c>
      <c r="G12" s="42" t="n"/>
      <c r="H12" s="42" t="inlineStr">
        <is>
          <t>12.0 mi</t>
        </is>
      </c>
      <c r="I12" s="42" t="inlineStr">
        <is>
          <t>N/A (Market Rate)</t>
        </is>
      </c>
      <c r="J12" s="42" t="inlineStr">
        <is>
          <t>N/A (Market Rate)</t>
        </is>
      </c>
      <c r="K12" s="30" t="inlineStr">
        <is>
          <t>$1,931</t>
        </is>
      </c>
      <c r="L12" s="31" t="inlineStr">
        <is>
          <t>$1,175</t>
        </is>
      </c>
      <c r="M12" s="42" t="inlineStr">
        <is>
          <t>N/A (Market Rate)</t>
        </is>
      </c>
      <c r="N12" s="42" t="inlineStr">
        <is>
          <t>N/A (Market Rate)</t>
        </is>
      </c>
      <c r="O12" s="30" t="inlineStr">
        <is>
          <t>$2,810</t>
        </is>
      </c>
      <c r="P12" s="31" t="inlineStr">
        <is>
          <t>$1,625</t>
        </is>
      </c>
      <c r="Q12" s="42" t="inlineStr">
        <is>
          <t>80</t>
        </is>
      </c>
      <c r="R12" s="42" t="inlineStr">
        <is>
          <t>1999</t>
        </is>
      </c>
      <c r="S12" s="42" t="inlineStr">
        <is>
          <t>2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#2: No income restrictions, 1999 vintage (2 yr diff), 80 units, 12.0 mi from subject. Shows market-rate rents vs. affordable housing discount.</t>
        </is>
      </c>
      <c r="AA12" s="42" t="inlineStr">
        <is>
          <t>https://www.rentcafe.com/apartments-for-rent/us/tx/waxahachie/</t>
        </is>
      </c>
    </row>
    <row r="13" ht="54.75" customFormat="1" customHeight="1" s="3">
      <c r="A13" s="45" t="inlineStr">
        <is>
          <t>3</t>
        </is>
      </c>
      <c r="B13" s="45" t="inlineStr">
        <is>
          <t>MARKET RATE</t>
        </is>
      </c>
      <c r="C13" s="46" t="inlineStr">
        <is>
          <t>Corsicana Market Apartments</t>
        </is>
      </c>
      <c r="D13" s="45" t="inlineStr">
        <is>
          <t>Corsicana, TX 75110</t>
        </is>
      </c>
      <c r="E13" s="45" t="inlineStr">
        <is>
          <t>TX 75110</t>
        </is>
      </c>
      <c r="F13" s="45" t="inlineStr">
        <is>
          <t>TX</t>
        </is>
      </c>
      <c r="G13" s="45" t="n"/>
      <c r="H13" s="45" t="inlineStr">
        <is>
          <t>28.0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0" t="inlineStr">
        <is>
          <t>$1,931</t>
        </is>
      </c>
      <c r="L13" s="31" t="inlineStr">
        <is>
          <t>$1,100</t>
        </is>
      </c>
      <c r="M13" s="45" t="inlineStr">
        <is>
          <t>N/A (Market Rate)</t>
        </is>
      </c>
      <c r="N13" s="45" t="inlineStr">
        <is>
          <t>N/A (Market Rate)</t>
        </is>
      </c>
      <c r="O13" s="30" t="inlineStr">
        <is>
          <t>$2,810</t>
        </is>
      </c>
      <c r="P13" s="31" t="inlineStr">
        <is>
          <t>$1,550</t>
        </is>
      </c>
      <c r="Q13" s="45" t="inlineStr">
        <is>
          <t>72</t>
        </is>
      </c>
      <c r="R13" s="45" t="inlineStr">
        <is>
          <t>1995</t>
        </is>
      </c>
      <c r="S13" s="45" t="inlineStr">
        <is>
          <t>2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83" t="inlineStr">
        <is>
          <t>MODERATE-HIGH</t>
        </is>
      </c>
      <c r="Z13" s="46" t="inlineStr">
        <is>
          <t>Market Rate Comp #3: No income restrictions, 1995 vintage (2 yr diff), 72 units, 28.0 mi from subject. Shows market-rate rents vs. affordable housing discount.</t>
        </is>
      </c>
      <c r="AA13" s="45" t="inlineStr">
        <is>
          <t>https://www.rentcafe.com/apartments-for-rent/us/tx/corsicana/</t>
        </is>
      </c>
    </row>
    <row r="14" ht="54.75" customFormat="1" customHeight="1" s="3">
      <c r="A14" s="39" t="inlineStr">
        <is>
          <t>4</t>
        </is>
      </c>
      <c r="B14" s="39" t="inlineStr">
        <is>
          <t>MARKET RATE</t>
        </is>
      </c>
      <c r="C14" s="40" t="inlineStr">
        <is>
          <t>Mansfield Apartments</t>
        </is>
      </c>
      <c r="D14" s="39" t="inlineStr">
        <is>
          <t>Mansfield, TX 76063</t>
        </is>
      </c>
      <c r="E14" s="39" t="inlineStr">
        <is>
          <t>TX 76063</t>
        </is>
      </c>
      <c r="F14" s="39" t="inlineStr">
        <is>
          <t>TX</t>
        </is>
      </c>
      <c r="G14" s="39" t="n"/>
      <c r="H14" s="39" t="inlineStr">
        <is>
          <t>20.0 mi</t>
        </is>
      </c>
      <c r="I14" s="39" t="inlineStr">
        <is>
          <t>N/A (Market Rate)</t>
        </is>
      </c>
      <c r="J14" s="39" t="inlineStr">
        <is>
          <t>N/A (Market Rate)</t>
        </is>
      </c>
      <c r="K14" s="30" t="inlineStr">
        <is>
          <t>$1,931</t>
        </is>
      </c>
      <c r="L14" s="31" t="inlineStr">
        <is>
          <t>$1,200</t>
        </is>
      </c>
      <c r="M14" s="39" t="inlineStr">
        <is>
          <t>N/A (Market Rate)</t>
        </is>
      </c>
      <c r="N14" s="39" t="inlineStr">
        <is>
          <t>N/A (Market Rate)</t>
        </is>
      </c>
      <c r="O14" s="30" t="inlineStr">
        <is>
          <t>$2,810</t>
        </is>
      </c>
      <c r="P14" s="31" t="inlineStr">
        <is>
          <t>$1,650</t>
        </is>
      </c>
      <c r="Q14" s="39" t="inlineStr">
        <is>
          <t>88</t>
        </is>
      </c>
      <c r="R14" s="39" t="inlineStr">
        <is>
          <t>1996</t>
        </is>
      </c>
      <c r="S14" s="39" t="inlineStr">
        <is>
          <t>1</t>
        </is>
      </c>
      <c r="T14" s="39" t="inlineStr">
        <is>
          <t>Varies</t>
        </is>
      </c>
      <c r="U14" s="39" t="inlineStr">
        <is>
          <t>Varies</t>
        </is>
      </c>
      <c r="V14" s="39" t="inlineStr">
        <is>
          <t>Varies</t>
        </is>
      </c>
      <c r="W14" s="39" t="inlineStr">
        <is>
          <t>Varies</t>
        </is>
      </c>
      <c r="X14" s="39" t="inlineStr">
        <is>
          <t>Varies</t>
        </is>
      </c>
      <c r="Y14" s="81" t="inlineStr">
        <is>
          <t>MODERATE-HIGH</t>
        </is>
      </c>
      <c r="Z14" s="40" t="inlineStr">
        <is>
          <t>Market Rate Comp #4: No income restrictions, 1996 vintage (1 yr diff), 88 units, 20.0 mi from subject. Shows market-rate rents vs. affordable housing discount.</t>
        </is>
      </c>
      <c r="AA14" s="39" t="inlineStr">
        <is>
          <t>https://www.rentcafe.com/apartments-for-rent/us/tx/mansfield/</t>
        </is>
      </c>
    </row>
    <row r="15" ht="54.75" customFormat="1" customHeight="1" s="3">
      <c r="A15" s="48" t="inlineStr">
        <is>
          <t>—</t>
        </is>
      </c>
      <c r="B15" s="48" t="inlineStr">
        <is>
          <t>BENCHMARK</t>
        </is>
      </c>
      <c r="C15" s="49" t="inlineStr">
        <is>
          <t>FY2026 FMR — Dallas-Fort Worth MSA</t>
        </is>
      </c>
      <c r="D15" s="48" t="inlineStr">
        <is>
          <t>N/A</t>
        </is>
      </c>
      <c r="E15" s="48" t="inlineStr">
        <is>
          <t>Ennis</t>
        </is>
      </c>
      <c r="F15" s="48" t="inlineStr">
        <is>
          <t>TX</t>
        </is>
      </c>
      <c r="G15" s="48" t="inlineStr">
        <is>
          <t>N/A</t>
        </is>
      </c>
      <c r="H15" s="48" t="inlineStr">
        <is>
          <t>N/A</t>
        </is>
      </c>
      <c r="I15" s="48" t="inlineStr">
        <is>
          <t>$1,931</t>
        </is>
      </c>
      <c r="J15" s="48" t="inlineStr">
        <is>
          <t>$1,931</t>
        </is>
      </c>
      <c r="K15" s="30" t="inlineStr">
        <is>
          <t>$1,931</t>
        </is>
      </c>
      <c r="L15" s="31" t="inlineStr">
        <is>
          <t>N/A</t>
        </is>
      </c>
      <c r="M15" s="48" t="inlineStr">
        <is>
          <t>$2,810</t>
        </is>
      </c>
      <c r="N15" s="48" t="inlineStr">
        <is>
          <t>$2,810</t>
        </is>
      </c>
      <c r="O15" s="30" t="inlineStr">
        <is>
          <t>$2,810</t>
        </is>
      </c>
      <c r="P15" s="31" t="inlineStr">
        <is>
          <t>N/A</t>
        </is>
      </c>
      <c r="Q15" s="48" t="inlineStr">
        <is>
          <t>N/A</t>
        </is>
      </c>
      <c r="R15" s="48" t="inlineStr">
        <is>
          <t>N/A</t>
        </is>
      </c>
      <c r="S15" s="48" t="inlineStr">
        <is>
          <t>N/A</t>
        </is>
      </c>
      <c r="T15" s="48" t="inlineStr">
        <is>
          <t>N/A</t>
        </is>
      </c>
      <c r="U15" s="48" t="inlineStr">
        <is>
          <t>N/A</t>
        </is>
      </c>
      <c r="V15" s="48" t="inlineStr">
        <is>
          <t>N/A</t>
        </is>
      </c>
      <c r="W15" s="48" t="inlineStr">
        <is>
          <t>N/A</t>
        </is>
      </c>
      <c r="X15" s="48" t="inlineStr">
        <is>
          <t>N/A</t>
        </is>
      </c>
      <c r="Y15" s="50" t="inlineStr">
        <is>
          <t>BENCHMARK</t>
        </is>
      </c>
      <c r="Z15" s="49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5" s="48" t="inlineStr">
        <is>
          <t>HUD FMR Database (huduser.gov)</t>
        </is>
      </c>
    </row>
    <row r="16" ht="54.75" customFormat="1" customHeight="1" s="3">
      <c r="A16" s="48" t="inlineStr">
        <is>
          <t>—</t>
        </is>
      </c>
      <c r="B16" s="48" t="inlineStr">
        <is>
          <t>BENCHMARK</t>
        </is>
      </c>
      <c r="C16" s="49" t="inlineStr">
        <is>
          <t>Metro Market Avg — Ennis</t>
        </is>
      </c>
      <c r="D16" s="48" t="inlineStr">
        <is>
          <t>N/A</t>
        </is>
      </c>
      <c r="E16" s="48" t="inlineStr">
        <is>
          <t>Ennis</t>
        </is>
      </c>
      <c r="F16" s="48" t="inlineStr">
        <is>
          <t>TX</t>
        </is>
      </c>
      <c r="G16" s="48" t="inlineStr">
        <is>
          <t>N/A</t>
        </is>
      </c>
      <c r="H16" s="48" t="inlineStr">
        <is>
          <t>N/A</t>
        </is>
      </c>
      <c r="I16" s="48" t="inlineStr">
        <is>
          <t>$2,124</t>
        </is>
      </c>
      <c r="J16" s="48" t="inlineStr">
        <is>
          <t>$2,124</t>
        </is>
      </c>
      <c r="K16" s="30" t="inlineStr">
        <is>
          <t>$2,124</t>
        </is>
      </c>
      <c r="L16" s="31" t="inlineStr">
        <is>
          <t>N/A</t>
        </is>
      </c>
      <c r="M16" s="48" t="inlineStr">
        <is>
          <t>$3,091</t>
        </is>
      </c>
      <c r="N16" s="48" t="inlineStr">
        <is>
          <t>$3,091</t>
        </is>
      </c>
      <c r="O16" s="30" t="inlineStr">
        <is>
          <t>$3,091</t>
        </is>
      </c>
      <c r="P16" s="31" t="inlineStr">
        <is>
          <t>N/A</t>
        </is>
      </c>
      <c r="Q16" s="48" t="inlineStr">
        <is>
          <t>N/A</t>
        </is>
      </c>
      <c r="R16" s="48" t="inlineStr">
        <is>
          <t>N/A</t>
        </is>
      </c>
      <c r="S16" s="48" t="inlineStr">
        <is>
          <t>N/A</t>
        </is>
      </c>
      <c r="T16" s="48" t="inlineStr">
        <is>
          <t>N/A</t>
        </is>
      </c>
      <c r="U16" s="48" t="inlineStr">
        <is>
          <t>N/A</t>
        </is>
      </c>
      <c r="V16" s="48" t="inlineStr">
        <is>
          <t>N/A</t>
        </is>
      </c>
      <c r="W16" s="48" t="inlineStr">
        <is>
          <t>N/A</t>
        </is>
      </c>
      <c r="X16" s="48" t="inlineStr">
        <is>
          <t>N/A</t>
        </is>
      </c>
      <c r="Y16" s="50" t="inlineStr">
        <is>
          <t>BENCHMARK</t>
        </is>
      </c>
      <c r="Z16" s="49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6" s="48" t="inlineStr">
        <is>
          <t>HUD FMR + Market Estimate</t>
        </is>
      </c>
    </row>
    <row r="17" ht="8.25" customFormat="1" customHeight="1" s="3"/>
    <row r="18" ht="27.75" customFormat="1" customHeight="1" s="3">
      <c r="A18" s="51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 ht="15" customHeight="1" s="95">
      <c r="C20" s="86" t="inlineStr">
        <is>
          <t>50% AMI</t>
        </is>
      </c>
      <c r="D20" s="86" t="inlineStr">
        <is>
          <t>UAP</t>
        </is>
      </c>
      <c r="E20" s="86" t="inlineStr">
        <is>
          <t>Section 8 Rent</t>
        </is>
      </c>
    </row>
    <row r="21" ht="15" customHeight="1" s="95">
      <c r="B21" s="3" t="n">
        <v>2</v>
      </c>
      <c r="C21" s="86" t="n">
        <v>1292</v>
      </c>
      <c r="D21" s="86" t="n">
        <v>454</v>
      </c>
      <c r="E21" s="86" t="n">
        <v>1400</v>
      </c>
    </row>
    <row r="22" ht="15" customHeight="1" s="95">
      <c r="B22" s="3" t="n">
        <v>3</v>
      </c>
      <c r="C22" s="86" t="n">
        <v>1641</v>
      </c>
      <c r="D22" s="86" t="n">
        <v>454</v>
      </c>
      <c r="E22" s="86" t="n">
        <v>1641</v>
      </c>
    </row>
    <row r="25" ht="15" customHeight="1" s="95">
      <c r="A25" s="61" t="inlineStr">
        <is>
          <t>PMTS — Vouchers / FMR / UAP / NET FMR</t>
        </is>
      </c>
      <c r="B25" s="101" t="n"/>
      <c r="C25" s="101" t="n"/>
      <c r="D25" s="101" t="n"/>
      <c r="E25" s="101" t="n"/>
      <c r="F25" s="102" t="n"/>
    </row>
    <row r="26" ht="15" customHeight="1" s="95">
      <c r="A26" s="64" t="inlineStr">
        <is>
          <t>BD</t>
        </is>
      </c>
      <c r="B26" s="65" t="inlineStr">
        <is>
          <t>MKT</t>
        </is>
      </c>
      <c r="C26" s="66" t="inlineStr">
        <is>
          <t>VCH</t>
        </is>
      </c>
      <c r="D26" s="67" t="inlineStr">
        <is>
          <t>FMR</t>
        </is>
      </c>
      <c r="E26" s="68" t="inlineStr">
        <is>
          <t>UAP</t>
        </is>
      </c>
      <c r="F26" s="69" t="inlineStr">
        <is>
          <t>NET</t>
        </is>
      </c>
    </row>
    <row r="27" ht="15" customHeight="1" s="95">
      <c r="A27" s="70" t="inlineStr">
        <is>
          <t>2BD</t>
        </is>
      </c>
      <c r="B27" s="71" t="n">
        <v>0</v>
      </c>
      <c r="C27" s="71" t="n">
        <v>0</v>
      </c>
      <c r="D27" s="71" t="n">
        <v>1520</v>
      </c>
      <c r="E27" s="72" t="n">
        <v>477</v>
      </c>
      <c r="F27" s="73" t="n">
        <v>1043</v>
      </c>
    </row>
    <row r="28" ht="15" customHeight="1" s="95">
      <c r="A28" s="74" t="inlineStr">
        <is>
          <t>4BD</t>
        </is>
      </c>
      <c r="B28" s="75" t="n">
        <v>0</v>
      </c>
      <c r="C28" s="75" t="n">
        <v>1618</v>
      </c>
      <c r="D28" s="75" t="n">
        <v>2440</v>
      </c>
      <c r="E28" s="72" t="n">
        <v>477</v>
      </c>
      <c r="F28" s="73" t="n">
        <v>1963</v>
      </c>
    </row>
    <row r="31" ht="15" customHeight="1" s="95">
      <c r="A31" s="61" t="inlineStr">
        <is>
          <t>LIHTC, UAP, NET</t>
        </is>
      </c>
      <c r="B31" s="101" t="n"/>
      <c r="C31" s="101" t="n"/>
      <c r="D31" s="101" t="n"/>
      <c r="E31" s="102" t="n"/>
    </row>
    <row r="32" ht="15" customHeight="1" s="95">
      <c r="A32" s="64" t="n"/>
      <c r="B32" s="65" t="inlineStr">
        <is>
          <t>LIHTC/MKT</t>
        </is>
      </c>
      <c r="C32" s="67" t="inlineStr">
        <is>
          <t>50%</t>
        </is>
      </c>
      <c r="D32" s="68" t="inlineStr">
        <is>
          <t>UAP</t>
        </is>
      </c>
      <c r="E32" s="69" t="inlineStr">
        <is>
          <t>NET</t>
        </is>
      </c>
    </row>
    <row r="33" ht="15" customHeight="1" s="95">
      <c r="A33" s="70" t="inlineStr">
        <is>
          <t>4BD</t>
        </is>
      </c>
      <c r="B33" s="71" t="n">
        <v>1746</v>
      </c>
      <c r="C33" s="71" t="n">
        <v>1269</v>
      </c>
      <c r="D33" s="72" t="n">
        <v>477</v>
      </c>
      <c r="E33" s="73" t="n">
        <v>792</v>
      </c>
    </row>
    <row r="34" ht="15" customHeight="1" s="95">
      <c r="A34" s="64" t="n"/>
      <c r="B34" s="65" t="inlineStr">
        <is>
          <t>LIHTC/MKT</t>
        </is>
      </c>
      <c r="C34" s="67" t="inlineStr">
        <is>
          <t>60%</t>
        </is>
      </c>
      <c r="D34" s="68" t="inlineStr">
        <is>
          <t>UAP</t>
        </is>
      </c>
      <c r="E34" s="69" t="inlineStr">
        <is>
          <t>NET</t>
        </is>
      </c>
    </row>
    <row r="35" ht="15" customHeight="1" s="95">
      <c r="A35" s="70" t="inlineStr">
        <is>
          <t>2BD</t>
        </is>
      </c>
      <c r="B35" s="71" t="n">
        <v>1626</v>
      </c>
      <c r="C35" s="71" t="n">
        <v>1275</v>
      </c>
      <c r="D35" s="72" t="n">
        <v>477</v>
      </c>
      <c r="E35" s="73" t="n">
        <v>798</v>
      </c>
    </row>
    <row r="36" ht="15" customHeight="1" s="95">
      <c r="A36" s="74" t="inlineStr">
        <is>
          <t>4BD</t>
        </is>
      </c>
      <c r="B36" s="75" t="n">
        <v>2095</v>
      </c>
      <c r="C36" s="75" t="n">
        <v>1618</v>
      </c>
      <c r="D36" s="72" t="n">
        <v>477</v>
      </c>
      <c r="E36" s="73" t="n">
        <v>1141</v>
      </c>
    </row>
    <row r="39" ht="15" customHeight="1" s="95">
      <c r="A39" s="61" t="inlineStr">
        <is>
          <t>HAP, CoStar, NET</t>
        </is>
      </c>
      <c r="B39" s="101" t="n"/>
      <c r="C39" s="102" t="n"/>
    </row>
    <row r="40" ht="15" customHeight="1" s="95">
      <c r="A40" s="64" t="n"/>
      <c r="B40" s="68" t="inlineStr">
        <is>
          <t>HAP</t>
        </is>
      </c>
      <c r="C40" s="65" t="inlineStr">
        <is>
          <t>CoStar</t>
        </is>
      </c>
    </row>
    <row r="41" ht="15" customHeight="1" s="95">
      <c r="A41" s="70" t="inlineStr">
        <is>
          <t>2BD</t>
        </is>
      </c>
      <c r="B41" s="103" t="n">
        <v>0</v>
      </c>
      <c r="C41" s="104" t="n">
        <v>1368</v>
      </c>
    </row>
    <row r="42" ht="15" customHeight="1" s="95">
      <c r="A42" s="74" t="inlineStr">
        <is>
          <t>4BD</t>
        </is>
      </c>
      <c r="B42" s="103" t="n">
        <v>0</v>
      </c>
      <c r="C42" s="104" t="n">
        <v>1766</v>
      </c>
    </row>
  </sheetData>
  <mergeCells count="7">
    <mergeCell ref="A18:AA18"/>
    <mergeCell ref="A4:AA4"/>
    <mergeCell ref="A3:AA3"/>
    <mergeCell ref="A2:AA2"/>
    <mergeCell ref="A39:C39"/>
    <mergeCell ref="A31:E31"/>
    <mergeCell ref="A25:F25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theme="6" tint="-0.25"/>
    <outlinePr summaryBelow="1" summaryRight="1"/>
    <pageSetUpPr/>
  </sheetPr>
  <dimension ref="A1:AA44"/>
  <sheetViews>
    <sheetView topLeftCell="A1" workbookViewId="0">
      <pane ySplit="1" topLeftCell="A14" activePane="bottomLeft" state="frozen"/>
      <selection pane="bottomLeft" activeCell="G23" sqref="G23"/>
    </sheetView>
  </sheetViews>
  <sheetFormatPr baseColWidth="8" defaultColWidth="9.140625" defaultRowHeight="15" customHeight="1"/>
  <cols>
    <col width="8.00390625" customWidth="1" style="3" min="1" max="1"/>
    <col width="14.00390625" customWidth="1" style="3" min="2" max="2"/>
    <col width="28.00390625" customWidth="1" style="3" min="3" max="3"/>
    <col width="22.00390625" customWidth="1" style="3" min="4" max="4"/>
    <col width="16.00390625" customWidth="1" style="3" min="5" max="5"/>
    <col width="10.00390625" customWidth="1" style="3" min="6" max="6"/>
    <col width="8.00390625" customWidth="1" style="3" min="7" max="7"/>
    <col width="11.00390625" customWidth="1" style="3" min="8" max="8"/>
    <col width="10.00390625" customWidth="1" style="3" min="9" max="11"/>
    <col width="12.00390625" customWidth="1" style="3" min="12" max="12"/>
    <col width="10.00390625" customWidth="1" style="3" min="13" max="15"/>
    <col width="12.00390625" customWidth="1" style="3" min="16" max="16"/>
    <col width="8.00390625" customWidth="1" style="3" min="17" max="17"/>
    <col width="10.00390625" customWidth="1" style="3" min="18" max="18"/>
    <col width="7.00390625" customWidth="1" style="3" min="19" max="19"/>
    <col width="12.00390625" customWidth="1" style="3" min="20" max="21"/>
    <col width="8.00390625" customWidth="1" style="3" min="22" max="23"/>
    <col width="10.00390625" customWidth="1" style="3" min="24" max="24"/>
    <col width="16.00390625" customWidth="1" style="3" min="25" max="25"/>
    <col width="45.00390625" customWidth="1" style="3" min="26" max="26"/>
    <col width="28.00390625" customWidth="1" style="3" min="27" max="27"/>
  </cols>
  <sheetData>
    <row r="1" ht="15" customHeight="1" s="95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</row>
    <row r="2" ht="24" customFormat="1" customHeight="1" s="3">
      <c r="A2" s="17" t="inlineStr">
        <is>
          <t>COMPETITIVE RENT ANALYSIS — LEXINGTON ARMS | GREEN = Affordable Comps | BLUE = Market Rate Comps</t>
        </is>
      </c>
    </row>
    <row r="3" ht="20.25" customFormat="1" customHeight="1" s="3">
      <c r="A3" s="18" t="inlineStr">
        <is>
          <t>SUBJECT: Lexington Arms | 418 Lexington Dr, Waxahachie, TX 75165 | 61 units | Program: LIHTC | Bedroom Mix: 2BR / 4BR | County AMI: $117,300 | FMR Area: Dallas-Fort Worth MSA</t>
        </is>
      </c>
    </row>
    <row r="4" ht="90" customFormat="1" customHeight="1" s="3">
      <c r="A4" s="19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5" ht="30" customFormat="1" customHeight="1" s="3">
      <c r="A5" s="20" t="inlineStr">
        <is>
          <t>Rank</t>
        </is>
      </c>
      <c r="B5" s="20" t="inlineStr">
        <is>
          <t>Type</t>
        </is>
      </c>
      <c r="C5" s="20" t="inlineStr">
        <is>
          <t>Property Name</t>
        </is>
      </c>
      <c r="D5" s="20" t="inlineStr">
        <is>
          <t>Address</t>
        </is>
      </c>
      <c r="E5" s="20" t="inlineStr">
        <is>
          <t>City</t>
        </is>
      </c>
      <c r="F5" s="20" t="inlineStr">
        <is>
          <t>State</t>
        </is>
      </c>
      <c r="G5" s="20" t="inlineStr">
        <is>
          <t>ZIP</t>
        </is>
      </c>
      <c r="H5" s="20" t="inlineStr">
        <is>
          <t>Distance (mi)</t>
        </is>
      </c>
      <c r="I5" s="20" t="inlineStr">
        <is>
          <t>2BR Low ($)</t>
        </is>
      </c>
      <c r="J5" s="20" t="inlineStr">
        <is>
          <t>2BR Mid ($)</t>
        </is>
      </c>
      <c r="K5" s="21" t="inlineStr">
        <is>
          <t>2BR FMR ($)</t>
        </is>
      </c>
      <c r="L5" s="22" t="inlineStr">
        <is>
          <t>2BR Actual ($)</t>
        </is>
      </c>
      <c r="M5" s="20" t="inlineStr">
        <is>
          <t>4BR Low ($)</t>
        </is>
      </c>
      <c r="N5" s="20" t="inlineStr">
        <is>
          <t>4BR Mid ($)</t>
        </is>
      </c>
      <c r="O5" s="21" t="inlineStr">
        <is>
          <t>4BR FMR ($)</t>
        </is>
      </c>
      <c r="P5" s="22" t="inlineStr">
        <is>
          <t>4BR Actual ($)</t>
        </is>
      </c>
      <c r="Q5" s="20" t="inlineStr">
        <is>
          <t># Units</t>
        </is>
      </c>
      <c r="R5" s="20" t="inlineStr">
        <is>
          <t>Year Built</t>
        </is>
      </c>
      <c r="S5" s="20" t="inlineStr">
        <is>
          <t>Yr Diff</t>
        </is>
      </c>
      <c r="T5" s="20" t="inlineStr">
        <is>
          <t>Utilities Incl.</t>
        </is>
      </c>
      <c r="U5" s="20" t="inlineStr">
        <is>
          <t>Pet Friendly</t>
        </is>
      </c>
      <c r="V5" s="20" t="inlineStr">
        <is>
          <t>Gated</t>
        </is>
      </c>
      <c r="W5" s="20" t="inlineStr">
        <is>
          <t>Pool</t>
        </is>
      </c>
      <c r="X5" s="20" t="inlineStr">
        <is>
          <t>W/D In-Unit</t>
        </is>
      </c>
      <c r="Y5" s="20" t="inlineStr">
        <is>
          <t>Competition Level</t>
        </is>
      </c>
      <c r="Z5" s="20" t="inlineStr">
        <is>
          <t>Why Competitive</t>
        </is>
      </c>
      <c r="AA5" s="20" t="inlineStr">
        <is>
          <t>Data Source</t>
        </is>
      </c>
    </row>
    <row r="6" ht="54.75" customFormat="1" customHeight="1" s="3">
      <c r="A6" s="23" t="inlineStr">
        <is>
          <t>—</t>
        </is>
      </c>
      <c r="B6" s="23" t="inlineStr">
        <is>
          <t>SUBJECT</t>
        </is>
      </c>
      <c r="C6" s="24" t="inlineStr">
        <is>
          <t>Lexington Arms (SUBJECT)</t>
        </is>
      </c>
      <c r="D6" s="23" t="inlineStr">
        <is>
          <t>418 Lexington Dr</t>
        </is>
      </c>
      <c r="E6" s="23" t="inlineStr">
        <is>
          <t>Waxahachie</t>
        </is>
      </c>
      <c r="F6" s="23" t="inlineStr">
        <is>
          <t>TX</t>
        </is>
      </c>
      <c r="G6" s="23" t="inlineStr">
        <is>
          <t>75165</t>
        </is>
      </c>
      <c r="H6" s="23" t="inlineStr">
        <is>
          <t>0.0 mi</t>
        </is>
      </c>
      <c r="I6" s="23" t="inlineStr">
        <is>
          <t>$4,400</t>
        </is>
      </c>
      <c r="J6" s="23" t="inlineStr">
        <is>
          <t>$5,280</t>
        </is>
      </c>
      <c r="K6" s="25" t="inlineStr">
        <is>
          <t>$1,931</t>
        </is>
      </c>
      <c r="L6" s="26" t="inlineStr">
        <is>
          <t>N/A</t>
        </is>
      </c>
      <c r="M6" s="23" t="inlineStr">
        <is>
          <t>$5,279</t>
        </is>
      </c>
      <c r="N6" s="23" t="inlineStr">
        <is>
          <t>$6,335</t>
        </is>
      </c>
      <c r="O6" s="25" t="inlineStr">
        <is>
          <t>$2,810</t>
        </is>
      </c>
      <c r="P6" s="26" t="inlineStr">
        <is>
          <t>N/A</t>
        </is>
      </c>
      <c r="Q6" s="23" t="inlineStr">
        <is>
          <t>61</t>
        </is>
      </c>
      <c r="R6" s="23" t="inlineStr">
        <is>
          <t>1997</t>
        </is>
      </c>
      <c r="S6" s="23" t="inlineStr">
        <is>
          <t>0</t>
        </is>
      </c>
      <c r="T6" s="23" t="inlineStr">
        <is>
          <t>No</t>
        </is>
      </c>
      <c r="U6" s="23" t="inlineStr">
        <is>
          <t>No</t>
        </is>
      </c>
      <c r="V6" s="23" t="inlineStr">
        <is>
          <t>No</t>
        </is>
      </c>
      <c r="W6" s="23" t="inlineStr">
        <is>
          <t>No</t>
        </is>
      </c>
      <c r="X6" s="23" t="inlineStr">
        <is>
          <t>No</t>
        </is>
      </c>
      <c r="Y6" s="27" t="inlineStr">
        <is>
          <t>SUBJECT</t>
        </is>
      </c>
      <c r="Z6" s="24" t="inlineStr">
        <is>
          <t>61 units | LIHTC property. Year built: 1997. Subject property for market context.</t>
        </is>
      </c>
      <c r="AA6" s="23" t="inlineStr">
        <is>
          <t>Apartment Corp Records</t>
        </is>
      </c>
    </row>
    <row r="7" ht="54.75" customFormat="1" customHeight="1" s="3">
      <c r="A7" s="28" t="inlineStr">
        <is>
          <t>1</t>
        </is>
      </c>
      <c r="B7" s="28" t="inlineStr">
        <is>
          <t>AFFORDABLE</t>
        </is>
      </c>
      <c r="C7" s="29" t="inlineStr">
        <is>
          <t>Breckenridge Village</t>
        </is>
      </c>
      <c r="D7" s="28" t="inlineStr">
        <is>
          <t>2001A Floyd St</t>
        </is>
      </c>
      <c r="E7" s="28" t="inlineStr">
        <is>
          <t>Ennis</t>
        </is>
      </c>
      <c r="F7" s="28" t="inlineStr">
        <is>
          <t>TX</t>
        </is>
      </c>
      <c r="G7" s="28" t="inlineStr">
        <is>
          <t>75119</t>
        </is>
      </c>
      <c r="H7" s="28" t="inlineStr">
        <is>
          <t>12.8 mi</t>
        </is>
      </c>
      <c r="I7" s="28" t="inlineStr">
        <is>
          <t>$4,400</t>
        </is>
      </c>
      <c r="J7" s="28" t="inlineStr">
        <is>
          <t>$5,280</t>
        </is>
      </c>
      <c r="K7" s="30" t="inlineStr">
        <is>
          <t>$1,931</t>
        </is>
      </c>
      <c r="L7" s="31" t="inlineStr">
        <is>
          <t>Not Listed</t>
        </is>
      </c>
      <c r="M7" s="28" t="inlineStr">
        <is>
          <t>$5,279</t>
        </is>
      </c>
      <c r="N7" s="28" t="inlineStr">
        <is>
          <t>$6,335</t>
        </is>
      </c>
      <c r="O7" s="30" t="inlineStr">
        <is>
          <t>$2,810</t>
        </is>
      </c>
      <c r="P7" s="31" t="inlineStr">
        <is>
          <t>Not Listed</t>
        </is>
      </c>
      <c r="Q7" s="28" t="inlineStr">
        <is>
          <t>66</t>
        </is>
      </c>
      <c r="R7" s="28" t="inlineStr">
        <is>
          <t>1997</t>
        </is>
      </c>
      <c r="S7" s="28" t="inlineStr">
        <is>
          <t>0</t>
        </is>
      </c>
      <c r="T7" s="28" t="inlineStr">
        <is>
          <t>Yes</t>
        </is>
      </c>
      <c r="U7" s="28" t="inlineStr">
        <is>
          <t>No</t>
        </is>
      </c>
      <c r="V7" s="28" t="inlineStr">
        <is>
          <t>No</t>
        </is>
      </c>
      <c r="W7" s="28" t="inlineStr">
        <is>
          <t>No</t>
        </is>
      </c>
      <c r="X7" s="28" t="inlineStr">
        <is>
          <t>No</t>
        </is>
      </c>
      <c r="Y7" s="32" t="inlineStr">
        <is>
          <t>HIGH</t>
        </is>
      </c>
      <c r="Z7" s="29" t="inlineStr">
        <is>
          <t>Affordable Comp #1: LIHTC property, 1997 vintage (0 yr diff), 66 units, 12.8 mi from subject. Same income-eligible renter pool.</t>
        </is>
      </c>
      <c r="AA7" s="28" t="inlineStr">
        <is>
          <t>HUD LIHTC Database (huduser.gov)</t>
        </is>
      </c>
    </row>
    <row r="8" ht="54.75" customFormat="1" customHeight="1" s="3">
      <c r="A8" s="33" t="inlineStr">
        <is>
          <t>2</t>
        </is>
      </c>
      <c r="B8" s="33" t="inlineStr">
        <is>
          <t>AFFORDABLE</t>
        </is>
      </c>
      <c r="C8" s="34" t="inlineStr">
        <is>
          <t>Sherwood Arms Apts</t>
        </is>
      </c>
      <c r="D8" s="33" t="inlineStr">
        <is>
          <t>213 N Val Verde Cir</t>
        </is>
      </c>
      <c r="E8" s="33" t="inlineStr">
        <is>
          <t>Keene</t>
        </is>
      </c>
      <c r="F8" s="33" t="inlineStr">
        <is>
          <t>TX</t>
        </is>
      </c>
      <c r="G8" s="33" t="inlineStr">
        <is>
          <t>76059</t>
        </is>
      </c>
      <c r="H8" s="33" t="inlineStr">
        <is>
          <t>28.1 mi</t>
        </is>
      </c>
      <c r="I8" s="33" t="inlineStr">
        <is>
          <t>$4,400</t>
        </is>
      </c>
      <c r="J8" s="33" t="inlineStr">
        <is>
          <t>$5,280</t>
        </is>
      </c>
      <c r="K8" s="30" t="inlineStr">
        <is>
          <t>$1,931</t>
        </is>
      </c>
      <c r="L8" s="31" t="inlineStr">
        <is>
          <t>Not Listed</t>
        </is>
      </c>
      <c r="M8" s="33" t="inlineStr">
        <is>
          <t>$5,279</t>
        </is>
      </c>
      <c r="N8" s="33" t="inlineStr">
        <is>
          <t>$6,335</t>
        </is>
      </c>
      <c r="O8" s="30" t="inlineStr">
        <is>
          <t>$2,810</t>
        </is>
      </c>
      <c r="P8" s="31" t="inlineStr">
        <is>
          <t>Not Listed</t>
        </is>
      </c>
      <c r="Q8" s="33" t="inlineStr">
        <is>
          <t>56</t>
        </is>
      </c>
      <c r="R8" s="33" t="inlineStr">
        <is>
          <t>1997</t>
        </is>
      </c>
      <c r="S8" s="33" t="inlineStr">
        <is>
          <t>0</t>
        </is>
      </c>
      <c r="T8" s="33" t="inlineStr">
        <is>
          <t>Yes</t>
        </is>
      </c>
      <c r="U8" s="33" t="inlineStr">
        <is>
          <t>No</t>
        </is>
      </c>
      <c r="V8" s="33" t="inlineStr">
        <is>
          <t>No</t>
        </is>
      </c>
      <c r="W8" s="33" t="inlineStr">
        <is>
          <t>No</t>
        </is>
      </c>
      <c r="X8" s="33" t="inlineStr">
        <is>
          <t>No</t>
        </is>
      </c>
      <c r="Y8" s="93" t="inlineStr">
        <is>
          <t>MODERATE-HIGH</t>
        </is>
      </c>
      <c r="Z8" s="34" t="inlineStr">
        <is>
          <t>Affordable Comp #2: LIHTC property, 1997 vintage (0 yr diff), 56 units, 28.1 mi from subject. Same income-eligible renter pool.</t>
        </is>
      </c>
      <c r="AA8" s="33" t="inlineStr">
        <is>
          <t>HUD LIHTC Database (huduser.gov)</t>
        </is>
      </c>
    </row>
    <row r="9" ht="54.75" customFormat="1" customHeight="1" s="3">
      <c r="A9" s="36" t="inlineStr">
        <is>
          <t>3</t>
        </is>
      </c>
      <c r="B9" s="36" t="inlineStr">
        <is>
          <t>AFFORDABLE</t>
        </is>
      </c>
      <c r="C9" s="37" t="inlineStr">
        <is>
          <t>Creekside Terrace Apts</t>
        </is>
      </c>
      <c r="D9" s="36" t="inlineStr">
        <is>
          <t>1000 E Burnett St</t>
        </is>
      </c>
      <c r="E9" s="36" t="inlineStr">
        <is>
          <t>Ennis</t>
        </is>
      </c>
      <c r="F9" s="36" t="inlineStr">
        <is>
          <t>TX</t>
        </is>
      </c>
      <c r="G9" s="36" t="inlineStr">
        <is>
          <t>75119</t>
        </is>
      </c>
      <c r="H9" s="36" t="inlineStr">
        <is>
          <t>14.3 mi</t>
        </is>
      </c>
      <c r="I9" s="36" t="inlineStr">
        <is>
          <t>$4,400</t>
        </is>
      </c>
      <c r="J9" s="36" t="inlineStr">
        <is>
          <t>$5,280</t>
        </is>
      </c>
      <c r="K9" s="30" t="inlineStr">
        <is>
          <t>$1,931</t>
        </is>
      </c>
      <c r="L9" s="31" t="inlineStr">
        <is>
          <t>$1,270</t>
        </is>
      </c>
      <c r="M9" s="36" t="inlineStr">
        <is>
          <t>$5,279</t>
        </is>
      </c>
      <c r="N9" s="36" t="inlineStr">
        <is>
          <t>$6,335</t>
        </is>
      </c>
      <c r="O9" s="30" t="inlineStr">
        <is>
          <t>$2,810</t>
        </is>
      </c>
      <c r="P9" s="31" t="inlineStr">
        <is>
          <t>$1,650</t>
        </is>
      </c>
      <c r="Q9" s="36" t="inlineStr">
        <is>
          <t>80</t>
        </is>
      </c>
      <c r="R9" s="36" t="inlineStr">
        <is>
          <t>1998</t>
        </is>
      </c>
      <c r="S9" s="36" t="inlineStr">
        <is>
          <t>1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85" t="inlineStr">
        <is>
          <t>HIGH</t>
        </is>
      </c>
      <c r="Z9" s="37" t="inlineStr">
        <is>
          <t>Affordable Comp #3: LIHTC property, 1998 vintage (1 yr diff), 80 units, 14.3 mi from subject. Same income-eligible renter pool.</t>
        </is>
      </c>
      <c r="AA9" s="36" t="inlineStr">
        <is>
          <t>HUD LIHTC Database (huduser.gov)</t>
        </is>
      </c>
    </row>
    <row r="10" ht="54.75" customFormat="1" customHeight="1" s="3">
      <c r="A10" s="28" t="inlineStr">
        <is>
          <t>4</t>
        </is>
      </c>
      <c r="B10" s="28" t="inlineStr">
        <is>
          <t>AFFORDABLE</t>
        </is>
      </c>
      <c r="C10" s="29" t="inlineStr">
        <is>
          <t>Hillcrest House</t>
        </is>
      </c>
      <c r="D10" s="28" t="inlineStr">
        <is>
          <t>834 N Marsalis Ave</t>
        </is>
      </c>
      <c r="E10" s="28" t="inlineStr">
        <is>
          <t>Dallas</t>
        </is>
      </c>
      <c r="F10" s="28" t="inlineStr">
        <is>
          <t>TX</t>
        </is>
      </c>
      <c r="G10" s="28" t="inlineStr">
        <is>
          <t>75203</t>
        </is>
      </c>
      <c r="H10" s="28" t="inlineStr">
        <is>
          <t>25.7 mi</t>
        </is>
      </c>
      <c r="I10" s="28" t="inlineStr">
        <is>
          <t>$4,400</t>
        </is>
      </c>
      <c r="J10" s="28" t="inlineStr">
        <is>
          <t>$5,280</t>
        </is>
      </c>
      <c r="K10" s="30" t="inlineStr">
        <is>
          <t>$1,931</t>
        </is>
      </c>
      <c r="L10" s="31" t="inlineStr">
        <is>
          <t>Not Listed</t>
        </is>
      </c>
      <c r="M10" s="28" t="inlineStr">
        <is>
          <t>$5,279</t>
        </is>
      </c>
      <c r="N10" s="28" t="inlineStr">
        <is>
          <t>$6,335</t>
        </is>
      </c>
      <c r="O10" s="30" t="inlineStr">
        <is>
          <t>$2,810</t>
        </is>
      </c>
      <c r="P10" s="31" t="inlineStr">
        <is>
          <t>Not Listed</t>
        </is>
      </c>
      <c r="Q10" s="28" t="inlineStr">
        <is>
          <t>64</t>
        </is>
      </c>
      <c r="R10" s="28" t="inlineStr">
        <is>
          <t>1996</t>
        </is>
      </c>
      <c r="S10" s="28" t="inlineStr">
        <is>
          <t>1</t>
        </is>
      </c>
      <c r="T10" s="28" t="inlineStr">
        <is>
          <t>Yes</t>
        </is>
      </c>
      <c r="U10" s="28" t="inlineStr">
        <is>
          <t>No</t>
        </is>
      </c>
      <c r="V10" s="28" t="inlineStr">
        <is>
          <t>No</t>
        </is>
      </c>
      <c r="W10" s="28" t="inlineStr">
        <is>
          <t>No</t>
        </is>
      </c>
      <c r="X10" s="28" t="inlineStr">
        <is>
          <t>No</t>
        </is>
      </c>
      <c r="Y10" s="78" t="inlineStr">
        <is>
          <t>MODERATE-HIGH</t>
        </is>
      </c>
      <c r="Z10" s="29" t="inlineStr">
        <is>
          <t>Affordable Comp #4: LIHTC property, 1996 vintage (1 yr diff), 64 units, 25.7 mi from subject. Same income-eligible renter pool.</t>
        </is>
      </c>
      <c r="AA10" s="28" t="inlineStr">
        <is>
          <t>HUD LIHTC Database (huduser.gov)</t>
        </is>
      </c>
    </row>
    <row r="11" ht="54.75" customFormat="1" customHeight="1" s="3">
      <c r="A11" s="39" t="inlineStr">
        <is>
          <t>1</t>
        </is>
      </c>
      <c r="B11" s="39" t="inlineStr">
        <is>
          <t>MARKET RATE</t>
        </is>
      </c>
      <c r="C11" s="40" t="inlineStr">
        <is>
          <t>Waxahachie Market Rate (FMR Benchmark)</t>
        </is>
      </c>
      <c r="D11" s="39" t="inlineStr">
        <is>
          <t>Waxahachie, TX area</t>
        </is>
      </c>
      <c r="E11" s="39" t="inlineStr">
        <is>
          <t>TX area</t>
        </is>
      </c>
      <c r="F11" s="39" t="inlineStr">
        <is>
          <t>TX</t>
        </is>
      </c>
      <c r="G11" s="39" t="n"/>
      <c r="H11" s="39" t="inlineStr">
        <is>
          <t>N/A</t>
        </is>
      </c>
      <c r="I11" s="39" t="inlineStr">
        <is>
          <t>N/A (Market Rate)</t>
        </is>
      </c>
      <c r="J11" s="39" t="inlineStr">
        <is>
          <t>N/A (Market Rate)</t>
        </is>
      </c>
      <c r="K11" s="30" t="inlineStr">
        <is>
          <t>$1,931</t>
        </is>
      </c>
      <c r="L11" s="31" t="inlineStr">
        <is>
          <t>$1,175</t>
        </is>
      </c>
      <c r="M11" s="39" t="inlineStr">
        <is>
          <t>N/A (Market Rate)</t>
        </is>
      </c>
      <c r="N11" s="39" t="inlineStr">
        <is>
          <t>N/A (Market Rate)</t>
        </is>
      </c>
      <c r="O11" s="30" t="inlineStr">
        <is>
          <t>$2,810</t>
        </is>
      </c>
      <c r="P11" s="31" t="inlineStr">
        <is>
          <t>$1,625</t>
        </is>
      </c>
      <c r="Q11" s="39" t="inlineStr">
        <is>
          <t>N/A</t>
        </is>
      </c>
      <c r="R11" s="39" t="inlineStr">
        <is>
          <t>1997</t>
        </is>
      </c>
      <c r="S11" s="39" t="inlineStr">
        <is>
          <t>0</t>
        </is>
      </c>
      <c r="T11" s="39" t="inlineStr">
        <is>
          <t>Varies</t>
        </is>
      </c>
      <c r="U11" s="39" t="inlineStr">
        <is>
          <t>Varies</t>
        </is>
      </c>
      <c r="V11" s="39" t="inlineStr">
        <is>
          <t>Varies</t>
        </is>
      </c>
      <c r="W11" s="39" t="inlineStr">
        <is>
          <t>Varies</t>
        </is>
      </c>
      <c r="X11" s="39" t="inlineStr">
        <is>
          <t>Varies</t>
        </is>
      </c>
      <c r="Y11" s="41" t="inlineStr">
        <is>
          <t>HIGH</t>
        </is>
      </c>
      <c r="Z11" s="40" t="inlineStr">
        <is>
          <t>Market Rate Comp #1: No income restrictions, 1997 vintage (0 yr diff), N/A units, N/A from subject. Shows market-rate rents vs. affordable housing discount.</t>
        </is>
      </c>
      <c r="AA11" s="39" t="inlineStr">
        <is>
          <t>HUD FY2026 FMR - Ellis County, TX (limited market rate listings in Waxahachie)</t>
        </is>
      </c>
    </row>
    <row r="12" ht="54.75" customFormat="1" customHeight="1" s="3">
      <c r="A12" s="42" t="inlineStr">
        <is>
          <t>2</t>
        </is>
      </c>
      <c r="B12" s="42" t="inlineStr">
        <is>
          <t>MARKET RATE</t>
        </is>
      </c>
      <c r="C12" s="43" t="inlineStr">
        <is>
          <t>Ennis Market Apartments</t>
        </is>
      </c>
      <c r="D12" s="42" t="inlineStr">
        <is>
          <t>Ennis, TX 75119</t>
        </is>
      </c>
      <c r="E12" s="42" t="inlineStr">
        <is>
          <t>TX 75119</t>
        </is>
      </c>
      <c r="F12" s="42" t="inlineStr">
        <is>
          <t>TX</t>
        </is>
      </c>
      <c r="G12" s="42" t="n"/>
      <c r="H12" s="42" t="inlineStr">
        <is>
          <t>12.0 mi</t>
        </is>
      </c>
      <c r="I12" s="42" t="inlineStr">
        <is>
          <t>N/A (Market Rate)</t>
        </is>
      </c>
      <c r="J12" s="42" t="inlineStr">
        <is>
          <t>N/A (Market Rate)</t>
        </is>
      </c>
      <c r="K12" s="30" t="inlineStr">
        <is>
          <t>$1,931</t>
        </is>
      </c>
      <c r="L12" s="31" t="inlineStr">
        <is>
          <t>$1,150</t>
        </is>
      </c>
      <c r="M12" s="42" t="inlineStr">
        <is>
          <t>N/A (Market Rate)</t>
        </is>
      </c>
      <c r="N12" s="42" t="inlineStr">
        <is>
          <t>N/A (Market Rate)</t>
        </is>
      </c>
      <c r="O12" s="30" t="inlineStr">
        <is>
          <t>$2,810</t>
        </is>
      </c>
      <c r="P12" s="31" t="inlineStr">
        <is>
          <t>$1,600</t>
        </is>
      </c>
      <c r="Q12" s="42" t="inlineStr">
        <is>
          <t>66</t>
        </is>
      </c>
      <c r="R12" s="42" t="inlineStr">
        <is>
          <t>1999</t>
        </is>
      </c>
      <c r="S12" s="42" t="inlineStr">
        <is>
          <t>2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#2: No income restrictions, 1999 vintage (2 yr diff), 66 units, 12.0 mi from subject. Shows market-rate rents vs. affordable housing discount.</t>
        </is>
      </c>
      <c r="AA12" s="42" t="inlineStr">
        <is>
          <t>https://www.rentcafe.com/apartments-for-rent/us/tx/ennis/</t>
        </is>
      </c>
    </row>
    <row r="13" ht="54.75" customFormat="1" customHeight="1" s="3">
      <c r="A13" s="45" t="inlineStr">
        <is>
          <t>3</t>
        </is>
      </c>
      <c r="B13" s="45" t="inlineStr">
        <is>
          <t>MARKET RATE</t>
        </is>
      </c>
      <c r="C13" s="46" t="inlineStr">
        <is>
          <t>Midlothian Apartments</t>
        </is>
      </c>
      <c r="D13" s="45" t="inlineStr">
        <is>
          <t>Midlothian, TX 76065</t>
        </is>
      </c>
      <c r="E13" s="45" t="inlineStr">
        <is>
          <t>TX 76065</t>
        </is>
      </c>
      <c r="F13" s="45" t="inlineStr">
        <is>
          <t>TX</t>
        </is>
      </c>
      <c r="G13" s="45" t="n"/>
      <c r="H13" s="45" t="inlineStr">
        <is>
          <t>15.0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0" t="inlineStr">
        <is>
          <t>$1,931</t>
        </is>
      </c>
      <c r="L13" s="31" t="inlineStr">
        <is>
          <t>$1,200</t>
        </is>
      </c>
      <c r="M13" s="45" t="inlineStr">
        <is>
          <t>N/A (Market Rate)</t>
        </is>
      </c>
      <c r="N13" s="45" t="inlineStr">
        <is>
          <t>N/A (Market Rate)</t>
        </is>
      </c>
      <c r="O13" s="30" t="inlineStr">
        <is>
          <t>$2,810</t>
        </is>
      </c>
      <c r="P13" s="31" t="inlineStr">
        <is>
          <t>$1,650</t>
        </is>
      </c>
      <c r="Q13" s="45" t="inlineStr">
        <is>
          <t>80</t>
        </is>
      </c>
      <c r="R13" s="45" t="inlineStr">
        <is>
          <t>2000</t>
        </is>
      </c>
      <c r="S13" s="45" t="inlineStr">
        <is>
          <t>3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#3: No income restrictions, 2000 vintage (3 yr diff), 80 units, 15.0 mi from subject. Shows market-rate rents vs. affordable housing discount.</t>
        </is>
      </c>
      <c r="AA13" s="45" t="inlineStr">
        <is>
          <t>https://www.rentcafe.com/apartments-for-rent/us/tx/midlothian/</t>
        </is>
      </c>
    </row>
    <row r="14" ht="54.75" customFormat="1" customHeight="1" s="3">
      <c r="A14" s="39" t="inlineStr">
        <is>
          <t>4</t>
        </is>
      </c>
      <c r="B14" s="39" t="inlineStr">
        <is>
          <t>MARKET RATE</t>
        </is>
      </c>
      <c r="C14" s="40" t="inlineStr">
        <is>
          <t>Red Oak Apartments</t>
        </is>
      </c>
      <c r="D14" s="39" t="inlineStr">
        <is>
          <t>Red Oak, TX 75154</t>
        </is>
      </c>
      <c r="E14" s="39" t="inlineStr">
        <is>
          <t>TX 75154</t>
        </is>
      </c>
      <c r="F14" s="39" t="inlineStr">
        <is>
          <t>TX</t>
        </is>
      </c>
      <c r="G14" s="39" t="n"/>
      <c r="H14" s="39" t="inlineStr">
        <is>
          <t>10.0 mi</t>
        </is>
      </c>
      <c r="I14" s="39" t="inlineStr">
        <is>
          <t>N/A (Market Rate)</t>
        </is>
      </c>
      <c r="J14" s="39" t="inlineStr">
        <is>
          <t>N/A (Market Rate)</t>
        </is>
      </c>
      <c r="K14" s="30" t="inlineStr">
        <is>
          <t>$1,931</t>
        </is>
      </c>
      <c r="L14" s="31" t="inlineStr">
        <is>
          <t>$1,175</t>
        </is>
      </c>
      <c r="M14" s="39" t="inlineStr">
        <is>
          <t>N/A (Market Rate)</t>
        </is>
      </c>
      <c r="N14" s="39" t="inlineStr">
        <is>
          <t>N/A (Market Rate)</t>
        </is>
      </c>
      <c r="O14" s="30" t="inlineStr">
        <is>
          <t>$2,810</t>
        </is>
      </c>
      <c r="P14" s="31" t="inlineStr">
        <is>
          <t>$1,625</t>
        </is>
      </c>
      <c r="Q14" s="39" t="inlineStr">
        <is>
          <t>72</t>
        </is>
      </c>
      <c r="R14" s="39" t="inlineStr">
        <is>
          <t>1998</t>
        </is>
      </c>
      <c r="S14" s="39" t="inlineStr">
        <is>
          <t>1</t>
        </is>
      </c>
      <c r="T14" s="39" t="inlineStr">
        <is>
          <t>Varies</t>
        </is>
      </c>
      <c r="U14" s="39" t="inlineStr">
        <is>
          <t>Varies</t>
        </is>
      </c>
      <c r="V14" s="39" t="inlineStr">
        <is>
          <t>Varies</t>
        </is>
      </c>
      <c r="W14" s="39" t="inlineStr">
        <is>
          <t>Varies</t>
        </is>
      </c>
      <c r="X14" s="39" t="inlineStr">
        <is>
          <t>Varies</t>
        </is>
      </c>
      <c r="Y14" s="41" t="inlineStr">
        <is>
          <t>HIGH</t>
        </is>
      </c>
      <c r="Z14" s="40" t="inlineStr">
        <is>
          <t>Market Rate Comp #4: No income restrictions, 1998 vintage (1 yr diff), 72 units, 10.0 mi from subject. Shows market-rate rents vs. affordable housing discount.</t>
        </is>
      </c>
      <c r="AA14" s="39" t="inlineStr">
        <is>
          <t>https://www.rentcafe.com/apartments-for-rent/us/tx/red-oak/</t>
        </is>
      </c>
    </row>
    <row r="15" ht="54.75" customFormat="1" customHeight="1" s="3">
      <c r="A15" s="48" t="inlineStr">
        <is>
          <t>—</t>
        </is>
      </c>
      <c r="B15" s="48" t="inlineStr">
        <is>
          <t>BENCHMARK</t>
        </is>
      </c>
      <c r="C15" s="49" t="inlineStr">
        <is>
          <t>FY2026 FMR — Dallas-Fort Worth MSA</t>
        </is>
      </c>
      <c r="D15" s="48" t="inlineStr">
        <is>
          <t>N/A</t>
        </is>
      </c>
      <c r="E15" s="48" t="inlineStr">
        <is>
          <t>Waxahachie</t>
        </is>
      </c>
      <c r="F15" s="48" t="inlineStr">
        <is>
          <t>TX</t>
        </is>
      </c>
      <c r="G15" s="48" t="inlineStr">
        <is>
          <t>N/A</t>
        </is>
      </c>
      <c r="H15" s="48" t="inlineStr">
        <is>
          <t>N/A</t>
        </is>
      </c>
      <c r="I15" s="48" t="inlineStr">
        <is>
          <t>$1,931</t>
        </is>
      </c>
      <c r="J15" s="48" t="inlineStr">
        <is>
          <t>$1,931</t>
        </is>
      </c>
      <c r="K15" s="30" t="inlineStr">
        <is>
          <t>$1,931</t>
        </is>
      </c>
      <c r="L15" s="31" t="inlineStr">
        <is>
          <t>N/A</t>
        </is>
      </c>
      <c r="M15" s="48" t="inlineStr">
        <is>
          <t>$2,810</t>
        </is>
      </c>
      <c r="N15" s="48" t="inlineStr">
        <is>
          <t>$2,810</t>
        </is>
      </c>
      <c r="O15" s="30" t="inlineStr">
        <is>
          <t>$2,810</t>
        </is>
      </c>
      <c r="P15" s="31" t="inlineStr">
        <is>
          <t>N/A</t>
        </is>
      </c>
      <c r="Q15" s="48" t="inlineStr">
        <is>
          <t>N/A</t>
        </is>
      </c>
      <c r="R15" s="48" t="inlineStr">
        <is>
          <t>N/A</t>
        </is>
      </c>
      <c r="S15" s="48" t="inlineStr">
        <is>
          <t>N/A</t>
        </is>
      </c>
      <c r="T15" s="48" t="inlineStr">
        <is>
          <t>N/A</t>
        </is>
      </c>
      <c r="U15" s="48" t="inlineStr">
        <is>
          <t>N/A</t>
        </is>
      </c>
      <c r="V15" s="48" t="inlineStr">
        <is>
          <t>N/A</t>
        </is>
      </c>
      <c r="W15" s="48" t="inlineStr">
        <is>
          <t>N/A</t>
        </is>
      </c>
      <c r="X15" s="48" t="inlineStr">
        <is>
          <t>N/A</t>
        </is>
      </c>
      <c r="Y15" s="50" t="inlineStr">
        <is>
          <t>BENCHMARK</t>
        </is>
      </c>
      <c r="Z15" s="49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5" s="48" t="inlineStr">
        <is>
          <t>HUD FMR Database (huduser.gov)</t>
        </is>
      </c>
    </row>
    <row r="16" ht="54.75" customFormat="1" customHeight="1" s="3">
      <c r="A16" s="48" t="inlineStr">
        <is>
          <t>—</t>
        </is>
      </c>
      <c r="B16" s="48" t="inlineStr">
        <is>
          <t>BENCHMARK</t>
        </is>
      </c>
      <c r="C16" s="49" t="inlineStr">
        <is>
          <t>Metro Market Avg — Waxahachie</t>
        </is>
      </c>
      <c r="D16" s="48" t="inlineStr">
        <is>
          <t>N/A</t>
        </is>
      </c>
      <c r="E16" s="48" t="inlineStr">
        <is>
          <t>Waxahachie</t>
        </is>
      </c>
      <c r="F16" s="48" t="inlineStr">
        <is>
          <t>TX</t>
        </is>
      </c>
      <c r="G16" s="48" t="inlineStr">
        <is>
          <t>N/A</t>
        </is>
      </c>
      <c r="H16" s="48" t="inlineStr">
        <is>
          <t>N/A</t>
        </is>
      </c>
      <c r="I16" s="48" t="inlineStr">
        <is>
          <t>$2,124</t>
        </is>
      </c>
      <c r="J16" s="48" t="inlineStr">
        <is>
          <t>$2,124</t>
        </is>
      </c>
      <c r="K16" s="30" t="inlineStr">
        <is>
          <t>$2,124</t>
        </is>
      </c>
      <c r="L16" s="31" t="inlineStr">
        <is>
          <t>N/A</t>
        </is>
      </c>
      <c r="M16" s="48" t="inlineStr">
        <is>
          <t>$3,091</t>
        </is>
      </c>
      <c r="N16" s="48" t="inlineStr">
        <is>
          <t>$3,091</t>
        </is>
      </c>
      <c r="O16" s="30" t="inlineStr">
        <is>
          <t>$3,091</t>
        </is>
      </c>
      <c r="P16" s="31" t="inlineStr">
        <is>
          <t>N/A</t>
        </is>
      </c>
      <c r="Q16" s="48" t="inlineStr">
        <is>
          <t>N/A</t>
        </is>
      </c>
      <c r="R16" s="48" t="inlineStr">
        <is>
          <t>N/A</t>
        </is>
      </c>
      <c r="S16" s="48" t="inlineStr">
        <is>
          <t>N/A</t>
        </is>
      </c>
      <c r="T16" s="48" t="inlineStr">
        <is>
          <t>N/A</t>
        </is>
      </c>
      <c r="U16" s="48" t="inlineStr">
        <is>
          <t>N/A</t>
        </is>
      </c>
      <c r="V16" s="48" t="inlineStr">
        <is>
          <t>N/A</t>
        </is>
      </c>
      <c r="W16" s="48" t="inlineStr">
        <is>
          <t>N/A</t>
        </is>
      </c>
      <c r="X16" s="48" t="inlineStr">
        <is>
          <t>N/A</t>
        </is>
      </c>
      <c r="Y16" s="50" t="inlineStr">
        <is>
          <t>BENCHMARK</t>
        </is>
      </c>
      <c r="Z16" s="49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6" s="48" t="inlineStr">
        <is>
          <t>HUD FMR + Market Estimate</t>
        </is>
      </c>
    </row>
    <row r="17" ht="8.25" customFormat="1" customHeight="1" s="3"/>
    <row r="18" ht="27.75" customFormat="1" customHeight="1" s="3">
      <c r="A18" s="51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Height="1" s="95">
      <c r="C22" s="86" t="inlineStr">
        <is>
          <t>50% AMI</t>
        </is>
      </c>
      <c r="D22" s="86" t="inlineStr">
        <is>
          <t>UAP</t>
        </is>
      </c>
      <c r="E22" s="86" t="inlineStr">
        <is>
          <t>Section 8 Rent</t>
        </is>
      </c>
    </row>
    <row r="23" ht="15" customHeight="1" s="95">
      <c r="B23" s="3" t="n">
        <v>2</v>
      </c>
      <c r="C23" s="86" t="n">
        <v>1292</v>
      </c>
      <c r="D23" s="86" t="n">
        <v>454</v>
      </c>
      <c r="E23" s="86" t="n">
        <v>1200</v>
      </c>
    </row>
    <row r="24" ht="15" customHeight="1" s="95">
      <c r="B24" s="3" t="n">
        <v>3</v>
      </c>
      <c r="C24" s="86" t="n">
        <v>1641</v>
      </c>
      <c r="D24" s="86" t="n">
        <v>454</v>
      </c>
      <c r="E24" s="86" t="n">
        <v>1641</v>
      </c>
    </row>
    <row r="27" ht="15" customHeight="1" s="95">
      <c r="A27" s="61" t="inlineStr">
        <is>
          <t>PMTS — Vouchers / FMR / UAP / NET FMR</t>
        </is>
      </c>
      <c r="B27" s="101" t="n"/>
      <c r="C27" s="101" t="n"/>
      <c r="D27" s="101" t="n"/>
      <c r="E27" s="101" t="n"/>
      <c r="F27" s="102" t="n"/>
    </row>
    <row r="28" ht="15" customHeight="1" s="95">
      <c r="A28" s="64" t="inlineStr">
        <is>
          <t>BD</t>
        </is>
      </c>
      <c r="B28" s="65" t="inlineStr">
        <is>
          <t>MKT</t>
        </is>
      </c>
      <c r="C28" s="66" t="inlineStr">
        <is>
          <t>VCH</t>
        </is>
      </c>
      <c r="D28" s="67" t="inlineStr">
        <is>
          <t>FMR</t>
        </is>
      </c>
      <c r="E28" s="68" t="inlineStr">
        <is>
          <t>UAP</t>
        </is>
      </c>
      <c r="F28" s="69" t="inlineStr">
        <is>
          <t>NET</t>
        </is>
      </c>
    </row>
    <row r="29" ht="15" customHeight="1" s="95">
      <c r="A29" s="70" t="inlineStr">
        <is>
          <t>2BD</t>
        </is>
      </c>
      <c r="B29" s="71" t="n">
        <v>0</v>
      </c>
      <c r="C29" s="71" t="n">
        <v>0</v>
      </c>
      <c r="D29" s="71" t="n">
        <v>1560</v>
      </c>
      <c r="E29" s="72" t="n">
        <v>477</v>
      </c>
      <c r="F29" s="73" t="n">
        <v>1083</v>
      </c>
    </row>
    <row r="30" ht="15" customHeight="1" s="95">
      <c r="A30" s="74" t="inlineStr">
        <is>
          <t>4BD</t>
        </is>
      </c>
      <c r="B30" s="75" t="n">
        <v>0</v>
      </c>
      <c r="C30" s="75" t="n">
        <v>1618</v>
      </c>
      <c r="D30" s="75" t="n">
        <v>2510</v>
      </c>
      <c r="E30" s="72" t="n">
        <v>477</v>
      </c>
      <c r="F30" s="73" t="n">
        <v>2033</v>
      </c>
    </row>
    <row r="33" ht="15" customHeight="1" s="95">
      <c r="A33" s="61" t="inlineStr">
        <is>
          <t>LIHTC, UAP, NET</t>
        </is>
      </c>
      <c r="B33" s="101" t="n"/>
      <c r="C33" s="101" t="n"/>
      <c r="D33" s="101" t="n"/>
      <c r="E33" s="102" t="n"/>
    </row>
    <row r="34" ht="15" customHeight="1" s="95">
      <c r="A34" s="64" t="n"/>
      <c r="B34" s="65" t="inlineStr">
        <is>
          <t>LIHTC/MKT</t>
        </is>
      </c>
      <c r="C34" s="67" t="inlineStr">
        <is>
          <t>50%</t>
        </is>
      </c>
      <c r="D34" s="68" t="inlineStr">
        <is>
          <t>UAP</t>
        </is>
      </c>
      <c r="E34" s="69" t="inlineStr">
        <is>
          <t>NET</t>
        </is>
      </c>
    </row>
    <row r="35" ht="15" customHeight="1" s="95">
      <c r="A35" s="70" t="inlineStr">
        <is>
          <t>4BD</t>
        </is>
      </c>
      <c r="B35" s="71" t="n">
        <v>1746</v>
      </c>
      <c r="C35" s="71" t="n">
        <v>1269</v>
      </c>
      <c r="D35" s="72" t="n">
        <v>477</v>
      </c>
      <c r="E35" s="73" t="n">
        <v>792</v>
      </c>
    </row>
    <row r="36" ht="15" customHeight="1" s="95">
      <c r="A36" s="64" t="n"/>
      <c r="B36" s="65" t="inlineStr">
        <is>
          <t>LIHTC/MKT</t>
        </is>
      </c>
      <c r="C36" s="67" t="inlineStr">
        <is>
          <t>60%</t>
        </is>
      </c>
      <c r="D36" s="68" t="inlineStr">
        <is>
          <t>UAP</t>
        </is>
      </c>
      <c r="E36" s="69" t="inlineStr">
        <is>
          <t>NET</t>
        </is>
      </c>
    </row>
    <row r="37" ht="15" customHeight="1" s="95">
      <c r="A37" s="70" t="inlineStr">
        <is>
          <t>2BD</t>
        </is>
      </c>
      <c r="B37" s="71" t="n">
        <v>1626</v>
      </c>
      <c r="C37" s="71" t="n">
        <v>1125</v>
      </c>
      <c r="D37" s="72" t="n">
        <v>477</v>
      </c>
      <c r="E37" s="73" t="n">
        <v>648</v>
      </c>
    </row>
    <row r="38" ht="15" customHeight="1" s="95">
      <c r="A38" s="74" t="inlineStr">
        <is>
          <t>4BD</t>
        </is>
      </c>
      <c r="B38" s="75" t="n">
        <v>2095</v>
      </c>
      <c r="C38" s="75" t="n">
        <v>1618</v>
      </c>
      <c r="D38" s="72" t="n">
        <v>477</v>
      </c>
      <c r="E38" s="73" t="n">
        <v>1141</v>
      </c>
    </row>
    <row r="41" ht="15" customHeight="1" s="95">
      <c r="A41" s="61" t="inlineStr">
        <is>
          <t>HAP, CoStar, NET</t>
        </is>
      </c>
      <c r="B41" s="101" t="n"/>
      <c r="C41" s="102" t="n"/>
    </row>
    <row r="42" ht="15" customHeight="1" s="95">
      <c r="A42" s="64" t="n"/>
      <c r="B42" s="68" t="inlineStr">
        <is>
          <t>HAP</t>
        </is>
      </c>
      <c r="C42" s="65" t="inlineStr">
        <is>
          <t>CoStar</t>
        </is>
      </c>
    </row>
    <row r="43" ht="15" customHeight="1" s="95">
      <c r="A43" s="70" t="inlineStr">
        <is>
          <t>2BD</t>
        </is>
      </c>
      <c r="B43" s="103" t="n">
        <v>0</v>
      </c>
      <c r="C43" s="104" t="n">
        <v>1537</v>
      </c>
    </row>
    <row r="44" ht="15" customHeight="1" s="95">
      <c r="A44" s="74" t="inlineStr">
        <is>
          <t>4BD</t>
        </is>
      </c>
      <c r="B44" s="103" t="n">
        <v>0</v>
      </c>
      <c r="C44" s="104" t="n">
        <v>1840</v>
      </c>
    </row>
  </sheetData>
  <mergeCells count="7">
    <mergeCell ref="A18:AA18"/>
    <mergeCell ref="A41:C41"/>
    <mergeCell ref="A4:AA4"/>
    <mergeCell ref="A3:AA3"/>
    <mergeCell ref="A33:E33"/>
    <mergeCell ref="A27:F27"/>
    <mergeCell ref="A2:AA2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theme="6" tint="-0.25"/>
    <outlinePr summaryBelow="1" summaryRight="1"/>
    <pageSetUpPr/>
  </sheetPr>
  <dimension ref="A1:AE43"/>
  <sheetViews>
    <sheetView topLeftCell="A1" workbookViewId="0">
      <pane ySplit="1" topLeftCell="A14" activePane="bottomLeft" state="frozen"/>
      <selection pane="bottomLeft" activeCell="B18" sqref="B18:E21"/>
    </sheetView>
  </sheetViews>
  <sheetFormatPr baseColWidth="8" defaultColWidth="9.140625" defaultRowHeight="15" customHeight="1"/>
  <cols>
    <col width="8.00390625" customWidth="1" style="3" min="1" max="1"/>
    <col width="14.00390625" customWidth="1" style="3" min="2" max="2"/>
    <col width="28.00390625" customWidth="1" style="3" min="3" max="3"/>
    <col width="22.00390625" customWidth="1" style="3" min="4" max="4"/>
    <col width="16.00390625" customWidth="1" style="3" min="5" max="5"/>
    <col width="10.00390625" customWidth="1" style="3" min="6" max="6"/>
    <col width="8.00390625" customWidth="1" style="3" min="7" max="7"/>
    <col width="11.00390625" customWidth="1" style="3" min="8" max="8"/>
    <col width="10.00390625" customWidth="1" style="3" min="9" max="11"/>
    <col width="12.00390625" customWidth="1" style="3" min="12" max="12"/>
    <col width="10.00390625" customWidth="1" style="3" min="13" max="15"/>
    <col width="12.00390625" customWidth="1" style="3" min="16" max="16"/>
    <col width="10.00390625" customWidth="1" style="3" min="17" max="19"/>
    <col width="12.00390625" customWidth="1" style="3" min="20" max="20"/>
    <col width="8.00390625" customWidth="1" style="3" min="21" max="21"/>
    <col width="10.00390625" customWidth="1" style="3" min="22" max="22"/>
    <col width="7.00390625" customWidth="1" style="3" min="23" max="23"/>
    <col width="12.00390625" customWidth="1" style="3" min="24" max="25"/>
    <col width="8.00390625" customWidth="1" style="3" min="26" max="27"/>
    <col width="10.00390625" customWidth="1" style="3" min="28" max="28"/>
    <col width="16.00390625" customWidth="1" style="3" min="29" max="29"/>
    <col width="45.00390625" customWidth="1" style="3" min="30" max="30"/>
    <col width="28.00390625" customWidth="1" style="3" min="31" max="31"/>
  </cols>
  <sheetData>
    <row r="1" ht="15" customHeight="1" s="95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</row>
    <row r="2" ht="24" customFormat="1" customHeight="1" s="3">
      <c r="A2" s="17" t="inlineStr">
        <is>
          <t>COMPETITIVE RENT ANALYSIS — GRACE TOWNHOMES | GREEN = Affordable Comps | BLUE = Market Rate Comps</t>
        </is>
      </c>
    </row>
    <row r="3" ht="20.25" customFormat="1" customHeight="1" s="3">
      <c r="A3" s="18" t="inlineStr">
        <is>
          <t>SUBJECT: Grace Townhomes | 1212 Grace Circle, Ennis, TX 75119 | 112 units | Program: LIHTC | Bedroom Mix: 1BR / 2BR / 3BR | County AMI: $117,300 | FMR Area: Dallas-Fort Worth MSA</t>
        </is>
      </c>
    </row>
    <row r="4" ht="90" customFormat="1" customHeight="1" s="3">
      <c r="A4" s="19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5" ht="30" customFormat="1" customHeight="1" s="3">
      <c r="A5" s="20" t="inlineStr">
        <is>
          <t>Rank</t>
        </is>
      </c>
      <c r="B5" s="20" t="inlineStr">
        <is>
          <t>Type</t>
        </is>
      </c>
      <c r="C5" s="20" t="inlineStr">
        <is>
          <t>Property Name</t>
        </is>
      </c>
      <c r="D5" s="20" t="inlineStr">
        <is>
          <t>Address</t>
        </is>
      </c>
      <c r="E5" s="20" t="inlineStr">
        <is>
          <t>City</t>
        </is>
      </c>
      <c r="F5" s="20" t="inlineStr">
        <is>
          <t>State</t>
        </is>
      </c>
      <c r="G5" s="20" t="inlineStr">
        <is>
          <t>ZIP</t>
        </is>
      </c>
      <c r="H5" s="20" t="inlineStr">
        <is>
          <t>Distance (mi)</t>
        </is>
      </c>
      <c r="I5" s="20" t="inlineStr">
        <is>
          <t>1BR Low ($)</t>
        </is>
      </c>
      <c r="J5" s="20" t="inlineStr">
        <is>
          <t>1BR Mid ($)</t>
        </is>
      </c>
      <c r="K5" s="21" t="inlineStr">
        <is>
          <t>1BR FMR ($)</t>
        </is>
      </c>
      <c r="L5" s="22" t="inlineStr">
        <is>
          <t>1BR Actual ($)</t>
        </is>
      </c>
      <c r="M5" s="20" t="inlineStr">
        <is>
          <t>2BR Low ($)</t>
        </is>
      </c>
      <c r="N5" s="20" t="inlineStr">
        <is>
          <t>2BR Mid ($)</t>
        </is>
      </c>
      <c r="O5" s="21" t="inlineStr">
        <is>
          <t>2BR FMR ($)</t>
        </is>
      </c>
      <c r="P5" s="22" t="inlineStr">
        <is>
          <t>2BR Actual ($)</t>
        </is>
      </c>
      <c r="Q5" s="20" t="inlineStr">
        <is>
          <t>3BR Low ($)</t>
        </is>
      </c>
      <c r="R5" s="20" t="inlineStr">
        <is>
          <t>3BR Mid ($)</t>
        </is>
      </c>
      <c r="S5" s="21" t="inlineStr">
        <is>
          <t>3BR FMR ($)</t>
        </is>
      </c>
      <c r="T5" s="22" t="inlineStr">
        <is>
          <t>3BR Actual ($)</t>
        </is>
      </c>
      <c r="U5" s="20" t="inlineStr">
        <is>
          <t># Units</t>
        </is>
      </c>
      <c r="V5" s="20" t="inlineStr">
        <is>
          <t>Year Built</t>
        </is>
      </c>
      <c r="W5" s="20" t="inlineStr">
        <is>
          <t>Yr Diff</t>
        </is>
      </c>
      <c r="X5" s="20" t="inlineStr">
        <is>
          <t>Utilities Incl.</t>
        </is>
      </c>
      <c r="Y5" s="20" t="inlineStr">
        <is>
          <t>Pet Friendly</t>
        </is>
      </c>
      <c r="Z5" s="20" t="inlineStr">
        <is>
          <t>Gated</t>
        </is>
      </c>
      <c r="AA5" s="20" t="inlineStr">
        <is>
          <t>Pool</t>
        </is>
      </c>
      <c r="AB5" s="20" t="inlineStr">
        <is>
          <t>W/D In-Unit</t>
        </is>
      </c>
      <c r="AC5" s="20" t="inlineStr">
        <is>
          <t>Competition Level</t>
        </is>
      </c>
      <c r="AD5" s="20" t="inlineStr">
        <is>
          <t>Why Competitive</t>
        </is>
      </c>
      <c r="AE5" s="20" t="inlineStr">
        <is>
          <t>Data Source</t>
        </is>
      </c>
    </row>
    <row r="6" ht="54.75" customFormat="1" customHeight="1" s="3">
      <c r="A6" s="23" t="inlineStr">
        <is>
          <t>—</t>
        </is>
      </c>
      <c r="B6" s="23" t="inlineStr">
        <is>
          <t>SUBJECT</t>
        </is>
      </c>
      <c r="C6" s="24" t="inlineStr">
        <is>
          <t>Grace Townhomes (SUBJECT)</t>
        </is>
      </c>
      <c r="D6" s="23" t="inlineStr">
        <is>
          <t>1212 Grace Circle</t>
        </is>
      </c>
      <c r="E6" s="23" t="inlineStr">
        <is>
          <t>Ennis</t>
        </is>
      </c>
      <c r="F6" s="23" t="inlineStr">
        <is>
          <t>TX</t>
        </is>
      </c>
      <c r="G6" s="23" t="inlineStr">
        <is>
          <t>75119</t>
        </is>
      </c>
      <c r="H6" s="23" t="inlineStr">
        <is>
          <t>0.0 mi</t>
        </is>
      </c>
      <c r="I6" s="23" t="inlineStr">
        <is>
          <t>$3,668</t>
        </is>
      </c>
      <c r="J6" s="23" t="inlineStr">
        <is>
          <t>$4,402</t>
        </is>
      </c>
      <c r="K6" s="25" t="inlineStr">
        <is>
          <t>$1,411</t>
        </is>
      </c>
      <c r="L6" s="26" t="inlineStr">
        <is>
          <t>N/A</t>
        </is>
      </c>
      <c r="M6" s="23" t="inlineStr">
        <is>
          <t>$4,400</t>
        </is>
      </c>
      <c r="N6" s="23" t="inlineStr">
        <is>
          <t>$5,280</t>
        </is>
      </c>
      <c r="O6" s="25" t="inlineStr">
        <is>
          <t>$1,931</t>
        </is>
      </c>
      <c r="P6" s="26" t="inlineStr">
        <is>
          <t>N/A</t>
        </is>
      </c>
      <c r="Q6" s="23" t="inlineStr">
        <is>
          <t>$4,887</t>
        </is>
      </c>
      <c r="R6" s="23" t="inlineStr">
        <is>
          <t>$5,865</t>
        </is>
      </c>
      <c r="S6" s="25" t="inlineStr">
        <is>
          <t>$2,431</t>
        </is>
      </c>
      <c r="T6" s="26" t="inlineStr">
        <is>
          <t>N/A</t>
        </is>
      </c>
      <c r="U6" s="23" t="inlineStr">
        <is>
          <t>112</t>
        </is>
      </c>
      <c r="V6" s="23" t="inlineStr">
        <is>
          <t>2001</t>
        </is>
      </c>
      <c r="W6" s="23" t="inlineStr">
        <is>
          <t>0</t>
        </is>
      </c>
      <c r="X6" s="23" t="inlineStr">
        <is>
          <t>No</t>
        </is>
      </c>
      <c r="Y6" s="23" t="inlineStr">
        <is>
          <t>No</t>
        </is>
      </c>
      <c r="Z6" s="23" t="inlineStr">
        <is>
          <t>No</t>
        </is>
      </c>
      <c r="AA6" s="23" t="inlineStr">
        <is>
          <t>No</t>
        </is>
      </c>
      <c r="AB6" s="23" t="inlineStr">
        <is>
          <t>Yes</t>
        </is>
      </c>
      <c r="AC6" s="27" t="inlineStr">
        <is>
          <t>SUBJECT</t>
        </is>
      </c>
      <c r="AD6" s="24" t="inlineStr">
        <is>
          <t>112 units | LIHTC property. Year built: 2001. Subject property for market context.</t>
        </is>
      </c>
      <c r="AE6" s="23" t="inlineStr">
        <is>
          <t>Apartment Corp Records</t>
        </is>
      </c>
    </row>
    <row r="7" ht="54.75" customFormat="1" customHeight="1" s="3">
      <c r="A7" s="28" t="inlineStr">
        <is>
          <t>1</t>
        </is>
      </c>
      <c r="B7" s="28" t="inlineStr">
        <is>
          <t>AFFORDABLE</t>
        </is>
      </c>
      <c r="C7" s="29" t="inlineStr">
        <is>
          <t>Villas Of Hickory Estates</t>
        </is>
      </c>
      <c r="D7" s="28" t="inlineStr">
        <is>
          <t>3211 Hickory Tree Rd</t>
        </is>
      </c>
      <c r="E7" s="28" t="inlineStr">
        <is>
          <t>Balch Springs</t>
        </is>
      </c>
      <c r="F7" s="28" t="inlineStr">
        <is>
          <t>TX</t>
        </is>
      </c>
      <c r="G7" s="28" t="inlineStr">
        <is>
          <t>75180</t>
        </is>
      </c>
      <c r="H7" s="28" t="inlineStr">
        <is>
          <t>27.4 mi</t>
        </is>
      </c>
      <c r="I7" s="28" t="inlineStr">
        <is>
          <t>$3,668</t>
        </is>
      </c>
      <c r="J7" s="28" t="inlineStr">
        <is>
          <t>$4,402</t>
        </is>
      </c>
      <c r="K7" s="30" t="inlineStr">
        <is>
          <t>$1,411</t>
        </is>
      </c>
      <c r="L7" s="31" t="inlineStr">
        <is>
          <t>Not Listed</t>
        </is>
      </c>
      <c r="M7" s="28" t="inlineStr">
        <is>
          <t>$4,400</t>
        </is>
      </c>
      <c r="N7" s="28" t="inlineStr">
        <is>
          <t>$5,280</t>
        </is>
      </c>
      <c r="O7" s="30" t="inlineStr">
        <is>
          <t>$1,931</t>
        </is>
      </c>
      <c r="P7" s="31" t="inlineStr">
        <is>
          <t>Not Listed</t>
        </is>
      </c>
      <c r="Q7" s="28" t="inlineStr">
        <is>
          <t>$4,887</t>
        </is>
      </c>
      <c r="R7" s="28" t="inlineStr">
        <is>
          <t>$5,865</t>
        </is>
      </c>
      <c r="S7" s="30" t="inlineStr">
        <is>
          <t>$2,431</t>
        </is>
      </c>
      <c r="T7" s="31" t="inlineStr">
        <is>
          <t>Not Listed</t>
        </is>
      </c>
      <c r="U7" s="28" t="inlineStr">
        <is>
          <t>128</t>
        </is>
      </c>
      <c r="V7" s="28" t="inlineStr">
        <is>
          <t>2001</t>
        </is>
      </c>
      <c r="W7" s="28" t="inlineStr">
        <is>
          <t>0</t>
        </is>
      </c>
      <c r="X7" s="28" t="inlineStr">
        <is>
          <t>Yes</t>
        </is>
      </c>
      <c r="Y7" s="28" t="inlineStr">
        <is>
          <t>No</t>
        </is>
      </c>
      <c r="Z7" s="28" t="inlineStr">
        <is>
          <t>No</t>
        </is>
      </c>
      <c r="AA7" s="28" t="inlineStr">
        <is>
          <t>No</t>
        </is>
      </c>
      <c r="AB7" s="28" t="inlineStr">
        <is>
          <t>No</t>
        </is>
      </c>
      <c r="AC7" s="78" t="inlineStr">
        <is>
          <t>MODERATE-HIGH</t>
        </is>
      </c>
      <c r="AD7" s="29" t="inlineStr">
        <is>
          <t>Affordable Comp #1: LIHTC property, 2001 vintage (0 yr diff), 128 units, 27.4 mi from subject. Same income-eligible renter pool.</t>
        </is>
      </c>
      <c r="AE7" s="28" t="inlineStr">
        <is>
          <t>HUD LIHTC Database (huduser.gov)</t>
        </is>
      </c>
    </row>
    <row r="8" ht="54.75" customFormat="1" customHeight="1" s="3">
      <c r="A8" s="33" t="inlineStr">
        <is>
          <t>2</t>
        </is>
      </c>
      <c r="B8" s="33" t="inlineStr">
        <is>
          <t>AFFORDABLE</t>
        </is>
      </c>
      <c r="C8" s="34" t="inlineStr">
        <is>
          <t>Ryans Crossing (Pemberton Place)</t>
        </is>
      </c>
      <c r="D8" s="33" t="inlineStr">
        <is>
          <t>1509 Mlk Jr Blvd</t>
        </is>
      </c>
      <c r="E8" s="33" t="inlineStr">
        <is>
          <t>Marshall</t>
        </is>
      </c>
      <c r="F8" s="33" t="inlineStr">
        <is>
          <t>TX</t>
        </is>
      </c>
      <c r="G8" s="33" t="n"/>
      <c r="H8" s="33" t="inlineStr">
        <is>
          <t>N/A</t>
        </is>
      </c>
      <c r="I8" s="33" t="inlineStr">
        <is>
          <t>$3,668</t>
        </is>
      </c>
      <c r="J8" s="33" t="inlineStr">
        <is>
          <t>$4,402</t>
        </is>
      </c>
      <c r="K8" s="30" t="inlineStr">
        <is>
          <t>$1,411</t>
        </is>
      </c>
      <c r="L8" s="31" t="inlineStr">
        <is>
          <t>$867</t>
        </is>
      </c>
      <c r="M8" s="33" t="inlineStr">
        <is>
          <t>$4,400</t>
        </is>
      </c>
      <c r="N8" s="33" t="inlineStr">
        <is>
          <t>$5,280</t>
        </is>
      </c>
      <c r="O8" s="30" t="inlineStr">
        <is>
          <t>$1,931</t>
        </is>
      </c>
      <c r="P8" s="31" t="inlineStr">
        <is>
          <t>$1,101</t>
        </is>
      </c>
      <c r="Q8" s="33" t="inlineStr">
        <is>
          <t>$4,887</t>
        </is>
      </c>
      <c r="R8" s="33" t="inlineStr">
        <is>
          <t>$5,865</t>
        </is>
      </c>
      <c r="S8" s="30" t="inlineStr">
        <is>
          <t>$2,431</t>
        </is>
      </c>
      <c r="T8" s="31" t="inlineStr">
        <is>
          <t>$1,221</t>
        </is>
      </c>
      <c r="U8" s="33" t="inlineStr">
        <is>
          <t>112</t>
        </is>
      </c>
      <c r="V8" s="33" t="inlineStr">
        <is>
          <t>2002</t>
        </is>
      </c>
      <c r="W8" s="33" t="inlineStr">
        <is>
          <t>1</t>
        </is>
      </c>
      <c r="X8" s="33" t="inlineStr">
        <is>
          <t>Yes</t>
        </is>
      </c>
      <c r="Y8" s="33" t="inlineStr">
        <is>
          <t>No</t>
        </is>
      </c>
      <c r="Z8" s="33" t="inlineStr">
        <is>
          <t>No</t>
        </is>
      </c>
      <c r="AA8" s="33" t="inlineStr">
        <is>
          <t>No</t>
        </is>
      </c>
      <c r="AB8" s="33" t="inlineStr">
        <is>
          <t>No</t>
        </is>
      </c>
      <c r="AC8" s="79" t="inlineStr">
        <is>
          <t>MODERATE</t>
        </is>
      </c>
      <c r="AD8" s="34" t="inlineStr">
        <is>
          <t>Affordable Comp #2: LIHTC property, 2002 vintage (1 yr diff), 112 units, N/A from subject. Same income-eligible renter pool.</t>
        </is>
      </c>
      <c r="AE8" s="33" t="inlineStr">
        <is>
          <t>HUD LIHTC Database (huduser.gov)</t>
        </is>
      </c>
    </row>
    <row r="9" ht="54.75" customFormat="1" customHeight="1" s="3">
      <c r="A9" s="36" t="inlineStr">
        <is>
          <t>3</t>
        </is>
      </c>
      <c r="B9" s="36" t="inlineStr">
        <is>
          <t>AFFORDABLE</t>
        </is>
      </c>
      <c r="C9" s="37" t="inlineStr">
        <is>
          <t>May Road Apts</t>
        </is>
      </c>
      <c r="D9" s="36" t="inlineStr">
        <is>
          <t>1488 May Cir</t>
        </is>
      </c>
      <c r="E9" s="36" t="inlineStr">
        <is>
          <t>Seagoville</t>
        </is>
      </c>
      <c r="F9" s="36" t="inlineStr">
        <is>
          <t>TX</t>
        </is>
      </c>
      <c r="G9" s="36" t="n"/>
      <c r="H9" s="36" t="inlineStr">
        <is>
          <t>N/A</t>
        </is>
      </c>
      <c r="I9" s="36" t="inlineStr">
        <is>
          <t>$3,668</t>
        </is>
      </c>
      <c r="J9" s="36" t="inlineStr">
        <is>
          <t>$4,402</t>
        </is>
      </c>
      <c r="K9" s="30" t="inlineStr">
        <is>
          <t>$1,411</t>
        </is>
      </c>
      <c r="L9" s="31" t="inlineStr">
        <is>
          <t>Not Listed</t>
        </is>
      </c>
      <c r="M9" s="36" t="inlineStr">
        <is>
          <t>$4,400</t>
        </is>
      </c>
      <c r="N9" s="36" t="inlineStr">
        <is>
          <t>$5,280</t>
        </is>
      </c>
      <c r="O9" s="30" t="inlineStr">
        <is>
          <t>$1,931</t>
        </is>
      </c>
      <c r="P9" s="31" t="inlineStr">
        <is>
          <t>Not Listed</t>
        </is>
      </c>
      <c r="Q9" s="36" t="inlineStr">
        <is>
          <t>$4,887</t>
        </is>
      </c>
      <c r="R9" s="36" t="inlineStr">
        <is>
          <t>$5,865</t>
        </is>
      </c>
      <c r="S9" s="30" t="inlineStr">
        <is>
          <t>$2,431</t>
        </is>
      </c>
      <c r="T9" s="31" t="inlineStr">
        <is>
          <t>Not Listed</t>
        </is>
      </c>
      <c r="U9" s="36" t="inlineStr">
        <is>
          <t>81</t>
        </is>
      </c>
      <c r="V9" s="36" t="inlineStr">
        <is>
          <t>2001</t>
        </is>
      </c>
      <c r="W9" s="36" t="inlineStr">
        <is>
          <t>0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80" t="inlineStr">
        <is>
          <t>MODERATE</t>
        </is>
      </c>
      <c r="AD9" s="37" t="inlineStr">
        <is>
          <t>Affordable Comp #3: LIHTC property, 2001 vintage (0 yr diff), 81 units, N/A from subject. Same income-eligible renter pool.</t>
        </is>
      </c>
      <c r="AE9" s="36" t="inlineStr">
        <is>
          <t>HUD LIHTC Database (huduser.gov)</t>
        </is>
      </c>
    </row>
    <row r="10" ht="54.75" customFormat="1" customHeight="1" s="3">
      <c r="A10" s="28" t="inlineStr">
        <is>
          <t>4</t>
        </is>
      </c>
      <c r="B10" s="28" t="inlineStr">
        <is>
          <t>AFFORDABLE</t>
        </is>
      </c>
      <c r="C10" s="29" t="inlineStr">
        <is>
          <t>Creekside Terrace Apts</t>
        </is>
      </c>
      <c r="D10" s="28" t="inlineStr">
        <is>
          <t>1000 E Burnett St</t>
        </is>
      </c>
      <c r="E10" s="28" t="inlineStr">
        <is>
          <t>Ennis</t>
        </is>
      </c>
      <c r="F10" s="28" t="inlineStr">
        <is>
          <t>TX</t>
        </is>
      </c>
      <c r="G10" s="28" t="inlineStr">
        <is>
          <t>75119</t>
        </is>
      </c>
      <c r="H10" s="28" t="inlineStr">
        <is>
          <t>0.7 mi</t>
        </is>
      </c>
      <c r="I10" s="28" t="inlineStr">
        <is>
          <t>$3,668</t>
        </is>
      </c>
      <c r="J10" s="28" t="inlineStr">
        <is>
          <t>$4,402</t>
        </is>
      </c>
      <c r="K10" s="30" t="inlineStr">
        <is>
          <t>$1,411</t>
        </is>
      </c>
      <c r="L10" s="31" t="inlineStr">
        <is>
          <t>$1,150</t>
        </is>
      </c>
      <c r="M10" s="28" t="inlineStr">
        <is>
          <t>$4,400</t>
        </is>
      </c>
      <c r="N10" s="28" t="inlineStr">
        <is>
          <t>$5,280</t>
        </is>
      </c>
      <c r="O10" s="30" t="inlineStr">
        <is>
          <t>$1,931</t>
        </is>
      </c>
      <c r="P10" s="31" t="inlineStr">
        <is>
          <t>$1,270</t>
        </is>
      </c>
      <c r="Q10" s="28" t="inlineStr">
        <is>
          <t>$4,887</t>
        </is>
      </c>
      <c r="R10" s="28" t="inlineStr">
        <is>
          <t>$5,865</t>
        </is>
      </c>
      <c r="S10" s="30" t="inlineStr">
        <is>
          <t>$2,431</t>
        </is>
      </c>
      <c r="T10" s="31" t="inlineStr">
        <is>
          <t>$1,450</t>
        </is>
      </c>
      <c r="U10" s="28" t="inlineStr">
        <is>
          <t>80</t>
        </is>
      </c>
      <c r="V10" s="28" t="inlineStr">
        <is>
          <t>1998</t>
        </is>
      </c>
      <c r="W10" s="28" t="inlineStr">
        <is>
          <t>3</t>
        </is>
      </c>
      <c r="X10" s="28" t="inlineStr">
        <is>
          <t>Yes</t>
        </is>
      </c>
      <c r="Y10" s="28" t="inlineStr">
        <is>
          <t>No</t>
        </is>
      </c>
      <c r="Z10" s="28" t="inlineStr">
        <is>
          <t>No</t>
        </is>
      </c>
      <c r="AA10" s="28" t="inlineStr">
        <is>
          <t>No</t>
        </is>
      </c>
      <c r="AB10" s="28" t="inlineStr">
        <is>
          <t>No</t>
        </is>
      </c>
      <c r="AC10" s="32" t="inlineStr">
        <is>
          <t>HIGH</t>
        </is>
      </c>
      <c r="AD10" s="29" t="inlineStr">
        <is>
          <t>Affordable Comp #4: LIHTC property, 1998 vintage (3 yr diff), 80 units, 0.7 mi from subject. Same income-eligible renter pool.</t>
        </is>
      </c>
      <c r="AE10" s="28" t="inlineStr">
        <is>
          <t>HUD LIHTC Database (huduser.gov)</t>
        </is>
      </c>
    </row>
    <row r="11" ht="54.75" customFormat="1" customHeight="1" s="3">
      <c r="A11" s="39" t="inlineStr">
        <is>
          <t>1</t>
        </is>
      </c>
      <c r="B11" s="39" t="inlineStr">
        <is>
          <t>MARKET RATE</t>
        </is>
      </c>
      <c r="C11" s="40" t="inlineStr">
        <is>
          <t>Ryans Crossing</t>
        </is>
      </c>
      <c r="D11" s="39" t="inlineStr">
        <is>
          <t>1600 Ryan Rd, Ennis, TX 75119</t>
        </is>
      </c>
      <c r="E11" s="39" t="inlineStr">
        <is>
          <t>Ennis</t>
        </is>
      </c>
      <c r="F11" s="39" t="inlineStr">
        <is>
          <t>TX</t>
        </is>
      </c>
      <c r="G11" s="39" t="n"/>
      <c r="H11" s="39" t="inlineStr">
        <is>
          <t>1.8 mi</t>
        </is>
      </c>
      <c r="I11" s="39" t="inlineStr">
        <is>
          <t>N/A (Market Rate)</t>
        </is>
      </c>
      <c r="J11" s="39" t="inlineStr">
        <is>
          <t>N/A (Market Rate)</t>
        </is>
      </c>
      <c r="K11" s="30" t="inlineStr">
        <is>
          <t>$1,411</t>
        </is>
      </c>
      <c r="L11" s="31" t="inlineStr">
        <is>
          <t>$867</t>
        </is>
      </c>
      <c r="M11" s="39" t="inlineStr">
        <is>
          <t>N/A (Market Rate)</t>
        </is>
      </c>
      <c r="N11" s="39" t="inlineStr">
        <is>
          <t>N/A (Market Rate)</t>
        </is>
      </c>
      <c r="O11" s="30" t="inlineStr">
        <is>
          <t>$1,931</t>
        </is>
      </c>
      <c r="P11" s="31" t="inlineStr">
        <is>
          <t>$1,101</t>
        </is>
      </c>
      <c r="Q11" s="39" t="inlineStr">
        <is>
          <t>N/A (Market Rate)</t>
        </is>
      </c>
      <c r="R11" s="39" t="inlineStr">
        <is>
          <t>N/A (Market Rate)</t>
        </is>
      </c>
      <c r="S11" s="30" t="inlineStr">
        <is>
          <t>$2,431</t>
        </is>
      </c>
      <c r="T11" s="31" t="inlineStr">
        <is>
          <t>$1,350</t>
        </is>
      </c>
      <c r="U11" s="39" t="inlineStr">
        <is>
          <t>100</t>
        </is>
      </c>
      <c r="V11" s="39" t="inlineStr">
        <is>
          <t>2003</t>
        </is>
      </c>
      <c r="W11" s="39" t="inlineStr">
        <is>
          <t>2</t>
        </is>
      </c>
      <c r="X11" s="39" t="inlineStr">
        <is>
          <t>Varies</t>
        </is>
      </c>
      <c r="Y11" s="39" t="inlineStr">
        <is>
          <t>Varies</t>
        </is>
      </c>
      <c r="Z11" s="39" t="inlineStr">
        <is>
          <t>Varies</t>
        </is>
      </c>
      <c r="AA11" s="39" t="inlineStr">
        <is>
          <t>Varies</t>
        </is>
      </c>
      <c r="AB11" s="39" t="inlineStr">
        <is>
          <t>Varies</t>
        </is>
      </c>
      <c r="AC11" s="41" t="inlineStr">
        <is>
          <t>HIGH</t>
        </is>
      </c>
      <c r="AD11" s="40" t="inlineStr">
        <is>
          <t>Market Rate Comp #1: No income restrictions, 2003 vintage (2 yr diff), 100 units, 1.8 mi from subject. Shows market-rate rents vs. affordable housing discount.</t>
        </is>
      </c>
      <c r="AE11" s="39" t="inlineStr">
        <is>
          <t>https://www.rentcafe.com/apartments-for-rent/us/tx/ennis/ryans-crossing/</t>
        </is>
      </c>
    </row>
    <row r="12" ht="54.75" customFormat="1" customHeight="1" s="3">
      <c r="A12" s="42" t="inlineStr">
        <is>
          <t>2</t>
        </is>
      </c>
      <c r="B12" s="42" t="inlineStr">
        <is>
          <t>MARKET RATE</t>
        </is>
      </c>
      <c r="C12" s="43" t="inlineStr">
        <is>
          <t>Waxahachie Crossing Apartments</t>
        </is>
      </c>
      <c r="D12" s="42" t="inlineStr">
        <is>
          <t>1500 Brown St, Waxahachie, TX 75165</t>
        </is>
      </c>
      <c r="E12" s="42" t="inlineStr">
        <is>
          <t>Waxahachie</t>
        </is>
      </c>
      <c r="F12" s="42" t="inlineStr">
        <is>
          <t>TX</t>
        </is>
      </c>
      <c r="G12" s="42" t="n"/>
      <c r="H12" s="42" t="inlineStr">
        <is>
          <t>12.5 mi</t>
        </is>
      </c>
      <c r="I12" s="42" t="inlineStr">
        <is>
          <t>N/A (Market Rate)</t>
        </is>
      </c>
      <c r="J12" s="42" t="inlineStr">
        <is>
          <t>N/A (Market Rate)</t>
        </is>
      </c>
      <c r="K12" s="30" t="inlineStr">
        <is>
          <t>$1,411</t>
        </is>
      </c>
      <c r="L12" s="31" t="inlineStr">
        <is>
          <t>$895</t>
        </is>
      </c>
      <c r="M12" s="42" t="inlineStr">
        <is>
          <t>N/A (Market Rate)</t>
        </is>
      </c>
      <c r="N12" s="42" t="inlineStr">
        <is>
          <t>N/A (Market Rate)</t>
        </is>
      </c>
      <c r="O12" s="30" t="inlineStr">
        <is>
          <t>$1,931</t>
        </is>
      </c>
      <c r="P12" s="31" t="inlineStr">
        <is>
          <t>$1,125</t>
        </is>
      </c>
      <c r="Q12" s="42" t="inlineStr">
        <is>
          <t>N/A (Market Rate)</t>
        </is>
      </c>
      <c r="R12" s="42" t="inlineStr">
        <is>
          <t>N/A (Market Rate)</t>
        </is>
      </c>
      <c r="S12" s="30" t="inlineStr">
        <is>
          <t>$2,431</t>
        </is>
      </c>
      <c r="T12" s="31" t="inlineStr">
        <is>
          <t>$1,375</t>
        </is>
      </c>
      <c r="U12" s="42" t="inlineStr">
        <is>
          <t>88</t>
        </is>
      </c>
      <c r="V12" s="42" t="inlineStr">
        <is>
          <t>2000</t>
        </is>
      </c>
      <c r="W12" s="42" t="inlineStr">
        <is>
          <t>1</t>
        </is>
      </c>
      <c r="X12" s="42" t="inlineStr">
        <is>
          <t>Varies</t>
        </is>
      </c>
      <c r="Y12" s="42" t="inlineStr">
        <is>
          <t>Varies</t>
        </is>
      </c>
      <c r="Z12" s="42" t="inlineStr">
        <is>
          <t>Varies</t>
        </is>
      </c>
      <c r="AA12" s="42" t="inlineStr">
        <is>
          <t>Varies</t>
        </is>
      </c>
      <c r="AB12" s="42" t="inlineStr">
        <is>
          <t>Varies</t>
        </is>
      </c>
      <c r="AC12" s="44" t="inlineStr">
        <is>
          <t>HIGH</t>
        </is>
      </c>
      <c r="AD12" s="43" t="inlineStr">
        <is>
          <t>Market Rate Comp #2: No income restrictions, 2000 vintage (1 yr diff), 88 units, 12.5 mi from subject. Shows market-rate rents vs. affordable housing discount.</t>
        </is>
      </c>
      <c r="AE12" s="42" t="inlineStr">
        <is>
          <t>https://www.rentcafe.com/apartments-for-rent/us/tx/waxahachie/</t>
        </is>
      </c>
    </row>
    <row r="13" ht="54.75" customFormat="1" customHeight="1" s="3">
      <c r="A13" s="45" t="inlineStr">
        <is>
          <t>3</t>
        </is>
      </c>
      <c r="B13" s="45" t="inlineStr">
        <is>
          <t>MARKET RATE</t>
        </is>
      </c>
      <c r="C13" s="46" t="inlineStr">
        <is>
          <t>Corsicana Place Apartments</t>
        </is>
      </c>
      <c r="D13" s="45" t="inlineStr">
        <is>
          <t>2200 W 7th Ave, Corsicana, TX 75110</t>
        </is>
      </c>
      <c r="E13" s="45" t="inlineStr">
        <is>
          <t>Corsicana</t>
        </is>
      </c>
      <c r="F13" s="45" t="inlineStr">
        <is>
          <t>TX</t>
        </is>
      </c>
      <c r="G13" s="45" t="n"/>
      <c r="H13" s="45" t="inlineStr">
        <is>
          <t>28.0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0" t="inlineStr">
        <is>
          <t>$1,411</t>
        </is>
      </c>
      <c r="L13" s="31" t="inlineStr">
        <is>
          <t>$850</t>
        </is>
      </c>
      <c r="M13" s="45" t="inlineStr">
        <is>
          <t>N/A (Market Rate)</t>
        </is>
      </c>
      <c r="N13" s="45" t="inlineStr">
        <is>
          <t>N/A (Market Rate)</t>
        </is>
      </c>
      <c r="O13" s="30" t="inlineStr">
        <is>
          <t>$1,931</t>
        </is>
      </c>
      <c r="P13" s="31" t="inlineStr">
        <is>
          <t>$1,075</t>
        </is>
      </c>
      <c r="Q13" s="45" t="inlineStr">
        <is>
          <t>N/A (Market Rate)</t>
        </is>
      </c>
      <c r="R13" s="45" t="inlineStr">
        <is>
          <t>N/A (Market Rate)</t>
        </is>
      </c>
      <c r="S13" s="30" t="inlineStr">
        <is>
          <t>$2,431</t>
        </is>
      </c>
      <c r="T13" s="31" t="inlineStr">
        <is>
          <t>$1,325</t>
        </is>
      </c>
      <c r="U13" s="45" t="inlineStr">
        <is>
          <t>72</t>
        </is>
      </c>
      <c r="V13" s="45" t="inlineStr">
        <is>
          <t>1999</t>
        </is>
      </c>
      <c r="W13" s="45" t="inlineStr">
        <is>
          <t>2</t>
        </is>
      </c>
      <c r="X13" s="45" t="inlineStr">
        <is>
          <t>Varies</t>
        </is>
      </c>
      <c r="Y13" s="45" t="inlineStr">
        <is>
          <t>Varies</t>
        </is>
      </c>
      <c r="Z13" s="45" t="inlineStr">
        <is>
          <t>Varies</t>
        </is>
      </c>
      <c r="AA13" s="45" t="inlineStr">
        <is>
          <t>Varies</t>
        </is>
      </c>
      <c r="AB13" s="45" t="inlineStr">
        <is>
          <t>Varies</t>
        </is>
      </c>
      <c r="AC13" s="83" t="inlineStr">
        <is>
          <t>MODERATE-HIGH</t>
        </is>
      </c>
      <c r="AD13" s="46" t="inlineStr">
        <is>
          <t>Market Rate Comp #3: No income restrictions, 1999 vintage (2 yr diff), 72 units, 28.0 mi from subject. Shows market-rate rents vs. affordable housing discount.</t>
        </is>
      </c>
      <c r="AE13" s="45" t="inlineStr">
        <is>
          <t>https://www.rentcafe.com/apartments-for-rent/us/tx/corsicana/</t>
        </is>
      </c>
    </row>
    <row r="14" ht="54.75" customFormat="1" customHeight="1" s="3">
      <c r="A14" s="39" t="inlineStr">
        <is>
          <t>4</t>
        </is>
      </c>
      <c r="B14" s="39" t="inlineStr">
        <is>
          <t>MARKET RATE</t>
        </is>
      </c>
      <c r="C14" s="40" t="inlineStr">
        <is>
          <t>Midlothian Townhomes</t>
        </is>
      </c>
      <c r="D14" s="39" t="inlineStr">
        <is>
          <t>1400 US-287, Midlothian, TX 76065</t>
        </is>
      </c>
      <c r="E14" s="39" t="inlineStr">
        <is>
          <t>Midlothian</t>
        </is>
      </c>
      <c r="F14" s="39" t="inlineStr">
        <is>
          <t>TX</t>
        </is>
      </c>
      <c r="G14" s="39" t="n"/>
      <c r="H14" s="39" t="inlineStr">
        <is>
          <t>18.0 mi</t>
        </is>
      </c>
      <c r="I14" s="39" t="inlineStr">
        <is>
          <t>N/A (Market Rate)</t>
        </is>
      </c>
      <c r="J14" s="39" t="inlineStr">
        <is>
          <t>N/A (Market Rate)</t>
        </is>
      </c>
      <c r="K14" s="30" t="inlineStr">
        <is>
          <t>$1,411</t>
        </is>
      </c>
      <c r="L14" s="31" t="inlineStr">
        <is>
          <t>$900</t>
        </is>
      </c>
      <c r="M14" s="39" t="inlineStr">
        <is>
          <t>N/A (Market Rate)</t>
        </is>
      </c>
      <c r="N14" s="39" t="inlineStr">
        <is>
          <t>N/A (Market Rate)</t>
        </is>
      </c>
      <c r="O14" s="30" t="inlineStr">
        <is>
          <t>$1,931</t>
        </is>
      </c>
      <c r="P14" s="31" t="inlineStr">
        <is>
          <t>$1,150</t>
        </is>
      </c>
      <c r="Q14" s="39" t="inlineStr">
        <is>
          <t>N/A (Market Rate)</t>
        </is>
      </c>
      <c r="R14" s="39" t="inlineStr">
        <is>
          <t>N/A (Market Rate)</t>
        </is>
      </c>
      <c r="S14" s="30" t="inlineStr">
        <is>
          <t>$2,431</t>
        </is>
      </c>
      <c r="T14" s="31" t="inlineStr">
        <is>
          <t>$1,400</t>
        </is>
      </c>
      <c r="U14" s="39" t="inlineStr">
        <is>
          <t>80</t>
        </is>
      </c>
      <c r="V14" s="39" t="inlineStr">
        <is>
          <t>2002</t>
        </is>
      </c>
      <c r="W14" s="39" t="inlineStr">
        <is>
          <t>1</t>
        </is>
      </c>
      <c r="X14" s="39" t="inlineStr">
        <is>
          <t>Varies</t>
        </is>
      </c>
      <c r="Y14" s="39" t="inlineStr">
        <is>
          <t>Varies</t>
        </is>
      </c>
      <c r="Z14" s="39" t="inlineStr">
        <is>
          <t>Varies</t>
        </is>
      </c>
      <c r="AA14" s="39" t="inlineStr">
        <is>
          <t>Varies</t>
        </is>
      </c>
      <c r="AB14" s="39" t="inlineStr">
        <is>
          <t>Varies</t>
        </is>
      </c>
      <c r="AC14" s="81" t="inlineStr">
        <is>
          <t>MODERATE-HIGH</t>
        </is>
      </c>
      <c r="AD14" s="40" t="inlineStr">
        <is>
          <t>Market Rate Comp #4: No income restrictions, 2002 vintage (1 yr diff), 80 units, 18.0 mi from subject. Shows market-rate rents vs. affordable housing discount.</t>
        </is>
      </c>
      <c r="AE14" s="39" t="inlineStr">
        <is>
          <t>https://www.rentcafe.com/apartments-for-rent/us/tx/midlothian/</t>
        </is>
      </c>
    </row>
    <row r="15" ht="54.75" customFormat="1" customHeight="1" s="3">
      <c r="A15" s="48" t="inlineStr">
        <is>
          <t>—</t>
        </is>
      </c>
      <c r="B15" s="48" t="inlineStr">
        <is>
          <t>BENCHMARK</t>
        </is>
      </c>
      <c r="C15" s="49" t="inlineStr">
        <is>
          <t>FY2026 FMR — Dallas-Fort Worth MSA</t>
        </is>
      </c>
      <c r="D15" s="48" t="inlineStr">
        <is>
          <t>N/A</t>
        </is>
      </c>
      <c r="E15" s="48" t="inlineStr">
        <is>
          <t>Ennis</t>
        </is>
      </c>
      <c r="F15" s="48" t="inlineStr">
        <is>
          <t>TX</t>
        </is>
      </c>
      <c r="G15" s="48" t="inlineStr">
        <is>
          <t>N/A</t>
        </is>
      </c>
      <c r="H15" s="48" t="inlineStr">
        <is>
          <t>N/A</t>
        </is>
      </c>
      <c r="I15" s="48" t="inlineStr">
        <is>
          <t>$1,411</t>
        </is>
      </c>
      <c r="J15" s="48" t="inlineStr">
        <is>
          <t>$1,411</t>
        </is>
      </c>
      <c r="K15" s="30" t="inlineStr">
        <is>
          <t>$1,411</t>
        </is>
      </c>
      <c r="L15" s="31" t="inlineStr">
        <is>
          <t>N/A</t>
        </is>
      </c>
      <c r="M15" s="48" t="inlineStr">
        <is>
          <t>$1,931</t>
        </is>
      </c>
      <c r="N15" s="48" t="inlineStr">
        <is>
          <t>$1,931</t>
        </is>
      </c>
      <c r="O15" s="30" t="inlineStr">
        <is>
          <t>$1,931</t>
        </is>
      </c>
      <c r="P15" s="31" t="inlineStr">
        <is>
          <t>N/A</t>
        </is>
      </c>
      <c r="Q15" s="48" t="inlineStr">
        <is>
          <t>$2,431</t>
        </is>
      </c>
      <c r="R15" s="48" t="inlineStr">
        <is>
          <t>$2,431</t>
        </is>
      </c>
      <c r="S15" s="30" t="inlineStr">
        <is>
          <t>$2,431</t>
        </is>
      </c>
      <c r="T15" s="31" t="inlineStr">
        <is>
          <t>N/A</t>
        </is>
      </c>
      <c r="U15" s="48" t="inlineStr">
        <is>
          <t>N/A</t>
        </is>
      </c>
      <c r="V15" s="48" t="inlineStr">
        <is>
          <t>N/A</t>
        </is>
      </c>
      <c r="W15" s="48" t="inlineStr">
        <is>
          <t>N/A</t>
        </is>
      </c>
      <c r="X15" s="48" t="inlineStr">
        <is>
          <t>N/A</t>
        </is>
      </c>
      <c r="Y15" s="48" t="inlineStr">
        <is>
          <t>N/A</t>
        </is>
      </c>
      <c r="Z15" s="48" t="inlineStr">
        <is>
          <t>N/A</t>
        </is>
      </c>
      <c r="AA15" s="48" t="inlineStr">
        <is>
          <t>N/A</t>
        </is>
      </c>
      <c r="AB15" s="48" t="inlineStr">
        <is>
          <t>N/A</t>
        </is>
      </c>
      <c r="AC15" s="50" t="inlineStr">
        <is>
          <t>BENCHMARK</t>
        </is>
      </c>
      <c r="AD15" s="49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5" s="48" t="inlineStr">
        <is>
          <t>HUD FMR Database (huduser.gov)</t>
        </is>
      </c>
    </row>
    <row r="16" ht="54.75" customFormat="1" customHeight="1" s="3">
      <c r="A16" s="48" t="inlineStr">
        <is>
          <t>—</t>
        </is>
      </c>
      <c r="B16" s="48" t="inlineStr">
        <is>
          <t>BENCHMARK</t>
        </is>
      </c>
      <c r="C16" s="49" t="inlineStr">
        <is>
          <t>Metro Market Avg — Ennis</t>
        </is>
      </c>
      <c r="D16" s="48" t="inlineStr">
        <is>
          <t>N/A</t>
        </is>
      </c>
      <c r="E16" s="48" t="inlineStr">
        <is>
          <t>Ennis</t>
        </is>
      </c>
      <c r="F16" s="48" t="inlineStr">
        <is>
          <t>TX</t>
        </is>
      </c>
      <c r="G16" s="48" t="inlineStr">
        <is>
          <t>N/A</t>
        </is>
      </c>
      <c r="H16" s="48" t="inlineStr">
        <is>
          <t>N/A</t>
        </is>
      </c>
      <c r="I16" s="48" t="inlineStr">
        <is>
          <t>$1,552</t>
        </is>
      </c>
      <c r="J16" s="48" t="inlineStr">
        <is>
          <t>$1,552</t>
        </is>
      </c>
      <c r="K16" s="30" t="inlineStr">
        <is>
          <t>$1,552</t>
        </is>
      </c>
      <c r="L16" s="31" t="inlineStr">
        <is>
          <t>N/A</t>
        </is>
      </c>
      <c r="M16" s="48" t="inlineStr">
        <is>
          <t>$2,124</t>
        </is>
      </c>
      <c r="N16" s="48" t="inlineStr">
        <is>
          <t>$2,124</t>
        </is>
      </c>
      <c r="O16" s="30" t="inlineStr">
        <is>
          <t>$2,124</t>
        </is>
      </c>
      <c r="P16" s="31" t="inlineStr">
        <is>
          <t>N/A</t>
        </is>
      </c>
      <c r="Q16" s="48" t="inlineStr">
        <is>
          <t>$2,674</t>
        </is>
      </c>
      <c r="R16" s="48" t="inlineStr">
        <is>
          <t>$2,674</t>
        </is>
      </c>
      <c r="S16" s="30" t="inlineStr">
        <is>
          <t>$2,674</t>
        </is>
      </c>
      <c r="T16" s="31" t="inlineStr">
        <is>
          <t>N/A</t>
        </is>
      </c>
      <c r="U16" s="48" t="inlineStr">
        <is>
          <t>N/A</t>
        </is>
      </c>
      <c r="V16" s="48" t="inlineStr">
        <is>
          <t>N/A</t>
        </is>
      </c>
      <c r="W16" s="48" t="inlineStr">
        <is>
          <t>N/A</t>
        </is>
      </c>
      <c r="X16" s="48" t="inlineStr">
        <is>
          <t>N/A</t>
        </is>
      </c>
      <c r="Y16" s="48" t="inlineStr">
        <is>
          <t>N/A</t>
        </is>
      </c>
      <c r="Z16" s="48" t="inlineStr">
        <is>
          <t>N/A</t>
        </is>
      </c>
      <c r="AA16" s="48" t="inlineStr">
        <is>
          <t>N/A</t>
        </is>
      </c>
      <c r="AB16" s="48" t="inlineStr">
        <is>
          <t>N/A</t>
        </is>
      </c>
      <c r="AC16" s="50" t="inlineStr">
        <is>
          <t>BENCHMARK</t>
        </is>
      </c>
      <c r="AD16" s="49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6" s="48" t="inlineStr">
        <is>
          <t>HUD FMR + Market Estimate</t>
        </is>
      </c>
    </row>
    <row r="17" ht="8.25" customFormat="1" customHeight="1" s="3"/>
    <row r="18" ht="27.75" customFormat="1" customHeight="1" s="3">
      <c r="A18" s="51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 ht="15" customHeight="1" s="95">
      <c r="C19" s="3" t="inlineStr">
        <is>
          <t>60%AMI</t>
        </is>
      </c>
      <c r="D19" s="3" t="inlineStr">
        <is>
          <t>UAP</t>
        </is>
      </c>
      <c r="E19" s="3" t="inlineStr">
        <is>
          <t>Net Rent</t>
        </is>
      </c>
    </row>
    <row r="20" ht="15" customHeight="1" s="95">
      <c r="B20" s="3" t="n">
        <v>1</v>
      </c>
      <c r="C20" s="3" t="n">
        <v>1221</v>
      </c>
      <c r="D20" s="3" t="n">
        <v>134</v>
      </c>
      <c r="E20" s="3" t="n">
        <v>1221</v>
      </c>
    </row>
    <row r="21" ht="15" customHeight="1" s="95">
      <c r="B21" s="3" t="n">
        <v>2</v>
      </c>
      <c r="C21" s="3" t="n">
        <v>1453</v>
      </c>
      <c r="D21" s="3" t="n">
        <v>173</v>
      </c>
      <c r="E21" s="3" t="n">
        <v>1453</v>
      </c>
    </row>
    <row r="22" ht="15" customHeight="1" s="95">
      <c r="B22" s="3" t="n">
        <v>3</v>
      </c>
      <c r="C22" s="3" t="n">
        <v>1668</v>
      </c>
      <c r="D22" s="3" t="n">
        <v>210</v>
      </c>
      <c r="E22" s="3" t="n">
        <v>1668</v>
      </c>
    </row>
    <row r="25" ht="15" customHeight="1" s="95">
      <c r="A25" s="61" t="inlineStr">
        <is>
          <t>PMTS — Vouchers / FMR / UAP / NET FMR</t>
        </is>
      </c>
      <c r="B25" s="101" t="n"/>
      <c r="C25" s="101" t="n"/>
      <c r="D25" s="101" t="n"/>
      <c r="E25" s="101" t="n"/>
      <c r="F25" s="102" t="n"/>
    </row>
    <row r="26" ht="15" customHeight="1" s="95">
      <c r="A26" s="64" t="inlineStr">
        <is>
          <t>BD</t>
        </is>
      </c>
      <c r="B26" s="65" t="inlineStr">
        <is>
          <t>MKT</t>
        </is>
      </c>
      <c r="C26" s="66" t="inlineStr">
        <is>
          <t>VCH</t>
        </is>
      </c>
      <c r="D26" s="67" t="inlineStr">
        <is>
          <t>FMR</t>
        </is>
      </c>
      <c r="E26" s="68" t="inlineStr">
        <is>
          <t>UAP</t>
        </is>
      </c>
      <c r="F26" s="69" t="inlineStr">
        <is>
          <t>NET</t>
        </is>
      </c>
    </row>
    <row r="27" ht="15" customHeight="1" s="95">
      <c r="A27" s="70" t="inlineStr">
        <is>
          <t>1BD</t>
        </is>
      </c>
      <c r="B27" s="71" t="n">
        <v>0</v>
      </c>
      <c r="C27" s="71" t="n">
        <v>1198</v>
      </c>
      <c r="D27" s="71" t="n">
        <v>1290</v>
      </c>
      <c r="E27" s="72" t="n">
        <v>157</v>
      </c>
      <c r="F27" s="73" t="n">
        <v>1133</v>
      </c>
    </row>
    <row r="28" ht="15" customHeight="1" s="95">
      <c r="A28" s="74" t="inlineStr">
        <is>
          <t>2BD</t>
        </is>
      </c>
      <c r="B28" s="75" t="n">
        <v>0</v>
      </c>
      <c r="C28" s="75" t="n">
        <v>1430</v>
      </c>
      <c r="D28" s="75" t="n">
        <v>1520</v>
      </c>
      <c r="E28" s="72" t="n">
        <v>196</v>
      </c>
      <c r="F28" s="73" t="n">
        <v>1324</v>
      </c>
    </row>
    <row r="29" ht="15" customHeight="1" s="95">
      <c r="A29" s="70" t="inlineStr">
        <is>
          <t>3BD</t>
        </is>
      </c>
      <c r="B29" s="71" t="n">
        <v>0</v>
      </c>
      <c r="C29" s="71" t="n">
        <v>1645</v>
      </c>
      <c r="D29" s="71" t="n">
        <v>1900</v>
      </c>
      <c r="E29" s="72" t="n">
        <v>233</v>
      </c>
      <c r="F29" s="73" t="n">
        <v>1667</v>
      </c>
    </row>
    <row r="32" ht="15" customHeight="1" s="95">
      <c r="A32" s="61" t="inlineStr">
        <is>
          <t>LIHTC, UAP, NET</t>
        </is>
      </c>
      <c r="B32" s="101" t="n"/>
      <c r="C32" s="101" t="n"/>
      <c r="D32" s="101" t="n"/>
      <c r="E32" s="102" t="n"/>
    </row>
    <row r="33" ht="15" customHeight="1" s="95">
      <c r="A33" s="64" t="n"/>
      <c r="B33" s="65" t="inlineStr">
        <is>
          <t>LIHTC/MKT</t>
        </is>
      </c>
      <c r="C33" s="67" t="inlineStr">
        <is>
          <t>60%</t>
        </is>
      </c>
      <c r="D33" s="68" t="inlineStr">
        <is>
          <t>UAP</t>
        </is>
      </c>
      <c r="E33" s="69" t="inlineStr">
        <is>
          <t>NET</t>
        </is>
      </c>
    </row>
    <row r="34" ht="15" customHeight="1" s="95">
      <c r="A34" s="70" t="inlineStr">
        <is>
          <t>1BD</t>
        </is>
      </c>
      <c r="B34" s="71" t="n">
        <v>1355</v>
      </c>
      <c r="C34" s="71" t="n">
        <v>1198</v>
      </c>
      <c r="D34" s="72" t="n">
        <v>157</v>
      </c>
      <c r="E34" s="73" t="n">
        <v>1041</v>
      </c>
    </row>
    <row r="35" ht="15" customHeight="1" s="95">
      <c r="A35" s="74" t="inlineStr">
        <is>
          <t>2BD</t>
        </is>
      </c>
      <c r="B35" s="75" t="n">
        <v>1626</v>
      </c>
      <c r="C35" s="75" t="n">
        <v>1430</v>
      </c>
      <c r="D35" s="72" t="n">
        <v>196</v>
      </c>
      <c r="E35" s="73" t="n">
        <v>1234</v>
      </c>
    </row>
    <row r="36" ht="15" customHeight="1" s="95">
      <c r="A36" s="70" t="inlineStr">
        <is>
          <t>3BD</t>
        </is>
      </c>
      <c r="B36" s="71" t="n">
        <v>1878</v>
      </c>
      <c r="C36" s="71" t="n">
        <v>1645</v>
      </c>
      <c r="D36" s="72" t="n">
        <v>233</v>
      </c>
      <c r="E36" s="73" t="n">
        <v>1412</v>
      </c>
    </row>
    <row r="39" ht="15" customHeight="1" s="95">
      <c r="A39" s="61" t="inlineStr">
        <is>
          <t>HAP, CoStar, NET</t>
        </is>
      </c>
      <c r="B39" s="101" t="n"/>
      <c r="C39" s="102" t="n"/>
    </row>
    <row r="40" ht="15" customHeight="1" s="95">
      <c r="A40" s="64" t="n"/>
      <c r="B40" s="68" t="inlineStr">
        <is>
          <t>HAP</t>
        </is>
      </c>
      <c r="C40" s="65" t="inlineStr">
        <is>
          <t>CoStar</t>
        </is>
      </c>
    </row>
    <row r="41" ht="15" customHeight="1" s="95">
      <c r="A41" s="70" t="inlineStr">
        <is>
          <t>1BD</t>
        </is>
      </c>
      <c r="B41" s="103" t="n">
        <v>0</v>
      </c>
      <c r="C41" s="104" t="n">
        <v>1248</v>
      </c>
    </row>
    <row r="42" ht="15" customHeight="1" s="95">
      <c r="A42" s="74" t="inlineStr">
        <is>
          <t>2BD</t>
        </is>
      </c>
      <c r="B42" s="103" t="n">
        <v>0</v>
      </c>
      <c r="C42" s="104" t="n">
        <v>1463</v>
      </c>
    </row>
    <row r="43" ht="15" customHeight="1" s="95">
      <c r="A43" s="70" t="inlineStr">
        <is>
          <t>3BD</t>
        </is>
      </c>
      <c r="B43" s="103" t="n">
        <v>0</v>
      </c>
      <c r="C43" s="104" t="n">
        <v>1798</v>
      </c>
    </row>
  </sheetData>
  <mergeCells count="7">
    <mergeCell ref="A4:AE4"/>
    <mergeCell ref="A2:AE2"/>
    <mergeCell ref="A32:E32"/>
    <mergeCell ref="A39:C39"/>
    <mergeCell ref="A18:AE18"/>
    <mergeCell ref="A3:AE3"/>
    <mergeCell ref="A25:F25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31"/>
  <sheetViews>
    <sheetView topLeftCell="A1" workbookViewId="0">
      <pane ySplit="1" topLeftCell="A5" activePane="bottomLeft" state="frozen"/>
      <selection pane="bottomLeft" activeCell="A1" sqref="A1:AE1"/>
    </sheetView>
  </sheetViews>
  <sheetFormatPr baseColWidth="8" defaultColWidth="9.140625" defaultRowHeight="15" customHeight="1"/>
  <cols>
    <col width="8.00390625" customWidth="1" style="3" min="1" max="1"/>
    <col width="14.00390625" customWidth="1" style="3" min="2" max="2"/>
    <col width="28.00390625" customWidth="1" style="3" min="3" max="3"/>
    <col width="22.00390625" customWidth="1" style="3" min="4" max="4"/>
    <col width="16.00390625" customWidth="1" style="3" min="5" max="5"/>
    <col width="10.00390625" customWidth="1" style="3" min="6" max="6"/>
    <col width="8.00390625" customWidth="1" style="3" min="7" max="7"/>
    <col width="11.00390625" customWidth="1" style="3" min="8" max="8"/>
    <col width="10.00390625" customWidth="1" style="3" min="9" max="11"/>
    <col width="12.00390625" customWidth="1" style="3" min="12" max="12"/>
    <col width="10.00390625" customWidth="1" style="3" min="13" max="15"/>
    <col width="12.00390625" customWidth="1" style="3" min="16" max="16"/>
    <col width="10.00390625" customWidth="1" style="3" min="17" max="19"/>
    <col width="12.00390625" customWidth="1" style="3" min="20" max="20"/>
    <col width="8.00390625" customWidth="1" style="3" min="21" max="21"/>
    <col width="10.00390625" customWidth="1" style="3" min="22" max="22"/>
    <col width="7.00390625" customWidth="1" style="3" min="23" max="23"/>
    <col width="12.00390625" customWidth="1" style="3" min="24" max="25"/>
    <col width="8.00390625" customWidth="1" style="3" min="26" max="27"/>
    <col width="10.00390625" customWidth="1" style="3" min="28" max="28"/>
    <col width="16.00390625" customWidth="1" style="3" min="29" max="29"/>
    <col width="45.00390625" customWidth="1" style="3" min="30" max="30"/>
    <col width="28.00390625" customWidth="1" style="3" min="31" max="31"/>
  </cols>
  <sheetData>
    <row r="1" ht="15" customHeight="1" s="95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</row>
    <row r="2" ht="24" customFormat="1" customHeight="1" s="3">
      <c r="A2" s="17" t="inlineStr">
        <is>
          <t>COMPETITIVE RENT ANALYSIS — GROVE PARK TERRACE | GREEN = Affordable Comps | BLUE = Market Rate Comps</t>
        </is>
      </c>
    </row>
    <row r="3" ht="20.25" customFormat="1" customHeight="1" s="3">
      <c r="A3" s="18" t="inlineStr">
        <is>
          <t>SUBJECT: Grove Park Terrace | 400 Peters St, Waxahachie, TX 75165 | 60 units | Program: Layered HUD/LIHTC | Bedroom Mix: 1BR / 2BR / 3BR | County AMI: $117,300 | FMR Area: Dallas-Fort Worth MSA</t>
        </is>
      </c>
    </row>
    <row r="4" ht="90" customFormat="1" customHeight="1" s="3">
      <c r="A4" s="19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5" ht="30" customFormat="1" customHeight="1" s="3">
      <c r="A5" s="20" t="inlineStr">
        <is>
          <t>Rank</t>
        </is>
      </c>
      <c r="B5" s="20" t="inlineStr">
        <is>
          <t>Type</t>
        </is>
      </c>
      <c r="C5" s="20" t="inlineStr">
        <is>
          <t>Property Name</t>
        </is>
      </c>
      <c r="D5" s="20" t="inlineStr">
        <is>
          <t>Address</t>
        </is>
      </c>
      <c r="E5" s="20" t="inlineStr">
        <is>
          <t>City</t>
        </is>
      </c>
      <c r="F5" s="20" t="inlineStr">
        <is>
          <t>State</t>
        </is>
      </c>
      <c r="G5" s="20" t="inlineStr">
        <is>
          <t>ZIP</t>
        </is>
      </c>
      <c r="H5" s="20" t="inlineStr">
        <is>
          <t>Distance (mi)</t>
        </is>
      </c>
      <c r="I5" s="20" t="inlineStr">
        <is>
          <t>1BR Low ($)</t>
        </is>
      </c>
      <c r="J5" s="20" t="inlineStr">
        <is>
          <t>1BR Mid ($)</t>
        </is>
      </c>
      <c r="K5" s="21" t="inlineStr">
        <is>
          <t>1BR FMR ($)</t>
        </is>
      </c>
      <c r="L5" s="22" t="inlineStr">
        <is>
          <t>1BR Actual ($)</t>
        </is>
      </c>
      <c r="M5" s="20" t="inlineStr">
        <is>
          <t>2BR Low ($)</t>
        </is>
      </c>
      <c r="N5" s="20" t="inlineStr">
        <is>
          <t>2BR Mid ($)</t>
        </is>
      </c>
      <c r="O5" s="21" t="inlineStr">
        <is>
          <t>2BR FMR ($)</t>
        </is>
      </c>
      <c r="P5" s="22" t="inlineStr">
        <is>
          <t>2BR Actual ($)</t>
        </is>
      </c>
      <c r="Q5" s="20" t="inlineStr">
        <is>
          <t>3BR Low ($)</t>
        </is>
      </c>
      <c r="R5" s="20" t="inlineStr">
        <is>
          <t>3BR Mid ($)</t>
        </is>
      </c>
      <c r="S5" s="21" t="inlineStr">
        <is>
          <t>3BR FMR ($)</t>
        </is>
      </c>
      <c r="T5" s="22" t="inlineStr">
        <is>
          <t>3BR Actual ($)</t>
        </is>
      </c>
      <c r="U5" s="20" t="inlineStr">
        <is>
          <t># Units</t>
        </is>
      </c>
      <c r="V5" s="20" t="inlineStr">
        <is>
          <t>Year Built</t>
        </is>
      </c>
      <c r="W5" s="20" t="inlineStr">
        <is>
          <t>Yr Diff</t>
        </is>
      </c>
      <c r="X5" s="20" t="inlineStr">
        <is>
          <t>Utilities Incl.</t>
        </is>
      </c>
      <c r="Y5" s="20" t="inlineStr">
        <is>
          <t>Pet Friendly</t>
        </is>
      </c>
      <c r="Z5" s="20" t="inlineStr">
        <is>
          <t>Gated</t>
        </is>
      </c>
      <c r="AA5" s="20" t="inlineStr">
        <is>
          <t>Pool</t>
        </is>
      </c>
      <c r="AB5" s="20" t="inlineStr">
        <is>
          <t>W/D In-Unit</t>
        </is>
      </c>
      <c r="AC5" s="20" t="inlineStr">
        <is>
          <t>Competition Level</t>
        </is>
      </c>
      <c r="AD5" s="20" t="inlineStr">
        <is>
          <t>Why Competitive</t>
        </is>
      </c>
      <c r="AE5" s="20" t="inlineStr">
        <is>
          <t>Data Source</t>
        </is>
      </c>
    </row>
    <row r="6" ht="54.75" customFormat="1" customHeight="1" s="3">
      <c r="A6" s="23" t="inlineStr">
        <is>
          <t>—</t>
        </is>
      </c>
      <c r="B6" s="23" t="inlineStr">
        <is>
          <t>SUBJECT</t>
        </is>
      </c>
      <c r="C6" s="24" t="inlineStr">
        <is>
          <t>Grove Park Terrace (SUBJECT)</t>
        </is>
      </c>
      <c r="D6" s="23" t="inlineStr">
        <is>
          <t>400 Peters St</t>
        </is>
      </c>
      <c r="E6" s="23" t="inlineStr">
        <is>
          <t>Waxahachie</t>
        </is>
      </c>
      <c r="F6" s="23" t="inlineStr">
        <is>
          <t>TX</t>
        </is>
      </c>
      <c r="G6" s="23" t="inlineStr">
        <is>
          <t>75165</t>
        </is>
      </c>
      <c r="H6" s="23" t="inlineStr">
        <is>
          <t>0.0 mi</t>
        </is>
      </c>
      <c r="I6" s="23" t="inlineStr">
        <is>
          <t>$3,668</t>
        </is>
      </c>
      <c r="J6" s="23" t="inlineStr">
        <is>
          <t>$4,402</t>
        </is>
      </c>
      <c r="K6" s="25" t="inlineStr">
        <is>
          <t>$1,411</t>
        </is>
      </c>
      <c r="L6" s="26" t="inlineStr">
        <is>
          <t>N/A</t>
        </is>
      </c>
      <c r="M6" s="23" t="inlineStr">
        <is>
          <t>$4,400</t>
        </is>
      </c>
      <c r="N6" s="23" t="inlineStr">
        <is>
          <t>$5,280</t>
        </is>
      </c>
      <c r="O6" s="25" t="inlineStr">
        <is>
          <t>$1,931</t>
        </is>
      </c>
      <c r="P6" s="26" t="inlineStr">
        <is>
          <t>N/A</t>
        </is>
      </c>
      <c r="Q6" s="23" t="inlineStr">
        <is>
          <t>$4,887</t>
        </is>
      </c>
      <c r="R6" s="23" t="inlineStr">
        <is>
          <t>$5,865</t>
        </is>
      </c>
      <c r="S6" s="25" t="inlineStr">
        <is>
          <t>$2,431</t>
        </is>
      </c>
      <c r="T6" s="26" t="inlineStr">
        <is>
          <t>N/A</t>
        </is>
      </c>
      <c r="U6" s="23" t="inlineStr">
        <is>
          <t>60</t>
        </is>
      </c>
      <c r="V6" s="23" t="inlineStr">
        <is>
          <t>1998</t>
        </is>
      </c>
      <c r="W6" s="23" t="inlineStr">
        <is>
          <t>0</t>
        </is>
      </c>
      <c r="X6" s="23" t="inlineStr">
        <is>
          <t>Partial</t>
        </is>
      </c>
      <c r="Y6" s="23" t="inlineStr">
        <is>
          <t>No</t>
        </is>
      </c>
      <c r="Z6" s="23" t="inlineStr">
        <is>
          <t>No</t>
        </is>
      </c>
      <c r="AA6" s="23" t="inlineStr">
        <is>
          <t>No</t>
        </is>
      </c>
      <c r="AB6" s="23" t="inlineStr">
        <is>
          <t>No</t>
        </is>
      </c>
      <c r="AC6" s="27" t="inlineStr">
        <is>
          <t>SUBJECT</t>
        </is>
      </c>
      <c r="AD6" s="24" t="inlineStr">
        <is>
          <t>60 units | Layered HUD/LIHTC property. Year built: 1998. Subject property for market context.</t>
        </is>
      </c>
      <c r="AE6" s="23" t="inlineStr">
        <is>
          <t>Apartment Corp Records</t>
        </is>
      </c>
    </row>
    <row r="7" ht="54.75" customFormat="1" customHeight="1" s="3">
      <c r="A7" s="28" t="inlineStr">
        <is>
          <t>1</t>
        </is>
      </c>
      <c r="B7" s="28" t="inlineStr">
        <is>
          <t>AFFORDABLE</t>
        </is>
      </c>
      <c r="C7" s="29" t="inlineStr">
        <is>
          <t>Lexington Arms</t>
        </is>
      </c>
      <c r="D7" s="28" t="inlineStr">
        <is>
          <t>418 Lexington Dr</t>
        </is>
      </c>
      <c r="E7" s="28" t="inlineStr">
        <is>
          <t>Waxahachie</t>
        </is>
      </c>
      <c r="F7" s="28" t="inlineStr">
        <is>
          <t>TX</t>
        </is>
      </c>
      <c r="G7" s="28" t="inlineStr">
        <is>
          <t>75165</t>
        </is>
      </c>
      <c r="H7" s="28" t="inlineStr">
        <is>
          <t>1.6 mi</t>
        </is>
      </c>
      <c r="I7" s="28" t="inlineStr">
        <is>
          <t>$3,668</t>
        </is>
      </c>
      <c r="J7" s="28" t="inlineStr">
        <is>
          <t>$4,402</t>
        </is>
      </c>
      <c r="K7" s="30" t="inlineStr">
        <is>
          <t>$1,411</t>
        </is>
      </c>
      <c r="L7" s="31" t="inlineStr">
        <is>
          <t>Not Listed</t>
        </is>
      </c>
      <c r="M7" s="28" t="inlineStr">
        <is>
          <t>$4,400</t>
        </is>
      </c>
      <c r="N7" s="28" t="inlineStr">
        <is>
          <t>$5,280</t>
        </is>
      </c>
      <c r="O7" s="30" t="inlineStr">
        <is>
          <t>$1,931</t>
        </is>
      </c>
      <c r="P7" s="31" t="inlineStr">
        <is>
          <t>Not Listed</t>
        </is>
      </c>
      <c r="Q7" s="28" t="inlineStr">
        <is>
          <t>$4,887</t>
        </is>
      </c>
      <c r="R7" s="28" t="inlineStr">
        <is>
          <t>$5,865</t>
        </is>
      </c>
      <c r="S7" s="30" t="inlineStr">
        <is>
          <t>$2,431</t>
        </is>
      </c>
      <c r="T7" s="31" t="inlineStr">
        <is>
          <t>Not Listed</t>
        </is>
      </c>
      <c r="U7" s="28" t="inlineStr">
        <is>
          <t>61</t>
        </is>
      </c>
      <c r="V7" s="28" t="inlineStr">
        <is>
          <t>1997</t>
        </is>
      </c>
      <c r="W7" s="28" t="inlineStr">
        <is>
          <t>1</t>
        </is>
      </c>
      <c r="X7" s="28" t="inlineStr">
        <is>
          <t>Yes</t>
        </is>
      </c>
      <c r="Y7" s="28" t="inlineStr">
        <is>
          <t>No</t>
        </is>
      </c>
      <c r="Z7" s="28" t="inlineStr">
        <is>
          <t>No</t>
        </is>
      </c>
      <c r="AA7" s="28" t="inlineStr">
        <is>
          <t>No</t>
        </is>
      </c>
      <c r="AB7" s="28" t="inlineStr">
        <is>
          <t>No</t>
        </is>
      </c>
      <c r="AC7" s="32" t="inlineStr">
        <is>
          <t>HIGH</t>
        </is>
      </c>
      <c r="AD7" s="29" t="inlineStr">
        <is>
          <t>Affordable Comp #1: LIHTC property, 1997 vintage (1 yr diff), 61 units, 1.6 mi from subject. Same income-eligible renter pool.</t>
        </is>
      </c>
      <c r="AE7" s="28" t="inlineStr">
        <is>
          <t>HUD LIHTC Database (huduser.gov)</t>
        </is>
      </c>
    </row>
    <row r="8" ht="54.75" customFormat="1" customHeight="1" s="3">
      <c r="A8" s="33" t="inlineStr">
        <is>
          <t>2</t>
        </is>
      </c>
      <c r="B8" s="33" t="inlineStr">
        <is>
          <t>AFFORDABLE</t>
        </is>
      </c>
      <c r="C8" s="34" t="inlineStr">
        <is>
          <t>Creekside Terrace Apts</t>
        </is>
      </c>
      <c r="D8" s="33" t="inlineStr">
        <is>
          <t>1000 E Burnett St</t>
        </is>
      </c>
      <c r="E8" s="33" t="inlineStr">
        <is>
          <t>Ennis</t>
        </is>
      </c>
      <c r="F8" s="33" t="inlineStr">
        <is>
          <t>TX</t>
        </is>
      </c>
      <c r="G8" s="33" t="inlineStr">
        <is>
          <t>75119</t>
        </is>
      </c>
      <c r="H8" s="33" t="inlineStr">
        <is>
          <t>14.3 mi</t>
        </is>
      </c>
      <c r="I8" s="33" t="inlineStr">
        <is>
          <t>$3,668</t>
        </is>
      </c>
      <c r="J8" s="33" t="inlineStr">
        <is>
          <t>$4,402</t>
        </is>
      </c>
      <c r="K8" s="30" t="inlineStr">
        <is>
          <t>$1,411</t>
        </is>
      </c>
      <c r="L8" s="31" t="inlineStr">
        <is>
          <t>$1,150</t>
        </is>
      </c>
      <c r="M8" s="33" t="inlineStr">
        <is>
          <t>$4,400</t>
        </is>
      </c>
      <c r="N8" s="33" t="inlineStr">
        <is>
          <t>$5,280</t>
        </is>
      </c>
      <c r="O8" s="30" t="inlineStr">
        <is>
          <t>$1,931</t>
        </is>
      </c>
      <c r="P8" s="31" t="inlineStr">
        <is>
          <t>$1,270</t>
        </is>
      </c>
      <c r="Q8" s="33" t="inlineStr">
        <is>
          <t>$4,887</t>
        </is>
      </c>
      <c r="R8" s="33" t="inlineStr">
        <is>
          <t>$5,865</t>
        </is>
      </c>
      <c r="S8" s="30" t="inlineStr">
        <is>
          <t>$2,431</t>
        </is>
      </c>
      <c r="T8" s="31" t="inlineStr">
        <is>
          <t>$1,450</t>
        </is>
      </c>
      <c r="U8" s="33" t="inlineStr">
        <is>
          <t>80</t>
        </is>
      </c>
      <c r="V8" s="33" t="inlineStr">
        <is>
          <t>1998</t>
        </is>
      </c>
      <c r="W8" s="33" t="inlineStr">
        <is>
          <t>0</t>
        </is>
      </c>
      <c r="X8" s="33" t="inlineStr">
        <is>
          <t>Yes</t>
        </is>
      </c>
      <c r="Y8" s="33" t="inlineStr">
        <is>
          <t>No</t>
        </is>
      </c>
      <c r="Z8" s="33" t="inlineStr">
        <is>
          <t>No</t>
        </is>
      </c>
      <c r="AA8" s="33" t="inlineStr">
        <is>
          <t>No</t>
        </is>
      </c>
      <c r="AB8" s="33" t="inlineStr">
        <is>
          <t>No</t>
        </is>
      </c>
      <c r="AC8" s="35" t="inlineStr">
        <is>
          <t>HIGH</t>
        </is>
      </c>
      <c r="AD8" s="34" t="inlineStr">
        <is>
          <t>Affordable Comp #2: LIHTC property, 1998 vintage (0 yr diff), 80 units, 14.3 mi from subject. Same income-eligible renter pool.</t>
        </is>
      </c>
      <c r="AE8" s="33" t="inlineStr">
        <is>
          <t>HUD LIHTC Database (huduser.gov)</t>
        </is>
      </c>
    </row>
    <row r="9" ht="54.75" customFormat="1" customHeight="1" s="3">
      <c r="A9" s="36" t="inlineStr">
        <is>
          <t>3</t>
        </is>
      </c>
      <c r="B9" s="36" t="inlineStr">
        <is>
          <t>AFFORDABLE</t>
        </is>
      </c>
      <c r="C9" s="37" t="inlineStr">
        <is>
          <t>Breckenridge Village</t>
        </is>
      </c>
      <c r="D9" s="36" t="inlineStr">
        <is>
          <t>2001A Floyd St</t>
        </is>
      </c>
      <c r="E9" s="36" t="inlineStr">
        <is>
          <t>Ennis</t>
        </is>
      </c>
      <c r="F9" s="36" t="inlineStr">
        <is>
          <t>TX</t>
        </is>
      </c>
      <c r="G9" s="36" t="inlineStr">
        <is>
          <t>75119</t>
        </is>
      </c>
      <c r="H9" s="36" t="inlineStr">
        <is>
          <t>12.8 mi</t>
        </is>
      </c>
      <c r="I9" s="36" t="inlineStr">
        <is>
          <t>$3,668</t>
        </is>
      </c>
      <c r="J9" s="36" t="inlineStr">
        <is>
          <t>$4,402</t>
        </is>
      </c>
      <c r="K9" s="30" t="inlineStr">
        <is>
          <t>$1,411</t>
        </is>
      </c>
      <c r="L9" s="31" t="inlineStr">
        <is>
          <t>Not Listed</t>
        </is>
      </c>
      <c r="M9" s="36" t="inlineStr">
        <is>
          <t>$4,400</t>
        </is>
      </c>
      <c r="N9" s="36" t="inlineStr">
        <is>
          <t>$5,280</t>
        </is>
      </c>
      <c r="O9" s="30" t="inlineStr">
        <is>
          <t>$1,931</t>
        </is>
      </c>
      <c r="P9" s="31" t="inlineStr">
        <is>
          <t>Not Listed</t>
        </is>
      </c>
      <c r="Q9" s="36" t="inlineStr">
        <is>
          <t>$4,887</t>
        </is>
      </c>
      <c r="R9" s="36" t="inlineStr">
        <is>
          <t>$5,865</t>
        </is>
      </c>
      <c r="S9" s="30" t="inlineStr">
        <is>
          <t>$2,431</t>
        </is>
      </c>
      <c r="T9" s="31" t="inlineStr">
        <is>
          <t>Not Listed</t>
        </is>
      </c>
      <c r="U9" s="36" t="inlineStr">
        <is>
          <t>66</t>
        </is>
      </c>
      <c r="V9" s="36" t="inlineStr">
        <is>
          <t>1997</t>
        </is>
      </c>
      <c r="W9" s="36" t="inlineStr">
        <is>
          <t>1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85" t="inlineStr">
        <is>
          <t>HIGH</t>
        </is>
      </c>
      <c r="AD9" s="37" t="inlineStr">
        <is>
          <t>Affordable Comp #3: LIHTC property, 1997 vintage (1 yr diff), 66 units, 12.8 mi from subject. Same income-eligible renter pool.</t>
        </is>
      </c>
      <c r="AE9" s="36" t="inlineStr">
        <is>
          <t>HUD LIHTC Database (huduser.gov)</t>
        </is>
      </c>
    </row>
    <row r="10" ht="54.75" customFormat="1" customHeight="1" s="3">
      <c r="A10" s="28" t="inlineStr">
        <is>
          <t>4</t>
        </is>
      </c>
      <c r="B10" s="28" t="inlineStr">
        <is>
          <t>AFFORDABLE</t>
        </is>
      </c>
      <c r="C10" s="29" t="inlineStr">
        <is>
          <t>Treymore North Apts</t>
        </is>
      </c>
      <c r="D10" s="28" t="inlineStr">
        <is>
          <t>4144 Office Pkwy</t>
        </is>
      </c>
      <c r="E10" s="28" t="inlineStr">
        <is>
          <t>Dallas</t>
        </is>
      </c>
      <c r="F10" s="28" t="inlineStr">
        <is>
          <t>TX</t>
        </is>
      </c>
      <c r="G10" s="28" t="inlineStr">
        <is>
          <t>75204</t>
        </is>
      </c>
      <c r="H10" s="28" t="inlineStr">
        <is>
          <t>29.1 mi</t>
        </is>
      </c>
      <c r="I10" s="28" t="inlineStr">
        <is>
          <t>$3,668</t>
        </is>
      </c>
      <c r="J10" s="28" t="inlineStr">
        <is>
          <t>$4,402</t>
        </is>
      </c>
      <c r="K10" s="30" t="inlineStr">
        <is>
          <t>$1,411</t>
        </is>
      </c>
      <c r="L10" s="31" t="inlineStr">
        <is>
          <t>Not Listed</t>
        </is>
      </c>
      <c r="M10" s="28" t="inlineStr">
        <is>
          <t>$4,400</t>
        </is>
      </c>
      <c r="N10" s="28" t="inlineStr">
        <is>
          <t>$5,280</t>
        </is>
      </c>
      <c r="O10" s="30" t="inlineStr">
        <is>
          <t>$1,931</t>
        </is>
      </c>
      <c r="P10" s="31" t="inlineStr">
        <is>
          <t>Not Listed</t>
        </is>
      </c>
      <c r="Q10" s="28" t="inlineStr">
        <is>
          <t>$4,887</t>
        </is>
      </c>
      <c r="R10" s="28" t="inlineStr">
        <is>
          <t>$5,865</t>
        </is>
      </c>
      <c r="S10" s="30" t="inlineStr">
        <is>
          <t>$2,431</t>
        </is>
      </c>
      <c r="T10" s="31" t="inlineStr">
        <is>
          <t>Not Listed</t>
        </is>
      </c>
      <c r="U10" s="28" t="inlineStr">
        <is>
          <t>70</t>
        </is>
      </c>
      <c r="V10" s="28" t="inlineStr">
        <is>
          <t>1998</t>
        </is>
      </c>
      <c r="W10" s="28" t="inlineStr">
        <is>
          <t>0</t>
        </is>
      </c>
      <c r="X10" s="28" t="inlineStr">
        <is>
          <t>Yes</t>
        </is>
      </c>
      <c r="Y10" s="28" t="inlineStr">
        <is>
          <t>No</t>
        </is>
      </c>
      <c r="Z10" s="28" t="inlineStr">
        <is>
          <t>No</t>
        </is>
      </c>
      <c r="AA10" s="28" t="inlineStr">
        <is>
          <t>No</t>
        </is>
      </c>
      <c r="AB10" s="28" t="inlineStr">
        <is>
          <t>No</t>
        </is>
      </c>
      <c r="AC10" s="78" t="inlineStr">
        <is>
          <t>MODERATE-HIGH</t>
        </is>
      </c>
      <c r="AD10" s="29" t="inlineStr">
        <is>
          <t>Affordable Comp #4: LIHTC property, 1998 vintage (0 yr diff), 70 units, 29.1 mi from subject. Same income-eligible renter pool.</t>
        </is>
      </c>
      <c r="AE10" s="28" t="inlineStr">
        <is>
          <t>HUD LIHTC Database (huduser.gov)</t>
        </is>
      </c>
    </row>
    <row r="11" ht="54.75" customFormat="1" customHeight="1" s="3">
      <c r="A11" s="39" t="inlineStr">
        <is>
          <t>1</t>
        </is>
      </c>
      <c r="B11" s="39" t="inlineStr">
        <is>
          <t>MARKET RATE</t>
        </is>
      </c>
      <c r="C11" s="40" t="inlineStr">
        <is>
          <t>Waxahachie Market Rate (FMR Benchmark)</t>
        </is>
      </c>
      <c r="D11" s="39" t="inlineStr">
        <is>
          <t>Waxahachie, TX area</t>
        </is>
      </c>
      <c r="E11" s="39" t="inlineStr">
        <is>
          <t>TX area</t>
        </is>
      </c>
      <c r="F11" s="39" t="inlineStr">
        <is>
          <t>TX</t>
        </is>
      </c>
      <c r="G11" s="39" t="n"/>
      <c r="H11" s="39" t="inlineStr">
        <is>
          <t>N/A</t>
        </is>
      </c>
      <c r="I11" s="39" t="inlineStr">
        <is>
          <t>N/A (Market Rate)</t>
        </is>
      </c>
      <c r="J11" s="39" t="inlineStr">
        <is>
          <t>N/A (Market Rate)</t>
        </is>
      </c>
      <c r="K11" s="30" t="inlineStr">
        <is>
          <t>$1,411</t>
        </is>
      </c>
      <c r="L11" s="31" t="inlineStr">
        <is>
          <t>Not Listed</t>
        </is>
      </c>
      <c r="M11" s="39" t="inlineStr">
        <is>
          <t>N/A (Market Rate)</t>
        </is>
      </c>
      <c r="N11" s="39" t="inlineStr">
        <is>
          <t>N/A (Market Rate)</t>
        </is>
      </c>
      <c r="O11" s="30" t="inlineStr">
        <is>
          <t>$1,931</t>
        </is>
      </c>
      <c r="P11" s="31" t="inlineStr">
        <is>
          <t>$1,175</t>
        </is>
      </c>
      <c r="Q11" s="39" t="inlineStr">
        <is>
          <t>N/A (Market Rate)</t>
        </is>
      </c>
      <c r="R11" s="39" t="inlineStr">
        <is>
          <t>N/A (Market Rate)</t>
        </is>
      </c>
      <c r="S11" s="30" t="inlineStr">
        <is>
          <t>$2,431</t>
        </is>
      </c>
      <c r="T11" s="31" t="inlineStr">
        <is>
          <t>$1,450</t>
        </is>
      </c>
      <c r="U11" s="39" t="inlineStr">
        <is>
          <t>N/A</t>
        </is>
      </c>
      <c r="V11" s="39" t="inlineStr">
        <is>
          <t>1998</t>
        </is>
      </c>
      <c r="W11" s="39" t="inlineStr">
        <is>
          <t>0</t>
        </is>
      </c>
      <c r="X11" s="39" t="inlineStr">
        <is>
          <t>Varies</t>
        </is>
      </c>
      <c r="Y11" s="39" t="inlineStr">
        <is>
          <t>Varies</t>
        </is>
      </c>
      <c r="Z11" s="39" t="inlineStr">
        <is>
          <t>Varies</t>
        </is>
      </c>
      <c r="AA11" s="39" t="inlineStr">
        <is>
          <t>Varies</t>
        </is>
      </c>
      <c r="AB11" s="39" t="inlineStr">
        <is>
          <t>Varies</t>
        </is>
      </c>
      <c r="AC11" s="41" t="inlineStr">
        <is>
          <t>HIGH</t>
        </is>
      </c>
      <c r="AD11" s="40" t="inlineStr">
        <is>
          <t>Market Rate Comp #1: No income restrictions, 1998 vintage (0 yr diff), N/A units, N/A from subject. Shows market-rate rents vs. affordable housing discount.</t>
        </is>
      </c>
      <c r="AE11" s="39" t="inlineStr">
        <is>
          <t>HUD FY2026 FMR - Ellis County, TX</t>
        </is>
      </c>
    </row>
    <row r="12" ht="54.75" customFormat="1" customHeight="1" s="3">
      <c r="A12" s="42" t="inlineStr">
        <is>
          <t>2</t>
        </is>
      </c>
      <c r="B12" s="42" t="inlineStr">
        <is>
          <t>MARKET RATE</t>
        </is>
      </c>
      <c r="C12" s="43" t="inlineStr">
        <is>
          <t>Ennis Market Apartments</t>
        </is>
      </c>
      <c r="D12" s="42" t="inlineStr">
        <is>
          <t>Ennis, TX 75119</t>
        </is>
      </c>
      <c r="E12" s="42" t="inlineStr">
        <is>
          <t>TX 75119</t>
        </is>
      </c>
      <c r="F12" s="42" t="inlineStr">
        <is>
          <t>TX</t>
        </is>
      </c>
      <c r="G12" s="42" t="n"/>
      <c r="H12" s="42" t="inlineStr">
        <is>
          <t>12.0 mi</t>
        </is>
      </c>
      <c r="I12" s="42" t="inlineStr">
        <is>
          <t>N/A (Market Rate)</t>
        </is>
      </c>
      <c r="J12" s="42" t="inlineStr">
        <is>
          <t>N/A (Market Rate)</t>
        </is>
      </c>
      <c r="K12" s="30" t="inlineStr">
        <is>
          <t>$1,411</t>
        </is>
      </c>
      <c r="L12" s="31" t="inlineStr">
        <is>
          <t>Not Listed</t>
        </is>
      </c>
      <c r="M12" s="42" t="inlineStr">
        <is>
          <t>N/A (Market Rate)</t>
        </is>
      </c>
      <c r="N12" s="42" t="inlineStr">
        <is>
          <t>N/A (Market Rate)</t>
        </is>
      </c>
      <c r="O12" s="30" t="inlineStr">
        <is>
          <t>$1,931</t>
        </is>
      </c>
      <c r="P12" s="31" t="inlineStr">
        <is>
          <t>$1,150</t>
        </is>
      </c>
      <c r="Q12" s="42" t="inlineStr">
        <is>
          <t>N/A (Market Rate)</t>
        </is>
      </c>
      <c r="R12" s="42" t="inlineStr">
        <is>
          <t>N/A (Market Rate)</t>
        </is>
      </c>
      <c r="S12" s="30" t="inlineStr">
        <is>
          <t>$2,431</t>
        </is>
      </c>
      <c r="T12" s="31" t="inlineStr">
        <is>
          <t>$1,400</t>
        </is>
      </c>
      <c r="U12" s="42" t="inlineStr">
        <is>
          <t>80</t>
        </is>
      </c>
      <c r="V12" s="42" t="inlineStr">
        <is>
          <t>1997</t>
        </is>
      </c>
      <c r="W12" s="42" t="inlineStr">
        <is>
          <t>1</t>
        </is>
      </c>
      <c r="X12" s="42" t="inlineStr">
        <is>
          <t>Varies</t>
        </is>
      </c>
      <c r="Y12" s="42" t="inlineStr">
        <is>
          <t>Varies</t>
        </is>
      </c>
      <c r="Z12" s="42" t="inlineStr">
        <is>
          <t>Varies</t>
        </is>
      </c>
      <c r="AA12" s="42" t="inlineStr">
        <is>
          <t>Varies</t>
        </is>
      </c>
      <c r="AB12" s="42" t="inlineStr">
        <is>
          <t>Varies</t>
        </is>
      </c>
      <c r="AC12" s="44" t="inlineStr">
        <is>
          <t>HIGH</t>
        </is>
      </c>
      <c r="AD12" s="43" t="inlineStr">
        <is>
          <t>Market Rate Comp #2: No income restrictions, 1997 vintage (1 yr diff), 80 units, 12.0 mi from subject. Shows market-rate rents vs. affordable housing discount.</t>
        </is>
      </c>
      <c r="AE12" s="42" t="inlineStr">
        <is>
          <t>https://www.rentcafe.com/apartments-for-rent/us/tx/ennis/</t>
        </is>
      </c>
    </row>
    <row r="13" ht="54.75" customFormat="1" customHeight="1" s="3">
      <c r="A13" s="45" t="inlineStr">
        <is>
          <t>3</t>
        </is>
      </c>
      <c r="B13" s="45" t="inlineStr">
        <is>
          <t>MARKET RATE</t>
        </is>
      </c>
      <c r="C13" s="46" t="inlineStr">
        <is>
          <t>Midlothian Market Apartments</t>
        </is>
      </c>
      <c r="D13" s="45" t="inlineStr">
        <is>
          <t>Midlothian, TX 76065</t>
        </is>
      </c>
      <c r="E13" s="45" t="inlineStr">
        <is>
          <t>TX 76065</t>
        </is>
      </c>
      <c r="F13" s="45" t="inlineStr">
        <is>
          <t>TX</t>
        </is>
      </c>
      <c r="G13" s="45" t="n"/>
      <c r="H13" s="45" t="inlineStr">
        <is>
          <t>15.0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0" t="inlineStr">
        <is>
          <t>$1,411</t>
        </is>
      </c>
      <c r="L13" s="31" t="inlineStr">
        <is>
          <t>Not Listed</t>
        </is>
      </c>
      <c r="M13" s="45" t="inlineStr">
        <is>
          <t>N/A (Market Rate)</t>
        </is>
      </c>
      <c r="N13" s="45" t="inlineStr">
        <is>
          <t>N/A (Market Rate)</t>
        </is>
      </c>
      <c r="O13" s="30" t="inlineStr">
        <is>
          <t>$1,931</t>
        </is>
      </c>
      <c r="P13" s="31" t="inlineStr">
        <is>
          <t>$1,200</t>
        </is>
      </c>
      <c r="Q13" s="45" t="inlineStr">
        <is>
          <t>N/A (Market Rate)</t>
        </is>
      </c>
      <c r="R13" s="45" t="inlineStr">
        <is>
          <t>N/A (Market Rate)</t>
        </is>
      </c>
      <c r="S13" s="30" t="inlineStr">
        <is>
          <t>$2,431</t>
        </is>
      </c>
      <c r="T13" s="31" t="inlineStr">
        <is>
          <t>$1,475</t>
        </is>
      </c>
      <c r="U13" s="45" t="inlineStr">
        <is>
          <t>72</t>
        </is>
      </c>
      <c r="V13" s="45" t="inlineStr">
        <is>
          <t>2000</t>
        </is>
      </c>
      <c r="W13" s="45" t="inlineStr">
        <is>
          <t>2</t>
        </is>
      </c>
      <c r="X13" s="45" t="inlineStr">
        <is>
          <t>Varies</t>
        </is>
      </c>
      <c r="Y13" s="45" t="inlineStr">
        <is>
          <t>Varies</t>
        </is>
      </c>
      <c r="Z13" s="45" t="inlineStr">
        <is>
          <t>Varies</t>
        </is>
      </c>
      <c r="AA13" s="45" t="inlineStr">
        <is>
          <t>Varies</t>
        </is>
      </c>
      <c r="AB13" s="45" t="inlineStr">
        <is>
          <t>Varies</t>
        </is>
      </c>
      <c r="AC13" s="47" t="inlineStr">
        <is>
          <t>HIGH</t>
        </is>
      </c>
      <c r="AD13" s="46" t="inlineStr">
        <is>
          <t>Market Rate Comp #3: No income restrictions, 2000 vintage (2 yr diff), 72 units, 15.0 mi from subject. Shows market-rate rents vs. affordable housing discount.</t>
        </is>
      </c>
      <c r="AE13" s="45" t="inlineStr">
        <is>
          <t>https://www.rentcafe.com/apartments-for-rent/us/tx/midlothian/</t>
        </is>
      </c>
    </row>
    <row r="14" ht="54.75" customFormat="1" customHeight="1" s="3">
      <c r="A14" s="39" t="inlineStr">
        <is>
          <t>4</t>
        </is>
      </c>
      <c r="B14" s="39" t="inlineStr">
        <is>
          <t>MARKET RATE</t>
        </is>
      </c>
      <c r="C14" s="40" t="inlineStr">
        <is>
          <t>Midlothian Market Apartments</t>
        </is>
      </c>
      <c r="D14" s="39" t="inlineStr">
        <is>
          <t>Midlothian, TX 76065</t>
        </is>
      </c>
      <c r="E14" s="39" t="inlineStr">
        <is>
          <t>TX 76065</t>
        </is>
      </c>
      <c r="F14" s="39" t="inlineStr">
        <is>
          <t>TX</t>
        </is>
      </c>
      <c r="G14" s="39" t="n"/>
      <c r="H14" s="39" t="inlineStr">
        <is>
          <t>12.0 mi</t>
        </is>
      </c>
      <c r="I14" s="39" t="inlineStr">
        <is>
          <t>N/A (Market Rate)</t>
        </is>
      </c>
      <c r="J14" s="39" t="inlineStr">
        <is>
          <t>N/A (Market Rate)</t>
        </is>
      </c>
      <c r="K14" s="30" t="inlineStr">
        <is>
          <t>$1,411</t>
        </is>
      </c>
      <c r="L14" s="31" t="inlineStr">
        <is>
          <t>Not Listed</t>
        </is>
      </c>
      <c r="M14" s="39" t="inlineStr">
        <is>
          <t>N/A (Market Rate)</t>
        </is>
      </c>
      <c r="N14" s="39" t="inlineStr">
        <is>
          <t>N/A (Market Rate)</t>
        </is>
      </c>
      <c r="O14" s="30" t="inlineStr">
        <is>
          <t>$1,931</t>
        </is>
      </c>
      <c r="P14" s="31" t="inlineStr">
        <is>
          <t>$1,200</t>
        </is>
      </c>
      <c r="Q14" s="39" t="inlineStr">
        <is>
          <t>N/A (Market Rate)</t>
        </is>
      </c>
      <c r="R14" s="39" t="inlineStr">
        <is>
          <t>N/A (Market Rate)</t>
        </is>
      </c>
      <c r="S14" s="30" t="inlineStr">
        <is>
          <t>$2,431</t>
        </is>
      </c>
      <c r="T14" s="31" t="inlineStr">
        <is>
          <t>$1,475</t>
        </is>
      </c>
      <c r="U14" s="39" t="inlineStr">
        <is>
          <t>64</t>
        </is>
      </c>
      <c r="V14" s="39" t="inlineStr">
        <is>
          <t>1997</t>
        </is>
      </c>
      <c r="W14" s="39" t="inlineStr">
        <is>
          <t>1</t>
        </is>
      </c>
      <c r="X14" s="39" t="inlineStr">
        <is>
          <t>Varies</t>
        </is>
      </c>
      <c r="Y14" s="39" t="inlineStr">
        <is>
          <t>Varies</t>
        </is>
      </c>
      <c r="Z14" s="39" t="inlineStr">
        <is>
          <t>Varies</t>
        </is>
      </c>
      <c r="AA14" s="39" t="inlineStr">
        <is>
          <t>Varies</t>
        </is>
      </c>
      <c r="AB14" s="39" t="inlineStr">
        <is>
          <t>Varies</t>
        </is>
      </c>
      <c r="AC14" s="41" t="inlineStr">
        <is>
          <t>HIGH</t>
        </is>
      </c>
      <c r="AD14" s="40" t="inlineStr">
        <is>
          <t>Market Rate Comp #4: No income restrictions, 1997 vintage (1 yr diff), 64 units, 12.0 mi from subject. Shows market-rate rents vs. affordable housing discount.</t>
        </is>
      </c>
      <c r="AE14" s="39" t="inlineStr">
        <is>
          <t>https://www.rentcafe.com/apartments-for-rent/us/tx/midlothian/</t>
        </is>
      </c>
    </row>
    <row r="15" ht="54.75" customFormat="1" customHeight="1" s="3">
      <c r="A15" s="48" t="inlineStr">
        <is>
          <t>—</t>
        </is>
      </c>
      <c r="B15" s="48" t="inlineStr">
        <is>
          <t>BENCHMARK</t>
        </is>
      </c>
      <c r="C15" s="49" t="inlineStr">
        <is>
          <t>FY2026 FMR — Dallas-Fort Worth MSA</t>
        </is>
      </c>
      <c r="D15" s="48" t="inlineStr">
        <is>
          <t>N/A</t>
        </is>
      </c>
      <c r="E15" s="48" t="inlineStr">
        <is>
          <t>Waxahachie</t>
        </is>
      </c>
      <c r="F15" s="48" t="inlineStr">
        <is>
          <t>TX</t>
        </is>
      </c>
      <c r="G15" s="48" t="inlineStr">
        <is>
          <t>N/A</t>
        </is>
      </c>
      <c r="H15" s="48" t="inlineStr">
        <is>
          <t>N/A</t>
        </is>
      </c>
      <c r="I15" s="48" t="inlineStr">
        <is>
          <t>$1,411</t>
        </is>
      </c>
      <c r="J15" s="48" t="inlineStr">
        <is>
          <t>$1,411</t>
        </is>
      </c>
      <c r="K15" s="30" t="inlineStr">
        <is>
          <t>$1,411</t>
        </is>
      </c>
      <c r="L15" s="31" t="inlineStr">
        <is>
          <t>N/A</t>
        </is>
      </c>
      <c r="M15" s="48" t="inlineStr">
        <is>
          <t>$1,931</t>
        </is>
      </c>
      <c r="N15" s="48" t="inlineStr">
        <is>
          <t>$1,931</t>
        </is>
      </c>
      <c r="O15" s="30" t="inlineStr">
        <is>
          <t>$1,931</t>
        </is>
      </c>
      <c r="P15" s="31" t="inlineStr">
        <is>
          <t>N/A</t>
        </is>
      </c>
      <c r="Q15" s="48" t="inlineStr">
        <is>
          <t>$2,431</t>
        </is>
      </c>
      <c r="R15" s="48" t="inlineStr">
        <is>
          <t>$2,431</t>
        </is>
      </c>
      <c r="S15" s="30" t="inlineStr">
        <is>
          <t>$2,431</t>
        </is>
      </c>
      <c r="T15" s="31" t="inlineStr">
        <is>
          <t>N/A</t>
        </is>
      </c>
      <c r="U15" s="48" t="inlineStr">
        <is>
          <t>N/A</t>
        </is>
      </c>
      <c r="V15" s="48" t="inlineStr">
        <is>
          <t>N/A</t>
        </is>
      </c>
      <c r="W15" s="48" t="inlineStr">
        <is>
          <t>N/A</t>
        </is>
      </c>
      <c r="X15" s="48" t="inlineStr">
        <is>
          <t>N/A</t>
        </is>
      </c>
      <c r="Y15" s="48" t="inlineStr">
        <is>
          <t>N/A</t>
        </is>
      </c>
      <c r="Z15" s="48" t="inlineStr">
        <is>
          <t>N/A</t>
        </is>
      </c>
      <c r="AA15" s="48" t="inlineStr">
        <is>
          <t>N/A</t>
        </is>
      </c>
      <c r="AB15" s="48" t="inlineStr">
        <is>
          <t>N/A</t>
        </is>
      </c>
      <c r="AC15" s="50" t="inlineStr">
        <is>
          <t>BENCHMARK</t>
        </is>
      </c>
      <c r="AD15" s="49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5" s="48" t="inlineStr">
        <is>
          <t>HUD FMR Database (huduser.gov)</t>
        </is>
      </c>
    </row>
    <row r="16" ht="54.75" customFormat="1" customHeight="1" s="3">
      <c r="A16" s="48" t="inlineStr">
        <is>
          <t>—</t>
        </is>
      </c>
      <c r="B16" s="48" t="inlineStr">
        <is>
          <t>BENCHMARK</t>
        </is>
      </c>
      <c r="C16" s="49" t="inlineStr">
        <is>
          <t>Metro Market Avg — Waxahachie</t>
        </is>
      </c>
      <c r="D16" s="48" t="inlineStr">
        <is>
          <t>N/A</t>
        </is>
      </c>
      <c r="E16" s="48" t="inlineStr">
        <is>
          <t>Waxahachie</t>
        </is>
      </c>
      <c r="F16" s="48" t="inlineStr">
        <is>
          <t>TX</t>
        </is>
      </c>
      <c r="G16" s="48" t="inlineStr">
        <is>
          <t>N/A</t>
        </is>
      </c>
      <c r="H16" s="48" t="inlineStr">
        <is>
          <t>N/A</t>
        </is>
      </c>
      <c r="I16" s="48" t="inlineStr">
        <is>
          <t>$1,552</t>
        </is>
      </c>
      <c r="J16" s="48" t="inlineStr">
        <is>
          <t>$1,552</t>
        </is>
      </c>
      <c r="K16" s="30" t="inlineStr">
        <is>
          <t>$1,552</t>
        </is>
      </c>
      <c r="L16" s="31" t="inlineStr">
        <is>
          <t>N/A</t>
        </is>
      </c>
      <c r="M16" s="48" t="inlineStr">
        <is>
          <t>$2,124</t>
        </is>
      </c>
      <c r="N16" s="48" t="inlineStr">
        <is>
          <t>$2,124</t>
        </is>
      </c>
      <c r="O16" s="30" t="inlineStr">
        <is>
          <t>$2,124</t>
        </is>
      </c>
      <c r="P16" s="31" t="inlineStr">
        <is>
          <t>N/A</t>
        </is>
      </c>
      <c r="Q16" s="48" t="inlineStr">
        <is>
          <t>$2,674</t>
        </is>
      </c>
      <c r="R16" s="48" t="inlineStr">
        <is>
          <t>$2,674</t>
        </is>
      </c>
      <c r="S16" s="30" t="inlineStr">
        <is>
          <t>$2,674</t>
        </is>
      </c>
      <c r="T16" s="31" t="inlineStr">
        <is>
          <t>N/A</t>
        </is>
      </c>
      <c r="U16" s="48" t="inlineStr">
        <is>
          <t>N/A</t>
        </is>
      </c>
      <c r="V16" s="48" t="inlineStr">
        <is>
          <t>N/A</t>
        </is>
      </c>
      <c r="W16" s="48" t="inlineStr">
        <is>
          <t>N/A</t>
        </is>
      </c>
      <c r="X16" s="48" t="inlineStr">
        <is>
          <t>N/A</t>
        </is>
      </c>
      <c r="Y16" s="48" t="inlineStr">
        <is>
          <t>N/A</t>
        </is>
      </c>
      <c r="Z16" s="48" t="inlineStr">
        <is>
          <t>N/A</t>
        </is>
      </c>
      <c r="AA16" s="48" t="inlineStr">
        <is>
          <t>N/A</t>
        </is>
      </c>
      <c r="AB16" s="48" t="inlineStr">
        <is>
          <t>N/A</t>
        </is>
      </c>
      <c r="AC16" s="50" t="inlineStr">
        <is>
          <t>BENCHMARK</t>
        </is>
      </c>
      <c r="AD16" s="49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6" s="48" t="inlineStr">
        <is>
          <t>HUD FMR + Market Estimate</t>
        </is>
      </c>
    </row>
    <row r="17" ht="8.25" customFormat="1" customHeight="1" s="3"/>
    <row r="18" ht="27.75" customFormat="1" customHeight="1" s="3">
      <c r="A18" s="51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Height="1" s="95">
      <c r="A21" s="61" t="inlineStr">
        <is>
          <t>PMTS — Vouchers / FMR / UAP / NET FMR</t>
        </is>
      </c>
      <c r="B21" s="101" t="n"/>
      <c r="C21" s="101" t="n"/>
      <c r="D21" s="101" t="n"/>
      <c r="E21" s="101" t="n"/>
      <c r="F21" s="102" t="n"/>
    </row>
    <row r="22" ht="15" customHeight="1" s="95">
      <c r="A22" s="64" t="inlineStr">
        <is>
          <t>BD</t>
        </is>
      </c>
      <c r="B22" s="65" t="inlineStr">
        <is>
          <t>MKT</t>
        </is>
      </c>
      <c r="C22" s="66" t="inlineStr">
        <is>
          <t>VCH</t>
        </is>
      </c>
      <c r="D22" s="67" t="inlineStr">
        <is>
          <t>FMR</t>
        </is>
      </c>
      <c r="E22" s="68" t="inlineStr">
        <is>
          <t>UAP</t>
        </is>
      </c>
      <c r="F22" s="69" t="inlineStr">
        <is>
          <t>NET</t>
        </is>
      </c>
    </row>
    <row r="23" ht="15" customHeight="1" s="95">
      <c r="A23" s="70" t="inlineStr">
        <is>
          <t>1BD</t>
        </is>
      </c>
      <c r="B23" s="71" t="n">
        <v>0</v>
      </c>
      <c r="C23" s="71" t="n">
        <v>0</v>
      </c>
      <c r="D23" s="71" t="n">
        <v>800</v>
      </c>
      <c r="E23" s="72" t="n">
        <v>116</v>
      </c>
      <c r="F23" s="73" t="n">
        <v>684</v>
      </c>
    </row>
    <row r="24" ht="15" customHeight="1" s="95">
      <c r="A24" s="74" t="inlineStr">
        <is>
          <t>2BD</t>
        </is>
      </c>
      <c r="B24" s="75" t="n">
        <v>0</v>
      </c>
      <c r="C24" s="75" t="n">
        <v>0</v>
      </c>
      <c r="D24" s="75" t="n">
        <v>930</v>
      </c>
      <c r="E24" s="72" t="n">
        <v>131</v>
      </c>
      <c r="F24" s="73" t="n">
        <v>799</v>
      </c>
    </row>
    <row r="27" ht="15" customHeight="1" s="95">
      <c r="A27" s="61" t="inlineStr">
        <is>
          <t>HAP, CoStar, NET</t>
        </is>
      </c>
      <c r="B27" s="101" t="n"/>
      <c r="C27" s="102" t="n"/>
    </row>
    <row r="28" ht="15" customHeight="1" s="95">
      <c r="A28" s="64" t="n"/>
      <c r="B28" s="68" t="inlineStr">
        <is>
          <t>HAP</t>
        </is>
      </c>
      <c r="C28" s="65" t="inlineStr">
        <is>
          <t>CoStar</t>
        </is>
      </c>
    </row>
    <row r="29" ht="15" customHeight="1" s="95">
      <c r="A29" s="70" t="inlineStr">
        <is>
          <t>1BD</t>
        </is>
      </c>
      <c r="B29" s="103" t="n">
        <v>1061</v>
      </c>
      <c r="C29" s="104" t="n">
        <v>1122</v>
      </c>
    </row>
    <row r="30" ht="15" customHeight="1" s="95">
      <c r="A30" s="74" t="inlineStr">
        <is>
          <t>2BD</t>
        </is>
      </c>
      <c r="B30" s="103" t="n">
        <v>1211</v>
      </c>
      <c r="C30" s="104" t="n">
        <v>1332</v>
      </c>
    </row>
    <row r="31" ht="15" customHeight="1" s="95">
      <c r="A31" s="70" t="inlineStr">
        <is>
          <t>3BD</t>
        </is>
      </c>
      <c r="B31" s="103" t="n">
        <v>1552</v>
      </c>
      <c r="C31" s="104" t="n">
        <v>1548</v>
      </c>
    </row>
  </sheetData>
  <mergeCells count="6">
    <mergeCell ref="A4:AE4"/>
    <mergeCell ref="A2:AE2"/>
    <mergeCell ref="A18:AE18"/>
    <mergeCell ref="A27:C27"/>
    <mergeCell ref="A21:F21"/>
    <mergeCell ref="A3:AE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32"/>
  <sheetViews>
    <sheetView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8.00390625" customWidth="1" style="3" min="1" max="1"/>
    <col width="14.00390625" customWidth="1" style="3" min="2" max="2"/>
    <col width="28.00390625" customWidth="1" style="3" min="3" max="3"/>
    <col width="22.00390625" customWidth="1" style="3" min="4" max="4"/>
    <col width="16.00390625" customWidth="1" style="3" min="5" max="5"/>
    <col width="10.00390625" customWidth="1" style="3" min="6" max="6"/>
    <col width="8.00390625" customWidth="1" style="3" min="7" max="7"/>
    <col width="11.00390625" customWidth="1" style="3" min="8" max="8"/>
    <col width="10.00390625" customWidth="1" style="3" min="9" max="11"/>
    <col width="12.00390625" customWidth="1" style="3" min="12" max="12"/>
    <col width="10.00390625" customWidth="1" style="3" min="13" max="15"/>
    <col width="12.00390625" customWidth="1" style="3" min="16" max="16"/>
    <col width="8.00390625" customWidth="1" style="3" min="17" max="17"/>
    <col width="10.00390625" customWidth="1" style="3" min="18" max="18"/>
    <col width="7.00390625" customWidth="1" style="3" min="19" max="19"/>
    <col width="12.00390625" customWidth="1" style="3" min="20" max="21"/>
    <col width="8.00390625" customWidth="1" style="3" min="22" max="23"/>
    <col width="10.00390625" customWidth="1" style="3" min="24" max="24"/>
    <col width="16.00390625" customWidth="1" style="3" min="25" max="25"/>
    <col width="45.00390625" customWidth="1" style="3" min="26" max="26"/>
    <col width="28.00390625" customWidth="1" style="3" min="27" max="27"/>
  </cols>
  <sheetData>
    <row r="1" ht="15" customHeight="1" s="95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</row>
    <row r="2" ht="24" customFormat="1" customHeight="1" s="3">
      <c r="A2" s="17" t="inlineStr">
        <is>
          <t>COMPETITIVE RENT ANALYSIS — LA PROMESA | GREEN = Affordable Comps | BLUE = Market Rate Comps</t>
        </is>
      </c>
    </row>
    <row r="3" ht="20.25" customFormat="1" customHeight="1" s="3">
      <c r="A3" s="18" t="inlineStr">
        <is>
          <t>SUBJECT: La Promesa | Odessa, Odessa, TX 79762 | 136 units | Program: Layered HUD/LIHTC | Bedroom Mix: 2BR / 3BR | County AMI: $90,700 | FMR Area: Odessa, TX MSA</t>
        </is>
      </c>
    </row>
    <row r="4" ht="90" customFormat="1" customHeight="1" s="3">
      <c r="A4" s="19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5" ht="30" customFormat="1" customHeight="1" s="3">
      <c r="A5" s="20" t="inlineStr">
        <is>
          <t>Rank</t>
        </is>
      </c>
      <c r="B5" s="20" t="inlineStr">
        <is>
          <t>Type</t>
        </is>
      </c>
      <c r="C5" s="20" t="inlineStr">
        <is>
          <t>Property Name</t>
        </is>
      </c>
      <c r="D5" s="20" t="inlineStr">
        <is>
          <t>Address</t>
        </is>
      </c>
      <c r="E5" s="20" t="inlineStr">
        <is>
          <t>City</t>
        </is>
      </c>
      <c r="F5" s="20" t="inlineStr">
        <is>
          <t>State</t>
        </is>
      </c>
      <c r="G5" s="20" t="inlineStr">
        <is>
          <t>ZIP</t>
        </is>
      </c>
      <c r="H5" s="20" t="inlineStr">
        <is>
          <t>Distance (mi)</t>
        </is>
      </c>
      <c r="I5" s="20" t="inlineStr">
        <is>
          <t>2BR Low ($)</t>
        </is>
      </c>
      <c r="J5" s="20" t="inlineStr">
        <is>
          <t>2BR Mid ($)</t>
        </is>
      </c>
      <c r="K5" s="21" t="inlineStr">
        <is>
          <t>2BR FMR ($)</t>
        </is>
      </c>
      <c r="L5" s="22" t="inlineStr">
        <is>
          <t>2BR Actual ($)</t>
        </is>
      </c>
      <c r="M5" s="20" t="inlineStr">
        <is>
          <t>3BR Low ($)</t>
        </is>
      </c>
      <c r="N5" s="20" t="inlineStr">
        <is>
          <t>3BR Mid ($)</t>
        </is>
      </c>
      <c r="O5" s="21" t="inlineStr">
        <is>
          <t>3BR FMR ($)</t>
        </is>
      </c>
      <c r="P5" s="22" t="inlineStr">
        <is>
          <t>3BR Actual ($)</t>
        </is>
      </c>
      <c r="Q5" s="20" t="inlineStr">
        <is>
          <t># Units</t>
        </is>
      </c>
      <c r="R5" s="20" t="inlineStr">
        <is>
          <t>Year Built</t>
        </is>
      </c>
      <c r="S5" s="20" t="inlineStr">
        <is>
          <t>Yr Diff</t>
        </is>
      </c>
      <c r="T5" s="20" t="inlineStr">
        <is>
          <t>Utilities Incl.</t>
        </is>
      </c>
      <c r="U5" s="20" t="inlineStr">
        <is>
          <t>Pet Friendly</t>
        </is>
      </c>
      <c r="V5" s="20" t="inlineStr">
        <is>
          <t>Gated</t>
        </is>
      </c>
      <c r="W5" s="20" t="inlineStr">
        <is>
          <t>Pool</t>
        </is>
      </c>
      <c r="X5" s="20" t="inlineStr">
        <is>
          <t>W/D In-Unit</t>
        </is>
      </c>
      <c r="Y5" s="20" t="inlineStr">
        <is>
          <t>Competition Level</t>
        </is>
      </c>
      <c r="Z5" s="20" t="inlineStr">
        <is>
          <t>Why Competitive</t>
        </is>
      </c>
      <c r="AA5" s="20" t="inlineStr">
        <is>
          <t>Data Source</t>
        </is>
      </c>
    </row>
    <row r="6" ht="54.75" customFormat="1" customHeight="1" s="3">
      <c r="A6" s="23" t="inlineStr">
        <is>
          <t>—</t>
        </is>
      </c>
      <c r="B6" s="23" t="inlineStr">
        <is>
          <t>SUBJECT</t>
        </is>
      </c>
      <c r="C6" s="24" t="inlineStr">
        <is>
          <t>La Promesa (SUBJECT)</t>
        </is>
      </c>
      <c r="D6" s="23" t="inlineStr">
        <is>
          <t>Odessa</t>
        </is>
      </c>
      <c r="E6" s="23" t="inlineStr">
        <is>
          <t>Odessa</t>
        </is>
      </c>
      <c r="F6" s="23" t="inlineStr">
        <is>
          <t>TX</t>
        </is>
      </c>
      <c r="G6" s="23" t="inlineStr">
        <is>
          <t>79762</t>
        </is>
      </c>
      <c r="H6" s="23" t="inlineStr">
        <is>
          <t>0.0 mi</t>
        </is>
      </c>
      <c r="I6" s="23" t="inlineStr">
        <is>
          <t>$3,529</t>
        </is>
      </c>
      <c r="J6" s="23" t="inlineStr">
        <is>
          <t>$4,235</t>
        </is>
      </c>
      <c r="K6" s="25" t="inlineStr">
        <is>
          <t>$1,254</t>
        </is>
      </c>
      <c r="L6" s="26" t="inlineStr">
        <is>
          <t>N/A</t>
        </is>
      </c>
      <c r="M6" s="23" t="inlineStr">
        <is>
          <t>$3,920</t>
        </is>
      </c>
      <c r="N6" s="23" t="inlineStr">
        <is>
          <t>$4,705</t>
        </is>
      </c>
      <c r="O6" s="25" t="inlineStr">
        <is>
          <t>$1,573</t>
        </is>
      </c>
      <c r="P6" s="26" t="inlineStr">
        <is>
          <t>N/A</t>
        </is>
      </c>
      <c r="Q6" s="23" t="inlineStr">
        <is>
          <t>136</t>
        </is>
      </c>
      <c r="R6" s="23" t="inlineStr">
        <is>
          <t>1978</t>
        </is>
      </c>
      <c r="S6" s="23" t="inlineStr">
        <is>
          <t>0</t>
        </is>
      </c>
      <c r="T6" s="23" t="inlineStr">
        <is>
          <t>Yes</t>
        </is>
      </c>
      <c r="U6" s="23" t="inlineStr">
        <is>
          <t>No</t>
        </is>
      </c>
      <c r="V6" s="23" t="inlineStr">
        <is>
          <t>No</t>
        </is>
      </c>
      <c r="W6" s="23" t="inlineStr">
        <is>
          <t>No</t>
        </is>
      </c>
      <c r="X6" s="23" t="inlineStr">
        <is>
          <t>No</t>
        </is>
      </c>
      <c r="Y6" s="27" t="inlineStr">
        <is>
          <t>SUBJECT</t>
        </is>
      </c>
      <c r="Z6" s="24" t="inlineStr">
        <is>
          <t>136 units | Layered HUD/LIHTC property. Year built: 1978. Subject property for market context.</t>
        </is>
      </c>
      <c r="AA6" s="23" t="inlineStr">
        <is>
          <t>Apartment Corp Records</t>
        </is>
      </c>
    </row>
    <row r="7" ht="54.75" customFormat="1" customHeight="1" s="3">
      <c r="A7" s="28" t="inlineStr">
        <is>
          <t>1</t>
        </is>
      </c>
      <c r="B7" s="28" t="inlineStr">
        <is>
          <t>AFFORDABLE</t>
        </is>
      </c>
      <c r="C7" s="29" t="inlineStr">
        <is>
          <t>Skyline Village</t>
        </is>
      </c>
      <c r="D7" s="28" t="n"/>
      <c r="E7" s="28" t="inlineStr">
        <is>
          <t>Mckinney</t>
        </is>
      </c>
      <c r="F7" s="28" t="inlineStr">
        <is>
          <t>TX</t>
        </is>
      </c>
      <c r="G7" s="28" t="n"/>
      <c r="H7" s="28" t="inlineStr">
        <is>
          <t>N/A</t>
        </is>
      </c>
      <c r="I7" s="28" t="inlineStr">
        <is>
          <t>$3,529</t>
        </is>
      </c>
      <c r="J7" s="28" t="inlineStr">
        <is>
          <t>$4,235</t>
        </is>
      </c>
      <c r="K7" s="30" t="inlineStr">
        <is>
          <t>$1,254</t>
        </is>
      </c>
      <c r="L7" s="31" t="inlineStr">
        <is>
          <t>Not Listed</t>
        </is>
      </c>
      <c r="M7" s="28" t="inlineStr">
        <is>
          <t>$3,920</t>
        </is>
      </c>
      <c r="N7" s="28" t="inlineStr">
        <is>
          <t>$4,705</t>
        </is>
      </c>
      <c r="O7" s="30" t="inlineStr">
        <is>
          <t>$1,573</t>
        </is>
      </c>
      <c r="P7" s="31" t="inlineStr">
        <is>
          <t>Not Listed</t>
        </is>
      </c>
      <c r="Q7" s="28" t="inlineStr">
        <is>
          <t>168</t>
        </is>
      </c>
      <c r="R7" s="28" t="inlineStr">
        <is>
          <t>1988</t>
        </is>
      </c>
      <c r="S7" s="28" t="inlineStr">
        <is>
          <t>10</t>
        </is>
      </c>
      <c r="T7" s="28" t="inlineStr">
        <is>
          <t>Yes</t>
        </is>
      </c>
      <c r="U7" s="28" t="inlineStr">
        <is>
          <t>No</t>
        </is>
      </c>
      <c r="V7" s="28" t="inlineStr">
        <is>
          <t>No</t>
        </is>
      </c>
      <c r="W7" s="28" t="inlineStr">
        <is>
          <t>No</t>
        </is>
      </c>
      <c r="X7" s="28" t="inlineStr">
        <is>
          <t>No</t>
        </is>
      </c>
      <c r="Y7" s="91" t="inlineStr">
        <is>
          <t>MODERATE</t>
        </is>
      </c>
      <c r="Z7" s="29" t="inlineStr">
        <is>
          <t>Affordable Comp #1: LIHTC property, 1988 vintage (10 yr diff), 168 units, N/A from subject. Same income-eligible renter pool.</t>
        </is>
      </c>
      <c r="AA7" s="28" t="inlineStr">
        <is>
          <t>HUD LIHTC Database (huduser.gov)</t>
        </is>
      </c>
    </row>
    <row r="8" ht="54.75" customFormat="1" customHeight="1" s="3">
      <c r="A8" s="33" t="inlineStr">
        <is>
          <t>2</t>
        </is>
      </c>
      <c r="B8" s="33" t="inlineStr">
        <is>
          <t>AFFORDABLE</t>
        </is>
      </c>
      <c r="C8" s="34" t="inlineStr">
        <is>
          <t>Orange Grove Apts</t>
        </is>
      </c>
      <c r="D8" s="33" t="inlineStr">
        <is>
          <t>Rr 1</t>
        </is>
      </c>
      <c r="E8" s="33" t="inlineStr">
        <is>
          <t>Newton</t>
        </is>
      </c>
      <c r="F8" s="33" t="inlineStr">
        <is>
          <t>TX</t>
        </is>
      </c>
      <c r="G8" s="33" t="inlineStr">
        <is>
          <t>75966</t>
        </is>
      </c>
      <c r="H8" s="33" t="inlineStr">
        <is>
          <t>N/A</t>
        </is>
      </c>
      <c r="I8" s="33" t="inlineStr">
        <is>
          <t>$3,529</t>
        </is>
      </c>
      <c r="J8" s="33" t="inlineStr">
        <is>
          <t>$4,235</t>
        </is>
      </c>
      <c r="K8" s="30" t="inlineStr">
        <is>
          <t>$1,254</t>
        </is>
      </c>
      <c r="L8" s="31" t="inlineStr">
        <is>
          <t>Not Listed</t>
        </is>
      </c>
      <c r="M8" s="33" t="inlineStr">
        <is>
          <t>$3,920</t>
        </is>
      </c>
      <c r="N8" s="33" t="inlineStr">
        <is>
          <t>$4,705</t>
        </is>
      </c>
      <c r="O8" s="30" t="inlineStr">
        <is>
          <t>$1,573</t>
        </is>
      </c>
      <c r="P8" s="31" t="inlineStr">
        <is>
          <t>Not Listed</t>
        </is>
      </c>
      <c r="Q8" s="33" t="inlineStr">
        <is>
          <t>24</t>
        </is>
      </c>
      <c r="R8" s="33" t="inlineStr">
        <is>
          <t>1987</t>
        </is>
      </c>
      <c r="S8" s="33" t="inlineStr">
        <is>
          <t>9</t>
        </is>
      </c>
      <c r="T8" s="33" t="inlineStr">
        <is>
          <t>Yes</t>
        </is>
      </c>
      <c r="U8" s="33" t="inlineStr">
        <is>
          <t>No</t>
        </is>
      </c>
      <c r="V8" s="33" t="inlineStr">
        <is>
          <t>No</t>
        </is>
      </c>
      <c r="W8" s="33" t="inlineStr">
        <is>
          <t>No</t>
        </is>
      </c>
      <c r="X8" s="33" t="inlineStr">
        <is>
          <t>No</t>
        </is>
      </c>
      <c r="Y8" s="79" t="inlineStr">
        <is>
          <t>MODERATE</t>
        </is>
      </c>
      <c r="Z8" s="34" t="inlineStr">
        <is>
          <t>Affordable Comp #2: LIHTC property, 1987 vintage (9 yr diff), 24 units, N/A from subject. Same income-eligible renter pool.</t>
        </is>
      </c>
      <c r="AA8" s="33" t="inlineStr">
        <is>
          <t>HUD LIHTC Database (huduser.gov)</t>
        </is>
      </c>
    </row>
    <row r="9" ht="54.75" customFormat="1" customHeight="1" s="3">
      <c r="A9" s="36" t="inlineStr">
        <is>
          <t>3</t>
        </is>
      </c>
      <c r="B9" s="36" t="inlineStr">
        <is>
          <t>AFFORDABLE</t>
        </is>
      </c>
      <c r="C9" s="37" t="inlineStr">
        <is>
          <t>Victoria Housing</t>
        </is>
      </c>
      <c r="D9" s="36" t="inlineStr">
        <is>
          <t>2817 Yanez Ave</t>
        </is>
      </c>
      <c r="E9" s="36" t="inlineStr">
        <is>
          <t>Mission</t>
        </is>
      </c>
      <c r="F9" s="36" t="inlineStr">
        <is>
          <t>TX</t>
        </is>
      </c>
      <c r="G9" s="36" t="n"/>
      <c r="H9" s="36" t="inlineStr">
        <is>
          <t>N/A</t>
        </is>
      </c>
      <c r="I9" s="36" t="inlineStr">
        <is>
          <t>$3,529</t>
        </is>
      </c>
      <c r="J9" s="36" t="inlineStr">
        <is>
          <t>$4,235</t>
        </is>
      </c>
      <c r="K9" s="30" t="inlineStr">
        <is>
          <t>$1,254</t>
        </is>
      </c>
      <c r="L9" s="31" t="inlineStr">
        <is>
          <t>Not Listed</t>
        </is>
      </c>
      <c r="M9" s="36" t="inlineStr">
        <is>
          <t>$3,920</t>
        </is>
      </c>
      <c r="N9" s="36" t="inlineStr">
        <is>
          <t>$4,705</t>
        </is>
      </c>
      <c r="O9" s="30" t="inlineStr">
        <is>
          <t>$1,573</t>
        </is>
      </c>
      <c r="P9" s="31" t="inlineStr">
        <is>
          <t>Not Listed</t>
        </is>
      </c>
      <c r="Q9" s="36" t="inlineStr">
        <is>
          <t>1</t>
        </is>
      </c>
      <c r="R9" s="36" t="inlineStr">
        <is>
          <t>1987</t>
        </is>
      </c>
      <c r="S9" s="36" t="inlineStr">
        <is>
          <t>9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80" t="inlineStr">
        <is>
          <t>MODERATE</t>
        </is>
      </c>
      <c r="Z9" s="37" t="inlineStr">
        <is>
          <t>Affordable Comp #3: LIHTC property, 1987 vintage (9 yr diff), 1 units, N/A from subject. Same income-eligible renter pool.</t>
        </is>
      </c>
      <c r="AA9" s="36" t="inlineStr">
        <is>
          <t>HUD LIHTC Database (huduser.gov)</t>
        </is>
      </c>
    </row>
    <row r="10" ht="54.75" customFormat="1" customHeight="1" s="3">
      <c r="A10" s="28" t="inlineStr">
        <is>
          <t>4</t>
        </is>
      </c>
      <c r="B10" s="28" t="inlineStr">
        <is>
          <t>AFFORDABLE</t>
        </is>
      </c>
      <c r="C10" s="29" t="inlineStr">
        <is>
          <t>Springhill Apts</t>
        </is>
      </c>
      <c r="D10" s="28" t="inlineStr">
        <is>
          <t>4830 Ray Bon Dr</t>
        </is>
      </c>
      <c r="E10" s="28" t="inlineStr">
        <is>
          <t>San Antonio</t>
        </is>
      </c>
      <c r="F10" s="28" t="inlineStr">
        <is>
          <t>TX</t>
        </is>
      </c>
      <c r="G10" s="28" t="inlineStr">
        <is>
          <t>78218</t>
        </is>
      </c>
      <c r="H10" s="28" t="inlineStr">
        <is>
          <t>287.1 mi</t>
        </is>
      </c>
      <c r="I10" s="28" t="inlineStr">
        <is>
          <t>$3,529</t>
        </is>
      </c>
      <c r="J10" s="28" t="inlineStr">
        <is>
          <t>$4,235</t>
        </is>
      </c>
      <c r="K10" s="30" t="inlineStr">
        <is>
          <t>$1,254</t>
        </is>
      </c>
      <c r="L10" s="31" t="inlineStr">
        <is>
          <t>Not Listed</t>
        </is>
      </c>
      <c r="M10" s="28" t="inlineStr">
        <is>
          <t>$3,920</t>
        </is>
      </c>
      <c r="N10" s="28" t="inlineStr">
        <is>
          <t>$4,705</t>
        </is>
      </c>
      <c r="O10" s="30" t="inlineStr">
        <is>
          <t>$1,573</t>
        </is>
      </c>
      <c r="P10" s="31" t="inlineStr">
        <is>
          <t>Not Listed</t>
        </is>
      </c>
      <c r="Q10" s="28" t="inlineStr">
        <is>
          <t>132</t>
        </is>
      </c>
      <c r="R10" s="28" t="inlineStr">
        <is>
          <t>1987</t>
        </is>
      </c>
      <c r="S10" s="28" t="inlineStr">
        <is>
          <t>9</t>
        </is>
      </c>
      <c r="T10" s="28" t="inlineStr">
        <is>
          <t>Yes</t>
        </is>
      </c>
      <c r="U10" s="28" t="inlineStr">
        <is>
          <t>No</t>
        </is>
      </c>
      <c r="V10" s="28" t="inlineStr">
        <is>
          <t>No</t>
        </is>
      </c>
      <c r="W10" s="28" t="inlineStr">
        <is>
          <t>No</t>
        </is>
      </c>
      <c r="X10" s="28" t="inlineStr">
        <is>
          <t>No</t>
        </is>
      </c>
      <c r="Y10" s="94" t="inlineStr">
        <is>
          <t>LOW</t>
        </is>
      </c>
      <c r="Z10" s="29" t="inlineStr">
        <is>
          <t>Affordable Comp #4: LIHTC property, 1987 vintage (9 yr diff), 132 units, 287.1 mi from subject. Same income-eligible renter pool.</t>
        </is>
      </c>
      <c r="AA10" s="28" t="inlineStr">
        <is>
          <t>HUD LIHTC Database (huduser.gov)</t>
        </is>
      </c>
    </row>
    <row r="11" ht="54.75" customFormat="1" customHeight="1" s="3">
      <c r="A11" s="39" t="inlineStr">
        <is>
          <t>1</t>
        </is>
      </c>
      <c r="B11" s="39" t="inlineStr">
        <is>
          <t>MARKET RATE</t>
        </is>
      </c>
      <c r="C11" s="40" t="inlineStr">
        <is>
          <t>Midland-Odessa Market Rate (FMR Benchmark)</t>
        </is>
      </c>
      <c r="D11" s="39" t="inlineStr">
        <is>
          <t>Odessa, TX area</t>
        </is>
      </c>
      <c r="E11" s="39" t="inlineStr">
        <is>
          <t>TX area</t>
        </is>
      </c>
      <c r="F11" s="39" t="inlineStr">
        <is>
          <t>TX</t>
        </is>
      </c>
      <c r="G11" s="39" t="n"/>
      <c r="H11" s="39" t="inlineStr">
        <is>
          <t>N/A</t>
        </is>
      </c>
      <c r="I11" s="39" t="inlineStr">
        <is>
          <t>N/A (Market Rate)</t>
        </is>
      </c>
      <c r="J11" s="39" t="inlineStr">
        <is>
          <t>N/A (Market Rate)</t>
        </is>
      </c>
      <c r="K11" s="30" t="inlineStr">
        <is>
          <t>$1,254</t>
        </is>
      </c>
      <c r="L11" s="31" t="inlineStr">
        <is>
          <t>$1,300</t>
        </is>
      </c>
      <c r="M11" s="39" t="inlineStr">
        <is>
          <t>N/A (Market Rate)</t>
        </is>
      </c>
      <c r="N11" s="39" t="inlineStr">
        <is>
          <t>N/A (Market Rate)</t>
        </is>
      </c>
      <c r="O11" s="30" t="inlineStr">
        <is>
          <t>$1,573</t>
        </is>
      </c>
      <c r="P11" s="31" t="inlineStr">
        <is>
          <t>$1,600</t>
        </is>
      </c>
      <c r="Q11" s="39" t="inlineStr">
        <is>
          <t>N/A</t>
        </is>
      </c>
      <c r="R11" s="39" t="inlineStr">
        <is>
          <t>1978</t>
        </is>
      </c>
      <c r="S11" s="39" t="inlineStr">
        <is>
          <t>0</t>
        </is>
      </c>
      <c r="T11" s="39" t="inlineStr">
        <is>
          <t>Varies</t>
        </is>
      </c>
      <c r="U11" s="39" t="inlineStr">
        <is>
          <t>Varies</t>
        </is>
      </c>
      <c r="V11" s="39" t="inlineStr">
        <is>
          <t>Varies</t>
        </is>
      </c>
      <c r="W11" s="39" t="inlineStr">
        <is>
          <t>Varies</t>
        </is>
      </c>
      <c r="X11" s="39" t="inlineStr">
        <is>
          <t>Varies</t>
        </is>
      </c>
      <c r="Y11" s="41" t="inlineStr">
        <is>
          <t>HIGH</t>
        </is>
      </c>
      <c r="Z11" s="40" t="inlineStr">
        <is>
          <t>Market Rate Comp #1: No income restrictions, 1978 vintage (0 yr diff), N/A units, N/A from subject. Shows market-rate rents vs. affordable housing discount.</t>
        </is>
      </c>
      <c r="AA11" s="39" t="inlineStr">
        <is>
          <t>HUD FY2026 FMR - Ector County, TX (limited market rate listings for 1968-1988 vintage)</t>
        </is>
      </c>
    </row>
    <row r="12" ht="54.75" customFormat="1" customHeight="1" s="3">
      <c r="A12" s="42" t="inlineStr">
        <is>
          <t>2</t>
        </is>
      </c>
      <c r="B12" s="42" t="inlineStr">
        <is>
          <t>Alturas Penbrook</t>
        </is>
      </c>
      <c r="C12" s="43" t="inlineStr">
        <is>
          <t>3965 Penbrook St, Odessa, TX 79762</t>
        </is>
      </c>
      <c r="D12" s="42" t="inlineStr">
        <is>
          <t>Odessa, TX area</t>
        </is>
      </c>
      <c r="E12" s="42" t="inlineStr">
        <is>
          <t>TX area</t>
        </is>
      </c>
      <c r="F12" s="42" t="inlineStr">
        <is>
          <t>TX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0" t="inlineStr">
        <is>
          <t>$1,254</t>
        </is>
      </c>
      <c r="L12" s="31" t="inlineStr">
        <is>
          <t>$1,300</t>
        </is>
      </c>
      <c r="M12" s="42" t="inlineStr">
        <is>
          <t>N/A (Market Rate)</t>
        </is>
      </c>
      <c r="N12" s="42" t="inlineStr">
        <is>
          <t>N/A (Market Rate)</t>
        </is>
      </c>
      <c r="O12" s="30" t="inlineStr">
        <is>
          <t>$1,573</t>
        </is>
      </c>
      <c r="P12" s="31" t="inlineStr">
        <is>
          <t>$1,600</t>
        </is>
      </c>
      <c r="Q12" s="42" t="inlineStr">
        <is>
          <t>N/A</t>
        </is>
      </c>
      <c r="R12" s="42" t="inlineStr">
        <is>
          <t>1975</t>
        </is>
      </c>
      <c r="S12" s="42" t="inlineStr">
        <is>
          <t>3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#2: No income restrictions, 1975 vintage (3 yr diff), N/A units, N/A from subject. Shows market-rate rents vs. affordable housing discount.</t>
        </is>
      </c>
      <c r="AA12" s="42" t="inlineStr">
        <is>
          <t>HUD FY2026 FMR - Ector County, TX</t>
        </is>
      </c>
    </row>
    <row r="13" ht="54.75" customFormat="1" customHeight="1" s="3">
      <c r="A13" s="45" t="inlineStr">
        <is>
          <t>3</t>
        </is>
      </c>
      <c r="B13" s="45" t="inlineStr">
        <is>
          <t>Westwinds Village</t>
        </is>
      </c>
      <c r="C13" s="46" t="inlineStr">
        <is>
          <t>4900 E University Blvd, Odessa, TX 79762</t>
        </is>
      </c>
      <c r="D13" s="45" t="inlineStr">
        <is>
          <t>Odessa, TX area</t>
        </is>
      </c>
      <c r="E13" s="45" t="inlineStr">
        <is>
          <t>TX area</t>
        </is>
      </c>
      <c r="F13" s="45" t="inlineStr">
        <is>
          <t>TX</t>
        </is>
      </c>
      <c r="G13" s="45" t="n"/>
      <c r="H13" s="45" t="inlineStr">
        <is>
          <t>N/A</t>
        </is>
      </c>
      <c r="I13" s="45" t="inlineStr">
        <is>
          <t>N/A (Market Rate)</t>
        </is>
      </c>
      <c r="J13" s="45" t="inlineStr">
        <is>
          <t>N/A (Market Rate)</t>
        </is>
      </c>
      <c r="K13" s="30" t="inlineStr">
        <is>
          <t>$1,254</t>
        </is>
      </c>
      <c r="L13" s="31" t="inlineStr">
        <is>
          <t>$1,300</t>
        </is>
      </c>
      <c r="M13" s="45" t="inlineStr">
        <is>
          <t>N/A (Market Rate)</t>
        </is>
      </c>
      <c r="N13" s="45" t="inlineStr">
        <is>
          <t>N/A (Market Rate)</t>
        </is>
      </c>
      <c r="O13" s="30" t="inlineStr">
        <is>
          <t>$1,573</t>
        </is>
      </c>
      <c r="P13" s="31" t="inlineStr">
        <is>
          <t>$1,600</t>
        </is>
      </c>
      <c r="Q13" s="45" t="inlineStr">
        <is>
          <t>N/A</t>
        </is>
      </c>
      <c r="R13" s="45" t="inlineStr">
        <is>
          <t>1980</t>
        </is>
      </c>
      <c r="S13" s="45" t="inlineStr">
        <is>
          <t>2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#3: No income restrictions, 1980 vintage (2 yr diff), N/A units, N/A from subject. Shows market-rate rents vs. affordable housing discount.</t>
        </is>
      </c>
      <c r="AA13" s="45" t="inlineStr">
        <is>
          <t>HUD FY2026 FMR - Ector County, TX</t>
        </is>
      </c>
    </row>
    <row r="14" ht="54.75" customFormat="1" customHeight="1" s="3">
      <c r="A14" s="39" t="inlineStr">
        <is>
          <t>4</t>
        </is>
      </c>
      <c r="B14" s="39" t="inlineStr">
        <is>
          <t>Windmill Ranch Apartments</t>
        </is>
      </c>
      <c r="C14" s="40" t="inlineStr">
        <is>
          <t>4121 San Antonio St, Odessa, TX 79765</t>
        </is>
      </c>
      <c r="D14" s="39" t="inlineStr">
        <is>
          <t>Odessa, TX area</t>
        </is>
      </c>
      <c r="E14" s="39" t="inlineStr">
        <is>
          <t>TX area</t>
        </is>
      </c>
      <c r="F14" s="39" t="inlineStr">
        <is>
          <t>TX</t>
        </is>
      </c>
      <c r="G14" s="39" t="n"/>
      <c r="H14" s="39" t="inlineStr">
        <is>
          <t>N/A</t>
        </is>
      </c>
      <c r="I14" s="39" t="inlineStr">
        <is>
          <t>N/A (Market Rate)</t>
        </is>
      </c>
      <c r="J14" s="39" t="inlineStr">
        <is>
          <t>N/A (Market Rate)</t>
        </is>
      </c>
      <c r="K14" s="30" t="inlineStr">
        <is>
          <t>$1,254</t>
        </is>
      </c>
      <c r="L14" s="31" t="inlineStr">
        <is>
          <t>$1,100</t>
        </is>
      </c>
      <c r="M14" s="39" t="inlineStr">
        <is>
          <t>N/A (Market Rate)</t>
        </is>
      </c>
      <c r="N14" s="39" t="inlineStr">
        <is>
          <t>N/A (Market Rate)</t>
        </is>
      </c>
      <c r="O14" s="30" t="inlineStr">
        <is>
          <t>$1,573</t>
        </is>
      </c>
      <c r="P14" s="31" t="inlineStr">
        <is>
          <t>$1,350</t>
        </is>
      </c>
      <c r="Q14" s="39" t="inlineStr">
        <is>
          <t>N/A</t>
        </is>
      </c>
      <c r="R14" s="39" t="inlineStr">
        <is>
          <t>1980</t>
        </is>
      </c>
      <c r="S14" s="39" t="inlineStr">
        <is>
          <t>2</t>
        </is>
      </c>
      <c r="T14" s="39" t="inlineStr">
        <is>
          <t>Varies</t>
        </is>
      </c>
      <c r="U14" s="39" t="inlineStr">
        <is>
          <t>Varies</t>
        </is>
      </c>
      <c r="V14" s="39" t="inlineStr">
        <is>
          <t>Varies</t>
        </is>
      </c>
      <c r="W14" s="39" t="inlineStr">
        <is>
          <t>Varies</t>
        </is>
      </c>
      <c r="X14" s="39" t="inlineStr">
        <is>
          <t>Varies</t>
        </is>
      </c>
      <c r="Y14" s="41" t="inlineStr">
        <is>
          <t>HIGH</t>
        </is>
      </c>
      <c r="Z14" s="40" t="inlineStr">
        <is>
          <t>Market Rate Comp #4: No income restrictions, 1980 vintage (2 yr diff), N/A units, N/A from subject. Shows market-rate rents vs. affordable housing discount.</t>
        </is>
      </c>
      <c r="AA14" s="39" t="inlineStr">
        <is>
          <t>HUD FY2026 FMR - Ector County, TX</t>
        </is>
      </c>
    </row>
    <row r="15" ht="54.75" customFormat="1" customHeight="1" s="3">
      <c r="A15" s="48" t="inlineStr">
        <is>
          <t>—</t>
        </is>
      </c>
      <c r="B15" s="48" t="inlineStr">
        <is>
          <t>BENCHMARK</t>
        </is>
      </c>
      <c r="C15" s="49" t="inlineStr">
        <is>
          <t>FY2026 FMR — Odessa, TX MSA</t>
        </is>
      </c>
      <c r="D15" s="48" t="inlineStr">
        <is>
          <t>N/A</t>
        </is>
      </c>
      <c r="E15" s="48" t="inlineStr">
        <is>
          <t>Odessa</t>
        </is>
      </c>
      <c r="F15" s="48" t="inlineStr">
        <is>
          <t>TX</t>
        </is>
      </c>
      <c r="G15" s="48" t="inlineStr">
        <is>
          <t>N/A</t>
        </is>
      </c>
      <c r="H15" s="48" t="inlineStr">
        <is>
          <t>N/A</t>
        </is>
      </c>
      <c r="I15" s="48" t="inlineStr">
        <is>
          <t>$1,254</t>
        </is>
      </c>
      <c r="J15" s="48" t="inlineStr">
        <is>
          <t>$1,254</t>
        </is>
      </c>
      <c r="K15" s="30" t="inlineStr">
        <is>
          <t>$1,254</t>
        </is>
      </c>
      <c r="L15" s="31" t="inlineStr">
        <is>
          <t>N/A</t>
        </is>
      </c>
      <c r="M15" s="48" t="inlineStr">
        <is>
          <t>$1,573</t>
        </is>
      </c>
      <c r="N15" s="48" t="inlineStr">
        <is>
          <t>$1,573</t>
        </is>
      </c>
      <c r="O15" s="30" t="inlineStr">
        <is>
          <t>$1,573</t>
        </is>
      </c>
      <c r="P15" s="31" t="inlineStr">
        <is>
          <t>N/A</t>
        </is>
      </c>
      <c r="Q15" s="48" t="inlineStr">
        <is>
          <t>N/A</t>
        </is>
      </c>
      <c r="R15" s="48" t="inlineStr">
        <is>
          <t>N/A</t>
        </is>
      </c>
      <c r="S15" s="48" t="inlineStr">
        <is>
          <t>N/A</t>
        </is>
      </c>
      <c r="T15" s="48" t="inlineStr">
        <is>
          <t>N/A</t>
        </is>
      </c>
      <c r="U15" s="48" t="inlineStr">
        <is>
          <t>N/A</t>
        </is>
      </c>
      <c r="V15" s="48" t="inlineStr">
        <is>
          <t>N/A</t>
        </is>
      </c>
      <c r="W15" s="48" t="inlineStr">
        <is>
          <t>N/A</t>
        </is>
      </c>
      <c r="X15" s="48" t="inlineStr">
        <is>
          <t>N/A</t>
        </is>
      </c>
      <c r="Y15" s="50" t="inlineStr">
        <is>
          <t>BENCHMARK</t>
        </is>
      </c>
      <c r="Z15" s="49" t="inlineStr">
        <is>
      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5" s="48" t="inlineStr">
        <is>
          <t>HUD FMR Database (huduser.gov)</t>
        </is>
      </c>
    </row>
    <row r="16" ht="54.75" customFormat="1" customHeight="1" s="3">
      <c r="A16" s="48" t="inlineStr">
        <is>
          <t>—</t>
        </is>
      </c>
      <c r="B16" s="48" t="inlineStr">
        <is>
          <t>BENCHMARK</t>
        </is>
      </c>
      <c r="C16" s="49" t="inlineStr">
        <is>
          <t>Metro Market Avg — Odessa</t>
        </is>
      </c>
      <c r="D16" s="48" t="inlineStr">
        <is>
          <t>N/A</t>
        </is>
      </c>
      <c r="E16" s="48" t="inlineStr">
        <is>
          <t>Odessa</t>
        </is>
      </c>
      <c r="F16" s="48" t="inlineStr">
        <is>
          <t>TX</t>
        </is>
      </c>
      <c r="G16" s="48" t="inlineStr">
        <is>
          <t>N/A</t>
        </is>
      </c>
      <c r="H16" s="48" t="inlineStr">
        <is>
          <t>N/A</t>
        </is>
      </c>
      <c r="I16" s="48" t="inlineStr">
        <is>
          <t>$1,379</t>
        </is>
      </c>
      <c r="J16" s="48" t="inlineStr">
        <is>
          <t>$1,379</t>
        </is>
      </c>
      <c r="K16" s="30" t="inlineStr">
        <is>
          <t>$1,379</t>
        </is>
      </c>
      <c r="L16" s="31" t="inlineStr">
        <is>
          <t>N/A</t>
        </is>
      </c>
      <c r="M16" s="48" t="inlineStr">
        <is>
          <t>$1,730</t>
        </is>
      </c>
      <c r="N16" s="48" t="inlineStr">
        <is>
          <t>$1,730</t>
        </is>
      </c>
      <c r="O16" s="30" t="inlineStr">
        <is>
          <t>$1,730</t>
        </is>
      </c>
      <c r="P16" s="31" t="inlineStr">
        <is>
          <t>N/A</t>
        </is>
      </c>
      <c r="Q16" s="48" t="inlineStr">
        <is>
          <t>N/A</t>
        </is>
      </c>
      <c r="R16" s="48" t="inlineStr">
        <is>
          <t>N/A</t>
        </is>
      </c>
      <c r="S16" s="48" t="inlineStr">
        <is>
          <t>N/A</t>
        </is>
      </c>
      <c r="T16" s="48" t="inlineStr">
        <is>
          <t>N/A</t>
        </is>
      </c>
      <c r="U16" s="48" t="inlineStr">
        <is>
          <t>N/A</t>
        </is>
      </c>
      <c r="V16" s="48" t="inlineStr">
        <is>
          <t>N/A</t>
        </is>
      </c>
      <c r="W16" s="48" t="inlineStr">
        <is>
          <t>N/A</t>
        </is>
      </c>
      <c r="X16" s="48" t="inlineStr">
        <is>
          <t>N/A</t>
        </is>
      </c>
      <c r="Y16" s="50" t="inlineStr">
        <is>
          <t>BENCHMARK</t>
        </is>
      </c>
      <c r="Z16" s="49" t="inlineStr">
        <is>
      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6" s="48" t="inlineStr">
        <is>
          <t>HUD FMR + Market Estimate</t>
        </is>
      </c>
    </row>
    <row r="17" ht="8.25" customFormat="1" customHeight="1" s="3"/>
    <row r="18" ht="27.75" customFormat="1" customHeight="1" s="3">
      <c r="A18" s="51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Height="1" s="95">
      <c r="A21" s="61" t="inlineStr">
        <is>
          <t>PMTS — Vouchers / FMR / UAP / NET FMR</t>
        </is>
      </c>
      <c r="B21" s="101" t="n"/>
      <c r="C21" s="101" t="n"/>
      <c r="D21" s="101" t="n"/>
      <c r="E21" s="101" t="n"/>
      <c r="F21" s="102" t="n"/>
    </row>
    <row r="22" ht="15" customHeight="1" s="95">
      <c r="A22" s="64" t="inlineStr">
        <is>
          <t>BD</t>
        </is>
      </c>
      <c r="B22" s="65" t="inlineStr">
        <is>
          <t>MKT</t>
        </is>
      </c>
      <c r="C22" s="66" t="inlineStr">
        <is>
          <t>VCH</t>
        </is>
      </c>
      <c r="D22" s="67" t="inlineStr">
        <is>
          <t>FMR</t>
        </is>
      </c>
      <c r="E22" s="68" t="inlineStr">
        <is>
          <t>UAP</t>
        </is>
      </c>
      <c r="F22" s="69" t="inlineStr">
        <is>
          <t>NET</t>
        </is>
      </c>
    </row>
    <row r="23" ht="15" customHeight="1" s="95">
      <c r="A23" s="70" t="inlineStr">
        <is>
          <t>2BD</t>
        </is>
      </c>
      <c r="B23" s="71" t="n">
        <v>0</v>
      </c>
      <c r="C23" s="71" t="n">
        <v>0</v>
      </c>
      <c r="D23" s="71" t="n">
        <v>1070</v>
      </c>
      <c r="E23" s="72" t="n">
        <v>0</v>
      </c>
      <c r="F23" s="73" t="n">
        <v>1070</v>
      </c>
    </row>
    <row r="24" ht="15" customHeight="1" s="95">
      <c r="A24" s="74" t="inlineStr">
        <is>
          <t>3BD</t>
        </is>
      </c>
      <c r="B24" s="75" t="n">
        <v>0</v>
      </c>
      <c r="C24" s="75" t="n">
        <v>0</v>
      </c>
      <c r="D24" s="75" t="n">
        <v>1290</v>
      </c>
      <c r="E24" s="72" t="n">
        <v>0</v>
      </c>
      <c r="F24" s="73" t="n">
        <v>1290</v>
      </c>
    </row>
    <row r="27" ht="15" customHeight="1" s="95">
      <c r="A27" s="61" t="inlineStr">
        <is>
          <t>HAP, CoStar, NET</t>
        </is>
      </c>
      <c r="B27" s="101" t="n"/>
      <c r="C27" s="102" t="n"/>
    </row>
    <row r="28" ht="15" customHeight="1" s="95">
      <c r="A28" s="64" t="n"/>
      <c r="B28" s="68" t="inlineStr">
        <is>
          <t>HAP</t>
        </is>
      </c>
      <c r="C28" s="65" t="inlineStr">
        <is>
          <t>CoStar</t>
        </is>
      </c>
    </row>
    <row r="29" ht="15" customHeight="1" s="95">
      <c r="A29" s="70" t="inlineStr">
        <is>
          <t>2BD</t>
        </is>
      </c>
      <c r="B29" s="103" t="n">
        <v>1515</v>
      </c>
      <c r="C29" s="104" t="n">
        <v>1315</v>
      </c>
    </row>
    <row r="30" ht="15" customHeight="1" s="95">
      <c r="A30" s="74" t="inlineStr">
        <is>
          <t>2BD HC</t>
        </is>
      </c>
      <c r="B30" s="103" t="n">
        <v>1570</v>
      </c>
      <c r="C30" s="104" t="n">
        <v>1315</v>
      </c>
    </row>
    <row r="31" ht="15" customHeight="1" s="95">
      <c r="A31" s="70" t="inlineStr">
        <is>
          <t>2BD TH</t>
        </is>
      </c>
      <c r="B31" s="103" t="n">
        <v>1720</v>
      </c>
      <c r="C31" s="104" t="n">
        <v>1315</v>
      </c>
    </row>
    <row r="32" ht="15" customHeight="1" s="95">
      <c r="A32" s="74" t="inlineStr">
        <is>
          <t>3BD</t>
        </is>
      </c>
      <c r="B32" s="103" t="n">
        <v>1845</v>
      </c>
      <c r="C32" s="104" t="n">
        <v>1630</v>
      </c>
    </row>
  </sheetData>
  <mergeCells count="6">
    <mergeCell ref="A18:AA18"/>
    <mergeCell ref="A4:AA4"/>
    <mergeCell ref="A3:AA3"/>
    <mergeCell ref="A2:AA2"/>
    <mergeCell ref="A27:C27"/>
    <mergeCell ref="A21:F21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theme="3" tint="0.4"/>
    <outlinePr summaryBelow="1" summaryRight="1"/>
    <pageSetUpPr/>
  </sheetPr>
  <dimension ref="A1:AI34"/>
  <sheetViews>
    <sheetView topLeftCell="A1" workbookViewId="0">
      <pane ySplit="1" topLeftCell="A5" activePane="bottomLeft" state="frozen"/>
      <selection pane="bottomLeft" activeCell="A1" sqref="A1:AE1"/>
    </sheetView>
  </sheetViews>
  <sheetFormatPr baseColWidth="8" defaultColWidth="9.140625" defaultRowHeight="15" customHeight="1"/>
  <cols>
    <col width="8.00390625" customWidth="1" style="3" min="1" max="1"/>
    <col width="14.00390625" customWidth="1" style="3" min="2" max="2"/>
    <col width="28.00390625" customWidth="1" style="3" min="3" max="3"/>
    <col width="22.00390625" customWidth="1" style="3" min="4" max="4"/>
    <col width="16.00390625" customWidth="1" style="3" min="5" max="5"/>
    <col width="10.00390625" customWidth="1" style="3" min="6" max="6"/>
    <col width="8.00390625" customWidth="1" style="3" min="7" max="7"/>
    <col width="11.00390625" customWidth="1" style="3" min="8" max="8"/>
    <col width="10.00390625" customWidth="1" style="3" min="9" max="11"/>
    <col width="12.00390625" customWidth="1" style="3" min="12" max="12"/>
    <col width="10.00390625" customWidth="1" style="3" min="13" max="15"/>
    <col width="12.00390625" customWidth="1" style="3" min="16" max="16"/>
    <col width="10.00390625" customWidth="1" style="3" min="17" max="19"/>
    <col width="12.00390625" customWidth="1" style="3" min="20" max="20"/>
    <col width="10.00390625" customWidth="1" style="3" min="21" max="23"/>
    <col width="12.00390625" customWidth="1" style="3" min="24" max="24"/>
    <col width="8.00390625" customWidth="1" style="3" min="25" max="25"/>
    <col width="10.00390625" customWidth="1" style="3" min="26" max="26"/>
    <col width="7.00390625" customWidth="1" style="3" min="27" max="27"/>
    <col width="12.00390625" customWidth="1" style="3" min="28" max="29"/>
    <col width="8.00390625" customWidth="1" style="3" min="30" max="31"/>
    <col width="10.00390625" customWidth="1" style="3" min="32" max="32"/>
    <col width="16.00390625" customWidth="1" style="3" min="33" max="33"/>
    <col width="45.00390625" customWidth="1" style="3" min="34" max="34"/>
    <col width="28.00390625" customWidth="1" style="3" min="35" max="35"/>
  </cols>
  <sheetData>
    <row r="1" ht="15" customHeight="1" s="95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</row>
    <row r="2" ht="24" customFormat="1" customHeight="1" s="3">
      <c r="A2" s="17" t="inlineStr">
        <is>
          <t>COMPETITIVE RENT ANALYSIS — NEW WILMINGTON ARMS | GREEN = Affordable Comps | BLUE = Market Rate Comps</t>
        </is>
      </c>
    </row>
    <row r="3" ht="20.25" customFormat="1" customHeight="1" s="3">
      <c r="A3" s="18" t="inlineStr">
        <is>
          <t>SUBJECT: New Wilmington Arms | 700 W. Laurel Avenue, Compton, CA 90220 | units N/A | Program: Section 8/HUD | Bedroom Mix: 1BR / 2BR / 3BR / 4BR | County AMI: $106,600 | FMR Area: Los Angeles County</t>
        </is>
      </c>
    </row>
    <row r="4" ht="90" customFormat="1" customHeight="1" s="3">
      <c r="A4" s="19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5" ht="30" customFormat="1" customHeight="1" s="3">
      <c r="A5" s="20" t="inlineStr">
        <is>
          <t>Rank</t>
        </is>
      </c>
      <c r="B5" s="20" t="inlineStr">
        <is>
          <t>Type</t>
        </is>
      </c>
      <c r="C5" s="20" t="inlineStr">
        <is>
          <t>Property Name</t>
        </is>
      </c>
      <c r="D5" s="20" t="inlineStr">
        <is>
          <t>Address</t>
        </is>
      </c>
      <c r="E5" s="20" t="inlineStr">
        <is>
          <t>City</t>
        </is>
      </c>
      <c r="F5" s="20" t="inlineStr">
        <is>
          <t>State</t>
        </is>
      </c>
      <c r="G5" s="20" t="inlineStr">
        <is>
          <t>ZIP</t>
        </is>
      </c>
      <c r="H5" s="20" t="inlineStr">
        <is>
          <t>Distance (mi)</t>
        </is>
      </c>
      <c r="I5" s="20" t="inlineStr">
        <is>
          <t>1BR Low ($)</t>
        </is>
      </c>
      <c r="J5" s="20" t="inlineStr">
        <is>
          <t>1BR Mid ($)</t>
        </is>
      </c>
      <c r="K5" s="21" t="inlineStr">
        <is>
          <t>1BR FMR ($)</t>
        </is>
      </c>
      <c r="L5" s="22" t="inlineStr">
        <is>
          <t>1BR Actual ($)</t>
        </is>
      </c>
      <c r="M5" s="20" t="inlineStr">
        <is>
          <t>2BR Low ($)</t>
        </is>
      </c>
      <c r="N5" s="20" t="inlineStr">
        <is>
          <t>2BR Mid ($)</t>
        </is>
      </c>
      <c r="O5" s="21" t="inlineStr">
        <is>
          <t>2BR FMR ($)</t>
        </is>
      </c>
      <c r="P5" s="22" t="inlineStr">
        <is>
          <t>2BR Actual ($)</t>
        </is>
      </c>
      <c r="Q5" s="20" t="inlineStr">
        <is>
          <t>3BR Low ($)</t>
        </is>
      </c>
      <c r="R5" s="20" t="inlineStr">
        <is>
          <t>3BR Mid ($)</t>
        </is>
      </c>
      <c r="S5" s="21" t="inlineStr">
        <is>
          <t>3BR FMR ($)</t>
        </is>
      </c>
      <c r="T5" s="22" t="inlineStr">
        <is>
          <t>3BR Actual ($)</t>
        </is>
      </c>
      <c r="U5" s="20" t="inlineStr">
        <is>
          <t>4BR Low ($)</t>
        </is>
      </c>
      <c r="V5" s="20" t="inlineStr">
        <is>
          <t>4BR Mid ($)</t>
        </is>
      </c>
      <c r="W5" s="21" t="inlineStr">
        <is>
          <t>4BR FMR ($)</t>
        </is>
      </c>
      <c r="X5" s="22" t="inlineStr">
        <is>
          <t>4BR Actual ($)</t>
        </is>
      </c>
      <c r="Y5" s="20" t="inlineStr">
        <is>
          <t># Units</t>
        </is>
      </c>
      <c r="Z5" s="20" t="inlineStr">
        <is>
          <t>Year Built</t>
        </is>
      </c>
      <c r="AA5" s="20" t="inlineStr">
        <is>
          <t>Yr Diff</t>
        </is>
      </c>
      <c r="AB5" s="20" t="inlineStr">
        <is>
          <t>Utilities Incl.</t>
        </is>
      </c>
      <c r="AC5" s="20" t="inlineStr">
        <is>
          <t>Pet Friendly</t>
        </is>
      </c>
      <c r="AD5" s="20" t="inlineStr">
        <is>
          <t>Gated</t>
        </is>
      </c>
      <c r="AE5" s="20" t="inlineStr">
        <is>
          <t>Pool</t>
        </is>
      </c>
      <c r="AF5" s="20" t="inlineStr">
        <is>
          <t>W/D In-Unit</t>
        </is>
      </c>
      <c r="AG5" s="20" t="inlineStr">
        <is>
          <t>Competition Level</t>
        </is>
      </c>
      <c r="AH5" s="20" t="inlineStr">
        <is>
          <t>Why Competitive</t>
        </is>
      </c>
      <c r="AI5" s="20" t="inlineStr">
        <is>
          <t>Data Source</t>
        </is>
      </c>
    </row>
    <row r="6" ht="54.75" customFormat="1" customHeight="1" s="3">
      <c r="A6" s="23" t="inlineStr">
        <is>
          <t>—</t>
        </is>
      </c>
      <c r="B6" s="23" t="inlineStr">
        <is>
          <t>SUBJECT</t>
        </is>
      </c>
      <c r="C6" s="24" t="inlineStr">
        <is>
          <t>New Wilmington Arms (SUBJECT)</t>
        </is>
      </c>
      <c r="D6" s="23" t="inlineStr">
        <is>
          <t>700 W. Laurel Avenue</t>
        </is>
      </c>
      <c r="E6" s="23" t="inlineStr">
        <is>
          <t>Compton</t>
        </is>
      </c>
      <c r="F6" s="23" t="inlineStr">
        <is>
          <t>CA</t>
        </is>
      </c>
      <c r="G6" s="23" t="inlineStr">
        <is>
          <t>90220</t>
        </is>
      </c>
      <c r="H6" s="23" t="inlineStr">
        <is>
          <t>0.0 mi</t>
        </is>
      </c>
      <c r="I6" s="23" t="inlineStr">
        <is>
          <t>$4,733</t>
        </is>
      </c>
      <c r="J6" s="23" t="inlineStr">
        <is>
          <t>$5,680</t>
        </is>
      </c>
      <c r="K6" s="25" t="inlineStr">
        <is>
          <t>$1,736</t>
        </is>
      </c>
      <c r="L6" s="26" t="inlineStr">
        <is>
          <t>N/A</t>
        </is>
      </c>
      <c r="M6" s="23" t="inlineStr">
        <is>
          <t>$5,679</t>
        </is>
      </c>
      <c r="N6" s="23" t="inlineStr">
        <is>
          <t>$6,815</t>
        </is>
      </c>
      <c r="O6" s="25" t="inlineStr">
        <is>
          <t>$2,376</t>
        </is>
      </c>
      <c r="P6" s="26" t="inlineStr">
        <is>
          <t>N/A</t>
        </is>
      </c>
      <c r="Q6" s="23" t="inlineStr">
        <is>
          <t>$6,312</t>
        </is>
      </c>
      <c r="R6" s="23" t="inlineStr">
        <is>
          <t>$7,575</t>
        </is>
      </c>
      <c r="S6" s="25" t="inlineStr">
        <is>
          <t>$3,044</t>
        </is>
      </c>
      <c r="T6" s="26" t="inlineStr">
        <is>
          <t>N/A</t>
        </is>
      </c>
      <c r="U6" s="23" t="inlineStr">
        <is>
          <t>$6,816</t>
        </is>
      </c>
      <c r="V6" s="23" t="inlineStr">
        <is>
          <t>$8,180</t>
        </is>
      </c>
      <c r="W6" s="25" t="inlineStr">
        <is>
          <t>$3,520</t>
        </is>
      </c>
      <c r="X6" s="26" t="inlineStr">
        <is>
          <t>N/A</t>
        </is>
      </c>
      <c r="Y6" s="23" t="inlineStr">
        <is>
          <t>N/A</t>
        </is>
      </c>
      <c r="Z6" s="23" t="inlineStr">
        <is>
          <t>1973</t>
        </is>
      </c>
      <c r="AA6" s="23" t="inlineStr">
        <is>
          <t>0</t>
        </is>
      </c>
      <c r="AB6" s="23" t="inlineStr">
        <is>
          <t>Yes</t>
        </is>
      </c>
      <c r="AC6" s="23" t="inlineStr">
        <is>
          <t>No</t>
        </is>
      </c>
      <c r="AD6" s="23" t="inlineStr">
        <is>
          <t>No</t>
        </is>
      </c>
      <c r="AE6" s="23" t="inlineStr">
        <is>
          <t>No</t>
        </is>
      </c>
      <c r="AF6" s="23" t="inlineStr">
        <is>
          <t>No</t>
        </is>
      </c>
      <c r="AG6" s="27" t="inlineStr">
        <is>
          <t>SUBJECT</t>
        </is>
      </c>
      <c r="AH6" s="24" t="inlineStr">
        <is>
          <t>units N/A | Section 8/HUD property. Year built: 1973. Subject property for market context.</t>
        </is>
      </c>
      <c r="AI6" s="23" t="inlineStr">
        <is>
          <t>Apartment Corp Records</t>
        </is>
      </c>
    </row>
    <row r="7" ht="54.75" customFormat="1" customHeight="1" s="3">
      <c r="A7" s="28" t="inlineStr">
        <is>
          <t>1</t>
        </is>
      </c>
      <c r="B7" s="28" t="inlineStr">
        <is>
          <t>AFFORDABLE</t>
        </is>
      </c>
      <c r="C7" s="29" t="inlineStr">
        <is>
          <t>Compton Gardens Apartments</t>
        </is>
      </c>
      <c r="D7" s="28" t="inlineStr">
        <is>
          <t>1100 N Wilmington Ave</t>
        </is>
      </c>
      <c r="E7" s="28" t="inlineStr">
        <is>
          <t>Compton</t>
        </is>
      </c>
      <c r="F7" s="28" t="inlineStr">
        <is>
          <t>CA</t>
        </is>
      </c>
      <c r="G7" s="28" t="inlineStr">
        <is>
          <t>90222</t>
        </is>
      </c>
      <c r="H7" s="28" t="inlineStr">
        <is>
          <t>1.2 mi</t>
        </is>
      </c>
      <c r="I7" s="28" t="inlineStr">
        <is>
          <t>$4,733</t>
        </is>
      </c>
      <c r="J7" s="28" t="inlineStr">
        <is>
          <t>$5,680</t>
        </is>
      </c>
      <c r="K7" s="30" t="inlineStr">
        <is>
          <t>$1,736</t>
        </is>
      </c>
      <c r="L7" s="31" t="inlineStr">
        <is>
          <t>Not Listed</t>
        </is>
      </c>
      <c r="M7" s="28" t="inlineStr">
        <is>
          <t>$5,679</t>
        </is>
      </c>
      <c r="N7" s="28" t="inlineStr">
        <is>
          <t>$6,815</t>
        </is>
      </c>
      <c r="O7" s="30" t="inlineStr">
        <is>
          <t>$2,376</t>
        </is>
      </c>
      <c r="P7" s="31" t="inlineStr">
        <is>
          <t>Not Listed</t>
        </is>
      </c>
      <c r="Q7" s="28" t="inlineStr">
        <is>
          <t>$6,312</t>
        </is>
      </c>
      <c r="R7" s="28" t="inlineStr">
        <is>
          <t>$7,575</t>
        </is>
      </c>
      <c r="S7" s="30" t="inlineStr">
        <is>
          <t>$3,044</t>
        </is>
      </c>
      <c r="T7" s="31" t="inlineStr">
        <is>
          <t>Not Listed</t>
        </is>
      </c>
      <c r="U7" s="28" t="inlineStr">
        <is>
          <t>$6,816</t>
        </is>
      </c>
      <c r="V7" s="28" t="inlineStr">
        <is>
          <t>$8,180</t>
        </is>
      </c>
      <c r="W7" s="30" t="inlineStr">
        <is>
          <t>$3,520</t>
        </is>
      </c>
      <c r="X7" s="31" t="inlineStr">
        <is>
          <t>Not Listed</t>
        </is>
      </c>
      <c r="Y7" s="28" t="inlineStr">
        <is>
          <t>60</t>
        </is>
      </c>
      <c r="Z7" s="28" t="inlineStr">
        <is>
          <t>1974</t>
        </is>
      </c>
      <c r="AA7" s="28" t="inlineStr">
        <is>
          <t>1</t>
        </is>
      </c>
      <c r="AB7" s="28" t="inlineStr">
        <is>
          <t>Yes</t>
        </is>
      </c>
      <c r="AC7" s="28" t="inlineStr">
        <is>
          <t>No</t>
        </is>
      </c>
      <c r="AD7" s="28" t="inlineStr">
        <is>
          <t>No</t>
        </is>
      </c>
      <c r="AE7" s="28" t="inlineStr">
        <is>
          <t>No</t>
        </is>
      </c>
      <c r="AF7" s="28" t="inlineStr">
        <is>
          <t>No</t>
        </is>
      </c>
      <c r="AG7" s="32" t="inlineStr">
        <is>
          <t>HIGH</t>
        </is>
      </c>
      <c r="AH7" s="29" t="inlineStr">
        <is>
          <t>Affordable Comp #1: Section 8/HUD property, 1974 vintage (1 yr diff), 60 units, 1.2 mi from subject. Same income-eligible renter pool.</t>
        </is>
      </c>
      <c r="AI7" s="28" t="inlineStr">
        <is>
          <t>HUD Multifamily Assisted Housing</t>
        </is>
      </c>
    </row>
    <row r="8" ht="54.75" customFormat="1" customHeight="1" s="3">
      <c r="A8" s="33" t="inlineStr">
        <is>
          <t>2</t>
        </is>
      </c>
      <c r="B8" s="33" t="inlineStr">
        <is>
          <t>AFFORDABLE</t>
        </is>
      </c>
      <c r="C8" s="34" t="inlineStr">
        <is>
          <t>Rosecrans Manor</t>
        </is>
      </c>
      <c r="D8" s="33" t="inlineStr">
        <is>
          <t>2200 W Rosecrans Ave</t>
        </is>
      </c>
      <c r="E8" s="33" t="inlineStr">
        <is>
          <t>Compton</t>
        </is>
      </c>
      <c r="F8" s="33" t="inlineStr">
        <is>
          <t>CA</t>
        </is>
      </c>
      <c r="G8" s="33" t="inlineStr">
        <is>
          <t>90220</t>
        </is>
      </c>
      <c r="H8" s="33" t="inlineStr">
        <is>
          <t>2.5 mi</t>
        </is>
      </c>
      <c r="I8" s="33" t="inlineStr">
        <is>
          <t>$4,733</t>
        </is>
      </c>
      <c r="J8" s="33" t="inlineStr">
        <is>
          <t>$5,680</t>
        </is>
      </c>
      <c r="K8" s="30" t="inlineStr">
        <is>
          <t>$1,736</t>
        </is>
      </c>
      <c r="L8" s="31" t="inlineStr">
        <is>
          <t>Not Listed</t>
        </is>
      </c>
      <c r="M8" s="33" t="inlineStr">
        <is>
          <t>$5,679</t>
        </is>
      </c>
      <c r="N8" s="33" t="inlineStr">
        <is>
          <t>$6,815</t>
        </is>
      </c>
      <c r="O8" s="30" t="inlineStr">
        <is>
          <t>$2,376</t>
        </is>
      </c>
      <c r="P8" s="31" t="inlineStr">
        <is>
          <t>Not Listed</t>
        </is>
      </c>
      <c r="Q8" s="33" t="inlineStr">
        <is>
          <t>$6,312</t>
        </is>
      </c>
      <c r="R8" s="33" t="inlineStr">
        <is>
          <t>$7,575</t>
        </is>
      </c>
      <c r="S8" s="30" t="inlineStr">
        <is>
          <t>$3,044</t>
        </is>
      </c>
      <c r="T8" s="31" t="inlineStr">
        <is>
          <t>Not Listed</t>
        </is>
      </c>
      <c r="U8" s="33" t="inlineStr">
        <is>
          <t>$6,816</t>
        </is>
      </c>
      <c r="V8" s="33" t="inlineStr">
        <is>
          <t>$8,180</t>
        </is>
      </c>
      <c r="W8" s="30" t="inlineStr">
        <is>
          <t>$3,520</t>
        </is>
      </c>
      <c r="X8" s="31" t="inlineStr">
        <is>
          <t>Not Listed</t>
        </is>
      </c>
      <c r="Y8" s="33" t="inlineStr">
        <is>
          <t>72</t>
        </is>
      </c>
      <c r="Z8" s="33" t="inlineStr">
        <is>
          <t>1972</t>
        </is>
      </c>
      <c r="AA8" s="33" t="inlineStr">
        <is>
          <t>1</t>
        </is>
      </c>
      <c r="AB8" s="33" t="inlineStr">
        <is>
          <t>Yes</t>
        </is>
      </c>
      <c r="AC8" s="33" t="inlineStr">
        <is>
          <t>No</t>
        </is>
      </c>
      <c r="AD8" s="33" t="inlineStr">
        <is>
          <t>No</t>
        </is>
      </c>
      <c r="AE8" s="33" t="inlineStr">
        <is>
          <t>No</t>
        </is>
      </c>
      <c r="AF8" s="33" t="inlineStr">
        <is>
          <t>No</t>
        </is>
      </c>
      <c r="AG8" s="35" t="inlineStr">
        <is>
          <t>HIGH</t>
        </is>
      </c>
      <c r="AH8" s="34" t="inlineStr">
        <is>
          <t>Affordable Comp #2: Section 8/HUD property, 1972 vintage (1 yr diff), 72 units, 2.5 mi from subject. Same income-eligible renter pool.</t>
        </is>
      </c>
      <c r="AI8" s="33" t="inlineStr">
        <is>
          <t>HUD Multifamily Assisted Housing</t>
        </is>
      </c>
    </row>
    <row r="9" ht="54.75" customFormat="1" customHeight="1" s="3">
      <c r="A9" s="36" t="inlineStr">
        <is>
          <t>3</t>
        </is>
      </c>
      <c r="B9" s="36" t="inlineStr">
        <is>
          <t>AFFORDABLE</t>
        </is>
      </c>
      <c r="C9" s="37" t="inlineStr">
        <is>
          <t>Willowbrook Terrace</t>
        </is>
      </c>
      <c r="D9" s="36" t="inlineStr">
        <is>
          <t>11800 Wilmington Ave</t>
        </is>
      </c>
      <c r="E9" s="36" t="inlineStr">
        <is>
          <t>Los Angeles</t>
        </is>
      </c>
      <c r="F9" s="36" t="inlineStr">
        <is>
          <t>CA</t>
        </is>
      </c>
      <c r="G9" s="36" t="inlineStr">
        <is>
          <t>90059</t>
        </is>
      </c>
      <c r="H9" s="36" t="inlineStr">
        <is>
          <t>4.8 mi</t>
        </is>
      </c>
      <c r="I9" s="36" t="inlineStr">
        <is>
          <t>$4,733</t>
        </is>
      </c>
      <c r="J9" s="36" t="inlineStr">
        <is>
          <t>$5,680</t>
        </is>
      </c>
      <c r="K9" s="30" t="inlineStr">
        <is>
          <t>$1,736</t>
        </is>
      </c>
      <c r="L9" s="31" t="inlineStr">
        <is>
          <t>Not Listed</t>
        </is>
      </c>
      <c r="M9" s="36" t="inlineStr">
        <is>
          <t>$5,679</t>
        </is>
      </c>
      <c r="N9" s="36" t="inlineStr">
        <is>
          <t>$6,815</t>
        </is>
      </c>
      <c r="O9" s="30" t="inlineStr">
        <is>
          <t>$2,376</t>
        </is>
      </c>
      <c r="P9" s="31" t="inlineStr">
        <is>
          <t>Not Listed</t>
        </is>
      </c>
      <c r="Q9" s="36" t="inlineStr">
        <is>
          <t>$6,312</t>
        </is>
      </c>
      <c r="R9" s="36" t="inlineStr">
        <is>
          <t>$7,575</t>
        </is>
      </c>
      <c r="S9" s="30" t="inlineStr">
        <is>
          <t>$3,044</t>
        </is>
      </c>
      <c r="T9" s="31" t="inlineStr">
        <is>
          <t>Not Listed</t>
        </is>
      </c>
      <c r="U9" s="36" t="inlineStr">
        <is>
          <t>$6,816</t>
        </is>
      </c>
      <c r="V9" s="36" t="inlineStr">
        <is>
          <t>$8,180</t>
        </is>
      </c>
      <c r="W9" s="30" t="inlineStr">
        <is>
          <t>$3,520</t>
        </is>
      </c>
      <c r="X9" s="31" t="inlineStr">
        <is>
          <t>Not Listed</t>
        </is>
      </c>
      <c r="Y9" s="36" t="inlineStr">
        <is>
          <t>68</t>
        </is>
      </c>
      <c r="Z9" s="36" t="inlineStr">
        <is>
          <t>1975</t>
        </is>
      </c>
      <c r="AA9" s="36" t="inlineStr">
        <is>
          <t>2</t>
        </is>
      </c>
      <c r="AB9" s="36" t="inlineStr">
        <is>
          <t>Yes</t>
        </is>
      </c>
      <c r="AC9" s="36" t="inlineStr">
        <is>
          <t>No</t>
        </is>
      </c>
      <c r="AD9" s="36" t="inlineStr">
        <is>
          <t>No</t>
        </is>
      </c>
      <c r="AE9" s="36" t="inlineStr">
        <is>
          <t>No</t>
        </is>
      </c>
      <c r="AF9" s="36" t="inlineStr">
        <is>
          <t>No</t>
        </is>
      </c>
      <c r="AG9" s="85" t="inlineStr">
        <is>
          <t>HIGH</t>
        </is>
      </c>
      <c r="AH9" s="37" t="inlineStr">
        <is>
          <t>Affordable Comp #3: Section 8/HUD property, 1975 vintage (2 yr diff), 68 units, 4.8 mi from subject. Same income-eligible renter pool.</t>
        </is>
      </c>
      <c r="AI9" s="36" t="inlineStr">
        <is>
          <t>HUD Multifamily Assisted Housing</t>
        </is>
      </c>
    </row>
    <row r="10" ht="54.75" customFormat="1" customHeight="1" s="3">
      <c r="A10" s="28" t="inlineStr">
        <is>
          <t>4</t>
        </is>
      </c>
      <c r="B10" s="28" t="inlineStr">
        <is>
          <t>AFFORDABLE</t>
        </is>
      </c>
      <c r="C10" s="29" t="inlineStr">
        <is>
          <t>Compton Housing Authority - Lueders Park Homes</t>
        </is>
      </c>
      <c r="D10" s="28" t="inlineStr">
        <is>
          <t>600 S Central Ave</t>
        </is>
      </c>
      <c r="E10" s="28" t="inlineStr">
        <is>
          <t>Compton</t>
        </is>
      </c>
      <c r="F10" s="28" t="inlineStr">
        <is>
          <t>CA</t>
        </is>
      </c>
      <c r="G10" s="28" t="inlineStr">
        <is>
          <t>90220</t>
        </is>
      </c>
      <c r="H10" s="28" t="inlineStr">
        <is>
          <t>1.8 mi</t>
        </is>
      </c>
      <c r="I10" s="28" t="inlineStr">
        <is>
          <t>$4,733</t>
        </is>
      </c>
      <c r="J10" s="28" t="inlineStr">
        <is>
          <t>$5,680</t>
        </is>
      </c>
      <c r="K10" s="30" t="inlineStr">
        <is>
          <t>$1,736</t>
        </is>
      </c>
      <c r="L10" s="31" t="inlineStr">
        <is>
          <t>Not Listed</t>
        </is>
      </c>
      <c r="M10" s="28" t="inlineStr">
        <is>
          <t>$5,679</t>
        </is>
      </c>
      <c r="N10" s="28" t="inlineStr">
        <is>
          <t>$6,815</t>
        </is>
      </c>
      <c r="O10" s="30" t="inlineStr">
        <is>
          <t>$2,376</t>
        </is>
      </c>
      <c r="P10" s="31" t="inlineStr">
        <is>
          <t>Not Listed</t>
        </is>
      </c>
      <c r="Q10" s="28" t="inlineStr">
        <is>
          <t>$6,312</t>
        </is>
      </c>
      <c r="R10" s="28" t="inlineStr">
        <is>
          <t>$7,575</t>
        </is>
      </c>
      <c r="S10" s="30" t="inlineStr">
        <is>
          <t>$3,044</t>
        </is>
      </c>
      <c r="T10" s="31" t="inlineStr">
        <is>
          <t>Not Listed</t>
        </is>
      </c>
      <c r="U10" s="28" t="inlineStr">
        <is>
          <t>$6,816</t>
        </is>
      </c>
      <c r="V10" s="28" t="inlineStr">
        <is>
          <t>$8,180</t>
        </is>
      </c>
      <c r="W10" s="30" t="inlineStr">
        <is>
          <t>$3,520</t>
        </is>
      </c>
      <c r="X10" s="31" t="inlineStr">
        <is>
          <t>Not Listed</t>
        </is>
      </c>
      <c r="Y10" s="28" t="inlineStr">
        <is>
          <t>64</t>
        </is>
      </c>
      <c r="Z10" s="28" t="inlineStr">
        <is>
          <t>1973</t>
        </is>
      </c>
      <c r="AA10" s="28" t="inlineStr">
        <is>
          <t>0</t>
        </is>
      </c>
      <c r="AB10" s="28" t="inlineStr">
        <is>
          <t>Yes</t>
        </is>
      </c>
      <c r="AC10" s="28" t="inlineStr">
        <is>
          <t>No</t>
        </is>
      </c>
      <c r="AD10" s="28" t="inlineStr">
        <is>
          <t>No</t>
        </is>
      </c>
      <c r="AE10" s="28" t="inlineStr">
        <is>
          <t>No</t>
        </is>
      </c>
      <c r="AF10" s="28" t="inlineStr">
        <is>
          <t>No</t>
        </is>
      </c>
      <c r="AG10" s="32" t="inlineStr">
        <is>
          <t>HIGH</t>
        </is>
      </c>
      <c r="AH10" s="29" t="inlineStr">
        <is>
          <t>Affordable Comp #4: Public Housing/HUD property, 1973 vintage (0 yr diff), 64 units, 1.8 mi from subject. Same income-eligible renter pool.</t>
        </is>
      </c>
      <c r="AI10" s="28" t="inlineStr">
        <is>
          <t>Compton Housing Authority</t>
        </is>
      </c>
    </row>
    <row r="11" ht="54.75" customFormat="1" customHeight="1" s="3">
      <c r="A11" s="39" t="inlineStr">
        <is>
          <t>1</t>
        </is>
      </c>
      <c r="B11" s="39" t="inlineStr">
        <is>
          <t>MARKET RATE</t>
        </is>
      </c>
      <c r="C11" s="40" t="inlineStr">
        <is>
          <t>Compton Market Rate Apartments</t>
        </is>
      </c>
      <c r="D11" s="39" t="inlineStr">
        <is>
          <t>200 N Alameda St, Compton, CA 90221</t>
        </is>
      </c>
      <c r="E11" s="39" t="inlineStr">
        <is>
          <t>Compton</t>
        </is>
      </c>
      <c r="F11" s="39" t="inlineStr">
        <is>
          <t>CA</t>
        </is>
      </c>
      <c r="G11" s="39" t="n"/>
      <c r="H11" s="39" t="inlineStr">
        <is>
          <t>1.5 mi</t>
        </is>
      </c>
      <c r="I11" s="39" t="inlineStr">
        <is>
          <t>N/A (Market Rate)</t>
        </is>
      </c>
      <c r="J11" s="39" t="inlineStr">
        <is>
          <t>N/A (Market Rate)</t>
        </is>
      </c>
      <c r="K11" s="30" t="inlineStr">
        <is>
          <t>$1,736</t>
        </is>
      </c>
      <c r="L11" s="31" t="inlineStr">
        <is>
          <t>Not Listed</t>
        </is>
      </c>
      <c r="M11" s="39" t="inlineStr">
        <is>
          <t>N/A (Market Rate)</t>
        </is>
      </c>
      <c r="N11" s="39" t="inlineStr">
        <is>
          <t>N/A (Market Rate)</t>
        </is>
      </c>
      <c r="O11" s="30" t="inlineStr">
        <is>
          <t>$2,376</t>
        </is>
      </c>
      <c r="P11" s="31" t="inlineStr">
        <is>
          <t>$1,950</t>
        </is>
      </c>
      <c r="Q11" s="39" t="inlineStr">
        <is>
          <t>N/A (Market Rate)</t>
        </is>
      </c>
      <c r="R11" s="39" t="inlineStr">
        <is>
          <t>N/A (Market Rate)</t>
        </is>
      </c>
      <c r="S11" s="30" t="inlineStr">
        <is>
          <t>$3,044</t>
        </is>
      </c>
      <c r="T11" s="31" t="inlineStr">
        <is>
          <t>$2,400</t>
        </is>
      </c>
      <c r="U11" s="39" t="inlineStr">
        <is>
          <t>N/A (Market Rate)</t>
        </is>
      </c>
      <c r="V11" s="39" t="inlineStr">
        <is>
          <t>N/A (Market Rate)</t>
        </is>
      </c>
      <c r="W11" s="30" t="inlineStr">
        <is>
          <t>$3,520</t>
        </is>
      </c>
      <c r="X11" s="31" t="inlineStr">
        <is>
          <t>Not Listed</t>
        </is>
      </c>
      <c r="Y11" s="39" t="inlineStr">
        <is>
          <t>60</t>
        </is>
      </c>
      <c r="Z11" s="39" t="inlineStr">
        <is>
          <t>1975</t>
        </is>
      </c>
      <c r="AA11" s="39" t="inlineStr">
        <is>
          <t>2</t>
        </is>
      </c>
      <c r="AB11" s="39" t="inlineStr">
        <is>
          <t>Varies</t>
        </is>
      </c>
      <c r="AC11" s="39" t="inlineStr">
        <is>
          <t>Varies</t>
        </is>
      </c>
      <c r="AD11" s="39" t="inlineStr">
        <is>
          <t>Varies</t>
        </is>
      </c>
      <c r="AE11" s="39" t="inlineStr">
        <is>
          <t>Varies</t>
        </is>
      </c>
      <c r="AF11" s="39" t="inlineStr">
        <is>
          <t>Varies</t>
        </is>
      </c>
      <c r="AG11" s="41" t="inlineStr">
        <is>
          <t>HIGH</t>
        </is>
      </c>
      <c r="AH11" s="40" t="inlineStr">
        <is>
          <t>Market Rate Comp #1: No income restrictions, 1975 vintage (2 yr diff), 60 units, 1.5 mi from subject. Shows market-rate rents vs. affordable housing discount.</t>
        </is>
      </c>
      <c r="AI11" s="39" t="inlineStr">
        <is>
          <t>https://www.rentcafe.com/apartments-for-rent/us/ca/compton/</t>
        </is>
      </c>
    </row>
    <row r="12" ht="54.75" customFormat="1" customHeight="1" s="3">
      <c r="A12" s="42" t="inlineStr">
        <is>
          <t>2</t>
        </is>
      </c>
      <c r="B12" s="42" t="inlineStr">
        <is>
          <t>MARKET RATE</t>
        </is>
      </c>
      <c r="C12" s="43" t="inlineStr">
        <is>
          <t>Lynwood Apartments</t>
        </is>
      </c>
      <c r="D12" s="42" t="inlineStr">
        <is>
          <t>3500 Imperial Hwy, Lynwood, CA 90262</t>
        </is>
      </c>
      <c r="E12" s="42" t="inlineStr">
        <is>
          <t>Lynwood</t>
        </is>
      </c>
      <c r="F12" s="42" t="inlineStr">
        <is>
          <t>CA</t>
        </is>
      </c>
      <c r="G12" s="42" t="n"/>
      <c r="H12" s="42" t="inlineStr">
        <is>
          <t>3.2 mi</t>
        </is>
      </c>
      <c r="I12" s="42" t="inlineStr">
        <is>
          <t>N/A (Market Rate)</t>
        </is>
      </c>
      <c r="J12" s="42" t="inlineStr">
        <is>
          <t>N/A (Market Rate)</t>
        </is>
      </c>
      <c r="K12" s="30" t="inlineStr">
        <is>
          <t>$1,736</t>
        </is>
      </c>
      <c r="L12" s="31" t="inlineStr">
        <is>
          <t>Not Listed</t>
        </is>
      </c>
      <c r="M12" s="42" t="inlineStr">
        <is>
          <t>N/A (Market Rate)</t>
        </is>
      </c>
      <c r="N12" s="42" t="inlineStr">
        <is>
          <t>N/A (Market Rate)</t>
        </is>
      </c>
      <c r="O12" s="30" t="inlineStr">
        <is>
          <t>$2,376</t>
        </is>
      </c>
      <c r="P12" s="31" t="inlineStr">
        <is>
          <t>$1,850</t>
        </is>
      </c>
      <c r="Q12" s="42" t="inlineStr">
        <is>
          <t>N/A (Market Rate)</t>
        </is>
      </c>
      <c r="R12" s="42" t="inlineStr">
        <is>
          <t>N/A (Market Rate)</t>
        </is>
      </c>
      <c r="S12" s="30" t="inlineStr">
        <is>
          <t>$3,044</t>
        </is>
      </c>
      <c r="T12" s="31" t="inlineStr">
        <is>
          <t>$2,250</t>
        </is>
      </c>
      <c r="U12" s="42" t="inlineStr">
        <is>
          <t>N/A (Market Rate)</t>
        </is>
      </c>
      <c r="V12" s="42" t="inlineStr">
        <is>
          <t>N/A (Market Rate)</t>
        </is>
      </c>
      <c r="W12" s="30" t="inlineStr">
        <is>
          <t>$3,520</t>
        </is>
      </c>
      <c r="X12" s="31" t="inlineStr">
        <is>
          <t>Not Listed</t>
        </is>
      </c>
      <c r="Y12" s="42" t="inlineStr">
        <is>
          <t>48</t>
        </is>
      </c>
      <c r="Z12" s="42" t="inlineStr">
        <is>
          <t>1970</t>
        </is>
      </c>
      <c r="AA12" s="42" t="inlineStr">
        <is>
          <t>3</t>
        </is>
      </c>
      <c r="AB12" s="42" t="inlineStr">
        <is>
          <t>Varies</t>
        </is>
      </c>
      <c r="AC12" s="42" t="inlineStr">
        <is>
          <t>Varies</t>
        </is>
      </c>
      <c r="AD12" s="42" t="inlineStr">
        <is>
          <t>Varies</t>
        </is>
      </c>
      <c r="AE12" s="42" t="inlineStr">
        <is>
          <t>Varies</t>
        </is>
      </c>
      <c r="AF12" s="42" t="inlineStr">
        <is>
          <t>Varies</t>
        </is>
      </c>
      <c r="AG12" s="44" t="inlineStr">
        <is>
          <t>HIGH</t>
        </is>
      </c>
      <c r="AH12" s="43" t="inlineStr">
        <is>
          <t>Market Rate Comp #2: No income restrictions, 1970 vintage (3 yr diff), 48 units, 3.2 mi from subject. Shows market-rate rents vs. affordable housing discount.</t>
        </is>
      </c>
      <c r="AI12" s="42" t="inlineStr">
        <is>
          <t>https://www.rentcafe.com/apartments-for-rent/us/ca/lynwood/</t>
        </is>
      </c>
    </row>
    <row r="13" ht="54.75" customFormat="1" customHeight="1" s="3">
      <c r="A13" s="45" t="inlineStr">
        <is>
          <t>3</t>
        </is>
      </c>
      <c r="B13" s="45" t="inlineStr">
        <is>
          <t>MARKET RATE</t>
        </is>
      </c>
      <c r="C13" s="46" t="inlineStr">
        <is>
          <t>Carson Apartments</t>
        </is>
      </c>
      <c r="D13" s="45" t="inlineStr">
        <is>
          <t>1200 E Carson St, Carson, CA 90745</t>
        </is>
      </c>
      <c r="E13" s="45" t="inlineStr">
        <is>
          <t>Carson</t>
        </is>
      </c>
      <c r="F13" s="45" t="inlineStr">
        <is>
          <t>CA</t>
        </is>
      </c>
      <c r="G13" s="45" t="n"/>
      <c r="H13" s="45" t="inlineStr">
        <is>
          <t>4.8 mi</t>
        </is>
      </c>
      <c r="I13" s="45" t="inlineStr">
        <is>
          <t>N/A (Market Rate)</t>
        </is>
      </c>
      <c r="J13" s="45" t="inlineStr">
        <is>
          <t>N/A (Market Rate)</t>
        </is>
      </c>
      <c r="K13" s="30" t="inlineStr">
        <is>
          <t>$1,736</t>
        </is>
      </c>
      <c r="L13" s="31" t="inlineStr">
        <is>
          <t>Not Listed</t>
        </is>
      </c>
      <c r="M13" s="45" t="inlineStr">
        <is>
          <t>N/A (Market Rate)</t>
        </is>
      </c>
      <c r="N13" s="45" t="inlineStr">
        <is>
          <t>N/A (Market Rate)</t>
        </is>
      </c>
      <c r="O13" s="30" t="inlineStr">
        <is>
          <t>$2,376</t>
        </is>
      </c>
      <c r="P13" s="31" t="inlineStr">
        <is>
          <t>$2,050</t>
        </is>
      </c>
      <c r="Q13" s="45" t="inlineStr">
        <is>
          <t>N/A (Market Rate)</t>
        </is>
      </c>
      <c r="R13" s="45" t="inlineStr">
        <is>
          <t>N/A (Market Rate)</t>
        </is>
      </c>
      <c r="S13" s="30" t="inlineStr">
        <is>
          <t>$3,044</t>
        </is>
      </c>
      <c r="T13" s="31" t="inlineStr">
        <is>
          <t>$2,500</t>
        </is>
      </c>
      <c r="U13" s="45" t="inlineStr">
        <is>
          <t>N/A (Market Rate)</t>
        </is>
      </c>
      <c r="V13" s="45" t="inlineStr">
        <is>
          <t>N/A (Market Rate)</t>
        </is>
      </c>
      <c r="W13" s="30" t="inlineStr">
        <is>
          <t>$3,520</t>
        </is>
      </c>
      <c r="X13" s="31" t="inlineStr">
        <is>
          <t>Not Listed</t>
        </is>
      </c>
      <c r="Y13" s="45" t="inlineStr">
        <is>
          <t>72</t>
        </is>
      </c>
      <c r="Z13" s="45" t="inlineStr">
        <is>
          <t>1972</t>
        </is>
      </c>
      <c r="AA13" s="45" t="inlineStr">
        <is>
          <t>1</t>
        </is>
      </c>
      <c r="AB13" s="45" t="inlineStr">
        <is>
          <t>Varies</t>
        </is>
      </c>
      <c r="AC13" s="45" t="inlineStr">
        <is>
          <t>Varies</t>
        </is>
      </c>
      <c r="AD13" s="45" t="inlineStr">
        <is>
          <t>Varies</t>
        </is>
      </c>
      <c r="AE13" s="45" t="inlineStr">
        <is>
          <t>Varies</t>
        </is>
      </c>
      <c r="AF13" s="45" t="inlineStr">
        <is>
          <t>Varies</t>
        </is>
      </c>
      <c r="AG13" s="47" t="inlineStr">
        <is>
          <t>HIGH</t>
        </is>
      </c>
      <c r="AH13" s="46" t="inlineStr">
        <is>
          <t>Market Rate Comp #3: No income restrictions, 1972 vintage (1 yr diff), 72 units, 4.8 mi from subject. Shows market-rate rents vs. affordable housing discount.</t>
        </is>
      </c>
      <c r="AI13" s="45" t="inlineStr">
        <is>
          <t>https://www.rentcafe.com/apartments-for-rent/us/ca/carson/</t>
        </is>
      </c>
    </row>
    <row r="14" ht="54.75" customFormat="1" customHeight="1" s="3">
      <c r="A14" s="39" t="inlineStr">
        <is>
          <t>4</t>
        </is>
      </c>
      <c r="B14" s="39" t="inlineStr">
        <is>
          <t>MARKET RATE</t>
        </is>
      </c>
      <c r="C14" s="40" t="inlineStr">
        <is>
          <t>Hawthorne Apartments</t>
        </is>
      </c>
      <c r="D14" s="39" t="inlineStr">
        <is>
          <t>3800 W Imperial Hwy, Inglewood, CA 90303</t>
        </is>
      </c>
      <c r="E14" s="39" t="inlineStr">
        <is>
          <t>Inglewood</t>
        </is>
      </c>
      <c r="F14" s="39" t="inlineStr">
        <is>
          <t>CA</t>
        </is>
      </c>
      <c r="G14" s="39" t="n"/>
      <c r="H14" s="39" t="inlineStr">
        <is>
          <t>6.5 mi</t>
        </is>
      </c>
      <c r="I14" s="39" t="inlineStr">
        <is>
          <t>N/A (Market Rate)</t>
        </is>
      </c>
      <c r="J14" s="39" t="inlineStr">
        <is>
          <t>N/A (Market Rate)</t>
        </is>
      </c>
      <c r="K14" s="30" t="inlineStr">
        <is>
          <t>$1,736</t>
        </is>
      </c>
      <c r="L14" s="31" t="inlineStr">
        <is>
          <t>Not Listed</t>
        </is>
      </c>
      <c r="M14" s="39" t="inlineStr">
        <is>
          <t>N/A (Market Rate)</t>
        </is>
      </c>
      <c r="N14" s="39" t="inlineStr">
        <is>
          <t>N/A (Market Rate)</t>
        </is>
      </c>
      <c r="O14" s="30" t="inlineStr">
        <is>
          <t>$2,376</t>
        </is>
      </c>
      <c r="P14" s="31" t="inlineStr">
        <is>
          <t>$2,100</t>
        </is>
      </c>
      <c r="Q14" s="39" t="inlineStr">
        <is>
          <t>N/A (Market Rate)</t>
        </is>
      </c>
      <c r="R14" s="39" t="inlineStr">
        <is>
          <t>N/A (Market Rate)</t>
        </is>
      </c>
      <c r="S14" s="30" t="inlineStr">
        <is>
          <t>$3,044</t>
        </is>
      </c>
      <c r="T14" s="31" t="inlineStr">
        <is>
          <t>$2,600</t>
        </is>
      </c>
      <c r="U14" s="39" t="inlineStr">
        <is>
          <t>N/A (Market Rate)</t>
        </is>
      </c>
      <c r="V14" s="39" t="inlineStr">
        <is>
          <t>N/A (Market Rate)</t>
        </is>
      </c>
      <c r="W14" s="30" t="inlineStr">
        <is>
          <t>$3,520</t>
        </is>
      </c>
      <c r="X14" s="31" t="inlineStr">
        <is>
          <t>Not Listed</t>
        </is>
      </c>
      <c r="Y14" s="39" t="inlineStr">
        <is>
          <t>52</t>
        </is>
      </c>
      <c r="Z14" s="39" t="inlineStr">
        <is>
          <t>1971</t>
        </is>
      </c>
      <c r="AA14" s="39" t="inlineStr">
        <is>
          <t>2</t>
        </is>
      </c>
      <c r="AB14" s="39" t="inlineStr">
        <is>
          <t>Varies</t>
        </is>
      </c>
      <c r="AC14" s="39" t="inlineStr">
        <is>
          <t>Varies</t>
        </is>
      </c>
      <c r="AD14" s="39" t="inlineStr">
        <is>
          <t>Varies</t>
        </is>
      </c>
      <c r="AE14" s="39" t="inlineStr">
        <is>
          <t>Varies</t>
        </is>
      </c>
      <c r="AF14" s="39" t="inlineStr">
        <is>
          <t>Varies</t>
        </is>
      </c>
      <c r="AG14" s="41" t="inlineStr">
        <is>
          <t>HIGH</t>
        </is>
      </c>
      <c r="AH14" s="40" t="inlineStr">
        <is>
          <t>Market Rate Comp #4: No income restrictions, 1971 vintage (2 yr diff), 52 units, 6.5 mi from subject. Shows market-rate rents vs. affordable housing discount.</t>
        </is>
      </c>
      <c r="AI14" s="39" t="inlineStr">
        <is>
          <t>https://www.rentcafe.com/apartments-for-rent/us/ca/inglewood/</t>
        </is>
      </c>
    </row>
    <row r="15" ht="54.75" customFormat="1" customHeight="1" s="3">
      <c r="A15" s="48" t="inlineStr">
        <is>
          <t>—</t>
        </is>
      </c>
      <c r="B15" s="48" t="inlineStr">
        <is>
          <t>BENCHMARK</t>
        </is>
      </c>
      <c r="C15" s="49" t="inlineStr">
        <is>
          <t>FY2026 FMR — Los Angeles County</t>
        </is>
      </c>
      <c r="D15" s="48" t="inlineStr">
        <is>
          <t>N/A</t>
        </is>
      </c>
      <c r="E15" s="48" t="inlineStr">
        <is>
          <t>Compton</t>
        </is>
      </c>
      <c r="F15" s="48" t="inlineStr">
        <is>
          <t>CA</t>
        </is>
      </c>
      <c r="G15" s="48" t="inlineStr">
        <is>
          <t>N/A</t>
        </is>
      </c>
      <c r="H15" s="48" t="inlineStr">
        <is>
          <t>N/A</t>
        </is>
      </c>
      <c r="I15" s="48" t="inlineStr">
        <is>
          <t>$1,736</t>
        </is>
      </c>
      <c r="J15" s="48" t="inlineStr">
        <is>
          <t>$1,736</t>
        </is>
      </c>
      <c r="K15" s="30" t="inlineStr">
        <is>
          <t>$1,736</t>
        </is>
      </c>
      <c r="L15" s="31" t="inlineStr">
        <is>
          <t>N/A</t>
        </is>
      </c>
      <c r="M15" s="48" t="inlineStr">
        <is>
          <t>$2,376</t>
        </is>
      </c>
      <c r="N15" s="48" t="inlineStr">
        <is>
          <t>$2,376</t>
        </is>
      </c>
      <c r="O15" s="30" t="inlineStr">
        <is>
          <t>$2,376</t>
        </is>
      </c>
      <c r="P15" s="31" t="inlineStr">
        <is>
          <t>N/A</t>
        </is>
      </c>
      <c r="Q15" s="48" t="inlineStr">
        <is>
          <t>$3,044</t>
        </is>
      </c>
      <c r="R15" s="48" t="inlineStr">
        <is>
          <t>$3,044</t>
        </is>
      </c>
      <c r="S15" s="30" t="inlineStr">
        <is>
          <t>$3,044</t>
        </is>
      </c>
      <c r="T15" s="31" t="inlineStr">
        <is>
          <t>N/A</t>
        </is>
      </c>
      <c r="U15" s="48" t="inlineStr">
        <is>
          <t>$3,520</t>
        </is>
      </c>
      <c r="V15" s="48" t="inlineStr">
        <is>
          <t>$3,520</t>
        </is>
      </c>
      <c r="W15" s="30" t="inlineStr">
        <is>
          <t>$3,520</t>
        </is>
      </c>
      <c r="X15" s="31" t="inlineStr">
        <is>
          <t>N/A</t>
        </is>
      </c>
      <c r="Y15" s="48" t="inlineStr">
        <is>
          <t>N/A</t>
        </is>
      </c>
      <c r="Z15" s="48" t="inlineStr">
        <is>
          <t>N/A</t>
        </is>
      </c>
      <c r="AA15" s="48" t="inlineStr">
        <is>
          <t>N/A</t>
        </is>
      </c>
      <c r="AB15" s="48" t="inlineStr">
        <is>
          <t>N/A</t>
        </is>
      </c>
      <c r="AC15" s="48" t="inlineStr">
        <is>
          <t>N/A</t>
        </is>
      </c>
      <c r="AD15" s="48" t="inlineStr">
        <is>
          <t>N/A</t>
        </is>
      </c>
      <c r="AE15" s="48" t="inlineStr">
        <is>
          <t>N/A</t>
        </is>
      </c>
      <c r="AF15" s="48" t="inlineStr">
        <is>
          <t>N/A</t>
        </is>
      </c>
      <c r="AG15" s="50" t="inlineStr">
        <is>
          <t>BENCHMARK</t>
        </is>
      </c>
      <c r="AH15" s="49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5" s="48" t="inlineStr">
        <is>
          <t>HUD FMR Database (huduser.gov)</t>
        </is>
      </c>
    </row>
    <row r="16" ht="54.75" customFormat="1" customHeight="1" s="3">
      <c r="A16" s="48" t="inlineStr">
        <is>
          <t>—</t>
        </is>
      </c>
      <c r="B16" s="48" t="inlineStr">
        <is>
          <t>BENCHMARK</t>
        </is>
      </c>
      <c r="C16" s="49" t="inlineStr">
        <is>
          <t>Metro Market Avg — Compton</t>
        </is>
      </c>
      <c r="D16" s="48" t="inlineStr">
        <is>
          <t>N/A</t>
        </is>
      </c>
      <c r="E16" s="48" t="inlineStr">
        <is>
          <t>Compton</t>
        </is>
      </c>
      <c r="F16" s="48" t="inlineStr">
        <is>
          <t>CA</t>
        </is>
      </c>
      <c r="G16" s="48" t="inlineStr">
        <is>
          <t>N/A</t>
        </is>
      </c>
      <c r="H16" s="48" t="inlineStr">
        <is>
          <t>N/A</t>
        </is>
      </c>
      <c r="I16" s="48" t="inlineStr">
        <is>
          <t>$1,909</t>
        </is>
      </c>
      <c r="J16" s="48" t="inlineStr">
        <is>
          <t>$1,909</t>
        </is>
      </c>
      <c r="K16" s="30" t="inlineStr">
        <is>
          <t>$1,909</t>
        </is>
      </c>
      <c r="L16" s="31" t="inlineStr">
        <is>
          <t>N/A</t>
        </is>
      </c>
      <c r="M16" s="48" t="inlineStr">
        <is>
          <t>$2,613</t>
        </is>
      </c>
      <c r="N16" s="48" t="inlineStr">
        <is>
          <t>$2,613</t>
        </is>
      </c>
      <c r="O16" s="30" t="inlineStr">
        <is>
          <t>$2,613</t>
        </is>
      </c>
      <c r="P16" s="31" t="inlineStr">
        <is>
          <t>N/A</t>
        </is>
      </c>
      <c r="Q16" s="48" t="inlineStr">
        <is>
          <t>$3,348</t>
        </is>
      </c>
      <c r="R16" s="48" t="inlineStr">
        <is>
          <t>$3,348</t>
        </is>
      </c>
      <c r="S16" s="30" t="inlineStr">
        <is>
          <t>$3,348</t>
        </is>
      </c>
      <c r="T16" s="31" t="inlineStr">
        <is>
          <t>N/A</t>
        </is>
      </c>
      <c r="U16" s="48" t="inlineStr">
        <is>
          <t>$3,872</t>
        </is>
      </c>
      <c r="V16" s="48" t="inlineStr">
        <is>
          <t>$3,872</t>
        </is>
      </c>
      <c r="W16" s="30" t="inlineStr">
        <is>
          <t>$3,872</t>
        </is>
      </c>
      <c r="X16" s="31" t="inlineStr">
        <is>
          <t>N/A</t>
        </is>
      </c>
      <c r="Y16" s="48" t="inlineStr">
        <is>
          <t>N/A</t>
        </is>
      </c>
      <c r="Z16" s="48" t="inlineStr">
        <is>
          <t>N/A</t>
        </is>
      </c>
      <c r="AA16" s="48" t="inlineStr">
        <is>
          <t>N/A</t>
        </is>
      </c>
      <c r="AB16" s="48" t="inlineStr">
        <is>
          <t>N/A</t>
        </is>
      </c>
      <c r="AC16" s="48" t="inlineStr">
        <is>
          <t>N/A</t>
        </is>
      </c>
      <c r="AD16" s="48" t="inlineStr">
        <is>
          <t>N/A</t>
        </is>
      </c>
      <c r="AE16" s="48" t="inlineStr">
        <is>
          <t>N/A</t>
        </is>
      </c>
      <c r="AF16" s="48" t="inlineStr">
        <is>
          <t>N/A</t>
        </is>
      </c>
      <c r="AG16" s="50" t="inlineStr">
        <is>
          <t>BENCHMARK</t>
        </is>
      </c>
      <c r="AH16" s="49" t="inlineStr">
        <is>
      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6" s="48" t="inlineStr">
        <is>
          <t>HUD FMR + Market Estimate</t>
        </is>
      </c>
    </row>
    <row r="17" ht="8.25" customFormat="1" customHeight="1" s="3"/>
    <row r="18" ht="27.75" customFormat="1" customHeight="1" s="3">
      <c r="A18" s="51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Height="1" s="95">
      <c r="A21" s="61" t="inlineStr">
        <is>
          <t>PMTS — Vouchers / FMR / UAP / NET FMR</t>
        </is>
      </c>
      <c r="B21" s="101" t="n"/>
      <c r="C21" s="101" t="n"/>
      <c r="D21" s="101" t="n"/>
      <c r="E21" s="101" t="n"/>
      <c r="F21" s="102" t="n"/>
    </row>
    <row r="22" ht="15" customHeight="1" s="95">
      <c r="A22" s="64" t="inlineStr">
        <is>
          <t>BD</t>
        </is>
      </c>
      <c r="B22" s="65" t="inlineStr">
        <is>
          <t>MKT</t>
        </is>
      </c>
      <c r="C22" s="66" t="inlineStr">
        <is>
          <t>VCH</t>
        </is>
      </c>
      <c r="D22" s="67" t="inlineStr">
        <is>
          <t>FMR</t>
        </is>
      </c>
      <c r="E22" s="68" t="inlineStr">
        <is>
          <t>UAP</t>
        </is>
      </c>
      <c r="F22" s="69" t="inlineStr">
        <is>
          <t>NET</t>
        </is>
      </c>
    </row>
    <row r="23" ht="15" customHeight="1" s="95">
      <c r="A23" s="70" t="inlineStr">
        <is>
          <t>1BD</t>
        </is>
      </c>
      <c r="B23" s="71" t="n">
        <v>0</v>
      </c>
      <c r="C23" s="71" t="n">
        <v>0</v>
      </c>
      <c r="D23" s="71" t="n">
        <v>1810</v>
      </c>
      <c r="E23" s="72" t="n">
        <v>73</v>
      </c>
      <c r="F23" s="73" t="n">
        <v>1737</v>
      </c>
    </row>
    <row r="24" ht="15" customHeight="1" s="95">
      <c r="A24" s="74" t="inlineStr">
        <is>
          <t>2BD</t>
        </is>
      </c>
      <c r="B24" s="75" t="n">
        <v>0</v>
      </c>
      <c r="C24" s="75" t="n">
        <v>0</v>
      </c>
      <c r="D24" s="75" t="n">
        <v>2290</v>
      </c>
      <c r="E24" s="72" t="n">
        <v>79</v>
      </c>
      <c r="F24" s="73" t="n">
        <v>2211</v>
      </c>
    </row>
    <row r="25" ht="15" customHeight="1" s="95">
      <c r="A25" s="70" t="inlineStr">
        <is>
          <t>3BD</t>
        </is>
      </c>
      <c r="B25" s="71" t="n">
        <v>0</v>
      </c>
      <c r="C25" s="71" t="n">
        <v>0</v>
      </c>
      <c r="D25" s="71" t="n">
        <v>2940</v>
      </c>
      <c r="E25" s="72" t="n">
        <v>137</v>
      </c>
      <c r="F25" s="73" t="n">
        <v>2803</v>
      </c>
    </row>
    <row r="26" ht="15" customHeight="1" s="95">
      <c r="A26" s="74" t="inlineStr">
        <is>
          <t>4BD</t>
        </is>
      </c>
      <c r="B26" s="75" t="n">
        <v>0</v>
      </c>
      <c r="C26" s="75" t="n">
        <v>0</v>
      </c>
      <c r="D26" s="75" t="n">
        <v>3240</v>
      </c>
      <c r="E26" s="72" t="n">
        <v>187</v>
      </c>
      <c r="F26" s="73" t="n">
        <v>3053</v>
      </c>
    </row>
    <row r="29" ht="15" customHeight="1" s="95">
      <c r="A29" s="61" t="inlineStr">
        <is>
          <t>HAP, CoStar, NET</t>
        </is>
      </c>
      <c r="B29" s="101" t="n"/>
      <c r="C29" s="102" t="n"/>
    </row>
    <row r="30" ht="15" customHeight="1" s="95">
      <c r="A30" s="64" t="n"/>
      <c r="B30" s="68" t="inlineStr">
        <is>
          <t>HAP</t>
        </is>
      </c>
      <c r="C30" s="65" t="inlineStr">
        <is>
          <t>CoStar</t>
        </is>
      </c>
    </row>
    <row r="31" ht="15" customHeight="1" s="95">
      <c r="A31" s="70" t="inlineStr">
        <is>
          <t>1BD</t>
        </is>
      </c>
      <c r="B31" s="103" t="n">
        <v>1172</v>
      </c>
      <c r="C31" s="104" t="n">
        <v>1929</v>
      </c>
    </row>
    <row r="32" ht="15" customHeight="1" s="95">
      <c r="A32" s="74" t="inlineStr">
        <is>
          <t>2BD</t>
        </is>
      </c>
      <c r="B32" s="103" t="n">
        <v>1500</v>
      </c>
      <c r="C32" s="104" t="n">
        <v>2232</v>
      </c>
    </row>
    <row r="33" ht="15" customHeight="1" s="95">
      <c r="A33" s="70" t="inlineStr">
        <is>
          <t>3BD</t>
        </is>
      </c>
      <c r="B33" s="103" t="n">
        <v>1747</v>
      </c>
      <c r="C33" s="104" t="n">
        <v>2508</v>
      </c>
    </row>
    <row r="34" ht="15" customHeight="1" s="95">
      <c r="A34" s="74" t="inlineStr">
        <is>
          <t>4BD</t>
        </is>
      </c>
      <c r="B34" s="103" t="n">
        <v>2042</v>
      </c>
      <c r="C34" s="104" t="n">
        <v>2894</v>
      </c>
    </row>
  </sheetData>
  <mergeCells count="6">
    <mergeCell ref="A2:AI2"/>
    <mergeCell ref="A18:AI18"/>
    <mergeCell ref="A3:AI3"/>
    <mergeCell ref="A4:AI4"/>
    <mergeCell ref="A29:C29"/>
    <mergeCell ref="A21:F21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theme="3" tint="0.4"/>
    <outlinePr summaryBelow="1" summaryRight="1"/>
    <pageSetUpPr/>
  </sheetPr>
  <dimension ref="A1:AE37"/>
  <sheetViews>
    <sheetView topLeftCell="A1" workbookViewId="0">
      <pane ySplit="1" topLeftCell="A14" activePane="bottomLeft" state="frozen"/>
      <selection pane="bottomLeft" activeCell="A1" sqref="A1:AE1"/>
    </sheetView>
  </sheetViews>
  <sheetFormatPr baseColWidth="8" defaultColWidth="9.140625" defaultRowHeight="15" customHeight="1"/>
  <cols>
    <col width="8.00390625" customWidth="1" style="3" min="1" max="1"/>
    <col width="14.00390625" customWidth="1" style="3" min="2" max="2"/>
    <col width="30.28125" customWidth="1" style="3" min="3" max="3"/>
    <col width="22.00390625" customWidth="1" style="3" min="4" max="4"/>
    <col width="16.00390625" customWidth="1" style="3" min="5" max="5"/>
    <col width="10.00390625" customWidth="1" style="3" min="6" max="6"/>
    <col width="8.00390625" customWidth="1" style="3" min="7" max="7"/>
    <col width="11.00390625" customWidth="1" style="3" min="8" max="8"/>
    <col width="10.00390625" customWidth="1" style="3" min="9" max="11"/>
    <col width="12.00390625" customWidth="1" style="3" min="12" max="12"/>
    <col width="10.00390625" customWidth="1" style="3" min="13" max="15"/>
    <col width="12.00390625" customWidth="1" style="3" min="16" max="16"/>
    <col width="10.00390625" customWidth="1" style="3" min="17" max="19"/>
    <col width="12.00390625" customWidth="1" style="3" min="20" max="20"/>
    <col width="8.00390625" customWidth="1" style="3" min="21" max="21"/>
    <col width="10.00390625" customWidth="1" style="3" min="22" max="22"/>
    <col width="7.00390625" customWidth="1" style="3" min="23" max="23"/>
    <col width="12.00390625" customWidth="1" style="3" min="24" max="25"/>
    <col width="8.00390625" customWidth="1" style="3" min="26" max="27"/>
    <col width="10.00390625" customWidth="1" style="3" min="28" max="28"/>
    <col width="16.00390625" customWidth="1" style="3" min="29" max="29"/>
    <col width="45.00390625" customWidth="1" style="3" min="30" max="30"/>
    <col width="28.00390625" customWidth="1" style="3" min="31" max="31"/>
  </cols>
  <sheetData>
    <row r="1" ht="15" customHeight="1" s="95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</row>
    <row r="2" ht="24" customFormat="1" customHeight="1" s="3">
      <c r="A2" s="17" t="inlineStr">
        <is>
          <t>COMPETITIVE RENT ANALYSIS — GATES ON MANHATTAN | GREEN = Affordable Comps | BLUE = Market Rate Comps</t>
        </is>
      </c>
    </row>
    <row r="3" ht="20.25" customFormat="1" customHeight="1" s="3">
      <c r="A3" s="18" t="inlineStr">
        <is>
          <t>SUBJECT: Gates on Manhattan | 1050 Manhattan Blvd, Harvey, LA 70058 | 276 units | Program: Section 8/HUD | Bedroom Mix: 1BR / 2BR / 3BR | County AMI: $89,800 | FMR Area: New Orleans MSA</t>
        </is>
      </c>
    </row>
    <row r="4" ht="90" customFormat="1" customHeight="1" s="3">
      <c r="A4" s="19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5" ht="30" customFormat="1" customHeight="1" s="3">
      <c r="A5" s="20" t="inlineStr">
        <is>
          <t>Rank</t>
        </is>
      </c>
      <c r="B5" s="20" t="inlineStr">
        <is>
          <t>Type</t>
        </is>
      </c>
      <c r="C5" s="20" t="inlineStr">
        <is>
          <t>Property Name</t>
        </is>
      </c>
      <c r="D5" s="20" t="inlineStr">
        <is>
          <t>Address</t>
        </is>
      </c>
      <c r="E5" s="20" t="inlineStr">
        <is>
          <t>City</t>
        </is>
      </c>
      <c r="F5" s="20" t="inlineStr">
        <is>
          <t>State</t>
        </is>
      </c>
      <c r="G5" s="20" t="inlineStr">
        <is>
          <t>ZIP</t>
        </is>
      </c>
      <c r="H5" s="20" t="inlineStr">
        <is>
          <t>Distance (mi)</t>
        </is>
      </c>
      <c r="I5" s="20" t="inlineStr">
        <is>
          <t>1BR Low ($)</t>
        </is>
      </c>
      <c r="J5" s="20" t="inlineStr">
        <is>
          <t>1BR Mid ($)</t>
        </is>
      </c>
      <c r="K5" s="21" t="inlineStr">
        <is>
          <t>1BR FMR ($)</t>
        </is>
      </c>
      <c r="L5" s="22" t="inlineStr">
        <is>
          <t>1BR Actual ($)</t>
        </is>
      </c>
      <c r="M5" s="20" t="inlineStr">
        <is>
          <t>2BR Low ($)</t>
        </is>
      </c>
      <c r="N5" s="20" t="inlineStr">
        <is>
          <t>2BR Mid ($)</t>
        </is>
      </c>
      <c r="O5" s="21" t="inlineStr">
        <is>
          <t>2BR FMR ($)</t>
        </is>
      </c>
      <c r="P5" s="22" t="inlineStr">
        <is>
          <t>2BR Actual ($)</t>
        </is>
      </c>
      <c r="Q5" s="20" t="inlineStr">
        <is>
          <t>3BR Low ($)</t>
        </is>
      </c>
      <c r="R5" s="20" t="inlineStr">
        <is>
          <t>3BR Mid ($)</t>
        </is>
      </c>
      <c r="S5" s="21" t="inlineStr">
        <is>
          <t>3BR FMR ($)</t>
        </is>
      </c>
      <c r="T5" s="22" t="inlineStr">
        <is>
          <t>3BR Actual ($)</t>
        </is>
      </c>
      <c r="U5" s="20" t="inlineStr">
        <is>
          <t># Units</t>
        </is>
      </c>
      <c r="V5" s="20" t="inlineStr">
        <is>
          <t>Year Built</t>
        </is>
      </c>
      <c r="W5" s="20" t="inlineStr">
        <is>
          <t>Yr Diff</t>
        </is>
      </c>
      <c r="X5" s="20" t="inlineStr">
        <is>
          <t>Utilities Incl.</t>
        </is>
      </c>
      <c r="Y5" s="20" t="inlineStr">
        <is>
          <t>Pet Friendly</t>
        </is>
      </c>
      <c r="Z5" s="20" t="inlineStr">
        <is>
          <t>Gated</t>
        </is>
      </c>
      <c r="AA5" s="20" t="inlineStr">
        <is>
          <t>Pool</t>
        </is>
      </c>
      <c r="AB5" s="20" t="inlineStr">
        <is>
          <t>W/D In-Unit</t>
        </is>
      </c>
      <c r="AC5" s="20" t="inlineStr">
        <is>
          <t>Competition Level</t>
        </is>
      </c>
      <c r="AD5" s="20" t="inlineStr">
        <is>
          <t>Why Competitive</t>
        </is>
      </c>
      <c r="AE5" s="20" t="inlineStr">
        <is>
          <t>Data Source</t>
        </is>
      </c>
    </row>
    <row r="6" ht="54.75" customFormat="1" customHeight="1" s="3">
      <c r="A6" s="23" t="inlineStr">
        <is>
          <t>—</t>
        </is>
      </c>
      <c r="B6" s="23" t="inlineStr">
        <is>
          <t>SUBJECT</t>
        </is>
      </c>
      <c r="C6" s="24" t="inlineStr">
        <is>
          <t>Gates on Manhattan (SUBJECT)</t>
        </is>
      </c>
      <c r="D6" s="23" t="inlineStr">
        <is>
          <t>1050 Manhattan Blvd</t>
        </is>
      </c>
      <c r="E6" s="23" t="inlineStr">
        <is>
          <t>Harvey</t>
        </is>
      </c>
      <c r="F6" s="23" t="inlineStr">
        <is>
          <t>LA</t>
        </is>
      </c>
      <c r="G6" s="23" t="inlineStr">
        <is>
          <t>70058</t>
        </is>
      </c>
      <c r="H6" s="23" t="inlineStr">
        <is>
          <t>0.0 mi</t>
        </is>
      </c>
      <c r="I6" s="23" t="inlineStr">
        <is>
          <t>$2,808</t>
        </is>
      </c>
      <c r="J6" s="23" t="inlineStr">
        <is>
          <t>$3,370</t>
        </is>
      </c>
      <c r="K6" s="25" t="inlineStr">
        <is>
          <t>$916</t>
        </is>
      </c>
      <c r="L6" s="26" t="inlineStr">
        <is>
          <t>N/A</t>
        </is>
      </c>
      <c r="M6" s="23" t="inlineStr">
        <is>
          <t>$3,370</t>
        </is>
      </c>
      <c r="N6" s="23" t="inlineStr">
        <is>
          <t>$4,045</t>
        </is>
      </c>
      <c r="O6" s="25" t="inlineStr">
        <is>
          <t>$1,254</t>
        </is>
      </c>
      <c r="P6" s="26" t="inlineStr">
        <is>
          <t>N/A</t>
        </is>
      </c>
      <c r="Q6" s="23" t="inlineStr">
        <is>
          <t>$3,741</t>
        </is>
      </c>
      <c r="R6" s="23" t="inlineStr">
        <is>
          <t>$4,490</t>
        </is>
      </c>
      <c r="S6" s="25" t="inlineStr">
        <is>
          <t>$1,573</t>
        </is>
      </c>
      <c r="T6" s="26" t="inlineStr">
        <is>
          <t>N/A</t>
        </is>
      </c>
      <c r="U6" s="23" t="inlineStr">
        <is>
          <t>276</t>
        </is>
      </c>
      <c r="V6" s="23" t="inlineStr">
        <is>
          <t>1968</t>
        </is>
      </c>
      <c r="W6" s="23" t="inlineStr">
        <is>
          <t>0</t>
        </is>
      </c>
      <c r="X6" s="23" t="inlineStr">
        <is>
          <t>Yes</t>
        </is>
      </c>
      <c r="Y6" s="23" t="inlineStr">
        <is>
          <t>No</t>
        </is>
      </c>
      <c r="Z6" s="23" t="inlineStr">
        <is>
          <t>No</t>
        </is>
      </c>
      <c r="AA6" s="23" t="inlineStr">
        <is>
          <t>No</t>
        </is>
      </c>
      <c r="AB6" s="23" t="inlineStr">
        <is>
          <t>No</t>
        </is>
      </c>
      <c r="AC6" s="27" t="inlineStr">
        <is>
          <t>SUBJECT</t>
        </is>
      </c>
      <c r="AD6" s="24" t="inlineStr">
        <is>
          <t>276 units | Section 8/HUD property. Year built: 1968. Subject property for market context.</t>
        </is>
      </c>
      <c r="AE6" s="23" t="inlineStr">
        <is>
          <t>Apartment Corp Records</t>
        </is>
      </c>
    </row>
    <row r="7" ht="54.75" customFormat="1" customHeight="1" s="3">
      <c r="A7" s="28" t="inlineStr">
        <is>
          <t>1</t>
        </is>
      </c>
      <c r="B7" s="28" t="inlineStr">
        <is>
          <t>AFFORDABLE</t>
        </is>
      </c>
      <c r="C7" s="29" t="inlineStr">
        <is>
          <t>Westchase Apartments</t>
        </is>
      </c>
      <c r="D7" s="28" t="inlineStr">
        <is>
          <t>1013 Manhattan Blvd</t>
        </is>
      </c>
      <c r="E7" s="28" t="inlineStr">
        <is>
          <t>Harvey</t>
        </is>
      </c>
      <c r="F7" s="28" t="inlineStr">
        <is>
          <t>LA</t>
        </is>
      </c>
      <c r="G7" s="28" t="inlineStr">
        <is>
          <t>70058</t>
        </is>
      </c>
      <c r="H7" s="28" t="inlineStr">
        <is>
          <t>0.3 mi</t>
        </is>
      </c>
      <c r="I7" s="28" t="inlineStr">
        <is>
          <t>$2,808</t>
        </is>
      </c>
      <c r="J7" s="28" t="inlineStr">
        <is>
          <t>$3,370</t>
        </is>
      </c>
      <c r="K7" s="30" t="inlineStr">
        <is>
          <t>$916</t>
        </is>
      </c>
      <c r="L7" s="31" t="inlineStr">
        <is>
          <t>$887</t>
        </is>
      </c>
      <c r="M7" s="28" t="inlineStr">
        <is>
          <t>$3,370</t>
        </is>
      </c>
      <c r="N7" s="28" t="inlineStr">
        <is>
          <t>$4,045</t>
        </is>
      </c>
      <c r="O7" s="30" t="inlineStr">
        <is>
          <t>$1,254</t>
        </is>
      </c>
      <c r="P7" s="31" t="inlineStr">
        <is>
          <t>$1,083</t>
        </is>
      </c>
      <c r="Q7" s="28" t="inlineStr">
        <is>
          <t>$3,741</t>
        </is>
      </c>
      <c r="R7" s="28" t="inlineStr">
        <is>
          <t>$4,490</t>
        </is>
      </c>
      <c r="S7" s="30" t="inlineStr">
        <is>
          <t>$1,573</t>
        </is>
      </c>
      <c r="T7" s="31" t="inlineStr">
        <is>
          <t>Not Listed</t>
        </is>
      </c>
      <c r="U7" s="28" t="inlineStr">
        <is>
          <t>250</t>
        </is>
      </c>
      <c r="V7" s="28" t="inlineStr">
        <is>
          <t>1970</t>
        </is>
      </c>
      <c r="W7" s="28" t="inlineStr">
        <is>
          <t>2</t>
        </is>
      </c>
      <c r="X7" s="28" t="inlineStr">
        <is>
          <t>Yes</t>
        </is>
      </c>
      <c r="Y7" s="28" t="inlineStr">
        <is>
          <t>No</t>
        </is>
      </c>
      <c r="Z7" s="28" t="inlineStr">
        <is>
          <t>No</t>
        </is>
      </c>
      <c r="AA7" s="28" t="inlineStr">
        <is>
          <t>No</t>
        </is>
      </c>
      <c r="AB7" s="28" t="inlineStr">
        <is>
          <t>No</t>
        </is>
      </c>
      <c r="AC7" s="32" t="inlineStr">
        <is>
          <t>HIGH</t>
        </is>
      </c>
      <c r="AD7" s="29" t="inlineStr">
        <is>
          <t>Affordable Comp #1: Section 8/HUD property, 1970 vintage (2 yr diff), 250 units, 0.3 mi from subject. Same income-eligible renter pool.</t>
        </is>
      </c>
      <c r="AE7" s="28" t="inlineStr">
        <is>
          <t>AffordableHousingOnline.com</t>
        </is>
      </c>
    </row>
    <row r="8" ht="54.75" customFormat="1" customHeight="1" s="3">
      <c r="A8" s="33" t="inlineStr">
        <is>
          <t>2</t>
        </is>
      </c>
      <c r="B8" s="33" t="inlineStr">
        <is>
          <t>AFFORDABLE</t>
        </is>
      </c>
      <c r="C8" s="34" t="inlineStr">
        <is>
          <t>Sunset Villa Apartments</t>
        </is>
      </c>
      <c r="D8" s="33" t="inlineStr">
        <is>
          <t>1000 Scotsdale Dr</t>
        </is>
      </c>
      <c r="E8" s="33" t="inlineStr">
        <is>
          <t>Harvey</t>
        </is>
      </c>
      <c r="F8" s="33" t="inlineStr">
        <is>
          <t>LA</t>
        </is>
      </c>
      <c r="G8" s="33" t="inlineStr">
        <is>
          <t>70058</t>
        </is>
      </c>
      <c r="H8" s="33" t="inlineStr">
        <is>
          <t>1.2 mi</t>
        </is>
      </c>
      <c r="I8" s="33" t="inlineStr">
        <is>
          <t>$2,808</t>
        </is>
      </c>
      <c r="J8" s="33" t="inlineStr">
        <is>
          <t>$3,370</t>
        </is>
      </c>
      <c r="K8" s="30" t="inlineStr">
        <is>
          <t>$916</t>
        </is>
      </c>
      <c r="L8" s="31" t="inlineStr">
        <is>
          <t>$1,146</t>
        </is>
      </c>
      <c r="M8" s="33" t="inlineStr">
        <is>
          <t>$3,370</t>
        </is>
      </c>
      <c r="N8" s="33" t="inlineStr">
        <is>
          <t>$4,045</t>
        </is>
      </c>
      <c r="O8" s="30" t="inlineStr">
        <is>
          <t>$1,254</t>
        </is>
      </c>
      <c r="P8" s="31" t="inlineStr">
        <is>
          <t>$1,146</t>
        </is>
      </c>
      <c r="Q8" s="33" t="inlineStr">
        <is>
          <t>$3,741</t>
        </is>
      </c>
      <c r="R8" s="33" t="inlineStr">
        <is>
          <t>$4,490</t>
        </is>
      </c>
      <c r="S8" s="30" t="inlineStr">
        <is>
          <t>$1,573</t>
        </is>
      </c>
      <c r="T8" s="31" t="inlineStr">
        <is>
          <t>$1,146</t>
        </is>
      </c>
      <c r="U8" s="33" t="inlineStr">
        <is>
          <t>200</t>
        </is>
      </c>
      <c r="V8" s="33" t="inlineStr">
        <is>
          <t>1968</t>
        </is>
      </c>
      <c r="W8" s="33" t="inlineStr">
        <is>
          <t>0</t>
        </is>
      </c>
      <c r="X8" s="33" t="inlineStr">
        <is>
          <t>Yes</t>
        </is>
      </c>
      <c r="Y8" s="33" t="inlineStr">
        <is>
          <t>No</t>
        </is>
      </c>
      <c r="Z8" s="33" t="inlineStr">
        <is>
          <t>No</t>
        </is>
      </c>
      <c r="AA8" s="33" t="inlineStr">
        <is>
          <t>No</t>
        </is>
      </c>
      <c r="AB8" s="33" t="inlineStr">
        <is>
          <t>No</t>
        </is>
      </c>
      <c r="AC8" s="35" t="inlineStr">
        <is>
          <t>HIGH</t>
        </is>
      </c>
      <c r="AD8" s="34" t="inlineStr">
        <is>
          <t>Affordable Comp #2: Section 8/HUD property, 1968 vintage (0 yr diff), 200 units, 1.2 mi from subject. Same income-eligible renter pool.</t>
        </is>
      </c>
      <c r="AE8" s="33" t="inlineStr">
        <is>
          <t>AffordableHousingOnline.com</t>
        </is>
      </c>
    </row>
    <row r="9" ht="54.75" customFormat="1" customHeight="1" s="3">
      <c r="A9" s="36" t="inlineStr">
        <is>
          <t>3</t>
        </is>
      </c>
      <c r="B9" s="36" t="inlineStr">
        <is>
          <t>AFFORDABLE</t>
        </is>
      </c>
      <c r="C9" s="37" t="inlineStr">
        <is>
          <t>Gretna Manor Apartments</t>
        </is>
      </c>
      <c r="D9" s="36" t="inlineStr">
        <is>
          <t>400 Huey P Long Ave</t>
        </is>
      </c>
      <c r="E9" s="36" t="inlineStr">
        <is>
          <t>Gretna</t>
        </is>
      </c>
      <c r="F9" s="36" t="inlineStr">
        <is>
          <t>LA</t>
        </is>
      </c>
      <c r="G9" s="36" t="inlineStr">
        <is>
          <t>70053</t>
        </is>
      </c>
      <c r="H9" s="36" t="inlineStr">
        <is>
          <t>3.5 mi</t>
        </is>
      </c>
      <c r="I9" s="36" t="inlineStr">
        <is>
          <t>$2,808</t>
        </is>
      </c>
      <c r="J9" s="36" t="inlineStr">
        <is>
          <t>$3,370</t>
        </is>
      </c>
      <c r="K9" s="30" t="inlineStr">
        <is>
          <t>$916</t>
        </is>
      </c>
      <c r="L9" s="31" t="inlineStr">
        <is>
          <t>Not Listed</t>
        </is>
      </c>
      <c r="M9" s="36" t="inlineStr">
        <is>
          <t>$3,370</t>
        </is>
      </c>
      <c r="N9" s="36" t="inlineStr">
        <is>
          <t>$4,045</t>
        </is>
      </c>
      <c r="O9" s="30" t="inlineStr">
        <is>
          <t>$1,254</t>
        </is>
      </c>
      <c r="P9" s="31" t="inlineStr">
        <is>
          <t>Not Listed</t>
        </is>
      </c>
      <c r="Q9" s="36" t="inlineStr">
        <is>
          <t>$3,741</t>
        </is>
      </c>
      <c r="R9" s="36" t="inlineStr">
        <is>
          <t>$4,490</t>
        </is>
      </c>
      <c r="S9" s="30" t="inlineStr">
        <is>
          <t>$1,573</t>
        </is>
      </c>
      <c r="T9" s="31" t="inlineStr">
        <is>
          <t>Not Listed</t>
        </is>
      </c>
      <c r="U9" s="36" t="inlineStr">
        <is>
          <t>220</t>
        </is>
      </c>
      <c r="V9" s="36" t="inlineStr">
        <is>
          <t>1972</t>
        </is>
      </c>
      <c r="W9" s="36" t="inlineStr">
        <is>
          <t>4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85" t="inlineStr">
        <is>
          <t>HIGH</t>
        </is>
      </c>
      <c r="AD9" s="37" t="inlineStr">
        <is>
          <t>Affordable Comp #3: Section 8/HUD property, 1972 vintage (4 yr diff), 220 units, 3.5 mi from subject. Same income-eligible renter pool.</t>
        </is>
      </c>
      <c r="AE9" s="36" t="inlineStr">
        <is>
          <t>HUD Multifamily Assisted Housing</t>
        </is>
      </c>
    </row>
    <row r="10" ht="54.75" customFormat="1" customHeight="1" s="3">
      <c r="A10" s="28" t="inlineStr">
        <is>
          <t>4</t>
        </is>
      </c>
      <c r="B10" s="28" t="inlineStr">
        <is>
          <t>AFFORDABLE</t>
        </is>
      </c>
      <c r="C10" s="29" t="inlineStr">
        <is>
          <t>Jefferson Parish Housing Authority - Woodmere Homes</t>
        </is>
      </c>
      <c r="D10" s="28" t="inlineStr">
        <is>
          <t>1200 Woodmere Blvd</t>
        </is>
      </c>
      <c r="E10" s="28" t="inlineStr">
        <is>
          <t>Harvey</t>
        </is>
      </c>
      <c r="F10" s="28" t="inlineStr">
        <is>
          <t>LA</t>
        </is>
      </c>
      <c r="G10" s="28" t="inlineStr">
        <is>
          <t>70058</t>
        </is>
      </c>
      <c r="H10" s="28" t="inlineStr">
        <is>
          <t>2.1 mi</t>
        </is>
      </c>
      <c r="I10" s="28" t="inlineStr">
        <is>
          <t>$2,808</t>
        </is>
      </c>
      <c r="J10" s="28" t="inlineStr">
        <is>
          <t>$3,370</t>
        </is>
      </c>
      <c r="K10" s="30" t="inlineStr">
        <is>
          <t>$916</t>
        </is>
      </c>
      <c r="L10" s="31" t="inlineStr">
        <is>
          <t>Not Listed</t>
        </is>
      </c>
      <c r="M10" s="28" t="inlineStr">
        <is>
          <t>$3,370</t>
        </is>
      </c>
      <c r="N10" s="28" t="inlineStr">
        <is>
          <t>$4,045</t>
        </is>
      </c>
      <c r="O10" s="30" t="inlineStr">
        <is>
          <t>$1,254</t>
        </is>
      </c>
      <c r="P10" s="31" t="inlineStr">
        <is>
          <t>Not Listed</t>
        </is>
      </c>
      <c r="Q10" s="28" t="inlineStr">
        <is>
          <t>$3,741</t>
        </is>
      </c>
      <c r="R10" s="28" t="inlineStr">
        <is>
          <t>$4,490</t>
        </is>
      </c>
      <c r="S10" s="30" t="inlineStr">
        <is>
          <t>$1,573</t>
        </is>
      </c>
      <c r="T10" s="31" t="inlineStr">
        <is>
          <t>Not Listed</t>
        </is>
      </c>
      <c r="U10" s="28" t="inlineStr">
        <is>
          <t>240</t>
        </is>
      </c>
      <c r="V10" s="28" t="inlineStr">
        <is>
          <t>1969</t>
        </is>
      </c>
      <c r="W10" s="28" t="inlineStr">
        <is>
          <t>1</t>
        </is>
      </c>
      <c r="X10" s="28" t="inlineStr">
        <is>
          <t>Yes</t>
        </is>
      </c>
      <c r="Y10" s="28" t="inlineStr">
        <is>
          <t>No</t>
        </is>
      </c>
      <c r="Z10" s="28" t="inlineStr">
        <is>
          <t>No</t>
        </is>
      </c>
      <c r="AA10" s="28" t="inlineStr">
        <is>
          <t>No</t>
        </is>
      </c>
      <c r="AB10" s="28" t="inlineStr">
        <is>
          <t>No</t>
        </is>
      </c>
      <c r="AC10" s="32" t="inlineStr">
        <is>
          <t>HIGH</t>
        </is>
      </c>
      <c r="AD10" s="29" t="inlineStr">
        <is>
          <t>Affordable Comp #4: Public Housing/HUD property, 1969 vintage (1 yr diff), 240 units, 2.1 mi from subject. Same income-eligible renter pool.</t>
        </is>
      </c>
      <c r="AE10" s="28" t="inlineStr">
        <is>
          <t>Jefferson Parish Housing Authority</t>
        </is>
      </c>
    </row>
    <row r="11" ht="54.75" customFormat="1" customHeight="1" s="3">
      <c r="A11" s="39" t="inlineStr">
        <is>
          <t>1</t>
        </is>
      </c>
      <c r="B11" s="39" t="inlineStr">
        <is>
          <t>MARKET RATE</t>
        </is>
      </c>
      <c r="C11" s="40" t="inlineStr">
        <is>
          <t>Harvey Market Rate (FMR Benchmark)</t>
        </is>
      </c>
      <c r="D11" s="39" t="inlineStr">
        <is>
          <t>Harvey, LA area</t>
        </is>
      </c>
      <c r="E11" s="39" t="inlineStr">
        <is>
          <t>LA area</t>
        </is>
      </c>
      <c r="F11" s="39" t="inlineStr">
        <is>
          <t>LA</t>
        </is>
      </c>
      <c r="G11" s="39" t="n"/>
      <c r="H11" s="39" t="inlineStr">
        <is>
          <t>N/A</t>
        </is>
      </c>
      <c r="I11" s="39" t="inlineStr">
        <is>
          <t>N/A (Market Rate)</t>
        </is>
      </c>
      <c r="J11" s="39" t="inlineStr">
        <is>
          <t>N/A (Market Rate)</t>
        </is>
      </c>
      <c r="K11" s="30" t="inlineStr">
        <is>
          <t>$916</t>
        </is>
      </c>
      <c r="L11" s="31" t="inlineStr">
        <is>
          <t>Not Listed</t>
        </is>
      </c>
      <c r="M11" s="39" t="inlineStr">
        <is>
          <t>N/A (Market Rate)</t>
        </is>
      </c>
      <c r="N11" s="39" t="inlineStr">
        <is>
          <t>N/A (Market Rate)</t>
        </is>
      </c>
      <c r="O11" s="30" t="inlineStr">
        <is>
          <t>$1,254</t>
        </is>
      </c>
      <c r="P11" s="31" t="inlineStr">
        <is>
          <t>$1,250</t>
        </is>
      </c>
      <c r="Q11" s="39" t="inlineStr">
        <is>
          <t>N/A (Market Rate)</t>
        </is>
      </c>
      <c r="R11" s="39" t="inlineStr">
        <is>
          <t>N/A (Market Rate)</t>
        </is>
      </c>
      <c r="S11" s="30" t="inlineStr">
        <is>
          <t>$1,573</t>
        </is>
      </c>
      <c r="T11" s="31" t="inlineStr">
        <is>
          <t>$1,550</t>
        </is>
      </c>
      <c r="U11" s="39" t="inlineStr">
        <is>
          <t>N/A</t>
        </is>
      </c>
      <c r="V11" s="39" t="inlineStr">
        <is>
          <t>1968</t>
        </is>
      </c>
      <c r="W11" s="39" t="inlineStr">
        <is>
          <t>0</t>
        </is>
      </c>
      <c r="X11" s="39" t="inlineStr">
        <is>
          <t>Varies</t>
        </is>
      </c>
      <c r="Y11" s="39" t="inlineStr">
        <is>
          <t>Varies</t>
        </is>
      </c>
      <c r="Z11" s="39" t="inlineStr">
        <is>
          <t>Varies</t>
        </is>
      </c>
      <c r="AA11" s="39" t="inlineStr">
        <is>
          <t>Varies</t>
        </is>
      </c>
      <c r="AB11" s="39" t="inlineStr">
        <is>
          <t>Varies</t>
        </is>
      </c>
      <c r="AC11" s="41" t="inlineStr">
        <is>
          <t>HIGH</t>
        </is>
      </c>
      <c r="AD11" s="40" t="inlineStr">
        <is>
          <t>Market Rate Comp #1: No income restrictions, 1968 vintage (0 yr diff), N/A units, N/A from subject. Shows market-rate rents vs. affordable housing discount.</t>
        </is>
      </c>
      <c r="AE11" s="39" t="inlineStr">
        <is>
          <t>HUD FY2026 FMR - Jefferson Parish, LA (limited market rate listings for 1958-1978 vintage)</t>
        </is>
      </c>
    </row>
    <row r="12" ht="54.75" customFormat="1" customHeight="1" s="3">
      <c r="A12" s="42" t="inlineStr">
        <is>
          <t>2</t>
        </is>
      </c>
      <c r="B12" s="42" t="inlineStr">
        <is>
          <t>Windsor at Manhattan</t>
        </is>
      </c>
      <c r="C12" s="43" t="inlineStr">
        <is>
          <t>1499 Central Park Blvd, Harvey, LA 70058</t>
        </is>
      </c>
      <c r="D12" s="42" t="inlineStr">
        <is>
          <t>Marrero, LA area</t>
        </is>
      </c>
      <c r="E12" s="42" t="inlineStr">
        <is>
          <t>LA area</t>
        </is>
      </c>
      <c r="F12" s="42" t="inlineStr">
        <is>
          <t>LA</t>
        </is>
      </c>
      <c r="G12" s="42" t="n"/>
      <c r="H12" s="42" t="inlineStr">
        <is>
          <t>3.0 mi</t>
        </is>
      </c>
      <c r="I12" s="42" t="inlineStr">
        <is>
          <t>N/A (Market Rate)</t>
        </is>
      </c>
      <c r="J12" s="42" t="inlineStr">
        <is>
          <t>N/A (Market Rate)</t>
        </is>
      </c>
      <c r="K12" s="30" t="inlineStr">
        <is>
          <t>$916</t>
        </is>
      </c>
      <c r="L12" s="31" t="inlineStr">
        <is>
          <t>Not Listed</t>
        </is>
      </c>
      <c r="M12" s="42" t="inlineStr">
        <is>
          <t>N/A (Market Rate)</t>
        </is>
      </c>
      <c r="N12" s="42" t="inlineStr">
        <is>
          <t>N/A (Market Rate)</t>
        </is>
      </c>
      <c r="O12" s="30" t="inlineStr">
        <is>
          <t>$1,254</t>
        </is>
      </c>
      <c r="P12" s="31" t="inlineStr">
        <is>
          <t>$1,250</t>
        </is>
      </c>
      <c r="Q12" s="42" t="inlineStr">
        <is>
          <t>N/A (Market Rate)</t>
        </is>
      </c>
      <c r="R12" s="42" t="inlineStr">
        <is>
          <t>N/A (Market Rate)</t>
        </is>
      </c>
      <c r="S12" s="30" t="inlineStr">
        <is>
          <t>$1,573</t>
        </is>
      </c>
      <c r="T12" s="31" t="inlineStr">
        <is>
          <t>$1,550</t>
        </is>
      </c>
      <c r="U12" s="42" t="inlineStr">
        <is>
          <t>N/A</t>
        </is>
      </c>
      <c r="V12" s="42" t="inlineStr">
        <is>
          <t>1970</t>
        </is>
      </c>
      <c r="W12" s="42" t="inlineStr">
        <is>
          <t>2</t>
        </is>
      </c>
      <c r="X12" s="42" t="inlineStr">
        <is>
          <t>Varies</t>
        </is>
      </c>
      <c r="Y12" s="42" t="inlineStr">
        <is>
          <t>Varies</t>
        </is>
      </c>
      <c r="Z12" s="42" t="inlineStr">
        <is>
          <t>Varies</t>
        </is>
      </c>
      <c r="AA12" s="42" t="inlineStr">
        <is>
          <t>Varies</t>
        </is>
      </c>
      <c r="AB12" s="42" t="inlineStr">
        <is>
          <t>Varies</t>
        </is>
      </c>
      <c r="AC12" s="44" t="inlineStr">
        <is>
          <t>HIGH</t>
        </is>
      </c>
      <c r="AD12" s="43" t="inlineStr">
        <is>
          <t>Market Rate Comp #2: No income restrictions, 1970 vintage (2 yr diff), N/A units, 3.0 mi from subject. Shows market-rate rents vs. affordable housing discount.</t>
        </is>
      </c>
      <c r="AE12" s="42" t="inlineStr">
        <is>
          <t>HUD FY2026 FMR - Jefferson Parish, LA</t>
        </is>
      </c>
    </row>
    <row r="13" ht="54.75" customFormat="1" customHeight="1" s="3">
      <c r="A13" s="45" t="inlineStr">
        <is>
          <t>3</t>
        </is>
      </c>
      <c r="B13" s="45" t="inlineStr">
        <is>
          <t>Emerald Pointe Apartment Homes</t>
        </is>
      </c>
      <c r="C13" s="46" t="inlineStr">
        <is>
          <t>2700 Whitney Ave, Harvey, LA 70058</t>
        </is>
      </c>
      <c r="D13" s="45" t="inlineStr">
        <is>
          <t>Gretna, LA area</t>
        </is>
      </c>
      <c r="E13" s="45" t="inlineStr">
        <is>
          <t>LA area</t>
        </is>
      </c>
      <c r="F13" s="45" t="inlineStr">
        <is>
          <t>LA</t>
        </is>
      </c>
      <c r="G13" s="45" t="n"/>
      <c r="H13" s="45" t="inlineStr">
        <is>
          <t>5.0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0" t="inlineStr">
        <is>
          <t>$916</t>
        </is>
      </c>
      <c r="L13" s="31" t="inlineStr">
        <is>
          <t>Not Listed</t>
        </is>
      </c>
      <c r="M13" s="45" t="inlineStr">
        <is>
          <t>N/A (Market Rate)</t>
        </is>
      </c>
      <c r="N13" s="45" t="inlineStr">
        <is>
          <t>N/A (Market Rate)</t>
        </is>
      </c>
      <c r="O13" s="30" t="inlineStr">
        <is>
          <t>$1,254</t>
        </is>
      </c>
      <c r="P13" s="31" t="inlineStr">
        <is>
          <t>$1,250</t>
        </is>
      </c>
      <c r="Q13" s="45" t="inlineStr">
        <is>
          <t>N/A (Market Rate)</t>
        </is>
      </c>
      <c r="R13" s="45" t="inlineStr">
        <is>
          <t>N/A (Market Rate)</t>
        </is>
      </c>
      <c r="S13" s="30" t="inlineStr">
        <is>
          <t>$1,573</t>
        </is>
      </c>
      <c r="T13" s="31" t="inlineStr">
        <is>
          <t>$1,550</t>
        </is>
      </c>
      <c r="U13" s="45" t="inlineStr">
        <is>
          <t>N/A</t>
        </is>
      </c>
      <c r="V13" s="45" t="inlineStr">
        <is>
          <t>1965</t>
        </is>
      </c>
      <c r="W13" s="45" t="inlineStr">
        <is>
          <t>3</t>
        </is>
      </c>
      <c r="X13" s="45" t="inlineStr">
        <is>
          <t>Varies</t>
        </is>
      </c>
      <c r="Y13" s="45" t="inlineStr">
        <is>
          <t>Varies</t>
        </is>
      </c>
      <c r="Z13" s="45" t="inlineStr">
        <is>
          <t>Varies</t>
        </is>
      </c>
      <c r="AA13" s="45" t="inlineStr">
        <is>
          <t>Varies</t>
        </is>
      </c>
      <c r="AB13" s="45" t="inlineStr">
        <is>
          <t>Varies</t>
        </is>
      </c>
      <c r="AC13" s="47" t="inlineStr">
        <is>
          <t>HIGH</t>
        </is>
      </c>
      <c r="AD13" s="46" t="inlineStr">
        <is>
          <t>Market Rate Comp #3: No income restrictions, 1965 vintage (3 yr diff), N/A units, 5.0 mi from subject. Shows market-rate rents vs. affordable housing discount.</t>
        </is>
      </c>
      <c r="AE13" s="45" t="inlineStr">
        <is>
          <t>HUD FY2026 FMR - Jefferson Parish, LA</t>
        </is>
      </c>
    </row>
    <row r="14" ht="54.75" customFormat="1" customHeight="1" s="3">
      <c r="A14" s="39" t="inlineStr">
        <is>
          <t>4</t>
        </is>
      </c>
      <c r="B14" s="39" t="inlineStr">
        <is>
          <t>Summerfield Apartment Homes</t>
        </is>
      </c>
      <c r="C14" s="40" t="inlineStr">
        <is>
          <t>1500 Lorene Dr, Harvey, LA 70058</t>
        </is>
      </c>
      <c r="D14" s="39" t="inlineStr">
        <is>
          <t>Westwego, LA area</t>
        </is>
      </c>
      <c r="E14" s="39" t="inlineStr">
        <is>
          <t>LA area</t>
        </is>
      </c>
      <c r="F14" s="39" t="inlineStr">
        <is>
          <t>LA</t>
        </is>
      </c>
      <c r="G14" s="39" t="n"/>
      <c r="H14" s="39" t="inlineStr">
        <is>
          <t>6.0 mi</t>
        </is>
      </c>
      <c r="I14" s="39" t="inlineStr">
        <is>
          <t>N/A (Market Rate)</t>
        </is>
      </c>
      <c r="J14" s="39" t="inlineStr">
        <is>
          <t>N/A (Market Rate)</t>
        </is>
      </c>
      <c r="K14" s="30" t="inlineStr">
        <is>
          <t>$916</t>
        </is>
      </c>
      <c r="L14" s="31" t="inlineStr">
        <is>
          <t>Not Listed</t>
        </is>
      </c>
      <c r="M14" s="39" t="inlineStr">
        <is>
          <t>N/A (Market Rate)</t>
        </is>
      </c>
      <c r="N14" s="39" t="inlineStr">
        <is>
          <t>N/A (Market Rate)</t>
        </is>
      </c>
      <c r="O14" s="30" t="inlineStr">
        <is>
          <t>$1,254</t>
        </is>
      </c>
      <c r="P14" s="31" t="inlineStr">
        <is>
          <t>$1,250</t>
        </is>
      </c>
      <c r="Q14" s="39" t="inlineStr">
        <is>
          <t>N/A (Market Rate)</t>
        </is>
      </c>
      <c r="R14" s="39" t="inlineStr">
        <is>
          <t>N/A (Market Rate)</t>
        </is>
      </c>
      <c r="S14" s="30" t="inlineStr">
        <is>
          <t>$1,573</t>
        </is>
      </c>
      <c r="T14" s="31" t="inlineStr">
        <is>
          <t>$1,550</t>
        </is>
      </c>
      <c r="U14" s="39" t="inlineStr">
        <is>
          <t>N/A</t>
        </is>
      </c>
      <c r="V14" s="39" t="inlineStr">
        <is>
          <t>1970</t>
        </is>
      </c>
      <c r="W14" s="39" t="inlineStr">
        <is>
          <t>2</t>
        </is>
      </c>
      <c r="X14" s="39" t="inlineStr">
        <is>
          <t>Varies</t>
        </is>
      </c>
      <c r="Y14" s="39" t="inlineStr">
        <is>
          <t>Varies</t>
        </is>
      </c>
      <c r="Z14" s="39" t="inlineStr">
        <is>
          <t>Varies</t>
        </is>
      </c>
      <c r="AA14" s="39" t="inlineStr">
        <is>
          <t>Varies</t>
        </is>
      </c>
      <c r="AB14" s="39" t="inlineStr">
        <is>
          <t>Varies</t>
        </is>
      </c>
      <c r="AC14" s="41" t="inlineStr">
        <is>
          <t>HIGH</t>
        </is>
      </c>
      <c r="AD14" s="40" t="inlineStr">
        <is>
          <t>Market Rate Comp #4: No income restrictions, 1970 vintage (2 yr diff), N/A units, 6.0 mi from subject. Shows market-rate rents vs. affordable housing discount.</t>
        </is>
      </c>
      <c r="AE14" s="39" t="inlineStr">
        <is>
          <t>HUD FY2026 FMR - Jefferson Parish, LA</t>
        </is>
      </c>
    </row>
    <row r="15" ht="54.75" customFormat="1" customHeight="1" s="3">
      <c r="A15" s="48" t="inlineStr">
        <is>
          <t>—</t>
        </is>
      </c>
      <c r="B15" s="48" t="inlineStr">
        <is>
          <t>BENCHMARK</t>
        </is>
      </c>
      <c r="C15" s="49" t="inlineStr">
        <is>
          <t>FY2026 FMR — New Orleans MSA</t>
        </is>
      </c>
      <c r="D15" s="48" t="inlineStr">
        <is>
          <t>N/A</t>
        </is>
      </c>
      <c r="E15" s="48" t="inlineStr">
        <is>
          <t>Harvey</t>
        </is>
      </c>
      <c r="F15" s="48" t="inlineStr">
        <is>
          <t>LA</t>
        </is>
      </c>
      <c r="G15" s="48" t="inlineStr">
        <is>
          <t>N/A</t>
        </is>
      </c>
      <c r="H15" s="48" t="inlineStr">
        <is>
          <t>N/A</t>
        </is>
      </c>
      <c r="I15" s="48" t="inlineStr">
        <is>
          <t>$916</t>
        </is>
      </c>
      <c r="J15" s="48" t="inlineStr">
        <is>
          <t>$916</t>
        </is>
      </c>
      <c r="K15" s="30" t="inlineStr">
        <is>
          <t>$916</t>
        </is>
      </c>
      <c r="L15" s="31" t="inlineStr">
        <is>
          <t>N/A</t>
        </is>
      </c>
      <c r="M15" s="48" t="inlineStr">
        <is>
          <t>$1,254</t>
        </is>
      </c>
      <c r="N15" s="48" t="inlineStr">
        <is>
          <t>$1,254</t>
        </is>
      </c>
      <c r="O15" s="30" t="inlineStr">
        <is>
          <t>$1,254</t>
        </is>
      </c>
      <c r="P15" s="31" t="inlineStr">
        <is>
          <t>N/A</t>
        </is>
      </c>
      <c r="Q15" s="48" t="inlineStr">
        <is>
          <t>$1,573</t>
        </is>
      </c>
      <c r="R15" s="48" t="inlineStr">
        <is>
          <t>$1,573</t>
        </is>
      </c>
      <c r="S15" s="30" t="inlineStr">
        <is>
          <t>$1,573</t>
        </is>
      </c>
      <c r="T15" s="31" t="inlineStr">
        <is>
          <t>N/A</t>
        </is>
      </c>
      <c r="U15" s="48" t="inlineStr">
        <is>
          <t>N/A</t>
        </is>
      </c>
      <c r="V15" s="48" t="inlineStr">
        <is>
          <t>N/A</t>
        </is>
      </c>
      <c r="W15" s="48" t="inlineStr">
        <is>
          <t>N/A</t>
        </is>
      </c>
      <c r="X15" s="48" t="inlineStr">
        <is>
          <t>N/A</t>
        </is>
      </c>
      <c r="Y15" s="48" t="inlineStr">
        <is>
          <t>N/A</t>
        </is>
      </c>
      <c r="Z15" s="48" t="inlineStr">
        <is>
          <t>N/A</t>
        </is>
      </c>
      <c r="AA15" s="48" t="inlineStr">
        <is>
          <t>N/A</t>
        </is>
      </c>
      <c r="AB15" s="48" t="inlineStr">
        <is>
          <t>N/A</t>
        </is>
      </c>
      <c r="AC15" s="50" t="inlineStr">
        <is>
          <t>BENCHMARK</t>
        </is>
      </c>
      <c r="AD15" s="49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5" s="48" t="inlineStr">
        <is>
          <t>HUD FMR Database (huduser.gov)</t>
        </is>
      </c>
    </row>
    <row r="16" ht="54.75" customFormat="1" customHeight="1" s="3">
      <c r="A16" s="48" t="inlineStr">
        <is>
          <t>—</t>
        </is>
      </c>
      <c r="B16" s="48" t="inlineStr">
        <is>
          <t>BENCHMARK</t>
        </is>
      </c>
      <c r="C16" s="49" t="inlineStr">
        <is>
          <t>Metro Market Avg — Harvey</t>
        </is>
      </c>
      <c r="D16" s="48" t="inlineStr">
        <is>
          <t>N/A</t>
        </is>
      </c>
      <c r="E16" s="48" t="inlineStr">
        <is>
          <t>Harvey</t>
        </is>
      </c>
      <c r="F16" s="48" t="inlineStr">
        <is>
          <t>LA</t>
        </is>
      </c>
      <c r="G16" s="48" t="inlineStr">
        <is>
          <t>N/A</t>
        </is>
      </c>
      <c r="H16" s="48" t="inlineStr">
        <is>
          <t>N/A</t>
        </is>
      </c>
      <c r="I16" s="48" t="inlineStr">
        <is>
          <t>$1,007</t>
        </is>
      </c>
      <c r="J16" s="48" t="inlineStr">
        <is>
          <t>$1,007</t>
        </is>
      </c>
      <c r="K16" s="30" t="inlineStr">
        <is>
          <t>$1,007</t>
        </is>
      </c>
      <c r="L16" s="31" t="inlineStr">
        <is>
          <t>N/A</t>
        </is>
      </c>
      <c r="M16" s="48" t="inlineStr">
        <is>
          <t>$1,379</t>
        </is>
      </c>
      <c r="N16" s="48" t="inlineStr">
        <is>
          <t>$1,379</t>
        </is>
      </c>
      <c r="O16" s="30" t="inlineStr">
        <is>
          <t>$1,379</t>
        </is>
      </c>
      <c r="P16" s="31" t="inlineStr">
        <is>
          <t>N/A</t>
        </is>
      </c>
      <c r="Q16" s="48" t="inlineStr">
        <is>
          <t>$1,730</t>
        </is>
      </c>
      <c r="R16" s="48" t="inlineStr">
        <is>
          <t>$1,730</t>
        </is>
      </c>
      <c r="S16" s="30" t="inlineStr">
        <is>
          <t>$1,730</t>
        </is>
      </c>
      <c r="T16" s="31" t="inlineStr">
        <is>
          <t>N/A</t>
        </is>
      </c>
      <c r="U16" s="48" t="inlineStr">
        <is>
          <t>N/A</t>
        </is>
      </c>
      <c r="V16" s="48" t="inlineStr">
        <is>
          <t>N/A</t>
        </is>
      </c>
      <c r="W16" s="48" t="inlineStr">
        <is>
          <t>N/A</t>
        </is>
      </c>
      <c r="X16" s="48" t="inlineStr">
        <is>
          <t>N/A</t>
        </is>
      </c>
      <c r="Y16" s="48" t="inlineStr">
        <is>
          <t>N/A</t>
        </is>
      </c>
      <c r="Z16" s="48" t="inlineStr">
        <is>
          <t>N/A</t>
        </is>
      </c>
      <c r="AA16" s="48" t="inlineStr">
        <is>
          <t>N/A</t>
        </is>
      </c>
      <c r="AB16" s="48" t="inlineStr">
        <is>
          <t>N/A</t>
        </is>
      </c>
      <c r="AC16" s="50" t="inlineStr">
        <is>
          <t>BENCHMARK</t>
        </is>
      </c>
      <c r="AD16" s="49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6" s="48" t="inlineStr">
        <is>
          <t>HUD FMR + Market Estimate</t>
        </is>
      </c>
    </row>
    <row r="17" ht="8.25" customFormat="1" customHeight="1" s="3"/>
    <row r="18" ht="27.75" customFormat="1" customHeight="1" s="3">
      <c r="A18" s="51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 ht="15" customHeight="1" s="95">
      <c r="D20" s="86" t="inlineStr">
        <is>
          <t>Rents</t>
        </is>
      </c>
      <c r="E20" s="86" t="inlineStr">
        <is>
          <t>Section 8</t>
        </is>
      </c>
    </row>
    <row r="21" ht="15" customHeight="1" s="95">
      <c r="C21" s="3" t="n">
        <v>1</v>
      </c>
      <c r="D21" s="86" t="n">
        <v>1000</v>
      </c>
      <c r="E21" s="86" t="n">
        <v>1000</v>
      </c>
    </row>
    <row r="22" ht="15" customHeight="1" s="95">
      <c r="C22" s="3" t="n">
        <v>2</v>
      </c>
      <c r="D22" s="86" t="n">
        <v>1200</v>
      </c>
      <c r="E22" s="86" t="n">
        <v>1200</v>
      </c>
    </row>
    <row r="23" ht="15" customHeight="1" s="95">
      <c r="C23" s="3" t="n">
        <v>3</v>
      </c>
      <c r="D23" s="86" t="n">
        <v>1300</v>
      </c>
      <c r="E23" s="86" t="n">
        <v>1300</v>
      </c>
    </row>
    <row r="26" ht="15" customHeight="1" s="95">
      <c r="A26" s="61" t="inlineStr">
        <is>
          <t>PMTS — Vouchers / FMR / UAP / NET FMR</t>
        </is>
      </c>
      <c r="B26" s="101" t="n"/>
      <c r="C26" s="101" t="n"/>
      <c r="D26" s="101" t="n"/>
      <c r="E26" s="101" t="n"/>
      <c r="F26" s="102" t="n"/>
    </row>
    <row r="27" ht="15" customHeight="1" s="95">
      <c r="A27" s="64" t="inlineStr">
        <is>
          <t>BD</t>
        </is>
      </c>
      <c r="B27" s="65" t="inlineStr">
        <is>
          <t>MKT</t>
        </is>
      </c>
      <c r="C27" s="66" t="inlineStr">
        <is>
          <t>VCH</t>
        </is>
      </c>
      <c r="D27" s="67" t="inlineStr">
        <is>
          <t>FMR</t>
        </is>
      </c>
      <c r="E27" s="68" t="inlineStr">
        <is>
          <t>UAP</t>
        </is>
      </c>
      <c r="F27" s="69" t="inlineStr">
        <is>
          <t>NET</t>
        </is>
      </c>
    </row>
    <row r="28" ht="15" customHeight="1" s="95">
      <c r="A28" s="70" t="inlineStr">
        <is>
          <t>1BD</t>
        </is>
      </c>
      <c r="B28" s="71" t="n">
        <v>1000</v>
      </c>
      <c r="C28" s="71" t="n">
        <v>1000</v>
      </c>
      <c r="D28" s="71" t="n">
        <v>1250</v>
      </c>
      <c r="E28" s="72" t="n">
        <v>0</v>
      </c>
      <c r="F28" s="73" t="n">
        <v>1250</v>
      </c>
    </row>
    <row r="29" ht="15" customHeight="1" s="95">
      <c r="A29" s="74" t="inlineStr">
        <is>
          <t>2BD</t>
        </is>
      </c>
      <c r="B29" s="75" t="n">
        <v>1200</v>
      </c>
      <c r="C29" s="75" t="n">
        <v>1200</v>
      </c>
      <c r="D29" s="75" t="n">
        <v>1490</v>
      </c>
      <c r="E29" s="72" t="n">
        <v>0</v>
      </c>
      <c r="F29" s="73" t="n">
        <v>1490</v>
      </c>
    </row>
    <row r="30" ht="15" customHeight="1" s="95">
      <c r="A30" s="70" t="inlineStr">
        <is>
          <t>3BD</t>
        </is>
      </c>
      <c r="B30" s="71" t="n">
        <v>1300</v>
      </c>
      <c r="C30" s="71" t="n">
        <v>1300</v>
      </c>
      <c r="D30" s="71" t="n">
        <v>1900</v>
      </c>
      <c r="E30" s="72" t="n">
        <v>0</v>
      </c>
      <c r="F30" s="73" t="n">
        <v>1900</v>
      </c>
    </row>
    <row r="33" ht="15" customHeight="1" s="95">
      <c r="A33" s="61" t="inlineStr">
        <is>
          <t>HAP, CoStar, NET</t>
        </is>
      </c>
      <c r="B33" s="101" t="n"/>
      <c r="C33" s="102" t="n"/>
    </row>
    <row r="34" ht="15" customHeight="1" s="95">
      <c r="A34" s="64" t="n"/>
      <c r="B34" s="68" t="inlineStr">
        <is>
          <t>HAP</t>
        </is>
      </c>
      <c r="C34" s="65" t="inlineStr">
        <is>
          <t>CoStar</t>
        </is>
      </c>
    </row>
    <row r="35" ht="15" customHeight="1" s="95">
      <c r="A35" s="70" t="inlineStr">
        <is>
          <t>1BD</t>
        </is>
      </c>
      <c r="B35" s="103" t="n">
        <v>0</v>
      </c>
      <c r="C35" s="104" t="n">
        <v>1095</v>
      </c>
    </row>
    <row r="36" ht="15" customHeight="1" s="95">
      <c r="A36" s="74" t="inlineStr">
        <is>
          <t>2BD</t>
        </is>
      </c>
      <c r="B36" s="103" t="n">
        <v>0</v>
      </c>
      <c r="C36" s="104" t="n">
        <v>1415</v>
      </c>
    </row>
    <row r="37" ht="15" customHeight="1" s="95">
      <c r="A37" s="70" t="inlineStr">
        <is>
          <t>3BD</t>
        </is>
      </c>
      <c r="B37" s="103" t="n">
        <v>0</v>
      </c>
      <c r="C37" s="104" t="n">
        <v>1655</v>
      </c>
    </row>
  </sheetData>
  <mergeCells count="6">
    <mergeCell ref="A4:AE4"/>
    <mergeCell ref="A33:C33"/>
    <mergeCell ref="A2:AE2"/>
    <mergeCell ref="A26:F26"/>
    <mergeCell ref="A18:AE18"/>
    <mergeCell ref="A3:AE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tabColor theme="6" tint="-0.25"/>
    <outlinePr summaryBelow="1" summaryRight="1"/>
    <pageSetUpPr/>
  </sheetPr>
  <dimension ref="A1:AA42"/>
  <sheetViews>
    <sheetView topLeftCell="A1" workbookViewId="0">
      <pane ySplit="1" topLeftCell="A14" activePane="bottomLeft" state="frozen"/>
      <selection pane="bottomLeft" activeCell="B20" sqref="B20:F22"/>
    </sheetView>
  </sheetViews>
  <sheetFormatPr baseColWidth="8" defaultColWidth="9.140625" defaultRowHeight="15" customHeight="1"/>
  <cols>
    <col width="8.00390625" customWidth="1" style="3" min="1" max="1"/>
    <col width="14.00390625" customWidth="1" style="3" min="2" max="2"/>
    <col width="28.00390625" customWidth="1" style="3" min="3" max="3"/>
    <col width="22.00390625" customWidth="1" style="3" min="4" max="4"/>
    <col width="16.00390625" customWidth="1" style="3" min="5" max="5"/>
    <col width="10.00390625" customWidth="1" style="3" min="6" max="6"/>
    <col width="8.00390625" customWidth="1" style="3" min="7" max="7"/>
    <col width="11.00390625" customWidth="1" style="3" min="8" max="8"/>
    <col width="10.00390625" customWidth="1" style="3" min="9" max="11"/>
    <col width="12.00390625" customWidth="1" style="3" min="12" max="12"/>
    <col width="10.00390625" customWidth="1" style="3" min="13" max="15"/>
    <col width="12.00390625" customWidth="1" style="3" min="16" max="16"/>
    <col width="8.00390625" customWidth="1" style="3" min="17" max="17"/>
    <col width="10.00390625" customWidth="1" style="3" min="18" max="18"/>
    <col width="7.00390625" customWidth="1" style="3" min="19" max="19"/>
    <col width="12.00390625" customWidth="1" style="3" min="20" max="21"/>
    <col width="8.00390625" customWidth="1" style="3" min="22" max="23"/>
    <col width="10.00390625" customWidth="1" style="3" min="24" max="24"/>
    <col width="16.00390625" customWidth="1" style="3" min="25" max="25"/>
    <col width="45.00390625" customWidth="1" style="3" min="26" max="26"/>
    <col width="28.00390625" customWidth="1" style="3" min="27" max="27"/>
  </cols>
  <sheetData>
    <row r="1" ht="15" customHeight="1" s="95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</row>
    <row r="2" ht="24" customFormat="1" customHeight="1" s="3">
      <c r="A2" s="17" t="inlineStr">
        <is>
          <t>COMPETITIVE RENT ANALYSIS — RUBY DIAMOND | GREEN = Affordable Comps | BLUE = Market Rate Comps</t>
        </is>
      </c>
    </row>
    <row r="3" ht="20.25" customFormat="1" customHeight="1" s="3">
      <c r="A3" s="18" t="inlineStr">
        <is>
          <t>SUBJECT: Ruby Diamond | Marrero, Marrero, LA 70072 | 73 units | Program: LIHTC | Bedroom Mix: 3BR / 4BR | County AMI: $89,800 | FMR Area: New Orleans MSA</t>
        </is>
      </c>
    </row>
    <row r="4" ht="90" customFormat="1" customHeight="1" s="3">
      <c r="A4" s="19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5" ht="30" customFormat="1" customHeight="1" s="3">
      <c r="A5" s="20" t="inlineStr">
        <is>
          <t>Rank</t>
        </is>
      </c>
      <c r="B5" s="20" t="inlineStr">
        <is>
          <t>Type</t>
        </is>
      </c>
      <c r="C5" s="20" t="inlineStr">
        <is>
          <t>Property Name</t>
        </is>
      </c>
      <c r="D5" s="20" t="inlineStr">
        <is>
          <t>Address</t>
        </is>
      </c>
      <c r="E5" s="20" t="inlineStr">
        <is>
          <t>City</t>
        </is>
      </c>
      <c r="F5" s="20" t="inlineStr">
        <is>
          <t>State</t>
        </is>
      </c>
      <c r="G5" s="20" t="inlineStr">
        <is>
          <t>ZIP</t>
        </is>
      </c>
      <c r="H5" s="20" t="inlineStr">
        <is>
          <t>Distance (mi)</t>
        </is>
      </c>
      <c r="I5" s="20" t="inlineStr">
        <is>
          <t>3BR Low ($)</t>
        </is>
      </c>
      <c r="J5" s="20" t="inlineStr">
        <is>
          <t>3BR Mid ($)</t>
        </is>
      </c>
      <c r="K5" s="21" t="inlineStr">
        <is>
          <t>3BR FMR ($)</t>
        </is>
      </c>
      <c r="L5" s="22" t="inlineStr">
        <is>
          <t>3BR Actual ($)</t>
        </is>
      </c>
      <c r="M5" s="20" t="inlineStr">
        <is>
          <t>4BR Low ($)</t>
        </is>
      </c>
      <c r="N5" s="20" t="inlineStr">
        <is>
          <t>4BR Mid ($)</t>
        </is>
      </c>
      <c r="O5" s="21" t="inlineStr">
        <is>
          <t>4BR FMR ($)</t>
        </is>
      </c>
      <c r="P5" s="22" t="inlineStr">
        <is>
          <t>4BR Actual ($)</t>
        </is>
      </c>
      <c r="Q5" s="20" t="inlineStr">
        <is>
          <t># Units</t>
        </is>
      </c>
      <c r="R5" s="20" t="inlineStr">
        <is>
          <t>Year Built</t>
        </is>
      </c>
      <c r="S5" s="20" t="inlineStr">
        <is>
          <t>Yr Diff</t>
        </is>
      </c>
      <c r="T5" s="20" t="inlineStr">
        <is>
          <t>Utilities Incl.</t>
        </is>
      </c>
      <c r="U5" s="20" t="inlineStr">
        <is>
          <t>Pet Friendly</t>
        </is>
      </c>
      <c r="V5" s="20" t="inlineStr">
        <is>
          <t>Gated</t>
        </is>
      </c>
      <c r="W5" s="20" t="inlineStr">
        <is>
          <t>Pool</t>
        </is>
      </c>
      <c r="X5" s="20" t="inlineStr">
        <is>
          <t>W/D In-Unit</t>
        </is>
      </c>
      <c r="Y5" s="20" t="inlineStr">
        <is>
          <t>Competition Level</t>
        </is>
      </c>
      <c r="Z5" s="20" t="inlineStr">
        <is>
          <t>Why Competitive</t>
        </is>
      </c>
      <c r="AA5" s="20" t="inlineStr">
        <is>
          <t>Data Source</t>
        </is>
      </c>
    </row>
    <row r="6" ht="54.75" customFormat="1" customHeight="1" s="3">
      <c r="A6" s="23" t="inlineStr">
        <is>
          <t>—</t>
        </is>
      </c>
      <c r="B6" s="23" t="inlineStr">
        <is>
          <t>SUBJECT</t>
        </is>
      </c>
      <c r="C6" s="24" t="inlineStr">
        <is>
          <t>Ruby Diamond (SUBJECT)</t>
        </is>
      </c>
      <c r="D6" s="23" t="inlineStr">
        <is>
          <t>Marrero</t>
        </is>
      </c>
      <c r="E6" s="23" t="inlineStr">
        <is>
          <t>Marrero</t>
        </is>
      </c>
      <c r="F6" s="23" t="inlineStr">
        <is>
          <t>LA</t>
        </is>
      </c>
      <c r="G6" s="23" t="inlineStr">
        <is>
          <t>70072</t>
        </is>
      </c>
      <c r="H6" s="23" t="inlineStr">
        <is>
          <t>0.0 mi</t>
        </is>
      </c>
      <c r="I6" s="23" t="inlineStr">
        <is>
          <t>$3,741</t>
        </is>
      </c>
      <c r="J6" s="23" t="inlineStr">
        <is>
          <t>$4,490</t>
        </is>
      </c>
      <c r="K6" s="25" t="inlineStr">
        <is>
          <t>$1,573</t>
        </is>
      </c>
      <c r="L6" s="26" t="inlineStr">
        <is>
          <t>N/A</t>
        </is>
      </c>
      <c r="M6" s="23" t="inlineStr">
        <is>
          <t>$4,041</t>
        </is>
      </c>
      <c r="N6" s="23" t="inlineStr">
        <is>
          <t>$4,850</t>
        </is>
      </c>
      <c r="O6" s="25" t="inlineStr">
        <is>
          <t>$1,818</t>
        </is>
      </c>
      <c r="P6" s="26" t="inlineStr">
        <is>
          <t>N/A</t>
        </is>
      </c>
      <c r="Q6" s="23" t="inlineStr">
        <is>
          <t>73</t>
        </is>
      </c>
      <c r="R6" s="23" t="inlineStr">
        <is>
          <t>2000</t>
        </is>
      </c>
      <c r="S6" s="23" t="inlineStr">
        <is>
          <t>0</t>
        </is>
      </c>
      <c r="T6" s="23" t="inlineStr">
        <is>
          <t>No</t>
        </is>
      </c>
      <c r="U6" s="23" t="inlineStr">
        <is>
          <t>No</t>
        </is>
      </c>
      <c r="V6" s="23" t="inlineStr">
        <is>
          <t>No</t>
        </is>
      </c>
      <c r="W6" s="23" t="inlineStr">
        <is>
          <t>No</t>
        </is>
      </c>
      <c r="X6" s="23" t="inlineStr">
        <is>
          <t>No</t>
        </is>
      </c>
      <c r="Y6" s="27" t="inlineStr">
        <is>
          <t>SUBJECT</t>
        </is>
      </c>
      <c r="Z6" s="24" t="inlineStr">
        <is>
          <t>73 units | LIHTC property. Year built: 2000. Subject property for market context.</t>
        </is>
      </c>
      <c r="AA6" s="23" t="inlineStr">
        <is>
          <t>Apartment Corp Records</t>
        </is>
      </c>
    </row>
    <row r="7" ht="54.75" customFormat="1" customHeight="1" s="3">
      <c r="A7" s="28" t="inlineStr">
        <is>
          <t>1</t>
        </is>
      </c>
      <c r="B7" s="28" t="inlineStr">
        <is>
          <t>AFFORDABLE</t>
        </is>
      </c>
      <c r="C7" s="29" t="inlineStr">
        <is>
          <t>First Emanuel Homes Of No</t>
        </is>
      </c>
      <c r="D7" s="28" t="inlineStr">
        <is>
          <t>912 Fourth Street</t>
        </is>
      </c>
      <c r="E7" s="28" t="inlineStr">
        <is>
          <t>New Orleans</t>
        </is>
      </c>
      <c r="F7" s="28" t="inlineStr">
        <is>
          <t>LA</t>
        </is>
      </c>
      <c r="G7" s="28" t="inlineStr">
        <is>
          <t>70130-0000</t>
        </is>
      </c>
      <c r="H7" s="28" t="inlineStr">
        <is>
          <t>2.4 mi</t>
        </is>
      </c>
      <c r="I7" s="28" t="inlineStr">
        <is>
          <t>$3,741</t>
        </is>
      </c>
      <c r="J7" s="28" t="inlineStr">
        <is>
          <t>$4,490</t>
        </is>
      </c>
      <c r="K7" s="30" t="inlineStr">
        <is>
          <t>$1,573</t>
        </is>
      </c>
      <c r="L7" s="31" t="inlineStr">
        <is>
          <t>Not Listed</t>
        </is>
      </c>
      <c r="M7" s="28" t="inlineStr">
        <is>
          <t>$4,041</t>
        </is>
      </c>
      <c r="N7" s="28" t="inlineStr">
        <is>
          <t>$4,850</t>
        </is>
      </c>
      <c r="O7" s="30" t="inlineStr">
        <is>
          <t>$1,818</t>
        </is>
      </c>
      <c r="P7" s="31" t="inlineStr">
        <is>
          <t>Not Listed</t>
        </is>
      </c>
      <c r="Q7" s="28" t="inlineStr">
        <is>
          <t>89</t>
        </is>
      </c>
      <c r="R7" s="28" t="inlineStr">
        <is>
          <t>1999</t>
        </is>
      </c>
      <c r="S7" s="28" t="inlineStr">
        <is>
          <t>1</t>
        </is>
      </c>
      <c r="T7" s="28" t="inlineStr">
        <is>
          <t>Yes</t>
        </is>
      </c>
      <c r="U7" s="28" t="inlineStr">
        <is>
          <t>No</t>
        </is>
      </c>
      <c r="V7" s="28" t="inlineStr">
        <is>
          <t>No</t>
        </is>
      </c>
      <c r="W7" s="28" t="inlineStr">
        <is>
          <t>No</t>
        </is>
      </c>
      <c r="X7" s="28" t="inlineStr">
        <is>
          <t>No</t>
        </is>
      </c>
      <c r="Y7" s="32" t="inlineStr">
        <is>
          <t>HIGH</t>
        </is>
      </c>
      <c r="Z7" s="29" t="inlineStr">
        <is>
          <t>Affordable Comp #1: LIHTC property, 1999 vintage (1 yr diff), 89 units, 2.4 mi from subject. Same income-eligible renter pool.</t>
        </is>
      </c>
      <c r="AA7" s="28" t="inlineStr">
        <is>
          <t>HUD LIHTC Database (huduser.gov)</t>
        </is>
      </c>
    </row>
    <row r="8" ht="54.75" customFormat="1" customHeight="1" s="3">
      <c r="A8" s="33" t="inlineStr">
        <is>
          <t>2</t>
        </is>
      </c>
      <c r="B8" s="33" t="inlineStr">
        <is>
          <t>AFFORDABLE</t>
        </is>
      </c>
      <c r="C8" s="34" t="inlineStr">
        <is>
          <t>Canal Street Sro</t>
        </is>
      </c>
      <c r="D8" s="33" t="inlineStr">
        <is>
          <t>1801 Canal Street</t>
        </is>
      </c>
      <c r="E8" s="33" t="inlineStr">
        <is>
          <t>New Orleans</t>
        </is>
      </c>
      <c r="F8" s="33" t="inlineStr">
        <is>
          <t>LA</t>
        </is>
      </c>
      <c r="G8" s="33" t="inlineStr">
        <is>
          <t>70119-0000</t>
        </is>
      </c>
      <c r="H8" s="33" t="inlineStr">
        <is>
          <t>4.6 mi</t>
        </is>
      </c>
      <c r="I8" s="33" t="inlineStr">
        <is>
          <t>$3,741</t>
        </is>
      </c>
      <c r="J8" s="33" t="inlineStr">
        <is>
          <t>$4,490</t>
        </is>
      </c>
      <c r="K8" s="30" t="inlineStr">
        <is>
          <t>$1,573</t>
        </is>
      </c>
      <c r="L8" s="31" t="inlineStr">
        <is>
          <t>Not Listed</t>
        </is>
      </c>
      <c r="M8" s="33" t="inlineStr">
        <is>
          <t>$4,041</t>
        </is>
      </c>
      <c r="N8" s="33" t="inlineStr">
        <is>
          <t>$4,850</t>
        </is>
      </c>
      <c r="O8" s="30" t="inlineStr">
        <is>
          <t>$1,818</t>
        </is>
      </c>
      <c r="P8" s="31" t="inlineStr">
        <is>
          <t>Not Listed</t>
        </is>
      </c>
      <c r="Q8" s="33" t="inlineStr">
        <is>
          <t>70</t>
        </is>
      </c>
      <c r="R8" s="33" t="inlineStr">
        <is>
          <t>2002</t>
        </is>
      </c>
      <c r="S8" s="33" t="inlineStr">
        <is>
          <t>2</t>
        </is>
      </c>
      <c r="T8" s="33" t="inlineStr">
        <is>
          <t>Yes</t>
        </is>
      </c>
      <c r="U8" s="33" t="inlineStr">
        <is>
          <t>No</t>
        </is>
      </c>
      <c r="V8" s="33" t="inlineStr">
        <is>
          <t>No</t>
        </is>
      </c>
      <c r="W8" s="33" t="inlineStr">
        <is>
          <t>No</t>
        </is>
      </c>
      <c r="X8" s="33" t="inlineStr">
        <is>
          <t>No</t>
        </is>
      </c>
      <c r="Y8" s="35" t="inlineStr">
        <is>
          <t>HIGH</t>
        </is>
      </c>
      <c r="Z8" s="34" t="inlineStr">
        <is>
          <t>Affordable Comp #2: LIHTC property, 2002 vintage (2 yr diff), 70 units, 4.6 mi from subject. Same income-eligible renter pool.</t>
        </is>
      </c>
      <c r="AA8" s="33" t="inlineStr">
        <is>
          <t>HUD LIHTC Database (huduser.gov)</t>
        </is>
      </c>
    </row>
    <row r="9" ht="54.75" customFormat="1" customHeight="1" s="3">
      <c r="A9" s="36" t="inlineStr">
        <is>
          <t>3</t>
        </is>
      </c>
      <c r="B9" s="36" t="inlineStr">
        <is>
          <t>AFFORDABLE</t>
        </is>
      </c>
      <c r="C9" s="37" t="inlineStr">
        <is>
          <t>Cherry Blossom Apts</t>
        </is>
      </c>
      <c r="D9" s="36" t="inlineStr">
        <is>
          <t>205 Mlk Dr.</t>
        </is>
      </c>
      <c r="E9" s="36" t="inlineStr">
        <is>
          <t>Port Barre</t>
        </is>
      </c>
      <c r="F9" s="36" t="inlineStr">
        <is>
          <t>LA</t>
        </is>
      </c>
      <c r="G9" s="36" t="inlineStr">
        <is>
          <t>70577-0000</t>
        </is>
      </c>
      <c r="H9" s="36" t="inlineStr">
        <is>
          <t>N/A</t>
        </is>
      </c>
      <c r="I9" s="36" t="inlineStr">
        <is>
          <t>$3,741</t>
        </is>
      </c>
      <c r="J9" s="36" t="inlineStr">
        <is>
          <t>$4,490</t>
        </is>
      </c>
      <c r="K9" s="30" t="inlineStr">
        <is>
          <t>$1,573</t>
        </is>
      </c>
      <c r="L9" s="31" t="inlineStr">
        <is>
          <t>$1,660</t>
        </is>
      </c>
      <c r="M9" s="36" t="inlineStr">
        <is>
          <t>$4,041</t>
        </is>
      </c>
      <c r="N9" s="36" t="inlineStr">
        <is>
          <t>$4,850</t>
        </is>
      </c>
      <c r="O9" s="30" t="inlineStr">
        <is>
          <t>$1,818</t>
        </is>
      </c>
      <c r="P9" s="31" t="inlineStr">
        <is>
          <t>$1,709</t>
        </is>
      </c>
      <c r="Q9" s="36" t="inlineStr">
        <is>
          <t>73</t>
        </is>
      </c>
      <c r="R9" s="36" t="inlineStr">
        <is>
          <t>2000</t>
        </is>
      </c>
      <c r="S9" s="36" t="inlineStr">
        <is>
          <t>0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80" t="inlineStr">
        <is>
          <t>MODERATE</t>
        </is>
      </c>
      <c r="Z9" s="37" t="inlineStr">
        <is>
          <t>Affordable Comp #3: LIHTC property, 2000 vintage (0 yr diff), 73 units, N/A from subject. Same income-eligible renter pool.</t>
        </is>
      </c>
      <c r="AA9" s="36" t="inlineStr">
        <is>
          <t>HUD LIHTC Database (huduser.gov)</t>
        </is>
      </c>
    </row>
    <row r="10" ht="54.75" customFormat="1" customHeight="1" s="3">
      <c r="A10" s="28" t="inlineStr">
        <is>
          <t>4</t>
        </is>
      </c>
      <c r="B10" s="28" t="inlineStr">
        <is>
          <t>AFFORDABLE</t>
        </is>
      </c>
      <c r="C10" s="29" t="inlineStr">
        <is>
          <t>Putnam Plaza Apts</t>
        </is>
      </c>
      <c r="D10" s="28" t="inlineStr">
        <is>
          <t>Scattered</t>
        </is>
      </c>
      <c r="E10" s="28" t="inlineStr">
        <is>
          <t>New Orleans</t>
        </is>
      </c>
      <c r="F10" s="28" t="inlineStr">
        <is>
          <t>LA</t>
        </is>
      </c>
      <c r="G10" s="28" t="inlineStr">
        <is>
          <t>70113-0000</t>
        </is>
      </c>
      <c r="H10" s="28" t="inlineStr">
        <is>
          <t>2.7 mi</t>
        </is>
      </c>
      <c r="I10" s="28" t="inlineStr">
        <is>
          <t>$3,741</t>
        </is>
      </c>
      <c r="J10" s="28" t="inlineStr">
        <is>
          <t>$4,490</t>
        </is>
      </c>
      <c r="K10" s="30" t="inlineStr">
        <is>
          <t>$1,573</t>
        </is>
      </c>
      <c r="L10" s="31" t="inlineStr">
        <is>
          <t>Not Listed</t>
        </is>
      </c>
      <c r="M10" s="28" t="inlineStr">
        <is>
          <t>$4,041</t>
        </is>
      </c>
      <c r="N10" s="28" t="inlineStr">
        <is>
          <t>$4,850</t>
        </is>
      </c>
      <c r="O10" s="30" t="inlineStr">
        <is>
          <t>$1,818</t>
        </is>
      </c>
      <c r="P10" s="31" t="inlineStr">
        <is>
          <t>Not Listed</t>
        </is>
      </c>
      <c r="Q10" s="28" t="inlineStr">
        <is>
          <t>38</t>
        </is>
      </c>
      <c r="R10" s="28" t="inlineStr">
        <is>
          <t>1999</t>
        </is>
      </c>
      <c r="S10" s="28" t="inlineStr">
        <is>
          <t>1</t>
        </is>
      </c>
      <c r="T10" s="28" t="inlineStr">
        <is>
          <t>Yes</t>
        </is>
      </c>
      <c r="U10" s="28" t="inlineStr">
        <is>
          <t>No</t>
        </is>
      </c>
      <c r="V10" s="28" t="inlineStr">
        <is>
          <t>No</t>
        </is>
      </c>
      <c r="W10" s="28" t="inlineStr">
        <is>
          <t>No</t>
        </is>
      </c>
      <c r="X10" s="28" t="inlineStr">
        <is>
          <t>No</t>
        </is>
      </c>
      <c r="Y10" s="32" t="inlineStr">
        <is>
          <t>HIGH</t>
        </is>
      </c>
      <c r="Z10" s="29" t="inlineStr">
        <is>
          <t>Affordable Comp #4: LIHTC property, 1999 vintage (1 yr diff), 38 units, 2.7 mi from subject. Same income-eligible renter pool.</t>
        </is>
      </c>
      <c r="AA10" s="28" t="inlineStr">
        <is>
          <t>HUD LIHTC Database (huduser.gov)</t>
        </is>
      </c>
    </row>
    <row r="11" ht="54.75" customFormat="1" customHeight="1" s="3">
      <c r="A11" s="39" t="inlineStr">
        <is>
          <t>1</t>
        </is>
      </c>
      <c r="B11" s="39" t="inlineStr">
        <is>
          <t>MARKET RATE</t>
        </is>
      </c>
      <c r="C11" s="40" t="inlineStr">
        <is>
          <t>Westbank Crossing Apartments</t>
        </is>
      </c>
      <c r="D11" s="39" t="inlineStr">
        <is>
          <t>1500 Barataria Blvd, Marrero, LA 70072</t>
        </is>
      </c>
      <c r="E11" s="39" t="inlineStr">
        <is>
          <t>Marrero</t>
        </is>
      </c>
      <c r="F11" s="39" t="inlineStr">
        <is>
          <t>LA</t>
        </is>
      </c>
      <c r="G11" s="39" t="n"/>
      <c r="H11" s="39" t="inlineStr">
        <is>
          <t>1.8 mi</t>
        </is>
      </c>
      <c r="I11" s="39" t="inlineStr">
        <is>
          <t>N/A (Market Rate)</t>
        </is>
      </c>
      <c r="J11" s="39" t="inlineStr">
        <is>
          <t>N/A (Market Rate)</t>
        </is>
      </c>
      <c r="K11" s="30" t="inlineStr">
        <is>
          <t>$1,573</t>
        </is>
      </c>
      <c r="L11" s="31" t="inlineStr">
        <is>
          <t>$1,575</t>
        </is>
      </c>
      <c r="M11" s="39" t="inlineStr">
        <is>
          <t>N/A (Market Rate)</t>
        </is>
      </c>
      <c r="N11" s="39" t="inlineStr">
        <is>
          <t>N/A (Market Rate)</t>
        </is>
      </c>
      <c r="O11" s="30" t="inlineStr">
        <is>
          <t>$1,818</t>
        </is>
      </c>
      <c r="P11" s="31" t="inlineStr">
        <is>
          <t>Not Listed</t>
        </is>
      </c>
      <c r="Q11" s="39" t="inlineStr">
        <is>
          <t>120</t>
        </is>
      </c>
      <c r="R11" s="39" t="inlineStr">
        <is>
          <t>2001</t>
        </is>
      </c>
      <c r="S11" s="39" t="inlineStr">
        <is>
          <t>1</t>
        </is>
      </c>
      <c r="T11" s="39" t="inlineStr">
        <is>
          <t>Varies</t>
        </is>
      </c>
      <c r="U11" s="39" t="inlineStr">
        <is>
          <t>Varies</t>
        </is>
      </c>
      <c r="V11" s="39" t="inlineStr">
        <is>
          <t>Varies</t>
        </is>
      </c>
      <c r="W11" s="39" t="inlineStr">
        <is>
          <t>Varies</t>
        </is>
      </c>
      <c r="X11" s="39" t="inlineStr">
        <is>
          <t>Varies</t>
        </is>
      </c>
      <c r="Y11" s="41" t="inlineStr">
        <is>
          <t>HIGH</t>
        </is>
      </c>
      <c r="Z11" s="40" t="inlineStr">
        <is>
          <t>Market Rate Comp #1: No income restrictions, 2001 vintage (1 yr diff), 120 units, 1.8 mi from subject. Shows market-rate rents vs. affordable housing discount.</t>
        </is>
      </c>
      <c r="AA11" s="39" t="inlineStr">
        <is>
          <t>https://www.rentcafe.com/apartments-for-rent/us/la/marrero/</t>
        </is>
      </c>
    </row>
    <row r="12" ht="54.75" customFormat="1" customHeight="1" s="3">
      <c r="A12" s="42" t="inlineStr">
        <is>
          <t>2</t>
        </is>
      </c>
      <c r="B12" s="42" t="inlineStr">
        <is>
          <t>MARKET RATE</t>
        </is>
      </c>
      <c r="C12" s="43" t="inlineStr">
        <is>
          <t>Oakwood Terrace Apartments</t>
        </is>
      </c>
      <c r="D12" s="42" t="inlineStr">
        <is>
          <t>3600 Westbank Expy, Harvey, LA 70058</t>
        </is>
      </c>
      <c r="E12" s="42" t="inlineStr">
        <is>
          <t>Harvey</t>
        </is>
      </c>
      <c r="F12" s="42" t="inlineStr">
        <is>
          <t>LA</t>
        </is>
      </c>
      <c r="G12" s="42" t="n"/>
      <c r="H12" s="42" t="inlineStr">
        <is>
          <t>3.5 mi</t>
        </is>
      </c>
      <c r="I12" s="42" t="inlineStr">
        <is>
          <t>N/A (Market Rate)</t>
        </is>
      </c>
      <c r="J12" s="42" t="inlineStr">
        <is>
          <t>N/A (Market Rate)</t>
        </is>
      </c>
      <c r="K12" s="30" t="inlineStr">
        <is>
          <t>$1,573</t>
        </is>
      </c>
      <c r="L12" s="31" t="inlineStr">
        <is>
          <t>$1,550</t>
        </is>
      </c>
      <c r="M12" s="42" t="inlineStr">
        <is>
          <t>N/A (Market Rate)</t>
        </is>
      </c>
      <c r="N12" s="42" t="inlineStr">
        <is>
          <t>N/A (Market Rate)</t>
        </is>
      </c>
      <c r="O12" s="30" t="inlineStr">
        <is>
          <t>$1,818</t>
        </is>
      </c>
      <c r="P12" s="31" t="inlineStr">
        <is>
          <t>Not Listed</t>
        </is>
      </c>
      <c r="Q12" s="42" t="inlineStr">
        <is>
          <t>96</t>
        </is>
      </c>
      <c r="R12" s="42" t="inlineStr">
        <is>
          <t>1999</t>
        </is>
      </c>
      <c r="S12" s="42" t="inlineStr">
        <is>
          <t>1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#2: No income restrictions, 1999 vintage (1 yr diff), 96 units, 3.5 mi from subject. Shows market-rate rents vs. affordable housing discount.</t>
        </is>
      </c>
      <c r="AA12" s="42" t="inlineStr">
        <is>
          <t>https://www.rentcafe.com/apartments-for-rent/us/la/harvey/</t>
        </is>
      </c>
    </row>
    <row r="13" ht="54.75" customFormat="1" customHeight="1" s="3">
      <c r="A13" s="45" t="inlineStr">
        <is>
          <t>3</t>
        </is>
      </c>
      <c r="B13" s="45" t="inlineStr">
        <is>
          <t>MARKET RATE</t>
        </is>
      </c>
      <c r="C13" s="46" t="inlineStr">
        <is>
          <t>Gretna Place Apartments</t>
        </is>
      </c>
      <c r="D13" s="45" t="inlineStr">
        <is>
          <t>500 Stumpf Blvd, Gretna, LA 70056</t>
        </is>
      </c>
      <c r="E13" s="45" t="inlineStr">
        <is>
          <t>Gretna</t>
        </is>
      </c>
      <c r="F13" s="45" t="inlineStr">
        <is>
          <t>LA</t>
        </is>
      </c>
      <c r="G13" s="45" t="n"/>
      <c r="H13" s="45" t="inlineStr">
        <is>
          <t>5.2 mi</t>
        </is>
      </c>
      <c r="I13" s="45" t="inlineStr">
        <is>
          <t>N/A (Market Rate)</t>
        </is>
      </c>
      <c r="J13" s="45" t="inlineStr">
        <is>
          <t>N/A (Market Rate)</t>
        </is>
      </c>
      <c r="K13" s="30" t="inlineStr">
        <is>
          <t>$1,573</t>
        </is>
      </c>
      <c r="L13" s="31" t="inlineStr">
        <is>
          <t>$1,600</t>
        </is>
      </c>
      <c r="M13" s="45" t="inlineStr">
        <is>
          <t>N/A (Market Rate)</t>
        </is>
      </c>
      <c r="N13" s="45" t="inlineStr">
        <is>
          <t>N/A (Market Rate)</t>
        </is>
      </c>
      <c r="O13" s="30" t="inlineStr">
        <is>
          <t>$1,818</t>
        </is>
      </c>
      <c r="P13" s="31" t="inlineStr">
        <is>
          <t>Not Listed</t>
        </is>
      </c>
      <c r="Q13" s="45" t="inlineStr">
        <is>
          <t>80</t>
        </is>
      </c>
      <c r="R13" s="45" t="inlineStr">
        <is>
          <t>2002</t>
        </is>
      </c>
      <c r="S13" s="45" t="inlineStr">
        <is>
          <t>2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#3: No income restrictions, 2002 vintage (2 yr diff), 80 units, 5.2 mi from subject. Shows market-rate rents vs. affordable housing discount.</t>
        </is>
      </c>
      <c r="AA13" s="45" t="inlineStr">
        <is>
          <t>https://www.rentcafe.com/apartments-for-rent/us/la/gretna/</t>
        </is>
      </c>
    </row>
    <row r="14" ht="54.75" customFormat="1" customHeight="1" s="3">
      <c r="A14" s="39" t="inlineStr">
        <is>
          <t>4</t>
        </is>
      </c>
      <c r="B14" s="39" t="inlineStr">
        <is>
          <t>MARKET RATE</t>
        </is>
      </c>
      <c r="C14" s="40" t="inlineStr">
        <is>
          <t>Terrytown Apartments</t>
        </is>
      </c>
      <c r="D14" s="39" t="inlineStr">
        <is>
          <t>1200 Behrman Hwy, Gretna, LA 70056</t>
        </is>
      </c>
      <c r="E14" s="39" t="inlineStr">
        <is>
          <t>Gretna</t>
        </is>
      </c>
      <c r="F14" s="39" t="inlineStr">
        <is>
          <t>LA</t>
        </is>
      </c>
      <c r="G14" s="39" t="n"/>
      <c r="H14" s="39" t="inlineStr">
        <is>
          <t>4.2 mi</t>
        </is>
      </c>
      <c r="I14" s="39" t="inlineStr">
        <is>
          <t>N/A (Market Rate)</t>
        </is>
      </c>
      <c r="J14" s="39" t="inlineStr">
        <is>
          <t>N/A (Market Rate)</t>
        </is>
      </c>
      <c r="K14" s="30" t="inlineStr">
        <is>
          <t>$1,573</t>
        </is>
      </c>
      <c r="L14" s="31" t="inlineStr">
        <is>
          <t>$1,625</t>
        </is>
      </c>
      <c r="M14" s="39" t="inlineStr">
        <is>
          <t>N/A (Market Rate)</t>
        </is>
      </c>
      <c r="N14" s="39" t="inlineStr">
        <is>
          <t>N/A (Market Rate)</t>
        </is>
      </c>
      <c r="O14" s="30" t="inlineStr">
        <is>
          <t>$1,818</t>
        </is>
      </c>
      <c r="P14" s="31" t="inlineStr">
        <is>
          <t>Not Listed</t>
        </is>
      </c>
      <c r="Q14" s="39" t="inlineStr">
        <is>
          <t>64</t>
        </is>
      </c>
      <c r="R14" s="39" t="inlineStr">
        <is>
          <t>2000</t>
        </is>
      </c>
      <c r="S14" s="39" t="inlineStr">
        <is>
          <t>0</t>
        </is>
      </c>
      <c r="T14" s="39" t="inlineStr">
        <is>
          <t>Varies</t>
        </is>
      </c>
      <c r="U14" s="39" t="inlineStr">
        <is>
          <t>Varies</t>
        </is>
      </c>
      <c r="V14" s="39" t="inlineStr">
        <is>
          <t>Varies</t>
        </is>
      </c>
      <c r="W14" s="39" t="inlineStr">
        <is>
          <t>Varies</t>
        </is>
      </c>
      <c r="X14" s="39" t="inlineStr">
        <is>
          <t>Varies</t>
        </is>
      </c>
      <c r="Y14" s="41" t="inlineStr">
        <is>
          <t>HIGH</t>
        </is>
      </c>
      <c r="Z14" s="40" t="inlineStr">
        <is>
          <t>Market Rate Comp #4: No income restrictions, 2000 vintage (0 yr diff), 64 units, 4.2 mi from subject. Shows market-rate rents vs. affordable housing discount.</t>
        </is>
      </c>
      <c r="AA14" s="39" t="inlineStr">
        <is>
          <t>https://www.rentcafe.com/apartments-for-rent/us/la/gretna/</t>
        </is>
      </c>
    </row>
    <row r="15" ht="54.75" customFormat="1" customHeight="1" s="3">
      <c r="A15" s="48" t="inlineStr">
        <is>
          <t>—</t>
        </is>
      </c>
      <c r="B15" s="48" t="inlineStr">
        <is>
          <t>BENCHMARK</t>
        </is>
      </c>
      <c r="C15" s="49" t="inlineStr">
        <is>
          <t>FY2026 FMR — New Orleans MSA</t>
        </is>
      </c>
      <c r="D15" s="48" t="inlineStr">
        <is>
          <t>N/A</t>
        </is>
      </c>
      <c r="E15" s="48" t="inlineStr">
        <is>
          <t>Marrero</t>
        </is>
      </c>
      <c r="F15" s="48" t="inlineStr">
        <is>
          <t>LA</t>
        </is>
      </c>
      <c r="G15" s="48" t="inlineStr">
        <is>
          <t>N/A</t>
        </is>
      </c>
      <c r="H15" s="48" t="inlineStr">
        <is>
          <t>N/A</t>
        </is>
      </c>
      <c r="I15" s="48" t="inlineStr">
        <is>
          <t>$1,573</t>
        </is>
      </c>
      <c r="J15" s="48" t="inlineStr">
        <is>
          <t>$1,573</t>
        </is>
      </c>
      <c r="K15" s="30" t="inlineStr">
        <is>
          <t>$1,573</t>
        </is>
      </c>
      <c r="L15" s="31" t="inlineStr">
        <is>
          <t>N/A</t>
        </is>
      </c>
      <c r="M15" s="48" t="inlineStr">
        <is>
          <t>$1,818</t>
        </is>
      </c>
      <c r="N15" s="48" t="inlineStr">
        <is>
          <t>$1,818</t>
        </is>
      </c>
      <c r="O15" s="30" t="inlineStr">
        <is>
          <t>$1,818</t>
        </is>
      </c>
      <c r="P15" s="31" t="inlineStr">
        <is>
          <t>N/A</t>
        </is>
      </c>
      <c r="Q15" s="48" t="inlineStr">
        <is>
          <t>N/A</t>
        </is>
      </c>
      <c r="R15" s="48" t="inlineStr">
        <is>
          <t>N/A</t>
        </is>
      </c>
      <c r="S15" s="48" t="inlineStr">
        <is>
          <t>N/A</t>
        </is>
      </c>
      <c r="T15" s="48" t="inlineStr">
        <is>
          <t>N/A</t>
        </is>
      </c>
      <c r="U15" s="48" t="inlineStr">
        <is>
          <t>N/A</t>
        </is>
      </c>
      <c r="V15" s="48" t="inlineStr">
        <is>
          <t>N/A</t>
        </is>
      </c>
      <c r="W15" s="48" t="inlineStr">
        <is>
          <t>N/A</t>
        </is>
      </c>
      <c r="X15" s="48" t="inlineStr">
        <is>
          <t>N/A</t>
        </is>
      </c>
      <c r="Y15" s="50" t="inlineStr">
        <is>
          <t>BENCHMARK</t>
        </is>
      </c>
      <c r="Z15" s="49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5" s="48" t="inlineStr">
        <is>
          <t>HUD FMR Database (huduser.gov)</t>
        </is>
      </c>
    </row>
    <row r="16" ht="54.75" customFormat="1" customHeight="1" s="3">
      <c r="A16" s="48" t="inlineStr">
        <is>
          <t>—</t>
        </is>
      </c>
      <c r="B16" s="48" t="inlineStr">
        <is>
          <t>BENCHMARK</t>
        </is>
      </c>
      <c r="C16" s="49" t="inlineStr">
        <is>
          <t>Metro Market Avg — Marrero</t>
        </is>
      </c>
      <c r="D16" s="48" t="inlineStr">
        <is>
          <t>N/A</t>
        </is>
      </c>
      <c r="E16" s="48" t="inlineStr">
        <is>
          <t>Marrero</t>
        </is>
      </c>
      <c r="F16" s="48" t="inlineStr">
        <is>
          <t>LA</t>
        </is>
      </c>
      <c r="G16" s="48" t="inlineStr">
        <is>
          <t>N/A</t>
        </is>
      </c>
      <c r="H16" s="48" t="inlineStr">
        <is>
          <t>N/A</t>
        </is>
      </c>
      <c r="I16" s="48" t="inlineStr">
        <is>
          <t>$1,730</t>
        </is>
      </c>
      <c r="J16" s="48" t="inlineStr">
        <is>
          <t>$1,730</t>
        </is>
      </c>
      <c r="K16" s="30" t="inlineStr">
        <is>
          <t>$1,730</t>
        </is>
      </c>
      <c r="L16" s="31" t="inlineStr">
        <is>
          <t>N/A</t>
        </is>
      </c>
      <c r="M16" s="48" t="inlineStr">
        <is>
          <t>$1,999</t>
        </is>
      </c>
      <c r="N16" s="48" t="inlineStr">
        <is>
          <t>$1,999</t>
        </is>
      </c>
      <c r="O16" s="30" t="inlineStr">
        <is>
          <t>$1,999</t>
        </is>
      </c>
      <c r="P16" s="31" t="inlineStr">
        <is>
          <t>N/A</t>
        </is>
      </c>
      <c r="Q16" s="48" t="inlineStr">
        <is>
          <t>N/A</t>
        </is>
      </c>
      <c r="R16" s="48" t="inlineStr">
        <is>
          <t>N/A</t>
        </is>
      </c>
      <c r="S16" s="48" t="inlineStr">
        <is>
          <t>N/A</t>
        </is>
      </c>
      <c r="T16" s="48" t="inlineStr">
        <is>
          <t>N/A</t>
        </is>
      </c>
      <c r="U16" s="48" t="inlineStr">
        <is>
          <t>N/A</t>
        </is>
      </c>
      <c r="V16" s="48" t="inlineStr">
        <is>
          <t>N/A</t>
        </is>
      </c>
      <c r="W16" s="48" t="inlineStr">
        <is>
          <t>N/A</t>
        </is>
      </c>
      <c r="X16" s="48" t="inlineStr">
        <is>
          <t>N/A</t>
        </is>
      </c>
      <c r="Y16" s="50" t="inlineStr">
        <is>
          <t>BENCHMARK</t>
        </is>
      </c>
      <c r="Z16" s="49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6" s="48" t="inlineStr">
        <is>
          <t>HUD FMR + Market Estimate</t>
        </is>
      </c>
    </row>
    <row r="17" ht="8.25" customFormat="1" customHeight="1" s="3"/>
    <row r="18" ht="27.75" customFormat="1" customHeight="1" s="3">
      <c r="A18" s="51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Height="1" s="95">
      <c r="C21" s="86" t="inlineStr">
        <is>
          <t>60% AMI</t>
        </is>
      </c>
      <c r="D21" s="86" t="inlineStr">
        <is>
          <t>UAP</t>
        </is>
      </c>
      <c r="E21" s="86" t="inlineStr">
        <is>
          <t>Section 8</t>
        </is>
      </c>
      <c r="F21" s="86" t="inlineStr">
        <is>
          <t>New</t>
        </is>
      </c>
    </row>
    <row r="22" ht="15" customHeight="1" s="95">
      <c r="B22" s="3" t="n">
        <v>3</v>
      </c>
      <c r="C22" s="86" t="n">
        <v>1112</v>
      </c>
      <c r="D22" s="86" t="n">
        <v>162</v>
      </c>
      <c r="E22" s="86" t="n">
        <v>1500</v>
      </c>
      <c r="F22" s="86" t="n">
        <v>1575</v>
      </c>
    </row>
    <row r="23" ht="15" customHeight="1" s="95">
      <c r="B23" s="3" t="n">
        <v>4</v>
      </c>
      <c r="C23" s="86" t="n">
        <v>1189</v>
      </c>
      <c r="D23" s="86" t="n">
        <v>195</v>
      </c>
      <c r="E23" s="86" t="n">
        <v>1600</v>
      </c>
      <c r="F23" s="86" t="n">
        <v>1675</v>
      </c>
    </row>
    <row r="26" ht="15" customHeight="1" s="95">
      <c r="A26" s="61" t="inlineStr">
        <is>
          <t>PMTS — Vouchers / FMR / UAP / NET FMR</t>
        </is>
      </c>
      <c r="B26" s="101" t="n"/>
      <c r="C26" s="101" t="n"/>
      <c r="D26" s="101" t="n"/>
      <c r="E26" s="101" t="n"/>
      <c r="F26" s="102" t="n"/>
    </row>
    <row r="27" ht="15" customHeight="1" s="95">
      <c r="A27" s="64" t="inlineStr">
        <is>
          <t>BD</t>
        </is>
      </c>
      <c r="B27" s="65" t="inlineStr">
        <is>
          <t>MKT</t>
        </is>
      </c>
      <c r="C27" s="66" t="inlineStr">
        <is>
          <t>VCH</t>
        </is>
      </c>
      <c r="D27" s="67" t="inlineStr">
        <is>
          <t>FMR</t>
        </is>
      </c>
      <c r="E27" s="68" t="inlineStr">
        <is>
          <t>UAP</t>
        </is>
      </c>
      <c r="F27" s="69" t="inlineStr">
        <is>
          <t>NET</t>
        </is>
      </c>
    </row>
    <row r="28" ht="15" customHeight="1" s="95">
      <c r="A28" s="70" t="inlineStr">
        <is>
          <t>3BD</t>
        </is>
      </c>
      <c r="B28" s="71" t="n">
        <v>0</v>
      </c>
      <c r="C28" s="71" t="n">
        <v>1500</v>
      </c>
      <c r="D28" s="71" t="n">
        <v>1900</v>
      </c>
      <c r="E28" s="72" t="n">
        <v>289</v>
      </c>
      <c r="F28" s="73" t="n">
        <v>1611</v>
      </c>
    </row>
    <row r="29" ht="15" customHeight="1" s="95">
      <c r="A29" s="74" t="inlineStr">
        <is>
          <t>4BD</t>
        </is>
      </c>
      <c r="B29" s="75" t="n">
        <v>0</v>
      </c>
      <c r="C29" s="75" t="n">
        <v>1550</v>
      </c>
      <c r="D29" s="75" t="n">
        <v>2240</v>
      </c>
      <c r="E29" s="72" t="n">
        <v>374</v>
      </c>
      <c r="F29" s="73" t="n">
        <v>1866</v>
      </c>
    </row>
    <row r="32" ht="15" customHeight="1" s="95">
      <c r="A32" s="61" t="inlineStr">
        <is>
          <t>LIHTC, UAP, NET</t>
        </is>
      </c>
      <c r="B32" s="101" t="n"/>
      <c r="C32" s="101" t="n"/>
      <c r="D32" s="101" t="n"/>
      <c r="E32" s="102" t="n"/>
    </row>
    <row r="33" ht="15" customHeight="1" s="95">
      <c r="A33" s="64" t="n"/>
      <c r="B33" s="65" t="inlineStr">
        <is>
          <t>LIHTC/MKT</t>
        </is>
      </c>
      <c r="C33" s="67" t="inlineStr">
        <is>
          <t>60%</t>
        </is>
      </c>
      <c r="D33" s="68" t="inlineStr">
        <is>
          <t>UAP</t>
        </is>
      </c>
      <c r="E33" s="69" t="inlineStr">
        <is>
          <t>NET</t>
        </is>
      </c>
    </row>
    <row r="34" ht="15" customHeight="1" s="95">
      <c r="A34" s="70" t="inlineStr">
        <is>
          <t>3BD</t>
        </is>
      </c>
      <c r="B34" s="71" t="n">
        <v>1401</v>
      </c>
      <c r="C34" s="71" t="n">
        <v>1112</v>
      </c>
      <c r="D34" s="72" t="n">
        <v>289</v>
      </c>
      <c r="E34" s="73" t="n">
        <v>823</v>
      </c>
    </row>
    <row r="35" ht="15" customHeight="1" s="95">
      <c r="A35" s="74" t="inlineStr">
        <is>
          <t>4BD</t>
        </is>
      </c>
      <c r="B35" s="75" t="n">
        <v>1563</v>
      </c>
      <c r="C35" s="75" t="n">
        <v>1189</v>
      </c>
      <c r="D35" s="72" t="n">
        <v>374</v>
      </c>
      <c r="E35" s="73" t="n">
        <v>815</v>
      </c>
    </row>
    <row r="38" ht="15" customHeight="1" s="95">
      <c r="A38" s="61" t="inlineStr">
        <is>
          <t>HAP, CoStar, NET</t>
        </is>
      </c>
      <c r="B38" s="101" t="n"/>
      <c r="C38" s="102" t="n"/>
    </row>
    <row r="39" ht="15" customHeight="1" s="95">
      <c r="A39" s="64" t="n"/>
      <c r="B39" s="68" t="inlineStr">
        <is>
          <t>HAP</t>
        </is>
      </c>
      <c r="C39" s="65" t="inlineStr">
        <is>
          <t>CoStar</t>
        </is>
      </c>
    </row>
    <row r="40" ht="15" customHeight="1" s="95">
      <c r="A40" s="70" t="inlineStr">
        <is>
          <t>2BD</t>
        </is>
      </c>
      <c r="B40" s="103" t="n">
        <v>0</v>
      </c>
      <c r="C40" s="104" t="n">
        <v>1451</v>
      </c>
    </row>
    <row r="41" ht="15" customHeight="1" s="95">
      <c r="A41" s="74" t="inlineStr">
        <is>
          <t>3BD</t>
        </is>
      </c>
      <c r="B41" s="103" t="n">
        <v>0</v>
      </c>
      <c r="C41" s="104" t="n">
        <v>1614</v>
      </c>
    </row>
    <row r="42" ht="15" customHeight="1" s="95">
      <c r="A42" s="70" t="inlineStr">
        <is>
          <t>4BD</t>
        </is>
      </c>
      <c r="B42" s="103" t="n">
        <v>0</v>
      </c>
      <c r="C42" s="104" t="n">
        <v>1727</v>
      </c>
    </row>
  </sheetData>
  <mergeCells count="7">
    <mergeCell ref="A18:AA18"/>
    <mergeCell ref="A4:AA4"/>
    <mergeCell ref="A3:AA3"/>
    <mergeCell ref="A2:AA2"/>
    <mergeCell ref="A32:E32"/>
    <mergeCell ref="A26:F26"/>
    <mergeCell ref="A38:C38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tabColor theme="6" tint="-0.25"/>
    <outlinePr summaryBelow="1" summaryRight="1"/>
    <pageSetUpPr/>
  </sheetPr>
  <dimension ref="A1:AE45"/>
  <sheetViews>
    <sheetView topLeftCell="A1" workbookViewId="0">
      <pane ySplit="1" topLeftCell="A14" activePane="bottomLeft" state="frozen"/>
      <selection pane="bottomLeft" activeCell="H23" sqref="H23"/>
    </sheetView>
  </sheetViews>
  <sheetFormatPr baseColWidth="8" defaultColWidth="9.140625" defaultRowHeight="15" customHeight="1"/>
  <cols>
    <col width="8.00390625" customWidth="1" style="3" min="1" max="1"/>
    <col width="14.00390625" customWidth="1" style="3" min="2" max="2"/>
    <col width="28.00390625" customWidth="1" style="3" min="3" max="3"/>
    <col width="22.00390625" customWidth="1" style="3" min="4" max="4"/>
    <col width="16.00390625" customWidth="1" style="3" min="5" max="5"/>
    <col width="10.00390625" customWidth="1" style="3" min="6" max="6"/>
    <col width="8.00390625" customWidth="1" style="3" min="7" max="7"/>
    <col width="11.00390625" customWidth="1" style="3" min="8" max="8"/>
    <col width="10.00390625" customWidth="1" style="3" min="9" max="11"/>
    <col width="12.00390625" customWidth="1" style="3" min="12" max="12"/>
    <col width="10.00390625" customWidth="1" style="3" min="13" max="15"/>
    <col width="12.00390625" customWidth="1" style="3" min="16" max="16"/>
    <col width="10.00390625" customWidth="1" style="3" min="17" max="19"/>
    <col width="12.00390625" customWidth="1" style="3" min="20" max="20"/>
    <col width="8.00390625" customWidth="1" style="3" min="21" max="21"/>
    <col width="10.00390625" customWidth="1" style="3" min="22" max="22"/>
    <col width="7.00390625" customWidth="1" style="3" min="23" max="23"/>
    <col width="12.00390625" customWidth="1" style="3" min="24" max="25"/>
    <col width="8.00390625" customWidth="1" style="3" min="26" max="27"/>
    <col width="10.00390625" customWidth="1" style="3" min="28" max="28"/>
    <col width="16.00390625" customWidth="1" style="3" min="29" max="29"/>
    <col width="45.00390625" customWidth="1" style="3" min="30" max="30"/>
    <col width="28.00390625" customWidth="1" style="3" min="31" max="31"/>
  </cols>
  <sheetData>
    <row r="1" ht="15" customHeight="1" s="95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</row>
    <row r="2" ht="24" customFormat="1" customHeight="1" s="3">
      <c r="A2" s="17" t="inlineStr">
        <is>
          <t>COMPETITIVE RENT ANALYSIS — STAR HOMES | GREEN = Affordable Comps | BLUE = Market Rate Comps</t>
        </is>
      </c>
    </row>
    <row r="3" ht="20.25" customFormat="1" customHeight="1" s="3">
      <c r="A3" s="18" t="inlineStr">
        <is>
          <t>SUBJECT: Star Homes | 2020 Melba Place, Marrero, LA 70072 | 48 units | Program: LIHTC | Bedroom Mix: 2BR / 3BR / 4BR | County AMI: $89,800 | FMR Area: New Orleans MSA</t>
        </is>
      </c>
    </row>
    <row r="4" ht="90" customFormat="1" customHeight="1" s="3">
      <c r="A4" s="19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5" ht="30" customFormat="1" customHeight="1" s="3">
      <c r="A5" s="20" t="inlineStr">
        <is>
          <t>Rank</t>
        </is>
      </c>
      <c r="B5" s="20" t="inlineStr">
        <is>
          <t>Type</t>
        </is>
      </c>
      <c r="C5" s="20" t="inlineStr">
        <is>
          <t>Property Name</t>
        </is>
      </c>
      <c r="D5" s="20" t="inlineStr">
        <is>
          <t>Address</t>
        </is>
      </c>
      <c r="E5" s="20" t="inlineStr">
        <is>
          <t>City</t>
        </is>
      </c>
      <c r="F5" s="20" t="inlineStr">
        <is>
          <t>State</t>
        </is>
      </c>
      <c r="G5" s="20" t="inlineStr">
        <is>
          <t>ZIP</t>
        </is>
      </c>
      <c r="H5" s="20" t="inlineStr">
        <is>
          <t>Distance (mi)</t>
        </is>
      </c>
      <c r="I5" s="20" t="inlineStr">
        <is>
          <t>2BR Low ($)</t>
        </is>
      </c>
      <c r="J5" s="20" t="inlineStr">
        <is>
          <t>2BR Mid ($)</t>
        </is>
      </c>
      <c r="K5" s="21" t="inlineStr">
        <is>
          <t>2BR FMR ($)</t>
        </is>
      </c>
      <c r="L5" s="22" t="inlineStr">
        <is>
          <t>2BR Actual ($)</t>
        </is>
      </c>
      <c r="M5" s="20" t="inlineStr">
        <is>
          <t>3BR Low ($)</t>
        </is>
      </c>
      <c r="N5" s="20" t="inlineStr">
        <is>
          <t>3BR Mid ($)</t>
        </is>
      </c>
      <c r="O5" s="21" t="inlineStr">
        <is>
          <t>3BR FMR ($)</t>
        </is>
      </c>
      <c r="P5" s="22" t="inlineStr">
        <is>
          <t>3BR Actual ($)</t>
        </is>
      </c>
      <c r="Q5" s="20" t="inlineStr">
        <is>
          <t>4BR Low ($)</t>
        </is>
      </c>
      <c r="R5" s="20" t="inlineStr">
        <is>
          <t>4BR Mid ($)</t>
        </is>
      </c>
      <c r="S5" s="21" t="inlineStr">
        <is>
          <t>4BR FMR ($)</t>
        </is>
      </c>
      <c r="T5" s="22" t="inlineStr">
        <is>
          <t>4BR Actual ($)</t>
        </is>
      </c>
      <c r="U5" s="20" t="inlineStr">
        <is>
          <t># Units</t>
        </is>
      </c>
      <c r="V5" s="20" t="inlineStr">
        <is>
          <t>Year Built</t>
        </is>
      </c>
      <c r="W5" s="20" t="inlineStr">
        <is>
          <t>Yr Diff</t>
        </is>
      </c>
      <c r="X5" s="20" t="inlineStr">
        <is>
          <t>Utilities Incl.</t>
        </is>
      </c>
      <c r="Y5" s="20" t="inlineStr">
        <is>
          <t>Pet Friendly</t>
        </is>
      </c>
      <c r="Z5" s="20" t="inlineStr">
        <is>
          <t>Gated</t>
        </is>
      </c>
      <c r="AA5" s="20" t="inlineStr">
        <is>
          <t>Pool</t>
        </is>
      </c>
      <c r="AB5" s="20" t="inlineStr">
        <is>
          <t>W/D In-Unit</t>
        </is>
      </c>
      <c r="AC5" s="20" t="inlineStr">
        <is>
          <t>Competition Level</t>
        </is>
      </c>
      <c r="AD5" s="20" t="inlineStr">
        <is>
          <t>Why Competitive</t>
        </is>
      </c>
      <c r="AE5" s="20" t="inlineStr">
        <is>
          <t>Data Source</t>
        </is>
      </c>
    </row>
    <row r="6" ht="54.75" customFormat="1" customHeight="1" s="3">
      <c r="A6" s="23" t="inlineStr">
        <is>
          <t>—</t>
        </is>
      </c>
      <c r="B6" s="23" t="inlineStr">
        <is>
          <t>SUBJECT</t>
        </is>
      </c>
      <c r="C6" s="24" t="inlineStr">
        <is>
          <t>Star Homes (SUBJECT)</t>
        </is>
      </c>
      <c r="D6" s="23" t="inlineStr">
        <is>
          <t>2020 Melba Place</t>
        </is>
      </c>
      <c r="E6" s="23" t="inlineStr">
        <is>
          <t>Marrero</t>
        </is>
      </c>
      <c r="F6" s="23" t="inlineStr">
        <is>
          <t>LA</t>
        </is>
      </c>
      <c r="G6" s="23" t="inlineStr">
        <is>
          <t>70072</t>
        </is>
      </c>
      <c r="H6" s="23" t="inlineStr">
        <is>
          <t>0.0 mi</t>
        </is>
      </c>
      <c r="I6" s="23" t="inlineStr">
        <is>
          <t>$3,370</t>
        </is>
      </c>
      <c r="J6" s="23" t="inlineStr">
        <is>
          <t>$4,045</t>
        </is>
      </c>
      <c r="K6" s="25" t="inlineStr">
        <is>
          <t>$1,254</t>
        </is>
      </c>
      <c r="L6" s="26" t="inlineStr">
        <is>
          <t>N/A</t>
        </is>
      </c>
      <c r="M6" s="23" t="inlineStr">
        <is>
          <t>$3,741</t>
        </is>
      </c>
      <c r="N6" s="23" t="inlineStr">
        <is>
          <t>$4,490</t>
        </is>
      </c>
      <c r="O6" s="25" t="inlineStr">
        <is>
          <t>$1,573</t>
        </is>
      </c>
      <c r="P6" s="26" t="inlineStr">
        <is>
          <t>N/A</t>
        </is>
      </c>
      <c r="Q6" s="23" t="inlineStr">
        <is>
          <t>$4,041</t>
        </is>
      </c>
      <c r="R6" s="23" t="inlineStr">
        <is>
          <t>$4,850</t>
        </is>
      </c>
      <c r="S6" s="25" t="inlineStr">
        <is>
          <t>$1,818</t>
        </is>
      </c>
      <c r="T6" s="26" t="inlineStr">
        <is>
          <t>N/A</t>
        </is>
      </c>
      <c r="U6" s="23" t="inlineStr">
        <is>
          <t>48</t>
        </is>
      </c>
      <c r="V6" s="23" t="inlineStr">
        <is>
          <t>2000</t>
        </is>
      </c>
      <c r="W6" s="23" t="inlineStr">
        <is>
          <t>0</t>
        </is>
      </c>
      <c r="X6" s="23" t="inlineStr">
        <is>
          <t>No</t>
        </is>
      </c>
      <c r="Y6" s="23" t="inlineStr">
        <is>
          <t>No</t>
        </is>
      </c>
      <c r="Z6" s="23" t="inlineStr">
        <is>
          <t>No</t>
        </is>
      </c>
      <c r="AA6" s="23" t="inlineStr">
        <is>
          <t>No</t>
        </is>
      </c>
      <c r="AB6" s="23" t="inlineStr">
        <is>
          <t>No</t>
        </is>
      </c>
      <c r="AC6" s="27" t="inlineStr">
        <is>
          <t>SUBJECT</t>
        </is>
      </c>
      <c r="AD6" s="24" t="inlineStr">
        <is>
          <t>48 units | LIHTC property. Year built: 2000. Subject property for market context.</t>
        </is>
      </c>
      <c r="AE6" s="23" t="inlineStr">
        <is>
          <t>Apartment Corp Records</t>
        </is>
      </c>
    </row>
    <row r="7" ht="54.75" customFormat="1" customHeight="1" s="3">
      <c r="A7" s="28" t="inlineStr">
        <is>
          <t>1</t>
        </is>
      </c>
      <c r="B7" s="28" t="inlineStr">
        <is>
          <t>AFFORDABLE</t>
        </is>
      </c>
      <c r="C7" s="29" t="inlineStr">
        <is>
          <t>Star Affordable Homes</t>
        </is>
      </c>
      <c r="D7" s="28" t="inlineStr">
        <is>
          <t>2012 Melba Pl</t>
        </is>
      </c>
      <c r="E7" s="28" t="inlineStr">
        <is>
          <t>Marrero</t>
        </is>
      </c>
      <c r="F7" s="28" t="inlineStr">
        <is>
          <t>LA</t>
        </is>
      </c>
      <c r="G7" s="28" t="inlineStr">
        <is>
          <t>70072</t>
        </is>
      </c>
      <c r="H7" s="28" t="inlineStr">
        <is>
          <t>2.2 mi</t>
        </is>
      </c>
      <c r="I7" s="28" t="inlineStr">
        <is>
          <t>$3,370</t>
        </is>
      </c>
      <c r="J7" s="28" t="inlineStr">
        <is>
          <t>$4,045</t>
        </is>
      </c>
      <c r="K7" s="30" t="inlineStr">
        <is>
          <t>$1,254</t>
        </is>
      </c>
      <c r="L7" s="31" t="inlineStr">
        <is>
          <t>Not Listed</t>
        </is>
      </c>
      <c r="M7" s="28" t="inlineStr">
        <is>
          <t>$3,741</t>
        </is>
      </c>
      <c r="N7" s="28" t="inlineStr">
        <is>
          <t>$4,490</t>
        </is>
      </c>
      <c r="O7" s="30" t="inlineStr">
        <is>
          <t>$1,573</t>
        </is>
      </c>
      <c r="P7" s="31" t="inlineStr">
        <is>
          <t>Not Listed</t>
        </is>
      </c>
      <c r="Q7" s="28" t="inlineStr">
        <is>
          <t>$4,041</t>
        </is>
      </c>
      <c r="R7" s="28" t="inlineStr">
        <is>
          <t>$4,850</t>
        </is>
      </c>
      <c r="S7" s="30" t="inlineStr">
        <is>
          <t>$1,818</t>
        </is>
      </c>
      <c r="T7" s="31" t="inlineStr">
        <is>
          <t>Not Listed</t>
        </is>
      </c>
      <c r="U7" s="28" t="inlineStr">
        <is>
          <t>48</t>
        </is>
      </c>
      <c r="V7" s="28" t="inlineStr">
        <is>
          <t>1998</t>
        </is>
      </c>
      <c r="W7" s="28" t="inlineStr">
        <is>
          <t>2</t>
        </is>
      </c>
      <c r="X7" s="28" t="inlineStr">
        <is>
          <t>Yes</t>
        </is>
      </c>
      <c r="Y7" s="28" t="inlineStr">
        <is>
          <t>No</t>
        </is>
      </c>
      <c r="Z7" s="28" t="inlineStr">
        <is>
          <t>No</t>
        </is>
      </c>
      <c r="AA7" s="28" t="inlineStr">
        <is>
          <t>No</t>
        </is>
      </c>
      <c r="AB7" s="28" t="inlineStr">
        <is>
          <t>No</t>
        </is>
      </c>
      <c r="AC7" s="32" t="inlineStr">
        <is>
          <t>HIGH</t>
        </is>
      </c>
      <c r="AD7" s="29" t="inlineStr">
        <is>
          <t>Affordable Comp #1: LIHTC property, 1998 vintage (2 yr diff), 48 units, 2.2 mi from subject. Same income-eligible renter pool.</t>
        </is>
      </c>
      <c r="AE7" s="28" t="inlineStr">
        <is>
          <t>HUD LIHTC Database (huduser.gov)</t>
        </is>
      </c>
    </row>
    <row r="8" ht="54.75" customFormat="1" customHeight="1" s="3">
      <c r="A8" s="33" t="inlineStr">
        <is>
          <t>2</t>
        </is>
      </c>
      <c r="B8" s="33" t="inlineStr">
        <is>
          <t>AFFORDABLE</t>
        </is>
      </c>
      <c r="C8" s="34" t="inlineStr">
        <is>
          <t>Star Homes</t>
        </is>
      </c>
      <c r="D8" s="33" t="inlineStr">
        <is>
          <t>2012 Melba Place</t>
        </is>
      </c>
      <c r="E8" s="33" t="inlineStr">
        <is>
          <t>Marrero</t>
        </is>
      </c>
      <c r="F8" s="33" t="inlineStr">
        <is>
          <t>LA</t>
        </is>
      </c>
      <c r="G8" s="33" t="inlineStr">
        <is>
          <t>70072-0000</t>
        </is>
      </c>
      <c r="H8" s="33" t="inlineStr">
        <is>
          <t>2.2 mi</t>
        </is>
      </c>
      <c r="I8" s="33" t="inlineStr">
        <is>
          <t>$3,370</t>
        </is>
      </c>
      <c r="J8" s="33" t="inlineStr">
        <is>
          <t>$4,045</t>
        </is>
      </c>
      <c r="K8" s="30" t="inlineStr">
        <is>
          <t>$1,254</t>
        </is>
      </c>
      <c r="L8" s="31" t="inlineStr">
        <is>
          <t>Not Listed</t>
        </is>
      </c>
      <c r="M8" s="33" t="inlineStr">
        <is>
          <t>$3,741</t>
        </is>
      </c>
      <c r="N8" s="33" t="inlineStr">
        <is>
          <t>$4,490</t>
        </is>
      </c>
      <c r="O8" s="30" t="inlineStr">
        <is>
          <t>$1,573</t>
        </is>
      </c>
      <c r="P8" s="31" t="inlineStr">
        <is>
          <t>Not Listed</t>
        </is>
      </c>
      <c r="Q8" s="33" t="inlineStr">
        <is>
          <t>$4,041</t>
        </is>
      </c>
      <c r="R8" s="33" t="inlineStr">
        <is>
          <t>$4,850</t>
        </is>
      </c>
      <c r="S8" s="30" t="inlineStr">
        <is>
          <t>$1,818</t>
        </is>
      </c>
      <c r="T8" s="31" t="inlineStr">
        <is>
          <t>Not Listed</t>
        </is>
      </c>
      <c r="U8" s="33" t="inlineStr">
        <is>
          <t>48</t>
        </is>
      </c>
      <c r="V8" s="33" t="inlineStr">
        <is>
          <t>1998</t>
        </is>
      </c>
      <c r="W8" s="33" t="inlineStr">
        <is>
          <t>2</t>
        </is>
      </c>
      <c r="X8" s="33" t="inlineStr">
        <is>
          <t>Yes</t>
        </is>
      </c>
      <c r="Y8" s="33" t="inlineStr">
        <is>
          <t>No</t>
        </is>
      </c>
      <c r="Z8" s="33" t="inlineStr">
        <is>
          <t>No</t>
        </is>
      </c>
      <c r="AA8" s="33" t="inlineStr">
        <is>
          <t>No</t>
        </is>
      </c>
      <c r="AB8" s="33" t="inlineStr">
        <is>
          <t>No</t>
        </is>
      </c>
      <c r="AC8" s="35" t="inlineStr">
        <is>
          <t>HIGH</t>
        </is>
      </c>
      <c r="AD8" s="34" t="inlineStr">
        <is>
          <t>Affordable Comp #2: LIHTC property, 1998 vintage (2 yr diff), 48 units, 2.2 mi from subject. Same income-eligible renter pool.</t>
        </is>
      </c>
      <c r="AE8" s="33" t="inlineStr">
        <is>
          <t>HUD LIHTC Database (huduser.gov)</t>
        </is>
      </c>
    </row>
    <row r="9" ht="54.75" customFormat="1" customHeight="1" s="3">
      <c r="A9" s="36" t="inlineStr">
        <is>
          <t>3</t>
        </is>
      </c>
      <c r="B9" s="36" t="inlineStr">
        <is>
          <t>AFFORDABLE</t>
        </is>
      </c>
      <c r="C9" s="37" t="inlineStr">
        <is>
          <t>Ames Gardens Estates</t>
        </is>
      </c>
      <c r="D9" s="36" t="inlineStr">
        <is>
          <t>530 Ames Blvd.</t>
        </is>
      </c>
      <c r="E9" s="36" t="inlineStr">
        <is>
          <t>Marrero</t>
        </is>
      </c>
      <c r="F9" s="36" t="inlineStr">
        <is>
          <t>LA</t>
        </is>
      </c>
      <c r="G9" s="36" t="inlineStr">
        <is>
          <t>70072-0000</t>
        </is>
      </c>
      <c r="H9" s="36" t="inlineStr">
        <is>
          <t>0.4 mi</t>
        </is>
      </c>
      <c r="I9" s="36" t="inlineStr">
        <is>
          <t>$3,370</t>
        </is>
      </c>
      <c r="J9" s="36" t="inlineStr">
        <is>
          <t>$4,045</t>
        </is>
      </c>
      <c r="K9" s="30" t="inlineStr">
        <is>
          <t>$1,254</t>
        </is>
      </c>
      <c r="L9" s="31" t="inlineStr">
        <is>
          <t>Not Listed</t>
        </is>
      </c>
      <c r="M9" s="36" t="inlineStr">
        <is>
          <t>$3,741</t>
        </is>
      </c>
      <c r="N9" s="36" t="inlineStr">
        <is>
          <t>$4,490</t>
        </is>
      </c>
      <c r="O9" s="30" t="inlineStr">
        <is>
          <t>$1,573</t>
        </is>
      </c>
      <c r="P9" s="31" t="inlineStr">
        <is>
          <t>Not Listed</t>
        </is>
      </c>
      <c r="Q9" s="36" t="inlineStr">
        <is>
          <t>$4,041</t>
        </is>
      </c>
      <c r="R9" s="36" t="inlineStr">
        <is>
          <t>$4,850</t>
        </is>
      </c>
      <c r="S9" s="30" t="inlineStr">
        <is>
          <t>$1,818</t>
        </is>
      </c>
      <c r="T9" s="31" t="inlineStr">
        <is>
          <t>Not Listed</t>
        </is>
      </c>
      <c r="U9" s="36" t="inlineStr">
        <is>
          <t>48</t>
        </is>
      </c>
      <c r="V9" s="36" t="inlineStr">
        <is>
          <t>2002</t>
        </is>
      </c>
      <c r="W9" s="36" t="inlineStr">
        <is>
          <t>2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85" t="inlineStr">
        <is>
          <t>HIGH</t>
        </is>
      </c>
      <c r="AD9" s="37" t="inlineStr">
        <is>
          <t>Affordable Comp #3: LIHTC property, 2002 vintage (2 yr diff), 48 units, 0.4 mi from subject. Same income-eligible renter pool.</t>
        </is>
      </c>
      <c r="AE9" s="36" t="inlineStr">
        <is>
          <t>HUD LIHTC Database (huduser.gov)</t>
        </is>
      </c>
    </row>
    <row r="10" ht="54.75" customFormat="1" customHeight="1" s="3">
      <c r="A10" s="28" t="inlineStr">
        <is>
          <t>4</t>
        </is>
      </c>
      <c r="B10" s="28" t="inlineStr">
        <is>
          <t>AFFORDABLE</t>
        </is>
      </c>
      <c r="C10" s="29" t="inlineStr">
        <is>
          <t>Putnam Plaza Apts</t>
        </is>
      </c>
      <c r="D10" s="28" t="inlineStr">
        <is>
          <t>Scattered</t>
        </is>
      </c>
      <c r="E10" s="28" t="inlineStr">
        <is>
          <t>New Orleans</t>
        </is>
      </c>
      <c r="F10" s="28" t="inlineStr">
        <is>
          <t>LA</t>
        </is>
      </c>
      <c r="G10" s="28" t="inlineStr">
        <is>
          <t>70113-0000</t>
        </is>
      </c>
      <c r="H10" s="28" t="inlineStr">
        <is>
          <t>2.7 mi</t>
        </is>
      </c>
      <c r="I10" s="28" t="inlineStr">
        <is>
          <t>$3,370</t>
        </is>
      </c>
      <c r="J10" s="28" t="inlineStr">
        <is>
          <t>$4,045</t>
        </is>
      </c>
      <c r="K10" s="30" t="inlineStr">
        <is>
          <t>$1,254</t>
        </is>
      </c>
      <c r="L10" s="31" t="inlineStr">
        <is>
          <t>Not Listed</t>
        </is>
      </c>
      <c r="M10" s="28" t="inlineStr">
        <is>
          <t>$3,741</t>
        </is>
      </c>
      <c r="N10" s="28" t="inlineStr">
        <is>
          <t>$4,490</t>
        </is>
      </c>
      <c r="O10" s="30" t="inlineStr">
        <is>
          <t>$1,573</t>
        </is>
      </c>
      <c r="P10" s="31" t="inlineStr">
        <is>
          <t>Not Listed</t>
        </is>
      </c>
      <c r="Q10" s="28" t="inlineStr">
        <is>
          <t>$4,041</t>
        </is>
      </c>
      <c r="R10" s="28" t="inlineStr">
        <is>
          <t>$4,850</t>
        </is>
      </c>
      <c r="S10" s="30" t="inlineStr">
        <is>
          <t>$1,818</t>
        </is>
      </c>
      <c r="T10" s="31" t="inlineStr">
        <is>
          <t>Not Listed</t>
        </is>
      </c>
      <c r="U10" s="28" t="inlineStr">
        <is>
          <t>38</t>
        </is>
      </c>
      <c r="V10" s="28" t="inlineStr">
        <is>
          <t>1999</t>
        </is>
      </c>
      <c r="W10" s="28" t="inlineStr">
        <is>
          <t>1</t>
        </is>
      </c>
      <c r="X10" s="28" t="inlineStr">
        <is>
          <t>Yes</t>
        </is>
      </c>
      <c r="Y10" s="28" t="inlineStr">
        <is>
          <t>No</t>
        </is>
      </c>
      <c r="Z10" s="28" t="inlineStr">
        <is>
          <t>No</t>
        </is>
      </c>
      <c r="AA10" s="28" t="inlineStr">
        <is>
          <t>No</t>
        </is>
      </c>
      <c r="AB10" s="28" t="inlineStr">
        <is>
          <t>No</t>
        </is>
      </c>
      <c r="AC10" s="32" t="inlineStr">
        <is>
          <t>HIGH</t>
        </is>
      </c>
      <c r="AD10" s="29" t="inlineStr">
        <is>
          <t>Affordable Comp #4: LIHTC property, 1999 vintage (1 yr diff), 38 units, 2.7 mi from subject. Same income-eligible renter pool.</t>
        </is>
      </c>
      <c r="AE10" s="28" t="inlineStr">
        <is>
          <t>HUD LIHTC Database (huduser.gov)</t>
        </is>
      </c>
    </row>
    <row r="11" ht="54.75" customFormat="1" customHeight="1" s="3">
      <c r="A11" s="39" t="inlineStr">
        <is>
          <t>1</t>
        </is>
      </c>
      <c r="B11" s="39" t="inlineStr">
        <is>
          <t>MARKET RATE</t>
        </is>
      </c>
      <c r="C11" s="40" t="inlineStr">
        <is>
          <t>Westbank Crossing Apartments</t>
        </is>
      </c>
      <c r="D11" s="39" t="inlineStr">
        <is>
          <t>1500 Barataria Blvd, Marrero, LA 70072</t>
        </is>
      </c>
      <c r="E11" s="39" t="inlineStr">
        <is>
          <t>Marrero</t>
        </is>
      </c>
      <c r="F11" s="39" t="inlineStr">
        <is>
          <t>LA</t>
        </is>
      </c>
      <c r="G11" s="39" t="n"/>
      <c r="H11" s="39" t="inlineStr">
        <is>
          <t>1.2 mi</t>
        </is>
      </c>
      <c r="I11" s="39" t="inlineStr">
        <is>
          <t>N/A (Market Rate)</t>
        </is>
      </c>
      <c r="J11" s="39" t="inlineStr">
        <is>
          <t>N/A (Market Rate)</t>
        </is>
      </c>
      <c r="K11" s="30" t="inlineStr">
        <is>
          <t>$1,254</t>
        </is>
      </c>
      <c r="L11" s="31" t="inlineStr">
        <is>
          <t>$1,275</t>
        </is>
      </c>
      <c r="M11" s="39" t="inlineStr">
        <is>
          <t>N/A (Market Rate)</t>
        </is>
      </c>
      <c r="N11" s="39" t="inlineStr">
        <is>
          <t>N/A (Market Rate)</t>
        </is>
      </c>
      <c r="O11" s="30" t="inlineStr">
        <is>
          <t>$1,573</t>
        </is>
      </c>
      <c r="P11" s="31" t="inlineStr">
        <is>
          <t>$1,575</t>
        </is>
      </c>
      <c r="Q11" s="39" t="inlineStr">
        <is>
          <t>N/A (Market Rate)</t>
        </is>
      </c>
      <c r="R11" s="39" t="inlineStr">
        <is>
          <t>N/A (Market Rate)</t>
        </is>
      </c>
      <c r="S11" s="30" t="inlineStr">
        <is>
          <t>$1,818</t>
        </is>
      </c>
      <c r="T11" s="31" t="inlineStr">
        <is>
          <t>Not Listed</t>
        </is>
      </c>
      <c r="U11" s="39" t="inlineStr">
        <is>
          <t>120</t>
        </is>
      </c>
      <c r="V11" s="39" t="inlineStr">
        <is>
          <t>2001</t>
        </is>
      </c>
      <c r="W11" s="39" t="inlineStr">
        <is>
          <t>1</t>
        </is>
      </c>
      <c r="X11" s="39" t="inlineStr">
        <is>
          <t>Varies</t>
        </is>
      </c>
      <c r="Y11" s="39" t="inlineStr">
        <is>
          <t>Varies</t>
        </is>
      </c>
      <c r="Z11" s="39" t="inlineStr">
        <is>
          <t>Varies</t>
        </is>
      </c>
      <c r="AA11" s="39" t="inlineStr">
        <is>
          <t>Varies</t>
        </is>
      </c>
      <c r="AB11" s="39" t="inlineStr">
        <is>
          <t>Varies</t>
        </is>
      </c>
      <c r="AC11" s="41" t="inlineStr">
        <is>
          <t>HIGH</t>
        </is>
      </c>
      <c r="AD11" s="40" t="inlineStr">
        <is>
          <t>Market Rate Comp #1: No income restrictions, 2001 vintage (1 yr diff), 120 units, 1.2 mi from subject. Shows market-rate rents vs. affordable housing discount.</t>
        </is>
      </c>
      <c r="AE11" s="39" t="inlineStr">
        <is>
          <t>https://www.rentcafe.com/apartments-for-rent/us/la/marrero/</t>
        </is>
      </c>
    </row>
    <row r="12" ht="54.75" customFormat="1" customHeight="1" s="3">
      <c r="A12" s="42" t="inlineStr">
        <is>
          <t>2</t>
        </is>
      </c>
      <c r="B12" s="42" t="inlineStr">
        <is>
          <t>MARKET RATE</t>
        </is>
      </c>
      <c r="C12" s="43" t="inlineStr">
        <is>
          <t>Oakwood Terrace Apartments</t>
        </is>
      </c>
      <c r="D12" s="42" t="inlineStr">
        <is>
          <t>3600 Westbank Expy, Harvey, LA 70058</t>
        </is>
      </c>
      <c r="E12" s="42" t="inlineStr">
        <is>
          <t>Harvey</t>
        </is>
      </c>
      <c r="F12" s="42" t="inlineStr">
        <is>
          <t>LA</t>
        </is>
      </c>
      <c r="G12" s="42" t="n"/>
      <c r="H12" s="42" t="inlineStr">
        <is>
          <t>4.0 mi</t>
        </is>
      </c>
      <c r="I12" s="42" t="inlineStr">
        <is>
          <t>N/A (Market Rate)</t>
        </is>
      </c>
      <c r="J12" s="42" t="inlineStr">
        <is>
          <t>N/A (Market Rate)</t>
        </is>
      </c>
      <c r="K12" s="30" t="inlineStr">
        <is>
          <t>$1,254</t>
        </is>
      </c>
      <c r="L12" s="31" t="inlineStr">
        <is>
          <t>$1,250</t>
        </is>
      </c>
      <c r="M12" s="42" t="inlineStr">
        <is>
          <t>N/A (Market Rate)</t>
        </is>
      </c>
      <c r="N12" s="42" t="inlineStr">
        <is>
          <t>N/A (Market Rate)</t>
        </is>
      </c>
      <c r="O12" s="30" t="inlineStr">
        <is>
          <t>$1,573</t>
        </is>
      </c>
      <c r="P12" s="31" t="inlineStr">
        <is>
          <t>$1,550</t>
        </is>
      </c>
      <c r="Q12" s="42" t="inlineStr">
        <is>
          <t>N/A (Market Rate)</t>
        </is>
      </c>
      <c r="R12" s="42" t="inlineStr">
        <is>
          <t>N/A (Market Rate)</t>
        </is>
      </c>
      <c r="S12" s="30" t="inlineStr">
        <is>
          <t>$1,818</t>
        </is>
      </c>
      <c r="T12" s="31" t="inlineStr">
        <is>
          <t>Not Listed</t>
        </is>
      </c>
      <c r="U12" s="42" t="inlineStr">
        <is>
          <t>96</t>
        </is>
      </c>
      <c r="V12" s="42" t="inlineStr">
        <is>
          <t>1999</t>
        </is>
      </c>
      <c r="W12" s="42" t="inlineStr">
        <is>
          <t>1</t>
        </is>
      </c>
      <c r="X12" s="42" t="inlineStr">
        <is>
          <t>Varies</t>
        </is>
      </c>
      <c r="Y12" s="42" t="inlineStr">
        <is>
          <t>Varies</t>
        </is>
      </c>
      <c r="Z12" s="42" t="inlineStr">
        <is>
          <t>Varies</t>
        </is>
      </c>
      <c r="AA12" s="42" t="inlineStr">
        <is>
          <t>Varies</t>
        </is>
      </c>
      <c r="AB12" s="42" t="inlineStr">
        <is>
          <t>Varies</t>
        </is>
      </c>
      <c r="AC12" s="44" t="inlineStr">
        <is>
          <t>HIGH</t>
        </is>
      </c>
      <c r="AD12" s="43" t="inlineStr">
        <is>
          <t>Market Rate Comp #2: No income restrictions, 1999 vintage (1 yr diff), 96 units, 4.0 mi from subject. Shows market-rate rents vs. affordable housing discount.</t>
        </is>
      </c>
      <c r="AE12" s="42" t="inlineStr">
        <is>
          <t>https://www.rentcafe.com/apartments-for-rent/us/la/harvey/</t>
        </is>
      </c>
    </row>
    <row r="13" ht="54.75" customFormat="1" customHeight="1" s="3">
      <c r="A13" s="45" t="inlineStr">
        <is>
          <t>3</t>
        </is>
      </c>
      <c r="B13" s="45" t="inlineStr">
        <is>
          <t>MARKET RATE</t>
        </is>
      </c>
      <c r="C13" s="46" t="inlineStr">
        <is>
          <t>Gretna Place Apartments</t>
        </is>
      </c>
      <c r="D13" s="45" t="inlineStr">
        <is>
          <t>500 Stumpf Blvd, Gretna, LA 70056</t>
        </is>
      </c>
      <c r="E13" s="45" t="inlineStr">
        <is>
          <t>Gretna</t>
        </is>
      </c>
      <c r="F13" s="45" t="inlineStr">
        <is>
          <t>LA</t>
        </is>
      </c>
      <c r="G13" s="45" t="n"/>
      <c r="H13" s="45" t="inlineStr">
        <is>
          <t>6.0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0" t="inlineStr">
        <is>
          <t>$1,254</t>
        </is>
      </c>
      <c r="L13" s="31" t="inlineStr">
        <is>
          <t>$1,300</t>
        </is>
      </c>
      <c r="M13" s="45" t="inlineStr">
        <is>
          <t>N/A (Market Rate)</t>
        </is>
      </c>
      <c r="N13" s="45" t="inlineStr">
        <is>
          <t>N/A (Market Rate)</t>
        </is>
      </c>
      <c r="O13" s="30" t="inlineStr">
        <is>
          <t>$1,573</t>
        </is>
      </c>
      <c r="P13" s="31" t="inlineStr">
        <is>
          <t>$1,600</t>
        </is>
      </c>
      <c r="Q13" s="45" t="inlineStr">
        <is>
          <t>N/A (Market Rate)</t>
        </is>
      </c>
      <c r="R13" s="45" t="inlineStr">
        <is>
          <t>N/A (Market Rate)</t>
        </is>
      </c>
      <c r="S13" s="30" t="inlineStr">
        <is>
          <t>$1,818</t>
        </is>
      </c>
      <c r="T13" s="31" t="inlineStr">
        <is>
          <t>Not Listed</t>
        </is>
      </c>
      <c r="U13" s="45" t="inlineStr">
        <is>
          <t>80</t>
        </is>
      </c>
      <c r="V13" s="45" t="inlineStr">
        <is>
          <t>2002</t>
        </is>
      </c>
      <c r="W13" s="45" t="inlineStr">
        <is>
          <t>2</t>
        </is>
      </c>
      <c r="X13" s="45" t="inlineStr">
        <is>
          <t>Varies</t>
        </is>
      </c>
      <c r="Y13" s="45" t="inlineStr">
        <is>
          <t>Varies</t>
        </is>
      </c>
      <c r="Z13" s="45" t="inlineStr">
        <is>
          <t>Varies</t>
        </is>
      </c>
      <c r="AA13" s="45" t="inlineStr">
        <is>
          <t>Varies</t>
        </is>
      </c>
      <c r="AB13" s="45" t="inlineStr">
        <is>
          <t>Varies</t>
        </is>
      </c>
      <c r="AC13" s="47" t="inlineStr">
        <is>
          <t>HIGH</t>
        </is>
      </c>
      <c r="AD13" s="46" t="inlineStr">
        <is>
          <t>Market Rate Comp #3: No income restrictions, 2002 vintage (2 yr diff), 80 units, 6.0 mi from subject. Shows market-rate rents vs. affordable housing discount.</t>
        </is>
      </c>
      <c r="AE13" s="45" t="inlineStr">
        <is>
          <t>https://www.rentcafe.com/apartments-for-rent/us/la/gretna/</t>
        </is>
      </c>
    </row>
    <row r="14" ht="54.75" customFormat="1" customHeight="1" s="3">
      <c r="A14" s="39" t="inlineStr">
        <is>
          <t>4</t>
        </is>
      </c>
      <c r="B14" s="39" t="inlineStr">
        <is>
          <t>MARKET RATE</t>
        </is>
      </c>
      <c r="C14" s="40" t="inlineStr">
        <is>
          <t>Terrytown Apartments</t>
        </is>
      </c>
      <c r="D14" s="39" t="inlineStr">
        <is>
          <t>1200 Behrman Hwy, Gretna, LA 70056</t>
        </is>
      </c>
      <c r="E14" s="39" t="inlineStr">
        <is>
          <t>Gretna</t>
        </is>
      </c>
      <c r="F14" s="39" t="inlineStr">
        <is>
          <t>LA</t>
        </is>
      </c>
      <c r="G14" s="39" t="n"/>
      <c r="H14" s="39" t="inlineStr">
        <is>
          <t>5.5 mi</t>
        </is>
      </c>
      <c r="I14" s="39" t="inlineStr">
        <is>
          <t>N/A (Market Rate)</t>
        </is>
      </c>
      <c r="J14" s="39" t="inlineStr">
        <is>
          <t>N/A (Market Rate)</t>
        </is>
      </c>
      <c r="K14" s="30" t="inlineStr">
        <is>
          <t>$1,254</t>
        </is>
      </c>
      <c r="L14" s="31" t="inlineStr">
        <is>
          <t>$1,325</t>
        </is>
      </c>
      <c r="M14" s="39" t="inlineStr">
        <is>
          <t>N/A (Market Rate)</t>
        </is>
      </c>
      <c r="N14" s="39" t="inlineStr">
        <is>
          <t>N/A (Market Rate)</t>
        </is>
      </c>
      <c r="O14" s="30" t="inlineStr">
        <is>
          <t>$1,573</t>
        </is>
      </c>
      <c r="P14" s="31" t="inlineStr">
        <is>
          <t>$1,625</t>
        </is>
      </c>
      <c r="Q14" s="39" t="inlineStr">
        <is>
          <t>N/A (Market Rate)</t>
        </is>
      </c>
      <c r="R14" s="39" t="inlineStr">
        <is>
          <t>N/A (Market Rate)</t>
        </is>
      </c>
      <c r="S14" s="30" t="inlineStr">
        <is>
          <t>$1,818</t>
        </is>
      </c>
      <c r="T14" s="31" t="inlineStr">
        <is>
          <t>Not Listed</t>
        </is>
      </c>
      <c r="U14" s="39" t="inlineStr">
        <is>
          <t>64</t>
        </is>
      </c>
      <c r="V14" s="39" t="inlineStr">
        <is>
          <t>2000</t>
        </is>
      </c>
      <c r="W14" s="39" t="inlineStr">
        <is>
          <t>0</t>
        </is>
      </c>
      <c r="X14" s="39" t="inlineStr">
        <is>
          <t>Varies</t>
        </is>
      </c>
      <c r="Y14" s="39" t="inlineStr">
        <is>
          <t>Varies</t>
        </is>
      </c>
      <c r="Z14" s="39" t="inlineStr">
        <is>
          <t>Varies</t>
        </is>
      </c>
      <c r="AA14" s="39" t="inlineStr">
        <is>
          <t>Varies</t>
        </is>
      </c>
      <c r="AB14" s="39" t="inlineStr">
        <is>
          <t>Varies</t>
        </is>
      </c>
      <c r="AC14" s="41" t="inlineStr">
        <is>
          <t>HIGH</t>
        </is>
      </c>
      <c r="AD14" s="40" t="inlineStr">
        <is>
          <t>Market Rate Comp #4: No income restrictions, 2000 vintage (0 yr diff), 64 units, 5.5 mi from subject. Shows market-rate rents vs. affordable housing discount.</t>
        </is>
      </c>
      <c r="AE14" s="39" t="inlineStr">
        <is>
          <t>https://www.rentcafe.com/apartments-for-rent/us/la/gretna/</t>
        </is>
      </c>
    </row>
    <row r="15" ht="54.75" customFormat="1" customHeight="1" s="3">
      <c r="A15" s="48" t="inlineStr">
        <is>
          <t>—</t>
        </is>
      </c>
      <c r="B15" s="48" t="inlineStr">
        <is>
          <t>BENCHMARK</t>
        </is>
      </c>
      <c r="C15" s="49" t="inlineStr">
        <is>
          <t>FY2026 FMR — New Orleans MSA</t>
        </is>
      </c>
      <c r="D15" s="48" t="inlineStr">
        <is>
          <t>N/A</t>
        </is>
      </c>
      <c r="E15" s="48" t="inlineStr">
        <is>
          <t>Marrero</t>
        </is>
      </c>
      <c r="F15" s="48" t="inlineStr">
        <is>
          <t>LA</t>
        </is>
      </c>
      <c r="G15" s="48" t="inlineStr">
        <is>
          <t>N/A</t>
        </is>
      </c>
      <c r="H15" s="48" t="inlineStr">
        <is>
          <t>N/A</t>
        </is>
      </c>
      <c r="I15" s="48" t="inlineStr">
        <is>
          <t>$1,254</t>
        </is>
      </c>
      <c r="J15" s="48" t="inlineStr">
        <is>
          <t>$1,254</t>
        </is>
      </c>
      <c r="K15" s="30" t="inlineStr">
        <is>
          <t>$1,254</t>
        </is>
      </c>
      <c r="L15" s="31" t="inlineStr">
        <is>
          <t>N/A</t>
        </is>
      </c>
      <c r="M15" s="48" t="inlineStr">
        <is>
          <t>$1,573</t>
        </is>
      </c>
      <c r="N15" s="48" t="inlineStr">
        <is>
          <t>$1,573</t>
        </is>
      </c>
      <c r="O15" s="30" t="inlineStr">
        <is>
          <t>$1,573</t>
        </is>
      </c>
      <c r="P15" s="31" t="inlineStr">
        <is>
          <t>N/A</t>
        </is>
      </c>
      <c r="Q15" s="48" t="inlineStr">
        <is>
          <t>$1,818</t>
        </is>
      </c>
      <c r="R15" s="48" t="inlineStr">
        <is>
          <t>$1,818</t>
        </is>
      </c>
      <c r="S15" s="30" t="inlineStr">
        <is>
          <t>$1,818</t>
        </is>
      </c>
      <c r="T15" s="31" t="inlineStr">
        <is>
          <t>N/A</t>
        </is>
      </c>
      <c r="U15" s="48" t="inlineStr">
        <is>
          <t>N/A</t>
        </is>
      </c>
      <c r="V15" s="48" t="inlineStr">
        <is>
          <t>N/A</t>
        </is>
      </c>
      <c r="W15" s="48" t="inlineStr">
        <is>
          <t>N/A</t>
        </is>
      </c>
      <c r="X15" s="48" t="inlineStr">
        <is>
          <t>N/A</t>
        </is>
      </c>
      <c r="Y15" s="48" t="inlineStr">
        <is>
          <t>N/A</t>
        </is>
      </c>
      <c r="Z15" s="48" t="inlineStr">
        <is>
          <t>N/A</t>
        </is>
      </c>
      <c r="AA15" s="48" t="inlineStr">
        <is>
          <t>N/A</t>
        </is>
      </c>
      <c r="AB15" s="48" t="inlineStr">
        <is>
          <t>N/A</t>
        </is>
      </c>
      <c r="AC15" s="50" t="inlineStr">
        <is>
          <t>BENCHMARK</t>
        </is>
      </c>
      <c r="AD15" s="49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5" s="48" t="inlineStr">
        <is>
          <t>HUD FMR Database (huduser.gov)</t>
        </is>
      </c>
    </row>
    <row r="16" ht="54.75" customFormat="1" customHeight="1" s="3">
      <c r="A16" s="48" t="inlineStr">
        <is>
          <t>—</t>
        </is>
      </c>
      <c r="B16" s="48" t="inlineStr">
        <is>
          <t>BENCHMARK</t>
        </is>
      </c>
      <c r="C16" s="49" t="inlineStr">
        <is>
          <t>Metro Market Avg — Marrero</t>
        </is>
      </c>
      <c r="D16" s="48" t="inlineStr">
        <is>
          <t>N/A</t>
        </is>
      </c>
      <c r="E16" s="48" t="inlineStr">
        <is>
          <t>Marrero</t>
        </is>
      </c>
      <c r="F16" s="48" t="inlineStr">
        <is>
          <t>LA</t>
        </is>
      </c>
      <c r="G16" s="48" t="inlineStr">
        <is>
          <t>N/A</t>
        </is>
      </c>
      <c r="H16" s="48" t="inlineStr">
        <is>
          <t>N/A</t>
        </is>
      </c>
      <c r="I16" s="48" t="inlineStr">
        <is>
          <t>$1,379</t>
        </is>
      </c>
      <c r="J16" s="48" t="inlineStr">
        <is>
          <t>$1,379</t>
        </is>
      </c>
      <c r="K16" s="30" t="inlineStr">
        <is>
          <t>$1,379</t>
        </is>
      </c>
      <c r="L16" s="31" t="inlineStr">
        <is>
          <t>N/A</t>
        </is>
      </c>
      <c r="M16" s="48" t="inlineStr">
        <is>
          <t>$1,730</t>
        </is>
      </c>
      <c r="N16" s="48" t="inlineStr">
        <is>
          <t>$1,730</t>
        </is>
      </c>
      <c r="O16" s="30" t="inlineStr">
        <is>
          <t>$1,730</t>
        </is>
      </c>
      <c r="P16" s="31" t="inlineStr">
        <is>
          <t>N/A</t>
        </is>
      </c>
      <c r="Q16" s="48" t="inlineStr">
        <is>
          <t>$1,999</t>
        </is>
      </c>
      <c r="R16" s="48" t="inlineStr">
        <is>
          <t>$1,999</t>
        </is>
      </c>
      <c r="S16" s="30" t="inlineStr">
        <is>
          <t>$1,999</t>
        </is>
      </c>
      <c r="T16" s="31" t="inlineStr">
        <is>
          <t>N/A</t>
        </is>
      </c>
      <c r="U16" s="48" t="inlineStr">
        <is>
          <t>N/A</t>
        </is>
      </c>
      <c r="V16" s="48" t="inlineStr">
        <is>
          <t>N/A</t>
        </is>
      </c>
      <c r="W16" s="48" t="inlineStr">
        <is>
          <t>N/A</t>
        </is>
      </c>
      <c r="X16" s="48" t="inlineStr">
        <is>
          <t>N/A</t>
        </is>
      </c>
      <c r="Y16" s="48" t="inlineStr">
        <is>
          <t>N/A</t>
        </is>
      </c>
      <c r="Z16" s="48" t="inlineStr">
        <is>
          <t>N/A</t>
        </is>
      </c>
      <c r="AA16" s="48" t="inlineStr">
        <is>
          <t>N/A</t>
        </is>
      </c>
      <c r="AB16" s="48" t="inlineStr">
        <is>
          <t>N/A</t>
        </is>
      </c>
      <c r="AC16" s="50" t="inlineStr">
        <is>
          <t>BENCHMARK</t>
        </is>
      </c>
      <c r="AD16" s="49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6" s="48" t="inlineStr">
        <is>
          <t>HUD FMR + Market Estimate</t>
        </is>
      </c>
    </row>
    <row r="17" ht="8.25" customFormat="1" customHeight="1" s="3"/>
    <row r="18" ht="27.75" customFormat="1" customHeight="1" s="3">
      <c r="A18" s="51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Height="1" s="95">
      <c r="C21" s="86" t="inlineStr">
        <is>
          <t>60% AMI</t>
        </is>
      </c>
      <c r="D21" s="86" t="inlineStr">
        <is>
          <t>UAP</t>
        </is>
      </c>
      <c r="E21" s="86" t="inlineStr">
        <is>
          <t>Section 8</t>
        </is>
      </c>
      <c r="F21" s="86" t="inlineStr">
        <is>
          <t>New</t>
        </is>
      </c>
    </row>
    <row r="22" ht="15" customHeight="1" s="95">
      <c r="B22" s="3" t="n">
        <v>2</v>
      </c>
      <c r="C22" s="86" t="n">
        <v>1009</v>
      </c>
      <c r="D22" s="86" t="n"/>
      <c r="E22" s="86" t="n">
        <v>1250</v>
      </c>
      <c r="F22" s="86" t="n">
        <v>1300</v>
      </c>
    </row>
    <row r="23" ht="15" customHeight="1" s="95">
      <c r="B23" s="3" t="n">
        <v>3</v>
      </c>
      <c r="C23" s="86" t="n">
        <v>1112</v>
      </c>
      <c r="D23" s="86" t="n">
        <v>162</v>
      </c>
      <c r="E23" s="86" t="n">
        <v>1500</v>
      </c>
      <c r="F23" s="86" t="n">
        <v>1575</v>
      </c>
    </row>
    <row r="24" ht="15" customHeight="1" s="95">
      <c r="B24" s="3" t="n">
        <v>4</v>
      </c>
      <c r="C24" s="86" t="n">
        <v>1189</v>
      </c>
      <c r="D24" s="86" t="n">
        <v>195</v>
      </c>
      <c r="E24" s="86" t="n">
        <v>1600</v>
      </c>
      <c r="F24" s="86" t="n">
        <v>1675</v>
      </c>
    </row>
    <row r="27" ht="15" customHeight="1" s="95">
      <c r="A27" s="61" t="inlineStr">
        <is>
          <t>PMTS — Vouchers / FMR / UAP / NET FMR</t>
        </is>
      </c>
      <c r="B27" s="101" t="n"/>
      <c r="C27" s="101" t="n"/>
      <c r="D27" s="101" t="n"/>
      <c r="E27" s="101" t="n"/>
      <c r="F27" s="102" t="n"/>
    </row>
    <row r="28" ht="15" customHeight="1" s="95">
      <c r="A28" s="64" t="inlineStr">
        <is>
          <t>BD</t>
        </is>
      </c>
      <c r="B28" s="65" t="inlineStr">
        <is>
          <t>MKT</t>
        </is>
      </c>
      <c r="C28" s="66" t="inlineStr">
        <is>
          <t>VCH</t>
        </is>
      </c>
      <c r="D28" s="67" t="inlineStr">
        <is>
          <t>FMR</t>
        </is>
      </c>
      <c r="E28" s="68" t="inlineStr">
        <is>
          <t>UAP</t>
        </is>
      </c>
      <c r="F28" s="69" t="inlineStr">
        <is>
          <t>NET</t>
        </is>
      </c>
    </row>
    <row r="29" ht="15" customHeight="1" s="95">
      <c r="A29" s="70" t="inlineStr">
        <is>
          <t>2BD</t>
        </is>
      </c>
      <c r="B29" s="71" t="n">
        <v>0</v>
      </c>
      <c r="C29" s="71" t="n">
        <v>1200</v>
      </c>
      <c r="D29" s="71" t="n">
        <v>1490</v>
      </c>
      <c r="E29" s="72" t="n">
        <v>204</v>
      </c>
      <c r="F29" s="73" t="n">
        <v>1286</v>
      </c>
    </row>
    <row r="30" ht="15" customHeight="1" s="95">
      <c r="A30" s="74" t="inlineStr">
        <is>
          <t>3BD</t>
        </is>
      </c>
      <c r="B30" s="75" t="n">
        <v>0</v>
      </c>
      <c r="C30" s="75" t="n">
        <v>1500</v>
      </c>
      <c r="D30" s="75" t="n">
        <v>1900</v>
      </c>
      <c r="E30" s="72" t="n">
        <v>289</v>
      </c>
      <c r="F30" s="73" t="n">
        <v>1611</v>
      </c>
    </row>
    <row r="31" ht="15" customHeight="1" s="95">
      <c r="A31" s="70" t="inlineStr">
        <is>
          <t>4BD</t>
        </is>
      </c>
      <c r="B31" s="71" t="n">
        <v>0</v>
      </c>
      <c r="C31" s="71" t="n">
        <v>1550</v>
      </c>
      <c r="D31" s="71" t="n">
        <v>2240</v>
      </c>
      <c r="E31" s="72" t="n">
        <v>374</v>
      </c>
      <c r="F31" s="73" t="n">
        <v>1866</v>
      </c>
    </row>
    <row r="34" ht="15" customHeight="1" s="95">
      <c r="A34" s="61" t="inlineStr">
        <is>
          <t>LIHTC, UAP, NET</t>
        </is>
      </c>
      <c r="B34" s="101" t="n"/>
      <c r="C34" s="101" t="n"/>
      <c r="D34" s="101" t="n"/>
      <c r="E34" s="102" t="n"/>
    </row>
    <row r="35" ht="15" customHeight="1" s="95">
      <c r="A35" s="64" t="n"/>
      <c r="B35" s="65" t="inlineStr">
        <is>
          <t>LIHTC/MKT</t>
        </is>
      </c>
      <c r="C35" s="67" t="inlineStr">
        <is>
          <t>60%</t>
        </is>
      </c>
      <c r="D35" s="68" t="inlineStr">
        <is>
          <t>UAP</t>
        </is>
      </c>
      <c r="E35" s="69" t="inlineStr">
        <is>
          <t>NET</t>
        </is>
      </c>
    </row>
    <row r="36" ht="15" customHeight="1" s="95">
      <c r="A36" s="70" t="inlineStr">
        <is>
          <t>2BD</t>
        </is>
      </c>
      <c r="B36" s="71" t="n">
        <v>1213</v>
      </c>
      <c r="C36" s="71" t="n">
        <v>1009</v>
      </c>
      <c r="D36" s="72" t="n">
        <v>204</v>
      </c>
      <c r="E36" s="73" t="n">
        <v>805</v>
      </c>
    </row>
    <row r="37" ht="15" customHeight="1" s="95">
      <c r="A37" s="74" t="inlineStr">
        <is>
          <t>3BD</t>
        </is>
      </c>
      <c r="B37" s="75" t="n">
        <v>1401</v>
      </c>
      <c r="C37" s="75" t="n">
        <v>1112</v>
      </c>
      <c r="D37" s="72" t="n">
        <v>289</v>
      </c>
      <c r="E37" s="73" t="n">
        <v>823</v>
      </c>
    </row>
    <row r="38" ht="15" customHeight="1" s="95">
      <c r="A38" s="70" t="inlineStr">
        <is>
          <t>4BD</t>
        </is>
      </c>
      <c r="B38" s="71" t="n">
        <v>1563</v>
      </c>
      <c r="C38" s="71" t="n">
        <v>1189</v>
      </c>
      <c r="D38" s="72" t="n">
        <v>374</v>
      </c>
      <c r="E38" s="73" t="n">
        <v>815</v>
      </c>
    </row>
    <row r="41" ht="15" customHeight="1" s="95">
      <c r="A41" s="61" t="inlineStr">
        <is>
          <t>HAP, CoStar, NET</t>
        </is>
      </c>
      <c r="B41" s="101" t="n"/>
      <c r="C41" s="102" t="n"/>
    </row>
    <row r="42" ht="15" customHeight="1" s="95">
      <c r="A42" s="64" t="n"/>
      <c r="B42" s="68" t="inlineStr">
        <is>
          <t>HAP</t>
        </is>
      </c>
      <c r="C42" s="65" t="inlineStr">
        <is>
          <t>CoStar</t>
        </is>
      </c>
    </row>
    <row r="43" ht="15" customHeight="1" s="95">
      <c r="A43" s="70" t="inlineStr">
        <is>
          <t>2BD</t>
        </is>
      </c>
      <c r="B43" s="103" t="n">
        <v>0</v>
      </c>
      <c r="C43" s="104" t="n">
        <v>1451</v>
      </c>
    </row>
    <row r="44" ht="15" customHeight="1" s="95">
      <c r="A44" s="74" t="inlineStr">
        <is>
          <t>3BD</t>
        </is>
      </c>
      <c r="B44" s="103" t="n">
        <v>0</v>
      </c>
      <c r="C44" s="104" t="n">
        <v>1614</v>
      </c>
    </row>
    <row r="45" ht="15" customHeight="1" s="95">
      <c r="A45" s="70" t="inlineStr">
        <is>
          <t>4BD</t>
        </is>
      </c>
      <c r="B45" s="103" t="n">
        <v>0</v>
      </c>
      <c r="C45" s="104" t="n">
        <v>1727</v>
      </c>
    </row>
  </sheetData>
  <mergeCells count="7">
    <mergeCell ref="A4:AE4"/>
    <mergeCell ref="A34:E34"/>
    <mergeCell ref="A41:C41"/>
    <mergeCell ref="A2:AE2"/>
    <mergeCell ref="A27:F27"/>
    <mergeCell ref="A18:AE18"/>
    <mergeCell ref="A3:AE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tabColor theme="3" tint="0.4"/>
    <outlinePr summaryBelow="1" summaryRight="1"/>
    <pageSetUpPr/>
  </sheetPr>
  <dimension ref="A1:AE32"/>
  <sheetViews>
    <sheetView topLeftCell="A1" workbookViewId="0">
      <pane ySplit="1" topLeftCell="A5" activePane="bottomLeft" state="frozen"/>
      <selection pane="bottomLeft" activeCell="A1" sqref="A1:AE1"/>
    </sheetView>
  </sheetViews>
  <sheetFormatPr baseColWidth="8" defaultColWidth="9.140625" defaultRowHeight="15" customHeight="1"/>
  <cols>
    <col width="8.00390625" customWidth="1" style="3" min="1" max="1"/>
    <col width="14.00390625" customWidth="1" style="3" min="2" max="2"/>
    <col width="28.00390625" customWidth="1" style="3" min="3" max="3"/>
    <col width="22.00390625" customWidth="1" style="3" min="4" max="4"/>
    <col width="16.00390625" customWidth="1" style="3" min="5" max="5"/>
    <col width="10.00390625" customWidth="1" style="3" min="6" max="6"/>
    <col width="8.00390625" customWidth="1" style="3" min="7" max="7"/>
    <col width="11.00390625" customWidth="1" style="3" min="8" max="8"/>
    <col width="10.00390625" customWidth="1" style="3" min="9" max="11"/>
    <col width="12.00390625" customWidth="1" style="3" min="12" max="12"/>
    <col width="10.00390625" customWidth="1" style="3" min="13" max="15"/>
    <col width="12.00390625" customWidth="1" style="3" min="16" max="16"/>
    <col width="10.00390625" customWidth="1" style="3" min="17" max="19"/>
    <col width="12.00390625" customWidth="1" style="3" min="20" max="20"/>
    <col width="8.00390625" customWidth="1" style="3" min="21" max="21"/>
    <col width="10.00390625" customWidth="1" style="3" min="22" max="22"/>
    <col width="7.00390625" customWidth="1" style="3" min="23" max="23"/>
    <col width="12.00390625" customWidth="1" style="3" min="24" max="25"/>
    <col width="8.00390625" customWidth="1" style="3" min="26" max="27"/>
    <col width="10.00390625" customWidth="1" style="3" min="28" max="28"/>
    <col width="16.00390625" customWidth="1" style="3" min="29" max="29"/>
    <col width="45.00390625" customWidth="1" style="3" min="30" max="30"/>
    <col width="28.00390625" customWidth="1" style="3" min="31" max="31"/>
  </cols>
  <sheetData>
    <row r="1" ht="15" customHeight="1" s="95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</row>
    <row r="2" ht="24" customFormat="1" customHeight="1" s="3">
      <c r="A2" s="17" t="inlineStr">
        <is>
          <t>COMPETITIVE RENT ANALYSIS — COLONIAL ESTATES | GREEN = Affordable Comps | BLUE = Market Rate Comps</t>
        </is>
      </c>
    </row>
    <row r="3" ht="20.25" customFormat="1" customHeight="1" s="3">
      <c r="A3" s="18" t="inlineStr">
        <is>
          <t>SUBJECT: Colonial Estates | 1300 Ridgefield Ave, Thibodaux, LA 70301 | 107 units | Program: Section 8/HUD | Bedroom Mix: 1BR / 2BR / 3BR | County AMI: $75,700 | FMR Area: Lafourche Parish, LA</t>
        </is>
      </c>
    </row>
    <row r="4" ht="90" customFormat="1" customHeight="1" s="3">
      <c r="A4" s="19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5" ht="30" customFormat="1" customHeight="1" s="3">
      <c r="A5" s="20" t="inlineStr">
        <is>
          <t>Rank</t>
        </is>
      </c>
      <c r="B5" s="20" t="inlineStr">
        <is>
          <t>Type</t>
        </is>
      </c>
      <c r="C5" s="20" t="inlineStr">
        <is>
          <t>Property Name</t>
        </is>
      </c>
      <c r="D5" s="20" t="inlineStr">
        <is>
          <t>Address</t>
        </is>
      </c>
      <c r="E5" s="20" t="inlineStr">
        <is>
          <t>City</t>
        </is>
      </c>
      <c r="F5" s="20" t="inlineStr">
        <is>
          <t>State</t>
        </is>
      </c>
      <c r="G5" s="20" t="inlineStr">
        <is>
          <t>ZIP</t>
        </is>
      </c>
      <c r="H5" s="20" t="inlineStr">
        <is>
          <t>Distance (mi)</t>
        </is>
      </c>
      <c r="I5" s="20" t="inlineStr">
        <is>
          <t>1BR Low ($)</t>
        </is>
      </c>
      <c r="J5" s="20" t="inlineStr">
        <is>
          <t>1BR Mid ($)</t>
        </is>
      </c>
      <c r="K5" s="21" t="inlineStr">
        <is>
          <t>1BR FMR ($)</t>
        </is>
      </c>
      <c r="L5" s="22" t="inlineStr">
        <is>
          <t>1BR Actual ($)</t>
        </is>
      </c>
      <c r="M5" s="20" t="inlineStr">
        <is>
          <t>2BR Low ($)</t>
        </is>
      </c>
      <c r="N5" s="20" t="inlineStr">
        <is>
          <t>2BR Mid ($)</t>
        </is>
      </c>
      <c r="O5" s="21" t="inlineStr">
        <is>
          <t>2BR FMR ($)</t>
        </is>
      </c>
      <c r="P5" s="22" t="inlineStr">
        <is>
          <t>2BR Actual ($)</t>
        </is>
      </c>
      <c r="Q5" s="20" t="inlineStr">
        <is>
          <t>3BR Low ($)</t>
        </is>
      </c>
      <c r="R5" s="20" t="inlineStr">
        <is>
          <t>3BR Mid ($)</t>
        </is>
      </c>
      <c r="S5" s="21" t="inlineStr">
        <is>
          <t>3BR FMR ($)</t>
        </is>
      </c>
      <c r="T5" s="22" t="inlineStr">
        <is>
          <t>3BR Actual ($)</t>
        </is>
      </c>
      <c r="U5" s="20" t="inlineStr">
        <is>
          <t># Units</t>
        </is>
      </c>
      <c r="V5" s="20" t="inlineStr">
        <is>
          <t>Year Built</t>
        </is>
      </c>
      <c r="W5" s="20" t="inlineStr">
        <is>
          <t>Yr Diff</t>
        </is>
      </c>
      <c r="X5" s="20" t="inlineStr">
        <is>
          <t>Utilities Incl.</t>
        </is>
      </c>
      <c r="Y5" s="20" t="inlineStr">
        <is>
          <t>Pet Friendly</t>
        </is>
      </c>
      <c r="Z5" s="20" t="inlineStr">
        <is>
          <t>Gated</t>
        </is>
      </c>
      <c r="AA5" s="20" t="inlineStr">
        <is>
          <t>Pool</t>
        </is>
      </c>
      <c r="AB5" s="20" t="inlineStr">
        <is>
          <t>W/D In-Unit</t>
        </is>
      </c>
      <c r="AC5" s="20" t="inlineStr">
        <is>
          <t>Competition Level</t>
        </is>
      </c>
      <c r="AD5" s="20" t="inlineStr">
        <is>
          <t>Why Competitive</t>
        </is>
      </c>
      <c r="AE5" s="20" t="inlineStr">
        <is>
          <t>Data Source</t>
        </is>
      </c>
    </row>
    <row r="6" ht="54.75" customFormat="1" customHeight="1" s="3">
      <c r="A6" s="23" t="inlineStr">
        <is>
          <t>—</t>
        </is>
      </c>
      <c r="B6" s="23" t="inlineStr">
        <is>
          <t>SUBJECT</t>
        </is>
      </c>
      <c r="C6" s="24" t="inlineStr">
        <is>
          <t>Colonial Estates (SUBJECT)</t>
        </is>
      </c>
      <c r="D6" s="23" t="inlineStr">
        <is>
          <t>1300 Ridgefield Ave</t>
        </is>
      </c>
      <c r="E6" s="23" t="inlineStr">
        <is>
          <t>Thibodaux</t>
        </is>
      </c>
      <c r="F6" s="23" t="inlineStr">
        <is>
          <t>LA</t>
        </is>
      </c>
      <c r="G6" s="23" t="inlineStr">
        <is>
          <t>70301</t>
        </is>
      </c>
      <c r="H6" s="23" t="inlineStr">
        <is>
          <t>0.0 mi</t>
        </is>
      </c>
      <c r="I6" s="23" t="inlineStr">
        <is>
          <t>$2,368</t>
        </is>
      </c>
      <c r="J6" s="23" t="inlineStr">
        <is>
          <t>$2,842</t>
        </is>
      </c>
      <c r="K6" s="25" t="inlineStr">
        <is>
          <t>$739</t>
        </is>
      </c>
      <c r="L6" s="26" t="inlineStr">
        <is>
          <t>N/A</t>
        </is>
      </c>
      <c r="M6" s="23" t="inlineStr">
        <is>
          <t>$2,841</t>
        </is>
      </c>
      <c r="N6" s="23" t="inlineStr">
        <is>
          <t>$3,410</t>
        </is>
      </c>
      <c r="O6" s="25" t="inlineStr">
        <is>
          <t>$1,012</t>
        </is>
      </c>
      <c r="P6" s="26" t="inlineStr">
        <is>
          <t>N/A</t>
        </is>
      </c>
      <c r="Q6" s="23" t="inlineStr">
        <is>
          <t>$3,154</t>
        </is>
      </c>
      <c r="R6" s="23" t="inlineStr">
        <is>
          <t>$3,785</t>
        </is>
      </c>
      <c r="S6" s="25" t="inlineStr">
        <is>
          <t>$1,264</t>
        </is>
      </c>
      <c r="T6" s="26" t="inlineStr">
        <is>
          <t>N/A</t>
        </is>
      </c>
      <c r="U6" s="23" t="inlineStr">
        <is>
          <t>107</t>
        </is>
      </c>
      <c r="V6" s="23" t="inlineStr">
        <is>
          <t>1975</t>
        </is>
      </c>
      <c r="W6" s="23" t="inlineStr">
        <is>
          <t>0</t>
        </is>
      </c>
      <c r="X6" s="23" t="inlineStr">
        <is>
          <t>Yes</t>
        </is>
      </c>
      <c r="Y6" s="23" t="inlineStr">
        <is>
          <t>No</t>
        </is>
      </c>
      <c r="Z6" s="23" t="inlineStr">
        <is>
          <t>No</t>
        </is>
      </c>
      <c r="AA6" s="23" t="inlineStr">
        <is>
          <t>No</t>
        </is>
      </c>
      <c r="AB6" s="23" t="inlineStr">
        <is>
          <t>No</t>
        </is>
      </c>
      <c r="AC6" s="27" t="inlineStr">
        <is>
          <t>SUBJECT</t>
        </is>
      </c>
      <c r="AD6" s="24" t="inlineStr">
        <is>
          <t>107 units | Section 8/HUD property. Year built: 1975. Subject property for market context.</t>
        </is>
      </c>
      <c r="AE6" s="23" t="inlineStr">
        <is>
          <t>Apartment Corp Records</t>
        </is>
      </c>
    </row>
    <row r="7" ht="54.75" customFormat="1" customHeight="1" s="3">
      <c r="A7" s="28" t="inlineStr">
        <is>
          <t>1</t>
        </is>
      </c>
      <c r="B7" s="28" t="inlineStr">
        <is>
          <t>AFFORDABLE</t>
        </is>
      </c>
      <c r="C7" s="29" t="inlineStr">
        <is>
          <t>Bayou Terrace Apartments</t>
        </is>
      </c>
      <c r="D7" s="28" t="inlineStr">
        <is>
          <t>600 Canal Blvd</t>
        </is>
      </c>
      <c r="E7" s="28" t="inlineStr">
        <is>
          <t>Thibodaux</t>
        </is>
      </c>
      <c r="F7" s="28" t="inlineStr">
        <is>
          <t>LA</t>
        </is>
      </c>
      <c r="G7" s="28" t="inlineStr">
        <is>
          <t>70301</t>
        </is>
      </c>
      <c r="H7" s="28" t="inlineStr">
        <is>
          <t>1.5 mi</t>
        </is>
      </c>
      <c r="I7" s="28" t="inlineStr">
        <is>
          <t>$2,368</t>
        </is>
      </c>
      <c r="J7" s="28" t="inlineStr">
        <is>
          <t>$2,842</t>
        </is>
      </c>
      <c r="K7" s="30" t="inlineStr">
        <is>
          <t>$739</t>
        </is>
      </c>
      <c r="L7" s="31" t="inlineStr">
        <is>
          <t>Not Listed</t>
        </is>
      </c>
      <c r="M7" s="28" t="inlineStr">
        <is>
          <t>$2,841</t>
        </is>
      </c>
      <c r="N7" s="28" t="inlineStr">
        <is>
          <t>$3,410</t>
        </is>
      </c>
      <c r="O7" s="30" t="inlineStr">
        <is>
          <t>$1,012</t>
        </is>
      </c>
      <c r="P7" s="31" t="inlineStr">
        <is>
          <t>Not Listed</t>
        </is>
      </c>
      <c r="Q7" s="28" t="inlineStr">
        <is>
          <t>$3,154</t>
        </is>
      </c>
      <c r="R7" s="28" t="inlineStr">
        <is>
          <t>$3,785</t>
        </is>
      </c>
      <c r="S7" s="30" t="inlineStr">
        <is>
          <t>$1,264</t>
        </is>
      </c>
      <c r="T7" s="31" t="inlineStr">
        <is>
          <t>Not Listed</t>
        </is>
      </c>
      <c r="U7" s="28" t="inlineStr">
        <is>
          <t>100</t>
        </is>
      </c>
      <c r="V7" s="28" t="inlineStr">
        <is>
          <t>1976</t>
        </is>
      </c>
      <c r="W7" s="28" t="inlineStr">
        <is>
          <t>1</t>
        </is>
      </c>
      <c r="X7" s="28" t="inlineStr">
        <is>
          <t>Yes</t>
        </is>
      </c>
      <c r="Y7" s="28" t="inlineStr">
        <is>
          <t>No</t>
        </is>
      </c>
      <c r="Z7" s="28" t="inlineStr">
        <is>
          <t>No</t>
        </is>
      </c>
      <c r="AA7" s="28" t="inlineStr">
        <is>
          <t>No</t>
        </is>
      </c>
      <c r="AB7" s="28" t="inlineStr">
        <is>
          <t>No</t>
        </is>
      </c>
      <c r="AC7" s="32" t="inlineStr">
        <is>
          <t>HIGH</t>
        </is>
      </c>
      <c r="AD7" s="29" t="inlineStr">
        <is>
          <t>Affordable Comp #1: Section 8/HUD property, 1976 vintage (1 yr diff), 100 units, 1.5 mi from subject. Same income-eligible renter pool.</t>
        </is>
      </c>
      <c r="AE7" s="28" t="inlineStr">
        <is>
          <t>HUD Multifamily Assisted Housing</t>
        </is>
      </c>
    </row>
    <row r="8" ht="54.75" customFormat="1" customHeight="1" s="3">
      <c r="A8" s="33" t="inlineStr">
        <is>
          <t>2</t>
        </is>
      </c>
      <c r="B8" s="33" t="inlineStr">
        <is>
          <t>AFFORDABLE</t>
        </is>
      </c>
      <c r="C8" s="34" t="inlineStr">
        <is>
          <t>Houma Gardens</t>
        </is>
      </c>
      <c r="D8" s="33" t="inlineStr">
        <is>
          <t>1200 Grand Caillou Rd</t>
        </is>
      </c>
      <c r="E8" s="33" t="inlineStr">
        <is>
          <t>Houma</t>
        </is>
      </c>
      <c r="F8" s="33" t="inlineStr">
        <is>
          <t>LA</t>
        </is>
      </c>
      <c r="G8" s="33" t="inlineStr">
        <is>
          <t>70363</t>
        </is>
      </c>
      <c r="H8" s="33" t="inlineStr">
        <is>
          <t>18.0 mi</t>
        </is>
      </c>
      <c r="I8" s="33" t="inlineStr">
        <is>
          <t>$2,368</t>
        </is>
      </c>
      <c r="J8" s="33" t="inlineStr">
        <is>
          <t>$2,842</t>
        </is>
      </c>
      <c r="K8" s="30" t="inlineStr">
        <is>
          <t>$739</t>
        </is>
      </c>
      <c r="L8" s="31" t="inlineStr">
        <is>
          <t>Not Listed</t>
        </is>
      </c>
      <c r="M8" s="33" t="inlineStr">
        <is>
          <t>$2,841</t>
        </is>
      </c>
      <c r="N8" s="33" t="inlineStr">
        <is>
          <t>$3,410</t>
        </is>
      </c>
      <c r="O8" s="30" t="inlineStr">
        <is>
          <t>$1,012</t>
        </is>
      </c>
      <c r="P8" s="31" t="inlineStr">
        <is>
          <t>Not Listed</t>
        </is>
      </c>
      <c r="Q8" s="33" t="inlineStr">
        <is>
          <t>$3,154</t>
        </is>
      </c>
      <c r="R8" s="33" t="inlineStr">
        <is>
          <t>$3,785</t>
        </is>
      </c>
      <c r="S8" s="30" t="inlineStr">
        <is>
          <t>$1,264</t>
        </is>
      </c>
      <c r="T8" s="31" t="inlineStr">
        <is>
          <t>Not Listed</t>
        </is>
      </c>
      <c r="U8" s="33" t="inlineStr">
        <is>
          <t>120</t>
        </is>
      </c>
      <c r="V8" s="33" t="inlineStr">
        <is>
          <t>1975</t>
        </is>
      </c>
      <c r="W8" s="33" t="inlineStr">
        <is>
          <t>0</t>
        </is>
      </c>
      <c r="X8" s="33" t="inlineStr">
        <is>
          <t>Yes</t>
        </is>
      </c>
      <c r="Y8" s="33" t="inlineStr">
        <is>
          <t>No</t>
        </is>
      </c>
      <c r="Z8" s="33" t="inlineStr">
        <is>
          <t>No</t>
        </is>
      </c>
      <c r="AA8" s="33" t="inlineStr">
        <is>
          <t>No</t>
        </is>
      </c>
      <c r="AB8" s="33" t="inlineStr">
        <is>
          <t>No</t>
        </is>
      </c>
      <c r="AC8" s="93" t="inlineStr">
        <is>
          <t>MODERATE-HIGH</t>
        </is>
      </c>
      <c r="AD8" s="34" t="inlineStr">
        <is>
          <t>Affordable Comp #2: Section 8/HUD property, 1975 vintage (0 yr diff), 120 units, 18.0 mi from subject. Same income-eligible renter pool.</t>
        </is>
      </c>
      <c r="AE8" s="33" t="inlineStr">
        <is>
          <t>HUD Multifamily Assisted Housing</t>
        </is>
      </c>
    </row>
    <row r="9" ht="54.75" customFormat="1" customHeight="1" s="3">
      <c r="A9" s="36" t="inlineStr">
        <is>
          <t>3</t>
        </is>
      </c>
      <c r="B9" s="36" t="inlineStr">
        <is>
          <t>AFFORDABLE</t>
        </is>
      </c>
      <c r="C9" s="37" t="inlineStr">
        <is>
          <t>Morgan City Manor</t>
        </is>
      </c>
      <c r="D9" s="36" t="inlineStr">
        <is>
          <t>700 Brashear Ave</t>
        </is>
      </c>
      <c r="E9" s="36" t="inlineStr">
        <is>
          <t>Morgan City</t>
        </is>
      </c>
      <c r="F9" s="36" t="inlineStr">
        <is>
          <t>LA</t>
        </is>
      </c>
      <c r="G9" s="36" t="inlineStr">
        <is>
          <t>70380</t>
        </is>
      </c>
      <c r="H9" s="36" t="inlineStr">
        <is>
          <t>42.0 mi</t>
        </is>
      </c>
      <c r="I9" s="36" t="inlineStr">
        <is>
          <t>$2,368</t>
        </is>
      </c>
      <c r="J9" s="36" t="inlineStr">
        <is>
          <t>$2,842</t>
        </is>
      </c>
      <c r="K9" s="30" t="inlineStr">
        <is>
          <t>$739</t>
        </is>
      </c>
      <c r="L9" s="31" t="inlineStr">
        <is>
          <t>$670</t>
        </is>
      </c>
      <c r="M9" s="36" t="inlineStr">
        <is>
          <t>$2,841</t>
        </is>
      </c>
      <c r="N9" s="36" t="inlineStr">
        <is>
          <t>$3,410</t>
        </is>
      </c>
      <c r="O9" s="30" t="inlineStr">
        <is>
          <t>$1,012</t>
        </is>
      </c>
      <c r="P9" s="31" t="inlineStr">
        <is>
          <t>$924</t>
        </is>
      </c>
      <c r="Q9" s="36" t="inlineStr">
        <is>
          <t>$3,154</t>
        </is>
      </c>
      <c r="R9" s="36" t="inlineStr">
        <is>
          <t>$3,785</t>
        </is>
      </c>
      <c r="S9" s="30" t="inlineStr">
        <is>
          <t>$1,264</t>
        </is>
      </c>
      <c r="T9" s="31" t="inlineStr">
        <is>
          <t>Not Listed</t>
        </is>
      </c>
      <c r="U9" s="36" t="inlineStr">
        <is>
          <t>96</t>
        </is>
      </c>
      <c r="V9" s="36" t="inlineStr">
        <is>
          <t>1977</t>
        </is>
      </c>
      <c r="W9" s="36" t="inlineStr">
        <is>
          <t>2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80" t="inlineStr">
        <is>
          <t>MODERATE</t>
        </is>
      </c>
      <c r="AD9" s="37" t="inlineStr">
        <is>
          <t>Affordable Comp #3: Section 8/HUD property, 1977 vintage (2 yr diff), 96 units, 42.0 mi from subject. Same income-eligible renter pool.</t>
        </is>
      </c>
      <c r="AE9" s="36" t="inlineStr">
        <is>
          <t>HUD Multifamily Assisted Housing</t>
        </is>
      </c>
    </row>
    <row r="10" ht="54.75" customFormat="1" customHeight="1" s="3">
      <c r="A10" s="28" t="inlineStr">
        <is>
          <t>4</t>
        </is>
      </c>
      <c r="B10" s="28" t="inlineStr">
        <is>
          <t>AFFORDABLE</t>
        </is>
      </c>
      <c r="C10" s="29" t="inlineStr">
        <is>
          <t>Lafourche Parish Housing Authority - Lockport Homes</t>
        </is>
      </c>
      <c r="D10" s="28" t="inlineStr">
        <is>
          <t>200 Main St</t>
        </is>
      </c>
      <c r="E10" s="28" t="inlineStr">
        <is>
          <t>Lockport</t>
        </is>
      </c>
      <c r="F10" s="28" t="inlineStr">
        <is>
          <t>LA</t>
        </is>
      </c>
      <c r="G10" s="28" t="inlineStr">
        <is>
          <t>70374</t>
        </is>
      </c>
      <c r="H10" s="28" t="inlineStr">
        <is>
          <t>12.0 mi</t>
        </is>
      </c>
      <c r="I10" s="28" t="inlineStr">
        <is>
          <t>$2,368</t>
        </is>
      </c>
      <c r="J10" s="28" t="inlineStr">
        <is>
          <t>$2,842</t>
        </is>
      </c>
      <c r="K10" s="30" t="inlineStr">
        <is>
          <t>$739</t>
        </is>
      </c>
      <c r="L10" s="31" t="inlineStr">
        <is>
          <t>Not Listed</t>
        </is>
      </c>
      <c r="M10" s="28" t="inlineStr">
        <is>
          <t>$2,841</t>
        </is>
      </c>
      <c r="N10" s="28" t="inlineStr">
        <is>
          <t>$3,410</t>
        </is>
      </c>
      <c r="O10" s="30" t="inlineStr">
        <is>
          <t>$1,012</t>
        </is>
      </c>
      <c r="P10" s="31" t="inlineStr">
        <is>
          <t>Not Listed</t>
        </is>
      </c>
      <c r="Q10" s="28" t="inlineStr">
        <is>
          <t>$3,154</t>
        </is>
      </c>
      <c r="R10" s="28" t="inlineStr">
        <is>
          <t>$3,785</t>
        </is>
      </c>
      <c r="S10" s="30" t="inlineStr">
        <is>
          <t>$1,264</t>
        </is>
      </c>
      <c r="T10" s="31" t="inlineStr">
        <is>
          <t>Not Listed</t>
        </is>
      </c>
      <c r="U10" s="28" t="inlineStr">
        <is>
          <t>88</t>
        </is>
      </c>
      <c r="V10" s="28" t="inlineStr">
        <is>
          <t>1976</t>
        </is>
      </c>
      <c r="W10" s="28" t="inlineStr">
        <is>
          <t>1</t>
        </is>
      </c>
      <c r="X10" s="28" t="inlineStr">
        <is>
          <t>Yes</t>
        </is>
      </c>
      <c r="Y10" s="28" t="inlineStr">
        <is>
          <t>No</t>
        </is>
      </c>
      <c r="Z10" s="28" t="inlineStr">
        <is>
          <t>No</t>
        </is>
      </c>
      <c r="AA10" s="28" t="inlineStr">
        <is>
          <t>No</t>
        </is>
      </c>
      <c r="AB10" s="28" t="inlineStr">
        <is>
          <t>No</t>
        </is>
      </c>
      <c r="AC10" s="32" t="inlineStr">
        <is>
          <t>HIGH</t>
        </is>
      </c>
      <c r="AD10" s="29" t="inlineStr">
        <is>
          <t>Affordable Comp #4: Public Housing/HUD property, 1976 vintage (1 yr diff), 88 units, 12.0 mi from subject. Same income-eligible renter pool.</t>
        </is>
      </c>
      <c r="AE10" s="28" t="inlineStr">
        <is>
          <t>Lafourche Parish Housing Authority</t>
        </is>
      </c>
    </row>
    <row r="11" ht="54.75" customFormat="1" customHeight="1" s="3">
      <c r="A11" s="39" t="inlineStr">
        <is>
          <t>1</t>
        </is>
      </c>
      <c r="B11" s="39" t="inlineStr">
        <is>
          <t>MARKET RATE</t>
        </is>
      </c>
      <c r="C11" s="40" t="inlineStr">
        <is>
          <t>Thibodaux Market Rate (FMR Benchmark)</t>
        </is>
      </c>
      <c r="D11" s="39" t="inlineStr">
        <is>
          <t>Thibodaux, LA area</t>
        </is>
      </c>
      <c r="E11" s="39" t="inlineStr">
        <is>
          <t>LA area</t>
        </is>
      </c>
      <c r="F11" s="39" t="inlineStr">
        <is>
          <t>LA</t>
        </is>
      </c>
      <c r="G11" s="39" t="n"/>
      <c r="H11" s="39" t="inlineStr">
        <is>
          <t>N/A</t>
        </is>
      </c>
      <c r="I11" s="39" t="inlineStr">
        <is>
          <t>N/A (Market Rate)</t>
        </is>
      </c>
      <c r="J11" s="39" t="inlineStr">
        <is>
          <t>N/A (Market Rate)</t>
        </is>
      </c>
      <c r="K11" s="30" t="inlineStr">
        <is>
          <t>$739</t>
        </is>
      </c>
      <c r="L11" s="31" t="inlineStr">
        <is>
          <t>$850</t>
        </is>
      </c>
      <c r="M11" s="39" t="inlineStr">
        <is>
          <t>N/A (Market Rate)</t>
        </is>
      </c>
      <c r="N11" s="39" t="inlineStr">
        <is>
          <t>N/A (Market Rate)</t>
        </is>
      </c>
      <c r="O11" s="30" t="inlineStr">
        <is>
          <t>$1,012</t>
        </is>
      </c>
      <c r="P11" s="31" t="inlineStr">
        <is>
          <t>$1,050</t>
        </is>
      </c>
      <c r="Q11" s="39" t="inlineStr">
        <is>
          <t>N/A (Market Rate)</t>
        </is>
      </c>
      <c r="R11" s="39" t="inlineStr">
        <is>
          <t>N/A (Market Rate)</t>
        </is>
      </c>
      <c r="S11" s="30" t="inlineStr">
        <is>
          <t>$1,264</t>
        </is>
      </c>
      <c r="T11" s="31" t="inlineStr">
        <is>
          <t>$1,300</t>
        </is>
      </c>
      <c r="U11" s="39" t="inlineStr">
        <is>
          <t>N/A</t>
        </is>
      </c>
      <c r="V11" s="39" t="inlineStr">
        <is>
          <t>1975</t>
        </is>
      </c>
      <c r="W11" s="39" t="inlineStr">
        <is>
          <t>0</t>
        </is>
      </c>
      <c r="X11" s="39" t="inlineStr">
        <is>
          <t>Varies</t>
        </is>
      </c>
      <c r="Y11" s="39" t="inlineStr">
        <is>
          <t>Varies</t>
        </is>
      </c>
      <c r="Z11" s="39" t="inlineStr">
        <is>
          <t>Varies</t>
        </is>
      </c>
      <c r="AA11" s="39" t="inlineStr">
        <is>
          <t>Varies</t>
        </is>
      </c>
      <c r="AB11" s="39" t="inlineStr">
        <is>
          <t>Varies</t>
        </is>
      </c>
      <c r="AC11" s="41" t="inlineStr">
        <is>
          <t>HIGH</t>
        </is>
      </c>
      <c r="AD11" s="40" t="inlineStr">
        <is>
          <t>Market Rate Comp #1: No income restrictions, 1975 vintage (0 yr diff), N/A units, N/A from subject. Shows market-rate rents vs. affordable housing discount.</t>
        </is>
      </c>
      <c r="AE11" s="39" t="inlineStr">
        <is>
          <t>HUD FY2026 FMR - Lafourche Parish, LA (limited market rate listings for 1965-1985 vintage)</t>
        </is>
      </c>
    </row>
    <row r="12" ht="54.75" customFormat="1" customHeight="1" s="3">
      <c r="A12" s="42" t="inlineStr">
        <is>
          <t>2</t>
        </is>
      </c>
      <c r="B12" s="42" t="inlineStr">
        <is>
          <t>Chateau Audubon Apartments</t>
        </is>
      </c>
      <c r="C12" s="43" t="inlineStr">
        <is>
          <t>106 Beham Ct, Thibodaux, LA 70301</t>
        </is>
      </c>
      <c r="D12" s="42" t="inlineStr">
        <is>
          <t>Houma, LA area</t>
        </is>
      </c>
      <c r="E12" s="42" t="inlineStr">
        <is>
          <t>LA area</t>
        </is>
      </c>
      <c r="F12" s="42" t="inlineStr">
        <is>
          <t>LA</t>
        </is>
      </c>
      <c r="G12" s="42" t="n"/>
      <c r="H12" s="42" t="inlineStr">
        <is>
          <t>20.0 mi</t>
        </is>
      </c>
      <c r="I12" s="42" t="inlineStr">
        <is>
          <t>N/A (Market Rate)</t>
        </is>
      </c>
      <c r="J12" s="42" t="inlineStr">
        <is>
          <t>N/A (Market Rate)</t>
        </is>
      </c>
      <c r="K12" s="30" t="inlineStr">
        <is>
          <t>$739</t>
        </is>
      </c>
      <c r="L12" s="31" t="inlineStr">
        <is>
          <t>$875</t>
        </is>
      </c>
      <c r="M12" s="42" t="inlineStr">
        <is>
          <t>N/A (Market Rate)</t>
        </is>
      </c>
      <c r="N12" s="42" t="inlineStr">
        <is>
          <t>N/A (Market Rate)</t>
        </is>
      </c>
      <c r="O12" s="30" t="inlineStr">
        <is>
          <t>$1,012</t>
        </is>
      </c>
      <c r="P12" s="31" t="inlineStr">
        <is>
          <t>$1,075</t>
        </is>
      </c>
      <c r="Q12" s="42" t="inlineStr">
        <is>
          <t>N/A (Market Rate)</t>
        </is>
      </c>
      <c r="R12" s="42" t="inlineStr">
        <is>
          <t>N/A (Market Rate)</t>
        </is>
      </c>
      <c r="S12" s="30" t="inlineStr">
        <is>
          <t>$1,264</t>
        </is>
      </c>
      <c r="T12" s="31" t="inlineStr">
        <is>
          <t>$1,325</t>
        </is>
      </c>
      <c r="U12" s="42" t="inlineStr">
        <is>
          <t>N/A</t>
        </is>
      </c>
      <c r="V12" s="42" t="inlineStr">
        <is>
          <t>1978</t>
        </is>
      </c>
      <c r="W12" s="42" t="inlineStr">
        <is>
          <t>3</t>
        </is>
      </c>
      <c r="X12" s="42" t="inlineStr">
        <is>
          <t>Varies</t>
        </is>
      </c>
      <c r="Y12" s="42" t="inlineStr">
        <is>
          <t>Varies</t>
        </is>
      </c>
      <c r="Z12" s="42" t="inlineStr">
        <is>
          <t>Varies</t>
        </is>
      </c>
      <c r="AA12" s="42" t="inlineStr">
        <is>
          <t>Varies</t>
        </is>
      </c>
      <c r="AB12" s="42" t="inlineStr">
        <is>
          <t>Varies</t>
        </is>
      </c>
      <c r="AC12" s="82" t="inlineStr">
        <is>
          <t>MODERATE-HIGH</t>
        </is>
      </c>
      <c r="AD12" s="43" t="inlineStr">
        <is>
          <t>Market Rate Comp #2: No income restrictions, 1978 vintage (3 yr diff), N/A units, 20.0 mi from subject. Shows market-rate rents vs. affordable housing discount.</t>
        </is>
      </c>
      <c r="AE12" s="42" t="inlineStr">
        <is>
          <t>HUD FY2026 FMR - Terrebonne Parish, LA</t>
        </is>
      </c>
    </row>
    <row r="13" ht="54.75" customFormat="1" customHeight="1" s="3">
      <c r="A13" s="45" t="inlineStr">
        <is>
          <t>3</t>
        </is>
      </c>
      <c r="B13" s="45" t="inlineStr">
        <is>
          <t>Bayou Reserve</t>
        </is>
      </c>
      <c r="C13" s="46" t="inlineStr">
        <is>
          <t>2464 Talbot Ave, Thibodaux, LA 70301</t>
        </is>
      </c>
      <c r="D13" s="45" t="inlineStr">
        <is>
          <t>Houma, LA area</t>
        </is>
      </c>
      <c r="E13" s="45" t="inlineStr">
        <is>
          <t>LA area</t>
        </is>
      </c>
      <c r="F13" s="45" t="inlineStr">
        <is>
          <t>LA</t>
        </is>
      </c>
      <c r="G13" s="45" t="n"/>
      <c r="H13" s="45" t="inlineStr">
        <is>
          <t>22.0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0" t="inlineStr">
        <is>
          <t>$739</t>
        </is>
      </c>
      <c r="L13" s="31" t="inlineStr">
        <is>
          <t>$875</t>
        </is>
      </c>
      <c r="M13" s="45" t="inlineStr">
        <is>
          <t>N/A (Market Rate)</t>
        </is>
      </c>
      <c r="N13" s="45" t="inlineStr">
        <is>
          <t>N/A (Market Rate)</t>
        </is>
      </c>
      <c r="O13" s="30" t="inlineStr">
        <is>
          <t>$1,012</t>
        </is>
      </c>
      <c r="P13" s="31" t="inlineStr">
        <is>
          <t>$1,075</t>
        </is>
      </c>
      <c r="Q13" s="45" t="inlineStr">
        <is>
          <t>N/A (Market Rate)</t>
        </is>
      </c>
      <c r="R13" s="45" t="inlineStr">
        <is>
          <t>N/A (Market Rate)</t>
        </is>
      </c>
      <c r="S13" s="30" t="inlineStr">
        <is>
          <t>$1,264</t>
        </is>
      </c>
      <c r="T13" s="31" t="inlineStr">
        <is>
          <t>$1,325</t>
        </is>
      </c>
      <c r="U13" s="45" t="inlineStr">
        <is>
          <t>N/A</t>
        </is>
      </c>
      <c r="V13" s="45" t="inlineStr">
        <is>
          <t>1972</t>
        </is>
      </c>
      <c r="W13" s="45" t="inlineStr">
        <is>
          <t>3</t>
        </is>
      </c>
      <c r="X13" s="45" t="inlineStr">
        <is>
          <t>Varies</t>
        </is>
      </c>
      <c r="Y13" s="45" t="inlineStr">
        <is>
          <t>Varies</t>
        </is>
      </c>
      <c r="Z13" s="45" t="inlineStr">
        <is>
          <t>Varies</t>
        </is>
      </c>
      <c r="AA13" s="45" t="inlineStr">
        <is>
          <t>Varies</t>
        </is>
      </c>
      <c r="AB13" s="45" t="inlineStr">
        <is>
          <t>Varies</t>
        </is>
      </c>
      <c r="AC13" s="83" t="inlineStr">
        <is>
          <t>MODERATE-HIGH</t>
        </is>
      </c>
      <c r="AD13" s="46" t="inlineStr">
        <is>
          <t>Market Rate Comp #3: No income restrictions, 1972 vintage (3 yr diff), N/A units, 22.0 mi from subject. Shows market-rate rents vs. affordable housing discount.</t>
        </is>
      </c>
      <c r="AE13" s="45" t="inlineStr">
        <is>
          <t>HUD FY2026 FMR - Terrebonne Parish, LA</t>
        </is>
      </c>
    </row>
    <row r="14" ht="54.75" customFormat="1" customHeight="1" s="3">
      <c r="A14" s="39" t="inlineStr">
        <is>
          <t>4</t>
        </is>
      </c>
      <c r="B14" s="39" t="inlineStr">
        <is>
          <t>Acadia Villas Apartment Homes</t>
        </is>
      </c>
      <c r="C14" s="40" t="inlineStr">
        <is>
          <t>624 Percy Rd, Thibodaux, LA 70301</t>
        </is>
      </c>
      <c r="D14" s="39" t="inlineStr">
        <is>
          <t>Thibodaux, LA area</t>
        </is>
      </c>
      <c r="E14" s="39" t="inlineStr">
        <is>
          <t>LA area</t>
        </is>
      </c>
      <c r="F14" s="39" t="inlineStr">
        <is>
          <t>LA</t>
        </is>
      </c>
      <c r="G14" s="39" t="n"/>
      <c r="H14" s="39" t="inlineStr">
        <is>
          <t>N/A</t>
        </is>
      </c>
      <c r="I14" s="39" t="inlineStr">
        <is>
          <t>N/A (Market Rate)</t>
        </is>
      </c>
      <c r="J14" s="39" t="inlineStr">
        <is>
          <t>N/A (Market Rate)</t>
        </is>
      </c>
      <c r="K14" s="30" t="inlineStr">
        <is>
          <t>$739</t>
        </is>
      </c>
      <c r="L14" s="31" t="inlineStr">
        <is>
          <t>$850</t>
        </is>
      </c>
      <c r="M14" s="39" t="inlineStr">
        <is>
          <t>N/A (Market Rate)</t>
        </is>
      </c>
      <c r="N14" s="39" t="inlineStr">
        <is>
          <t>N/A (Market Rate)</t>
        </is>
      </c>
      <c r="O14" s="30" t="inlineStr">
        <is>
          <t>$1,012</t>
        </is>
      </c>
      <c r="P14" s="31" t="inlineStr">
        <is>
          <t>$1,050</t>
        </is>
      </c>
      <c r="Q14" s="39" t="inlineStr">
        <is>
          <t>N/A (Market Rate)</t>
        </is>
      </c>
      <c r="R14" s="39" t="inlineStr">
        <is>
          <t>N/A (Market Rate)</t>
        </is>
      </c>
      <c r="S14" s="30" t="inlineStr">
        <is>
          <t>$1,264</t>
        </is>
      </c>
      <c r="T14" s="31" t="inlineStr">
        <is>
          <t>$1,300</t>
        </is>
      </c>
      <c r="U14" s="39" t="inlineStr">
        <is>
          <t>N/A</t>
        </is>
      </c>
      <c r="V14" s="39" t="inlineStr">
        <is>
          <t>1978</t>
        </is>
      </c>
      <c r="W14" s="39" t="inlineStr">
        <is>
          <t>3</t>
        </is>
      </c>
      <c r="X14" s="39" t="inlineStr">
        <is>
          <t>Varies</t>
        </is>
      </c>
      <c r="Y14" s="39" t="inlineStr">
        <is>
          <t>Varies</t>
        </is>
      </c>
      <c r="Z14" s="39" t="inlineStr">
        <is>
          <t>Varies</t>
        </is>
      </c>
      <c r="AA14" s="39" t="inlineStr">
        <is>
          <t>Varies</t>
        </is>
      </c>
      <c r="AB14" s="39" t="inlineStr">
        <is>
          <t>Varies</t>
        </is>
      </c>
      <c r="AC14" s="41" t="inlineStr">
        <is>
          <t>HIGH</t>
        </is>
      </c>
      <c r="AD14" s="40" t="inlineStr">
        <is>
          <t>Market Rate Comp #4: No income restrictions, 1978 vintage (3 yr diff), N/A units, N/A from subject. Shows market-rate rents vs. affordable housing discount.</t>
        </is>
      </c>
      <c r="AE14" s="39" t="inlineStr">
        <is>
          <t>HUD FY2026 FMR - Lafourche Parish, LA</t>
        </is>
      </c>
    </row>
    <row r="15" ht="54.75" customFormat="1" customHeight="1" s="3">
      <c r="A15" s="48" t="inlineStr">
        <is>
          <t>—</t>
        </is>
      </c>
      <c r="B15" s="48" t="inlineStr">
        <is>
          <t>BENCHMARK</t>
        </is>
      </c>
      <c r="C15" s="49" t="inlineStr">
        <is>
          <t>FY2026 FMR — Lafourche Parish, LA</t>
        </is>
      </c>
      <c r="D15" s="48" t="inlineStr">
        <is>
          <t>N/A</t>
        </is>
      </c>
      <c r="E15" s="48" t="inlineStr">
        <is>
          <t>Thibodaux</t>
        </is>
      </c>
      <c r="F15" s="48" t="inlineStr">
        <is>
          <t>LA</t>
        </is>
      </c>
      <c r="G15" s="48" t="inlineStr">
        <is>
          <t>N/A</t>
        </is>
      </c>
      <c r="H15" s="48" t="inlineStr">
        <is>
          <t>N/A</t>
        </is>
      </c>
      <c r="I15" s="48" t="inlineStr">
        <is>
          <t>$739</t>
        </is>
      </c>
      <c r="J15" s="48" t="inlineStr">
        <is>
          <t>$739</t>
        </is>
      </c>
      <c r="K15" s="30" t="inlineStr">
        <is>
          <t>$739</t>
        </is>
      </c>
      <c r="L15" s="31" t="inlineStr">
        <is>
          <t>N/A</t>
        </is>
      </c>
      <c r="M15" s="48" t="inlineStr">
        <is>
          <t>$1,012</t>
        </is>
      </c>
      <c r="N15" s="48" t="inlineStr">
        <is>
          <t>$1,012</t>
        </is>
      </c>
      <c r="O15" s="30" t="inlineStr">
        <is>
          <t>$1,012</t>
        </is>
      </c>
      <c r="P15" s="31" t="inlineStr">
        <is>
          <t>N/A</t>
        </is>
      </c>
      <c r="Q15" s="48" t="inlineStr">
        <is>
          <t>$1,264</t>
        </is>
      </c>
      <c r="R15" s="48" t="inlineStr">
        <is>
          <t>$1,264</t>
        </is>
      </c>
      <c r="S15" s="30" t="inlineStr">
        <is>
          <t>$1,264</t>
        </is>
      </c>
      <c r="T15" s="31" t="inlineStr">
        <is>
          <t>N/A</t>
        </is>
      </c>
      <c r="U15" s="48" t="inlineStr">
        <is>
          <t>N/A</t>
        </is>
      </c>
      <c r="V15" s="48" t="inlineStr">
        <is>
          <t>N/A</t>
        </is>
      </c>
      <c r="W15" s="48" t="inlineStr">
        <is>
          <t>N/A</t>
        </is>
      </c>
      <c r="X15" s="48" t="inlineStr">
        <is>
          <t>N/A</t>
        </is>
      </c>
      <c r="Y15" s="48" t="inlineStr">
        <is>
          <t>N/A</t>
        </is>
      </c>
      <c r="Z15" s="48" t="inlineStr">
        <is>
          <t>N/A</t>
        </is>
      </c>
      <c r="AA15" s="48" t="inlineStr">
        <is>
          <t>N/A</t>
        </is>
      </c>
      <c r="AB15" s="48" t="inlineStr">
        <is>
          <t>N/A</t>
        </is>
      </c>
      <c r="AC15" s="50" t="inlineStr">
        <is>
          <t>BENCHMARK</t>
        </is>
      </c>
      <c r="AD15" s="49" t="inlineStr">
        <is>
          <t>BENCHMARK — HUD Fair Market Rent (FMR) for Lafourche Parish, LA,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5" s="48" t="inlineStr">
        <is>
          <t>HUD FMR Database (huduser.gov)</t>
        </is>
      </c>
    </row>
    <row r="16" ht="54.75" customFormat="1" customHeight="1" s="3">
      <c r="A16" s="48" t="inlineStr">
        <is>
          <t>—</t>
        </is>
      </c>
      <c r="B16" s="48" t="inlineStr">
        <is>
          <t>BENCHMARK</t>
        </is>
      </c>
      <c r="C16" s="49" t="inlineStr">
        <is>
          <t>Metro Market Avg — Thibodaux</t>
        </is>
      </c>
      <c r="D16" s="48" t="inlineStr">
        <is>
          <t>N/A</t>
        </is>
      </c>
      <c r="E16" s="48" t="inlineStr">
        <is>
          <t>Thibodaux</t>
        </is>
      </c>
      <c r="F16" s="48" t="inlineStr">
        <is>
          <t>LA</t>
        </is>
      </c>
      <c r="G16" s="48" t="inlineStr">
        <is>
          <t>N/A</t>
        </is>
      </c>
      <c r="H16" s="48" t="inlineStr">
        <is>
          <t>N/A</t>
        </is>
      </c>
      <c r="I16" s="48" t="inlineStr">
        <is>
          <t>$812</t>
        </is>
      </c>
      <c r="J16" s="48" t="inlineStr">
        <is>
          <t>$812</t>
        </is>
      </c>
      <c r="K16" s="30" t="inlineStr">
        <is>
          <t>$812</t>
        </is>
      </c>
      <c r="L16" s="31" t="inlineStr">
        <is>
          <t>N/A</t>
        </is>
      </c>
      <c r="M16" s="48" t="inlineStr">
        <is>
          <t>$1,113</t>
        </is>
      </c>
      <c r="N16" s="48" t="inlineStr">
        <is>
          <t>$1,113</t>
        </is>
      </c>
      <c r="O16" s="30" t="inlineStr">
        <is>
          <t>$1,113</t>
        </is>
      </c>
      <c r="P16" s="31" t="inlineStr">
        <is>
          <t>N/A</t>
        </is>
      </c>
      <c r="Q16" s="48" t="inlineStr">
        <is>
          <t>$1,390</t>
        </is>
      </c>
      <c r="R16" s="48" t="inlineStr">
        <is>
          <t>$1,390</t>
        </is>
      </c>
      <c r="S16" s="30" t="inlineStr">
        <is>
          <t>$1,390</t>
        </is>
      </c>
      <c r="T16" s="31" t="inlineStr">
        <is>
          <t>N/A</t>
        </is>
      </c>
      <c r="U16" s="48" t="inlineStr">
        <is>
          <t>N/A</t>
        </is>
      </c>
      <c r="V16" s="48" t="inlineStr">
        <is>
          <t>N/A</t>
        </is>
      </c>
      <c r="W16" s="48" t="inlineStr">
        <is>
          <t>N/A</t>
        </is>
      </c>
      <c r="X16" s="48" t="inlineStr">
        <is>
          <t>N/A</t>
        </is>
      </c>
      <c r="Y16" s="48" t="inlineStr">
        <is>
          <t>N/A</t>
        </is>
      </c>
      <c r="Z16" s="48" t="inlineStr">
        <is>
          <t>N/A</t>
        </is>
      </c>
      <c r="AA16" s="48" t="inlineStr">
        <is>
          <t>N/A</t>
        </is>
      </c>
      <c r="AB16" s="48" t="inlineStr">
        <is>
          <t>N/A</t>
        </is>
      </c>
      <c r="AC16" s="50" t="inlineStr">
        <is>
          <t>BENCHMARK</t>
        </is>
      </c>
      <c r="AD16" s="49" t="inlineStr">
        <is>
          <t>BENCHMARK — Estimated Metro Market Average for Thibodaux,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6" s="48" t="inlineStr">
        <is>
          <t>HUD FMR + Market Estimate</t>
        </is>
      </c>
    </row>
    <row r="17" ht="8.25" customFormat="1" customHeight="1" s="3"/>
    <row r="18" ht="27.75" customFormat="1" customHeight="1" s="3">
      <c r="A18" s="51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Height="1" s="95">
      <c r="A21" s="61" t="inlineStr">
        <is>
          <t>PMTS — Vouchers / FMR / UAP / NET FMR</t>
        </is>
      </c>
      <c r="B21" s="101" t="n"/>
      <c r="C21" s="101" t="n"/>
      <c r="D21" s="101" t="n"/>
      <c r="E21" s="101" t="n"/>
      <c r="F21" s="102" t="n"/>
    </row>
    <row r="22" ht="15" customHeight="1" s="95">
      <c r="A22" s="64" t="inlineStr">
        <is>
          <t>BD</t>
        </is>
      </c>
      <c r="B22" s="65" t="inlineStr">
        <is>
          <t>MKT</t>
        </is>
      </c>
      <c r="C22" s="66" t="inlineStr">
        <is>
          <t>VCH</t>
        </is>
      </c>
      <c r="D22" s="67" t="inlineStr">
        <is>
          <t>FMR</t>
        </is>
      </c>
      <c r="E22" s="68" t="inlineStr">
        <is>
          <t>UAP</t>
        </is>
      </c>
      <c r="F22" s="69" t="inlineStr">
        <is>
          <t>NET</t>
        </is>
      </c>
    </row>
    <row r="23" ht="15" customHeight="1" s="95">
      <c r="A23" s="70" t="inlineStr">
        <is>
          <t>1BD</t>
        </is>
      </c>
      <c r="B23" s="71" t="n">
        <v>800</v>
      </c>
      <c r="C23" s="71" t="n">
        <v>800</v>
      </c>
      <c r="D23" s="71" t="n">
        <v>930</v>
      </c>
      <c r="E23" s="72" t="n">
        <v>0</v>
      </c>
      <c r="F23" s="73" t="n">
        <v>930</v>
      </c>
    </row>
    <row r="24" ht="15" customHeight="1" s="95">
      <c r="A24" s="74" t="inlineStr">
        <is>
          <t>2BD</t>
        </is>
      </c>
      <c r="B24" s="75" t="n">
        <v>900</v>
      </c>
      <c r="C24" s="75" t="n">
        <v>900</v>
      </c>
      <c r="D24" s="75" t="n">
        <v>1140</v>
      </c>
      <c r="E24" s="72" t="n">
        <v>0</v>
      </c>
      <c r="F24" s="73" t="n">
        <v>1140</v>
      </c>
    </row>
    <row r="25" ht="15" customHeight="1" s="95">
      <c r="A25" s="70" t="inlineStr">
        <is>
          <t>3BD</t>
        </is>
      </c>
      <c r="B25" s="71" t="n">
        <v>1000</v>
      </c>
      <c r="C25" s="71" t="n">
        <v>1000</v>
      </c>
      <c r="D25" s="71" t="n">
        <v>1380</v>
      </c>
      <c r="E25" s="72" t="n">
        <v>0</v>
      </c>
      <c r="F25" s="73" t="n">
        <v>1380</v>
      </c>
    </row>
    <row r="28" ht="15" customHeight="1" s="95">
      <c r="A28" s="61" t="inlineStr">
        <is>
          <t>HAP, CoStar, NET</t>
        </is>
      </c>
      <c r="B28" s="101" t="n"/>
      <c r="C28" s="102" t="n"/>
    </row>
    <row r="29" ht="15" customHeight="1" s="95">
      <c r="A29" s="64" t="n"/>
      <c r="B29" s="68" t="inlineStr">
        <is>
          <t>HAP</t>
        </is>
      </c>
      <c r="C29" s="65" t="inlineStr">
        <is>
          <t>CoStar</t>
        </is>
      </c>
    </row>
    <row r="30" ht="15" customHeight="1" s="95">
      <c r="A30" s="70" t="inlineStr">
        <is>
          <t>1BD</t>
        </is>
      </c>
      <c r="B30" s="103" t="n">
        <v>0</v>
      </c>
      <c r="C30" s="104" t="n">
        <v>926</v>
      </c>
    </row>
    <row r="31" ht="15" customHeight="1" s="95">
      <c r="A31" s="74" t="inlineStr">
        <is>
          <t>2BD</t>
        </is>
      </c>
      <c r="B31" s="103" t="n">
        <v>0</v>
      </c>
      <c r="C31" s="104" t="n">
        <v>1116</v>
      </c>
    </row>
    <row r="32" ht="15" customHeight="1" s="95">
      <c r="A32" s="70" t="inlineStr">
        <is>
          <t>3BD</t>
        </is>
      </c>
      <c r="B32" s="103" t="n">
        <v>0</v>
      </c>
      <c r="C32" s="104" t="n">
        <v>1224</v>
      </c>
    </row>
  </sheetData>
  <mergeCells count="6">
    <mergeCell ref="A28:C28"/>
    <mergeCell ref="A4:AE4"/>
    <mergeCell ref="A2:AE2"/>
    <mergeCell ref="A18:AE18"/>
    <mergeCell ref="A21:F21"/>
    <mergeCell ref="A3:AE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tabColor theme="3" tint="-0.25"/>
    <outlinePr summaryBelow="1" summaryRight="1"/>
    <pageSetUpPr/>
  </sheetPr>
  <dimension ref="A1:AB37"/>
  <sheetViews>
    <sheetView topLeftCell="A1" workbookViewId="0">
      <pane ySplit="1" topLeftCell="A5" activePane="bottomLeft" state="frozen"/>
      <selection pane="bottomLeft" activeCell="AB1" sqref="AB1"/>
    </sheetView>
  </sheetViews>
  <sheetFormatPr baseColWidth="8" defaultColWidth="9.140625" defaultRowHeight="15" customHeight="1"/>
  <cols>
    <col width="8.00390625" customWidth="1" style="3" min="1" max="1"/>
    <col width="14.00390625" customWidth="1" style="3" min="2" max="2"/>
    <col width="28.00390625" customWidth="1" style="3" min="3" max="3"/>
    <col width="22.00390625" customWidth="1" style="3" min="4" max="4"/>
    <col width="16.00390625" customWidth="1" style="3" min="5" max="5"/>
    <col width="10.00390625" customWidth="1" style="3" min="6" max="6"/>
    <col width="8.00390625" customWidth="1" style="3" min="7" max="7"/>
    <col width="11.00390625" customWidth="1" style="3" min="8" max="8"/>
    <col width="10.00390625" customWidth="1" style="3" min="9" max="11"/>
    <col width="12.00390625" customWidth="1" style="3" min="12" max="12"/>
    <col width="10.00390625" customWidth="1" style="3" min="13" max="15"/>
    <col width="12.00390625" customWidth="1" style="3" min="16" max="16"/>
    <col width="8.00390625" customWidth="1" style="3" min="17" max="17"/>
    <col width="10.00390625" customWidth="1" style="3" min="18" max="18"/>
    <col width="7.00390625" customWidth="1" style="3" min="19" max="19"/>
    <col width="12.00390625" customWidth="1" style="3" min="20" max="21"/>
    <col width="8.00390625" customWidth="1" style="3" min="22" max="23"/>
    <col width="10.00390625" customWidth="1" style="3" min="24" max="24"/>
    <col width="16.00390625" customWidth="1" style="3" min="25" max="25"/>
    <col width="45.00390625" customWidth="1" style="3" min="26" max="26"/>
    <col width="28.00390625" customWidth="1" style="3" min="27" max="27"/>
  </cols>
  <sheetData>
    <row r="1" ht="15" customHeight="1" s="95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</row>
    <row r="2" ht="24" customFormat="1" customHeight="1" s="3">
      <c r="A2" s="17" t="inlineStr">
        <is>
          <t>COMPETITIVE RENT ANALYSIS — MARRERO 3 | GREEN = Affordable Comps | BLUE = Market Rate Comps</t>
        </is>
      </c>
    </row>
    <row r="3" ht="20.25" customFormat="1" customHeight="1" s="3">
      <c r="A3" s="18" t="inlineStr">
        <is>
          <t>SUBJECT: Marrero 3 | 1050 Manhattan Blvd, Harvey, LA 70058 | 173 units | Program: Section 8/HUD | Bedroom Mix: 3BR / 4BR | County AMI: $89,800 | FMR Area: New Orleans MSA</t>
        </is>
      </c>
    </row>
    <row r="4" ht="90" customFormat="1" customHeight="1" s="3">
      <c r="A4" s="19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5" ht="30" customFormat="1" customHeight="1" s="3">
      <c r="A5" s="20" t="inlineStr">
        <is>
          <t>Rank</t>
        </is>
      </c>
      <c r="B5" s="20" t="inlineStr">
        <is>
          <t>Type</t>
        </is>
      </c>
      <c r="C5" s="20" t="inlineStr">
        <is>
          <t>Property Name</t>
        </is>
      </c>
      <c r="D5" s="20" t="inlineStr">
        <is>
          <t>Address</t>
        </is>
      </c>
      <c r="E5" s="20" t="inlineStr">
        <is>
          <t>City</t>
        </is>
      </c>
      <c r="F5" s="20" t="inlineStr">
        <is>
          <t>State</t>
        </is>
      </c>
      <c r="G5" s="20" t="inlineStr">
        <is>
          <t>ZIP</t>
        </is>
      </c>
      <c r="H5" s="20" t="inlineStr">
        <is>
          <t>Distance (mi)</t>
        </is>
      </c>
      <c r="I5" s="20" t="inlineStr">
        <is>
          <t>3BR Low ($)</t>
        </is>
      </c>
      <c r="J5" s="20" t="inlineStr">
        <is>
          <t>3BR Mid ($)</t>
        </is>
      </c>
      <c r="K5" s="21" t="inlineStr">
        <is>
          <t>3BR FMR ($)</t>
        </is>
      </c>
      <c r="L5" s="22" t="inlineStr">
        <is>
          <t>3BR Actual ($)</t>
        </is>
      </c>
      <c r="M5" s="20" t="inlineStr">
        <is>
          <t>4BR Low ($)</t>
        </is>
      </c>
      <c r="N5" s="20" t="inlineStr">
        <is>
          <t>4BR Mid ($)</t>
        </is>
      </c>
      <c r="O5" s="21" t="inlineStr">
        <is>
          <t>4BR FMR ($)</t>
        </is>
      </c>
      <c r="P5" s="22" t="inlineStr">
        <is>
          <t>4BR Actual ($)</t>
        </is>
      </c>
      <c r="Q5" s="20" t="inlineStr">
        <is>
          <t># Units</t>
        </is>
      </c>
      <c r="R5" s="20" t="inlineStr">
        <is>
          <t>Year Built</t>
        </is>
      </c>
      <c r="S5" s="20" t="inlineStr">
        <is>
          <t>Yr Diff</t>
        </is>
      </c>
      <c r="T5" s="20" t="inlineStr">
        <is>
          <t>Utilities Incl.</t>
        </is>
      </c>
      <c r="U5" s="20" t="inlineStr">
        <is>
          <t>Pet Friendly</t>
        </is>
      </c>
      <c r="V5" s="20" t="inlineStr">
        <is>
          <t>Gated</t>
        </is>
      </c>
      <c r="W5" s="20" t="inlineStr">
        <is>
          <t>Pool</t>
        </is>
      </c>
      <c r="X5" s="20" t="inlineStr">
        <is>
          <t>W/D In-Unit</t>
        </is>
      </c>
      <c r="Y5" s="20" t="inlineStr">
        <is>
          <t>Competition Level</t>
        </is>
      </c>
      <c r="Z5" s="20" t="inlineStr">
        <is>
          <t>Why Competitive</t>
        </is>
      </c>
      <c r="AA5" s="20" t="inlineStr">
        <is>
          <t>Data Source</t>
        </is>
      </c>
    </row>
    <row r="6" ht="54.75" customFormat="1" customHeight="1" s="3">
      <c r="A6" s="23" t="inlineStr">
        <is>
          <t>—</t>
        </is>
      </c>
      <c r="B6" s="23" t="inlineStr">
        <is>
          <t>SUBJECT</t>
        </is>
      </c>
      <c r="C6" s="24" t="inlineStr">
        <is>
          <t>Marrero 3 (SUBJECT)</t>
        </is>
      </c>
      <c r="D6" s="23" t="inlineStr">
        <is>
          <t>1050 Manhattan Blvd</t>
        </is>
      </c>
      <c r="E6" s="23" t="inlineStr">
        <is>
          <t>Harvey</t>
        </is>
      </c>
      <c r="F6" s="23" t="inlineStr">
        <is>
          <t>LA</t>
        </is>
      </c>
      <c r="G6" s="23" t="inlineStr">
        <is>
          <t>70058</t>
        </is>
      </c>
      <c r="H6" s="23" t="inlineStr">
        <is>
          <t>0.0 mi</t>
        </is>
      </c>
      <c r="I6" s="23" t="inlineStr">
        <is>
          <t>$3,741</t>
        </is>
      </c>
      <c r="J6" s="23" t="inlineStr">
        <is>
          <t>$4,490</t>
        </is>
      </c>
      <c r="K6" s="25" t="inlineStr">
        <is>
          <t>$1,573</t>
        </is>
      </c>
      <c r="L6" s="26" t="inlineStr">
        <is>
          <t>N/A</t>
        </is>
      </c>
      <c r="M6" s="23" t="inlineStr">
        <is>
          <t>$4,041</t>
        </is>
      </c>
      <c r="N6" s="23" t="inlineStr">
        <is>
          <t>$4,850</t>
        </is>
      </c>
      <c r="O6" s="25" t="inlineStr">
        <is>
          <t>$1,818</t>
        </is>
      </c>
      <c r="P6" s="26" t="inlineStr">
        <is>
          <t>N/A</t>
        </is>
      </c>
      <c r="Q6" s="23" t="inlineStr">
        <is>
          <t>173</t>
        </is>
      </c>
      <c r="R6" s="23" t="inlineStr">
        <is>
          <t>1968</t>
        </is>
      </c>
      <c r="S6" s="23" t="inlineStr">
        <is>
          <t>0</t>
        </is>
      </c>
      <c r="T6" s="23" t="inlineStr">
        <is>
          <t>Yes</t>
        </is>
      </c>
      <c r="U6" s="23" t="inlineStr">
        <is>
          <t>No</t>
        </is>
      </c>
      <c r="V6" s="23" t="inlineStr">
        <is>
          <t>No</t>
        </is>
      </c>
      <c r="W6" s="23" t="inlineStr">
        <is>
          <t>No</t>
        </is>
      </c>
      <c r="X6" s="23" t="inlineStr">
        <is>
          <t>No</t>
        </is>
      </c>
      <c r="Y6" s="27" t="inlineStr">
        <is>
          <t>SUBJECT</t>
        </is>
      </c>
      <c r="Z6" s="24" t="inlineStr">
        <is>
          <t>173 units | Section 8/HUD property. Year built: 1968. Subject property for market context.</t>
        </is>
      </c>
      <c r="AA6" s="23" t="inlineStr">
        <is>
          <t>Apartment Corp Records</t>
        </is>
      </c>
    </row>
    <row r="7" ht="54.75" customFormat="1" customHeight="1" s="3">
      <c r="A7" s="28" t="inlineStr">
        <is>
          <t>1</t>
        </is>
      </c>
      <c r="B7" s="28" t="inlineStr">
        <is>
          <t>AFFORDABLE</t>
        </is>
      </c>
      <c r="C7" s="29" t="inlineStr">
        <is>
          <t>Westchase Apartments</t>
        </is>
      </c>
      <c r="D7" s="28" t="inlineStr">
        <is>
          <t>1013 Manhattan Blvd</t>
        </is>
      </c>
      <c r="E7" s="28" t="inlineStr">
        <is>
          <t>Harvey</t>
        </is>
      </c>
      <c r="F7" s="28" t="inlineStr">
        <is>
          <t>LA</t>
        </is>
      </c>
      <c r="G7" s="28" t="inlineStr">
        <is>
          <t>70058</t>
        </is>
      </c>
      <c r="H7" s="28" t="inlineStr">
        <is>
          <t>0.3 mi</t>
        </is>
      </c>
      <c r="I7" s="28" t="inlineStr">
        <is>
          <t>$3,741</t>
        </is>
      </c>
      <c r="J7" s="28" t="inlineStr">
        <is>
          <t>$4,490</t>
        </is>
      </c>
      <c r="K7" s="30" t="inlineStr">
        <is>
          <t>$1,573</t>
        </is>
      </c>
      <c r="L7" s="31" t="inlineStr">
        <is>
          <t>Not Listed</t>
        </is>
      </c>
      <c r="M7" s="28" t="inlineStr">
        <is>
          <t>$4,041</t>
        </is>
      </c>
      <c r="N7" s="28" t="inlineStr">
        <is>
          <t>$4,850</t>
        </is>
      </c>
      <c r="O7" s="30" t="inlineStr">
        <is>
          <t>$1,818</t>
        </is>
      </c>
      <c r="P7" s="31" t="inlineStr">
        <is>
          <t>Not Listed</t>
        </is>
      </c>
      <c r="Q7" s="28" t="inlineStr">
        <is>
          <t>200</t>
        </is>
      </c>
      <c r="R7" s="28" t="inlineStr">
        <is>
          <t>1970</t>
        </is>
      </c>
      <c r="S7" s="28" t="inlineStr">
        <is>
          <t>2</t>
        </is>
      </c>
      <c r="T7" s="28" t="inlineStr">
        <is>
          <t>Yes</t>
        </is>
      </c>
      <c r="U7" s="28" t="inlineStr">
        <is>
          <t>No</t>
        </is>
      </c>
      <c r="V7" s="28" t="inlineStr">
        <is>
          <t>No</t>
        </is>
      </c>
      <c r="W7" s="28" t="inlineStr">
        <is>
          <t>No</t>
        </is>
      </c>
      <c r="X7" s="28" t="inlineStr">
        <is>
          <t>No</t>
        </is>
      </c>
      <c r="Y7" s="32" t="inlineStr">
        <is>
          <t>HIGH</t>
        </is>
      </c>
      <c r="Z7" s="29" t="inlineStr">
        <is>
          <t>Affordable Comp #1: Section 8/HUD property, 1970 vintage (2 yr diff), 200 units, 0.3 mi from subject. Same income-eligible renter pool.</t>
        </is>
      </c>
      <c r="AA7" s="28" t="inlineStr">
        <is>
          <t>AffordableHousingOnline.com</t>
        </is>
      </c>
    </row>
    <row r="8" ht="54.75" customFormat="1" customHeight="1" s="3">
      <c r="A8" s="33" t="inlineStr">
        <is>
          <t>2</t>
        </is>
      </c>
      <c r="B8" s="33" t="inlineStr">
        <is>
          <t>AFFORDABLE</t>
        </is>
      </c>
      <c r="C8" s="34" t="inlineStr">
        <is>
          <t>Gretna Manor Apartments</t>
        </is>
      </c>
      <c r="D8" s="33" t="inlineStr">
        <is>
          <t>400 Huey P Long Ave</t>
        </is>
      </c>
      <c r="E8" s="33" t="inlineStr">
        <is>
          <t>Gretna</t>
        </is>
      </c>
      <c r="F8" s="33" t="inlineStr">
        <is>
          <t>LA</t>
        </is>
      </c>
      <c r="G8" s="33" t="inlineStr">
        <is>
          <t>70053</t>
        </is>
      </c>
      <c r="H8" s="33" t="inlineStr">
        <is>
          <t>3.5 mi</t>
        </is>
      </c>
      <c r="I8" s="33" t="inlineStr">
        <is>
          <t>$3,741</t>
        </is>
      </c>
      <c r="J8" s="33" t="inlineStr">
        <is>
          <t>$4,490</t>
        </is>
      </c>
      <c r="K8" s="30" t="inlineStr">
        <is>
          <t>$1,573</t>
        </is>
      </c>
      <c r="L8" s="31" t="inlineStr">
        <is>
          <t>Not Listed</t>
        </is>
      </c>
      <c r="M8" s="33" t="inlineStr">
        <is>
          <t>$4,041</t>
        </is>
      </c>
      <c r="N8" s="33" t="inlineStr">
        <is>
          <t>$4,850</t>
        </is>
      </c>
      <c r="O8" s="30" t="inlineStr">
        <is>
          <t>$1,818</t>
        </is>
      </c>
      <c r="P8" s="31" t="inlineStr">
        <is>
          <t>Not Listed</t>
        </is>
      </c>
      <c r="Q8" s="33" t="inlineStr">
        <is>
          <t>180</t>
        </is>
      </c>
      <c r="R8" s="33" t="inlineStr">
        <is>
          <t>1972</t>
        </is>
      </c>
      <c r="S8" s="33" t="inlineStr">
        <is>
          <t>4</t>
        </is>
      </c>
      <c r="T8" s="33" t="inlineStr">
        <is>
          <t>Yes</t>
        </is>
      </c>
      <c r="U8" s="33" t="inlineStr">
        <is>
          <t>No</t>
        </is>
      </c>
      <c r="V8" s="33" t="inlineStr">
        <is>
          <t>No</t>
        </is>
      </c>
      <c r="W8" s="33" t="inlineStr">
        <is>
          <t>No</t>
        </is>
      </c>
      <c r="X8" s="33" t="inlineStr">
        <is>
          <t>No</t>
        </is>
      </c>
      <c r="Y8" s="35" t="inlineStr">
        <is>
          <t>HIGH</t>
        </is>
      </c>
      <c r="Z8" s="34" t="inlineStr">
        <is>
          <t>Affordable Comp #2: Section 8/HUD property, 1972 vintage (4 yr diff), 180 units, 3.5 mi from subject. Same income-eligible renter pool.</t>
        </is>
      </c>
      <c r="AA8" s="33" t="inlineStr">
        <is>
          <t>HUD Multifamily Assisted Housing</t>
        </is>
      </c>
    </row>
    <row r="9" ht="54.75" customFormat="1" customHeight="1" s="3">
      <c r="A9" s="36" t="inlineStr">
        <is>
          <t>3</t>
        </is>
      </c>
      <c r="B9" s="36" t="inlineStr">
        <is>
          <t>AFFORDABLE</t>
        </is>
      </c>
      <c r="C9" s="37" t="inlineStr">
        <is>
          <t>New Orleans East Apartments</t>
        </is>
      </c>
      <c r="D9" s="36" t="inlineStr">
        <is>
          <t>6000 Read Blvd</t>
        </is>
      </c>
      <c r="E9" s="36" t="inlineStr">
        <is>
          <t>New Orleans</t>
        </is>
      </c>
      <c r="F9" s="36" t="inlineStr">
        <is>
          <t>LA</t>
        </is>
      </c>
      <c r="G9" s="36" t="inlineStr">
        <is>
          <t>70127</t>
        </is>
      </c>
      <c r="H9" s="36" t="inlineStr">
        <is>
          <t>12.0 mi</t>
        </is>
      </c>
      <c r="I9" s="36" t="inlineStr">
        <is>
          <t>$3,741</t>
        </is>
      </c>
      <c r="J9" s="36" t="inlineStr">
        <is>
          <t>$4,490</t>
        </is>
      </c>
      <c r="K9" s="30" t="inlineStr">
        <is>
          <t>$1,573</t>
        </is>
      </c>
      <c r="L9" s="31" t="inlineStr">
        <is>
          <t>Not Listed</t>
        </is>
      </c>
      <c r="M9" s="36" t="inlineStr">
        <is>
          <t>$4,041</t>
        </is>
      </c>
      <c r="N9" s="36" t="inlineStr">
        <is>
          <t>$4,850</t>
        </is>
      </c>
      <c r="O9" s="30" t="inlineStr">
        <is>
          <t>$1,818</t>
        </is>
      </c>
      <c r="P9" s="31" t="inlineStr">
        <is>
          <t>Not Listed</t>
        </is>
      </c>
      <c r="Q9" s="36" t="inlineStr">
        <is>
          <t>160</t>
        </is>
      </c>
      <c r="R9" s="36" t="inlineStr">
        <is>
          <t>1970</t>
        </is>
      </c>
      <c r="S9" s="36" t="inlineStr">
        <is>
          <t>2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85" t="inlineStr">
        <is>
          <t>HIGH</t>
        </is>
      </c>
      <c r="Z9" s="37" t="inlineStr">
        <is>
          <t>Affordable Comp #3: Section 8/HUD property, 1970 vintage (2 yr diff), 160 units, 12.0 mi from subject. Same income-eligible renter pool.</t>
        </is>
      </c>
      <c r="AA9" s="36" t="inlineStr">
        <is>
          <t>HUD Multifamily Assisted Housing</t>
        </is>
      </c>
    </row>
    <row r="10" ht="54.75" customFormat="1" customHeight="1" s="3">
      <c r="A10" s="28" t="inlineStr">
        <is>
          <t>4</t>
        </is>
      </c>
      <c r="B10" s="28" t="inlineStr">
        <is>
          <t>AFFORDABLE</t>
        </is>
      </c>
      <c r="C10" s="29" t="inlineStr">
        <is>
          <t>Jefferson Parish Housing Authority - Woodmere Homes</t>
        </is>
      </c>
      <c r="D10" s="28" t="inlineStr">
        <is>
          <t>1200 Woodmere Blvd</t>
        </is>
      </c>
      <c r="E10" s="28" t="inlineStr">
        <is>
          <t>Harvey</t>
        </is>
      </c>
      <c r="F10" s="28" t="inlineStr">
        <is>
          <t>LA</t>
        </is>
      </c>
      <c r="G10" s="28" t="inlineStr">
        <is>
          <t>70058</t>
        </is>
      </c>
      <c r="H10" s="28" t="inlineStr">
        <is>
          <t>2.1 mi</t>
        </is>
      </c>
      <c r="I10" s="28" t="inlineStr">
        <is>
          <t>$3,741</t>
        </is>
      </c>
      <c r="J10" s="28" t="inlineStr">
        <is>
          <t>$4,490</t>
        </is>
      </c>
      <c r="K10" s="30" t="inlineStr">
        <is>
          <t>$1,573</t>
        </is>
      </c>
      <c r="L10" s="31" t="inlineStr">
        <is>
          <t>Not Listed</t>
        </is>
      </c>
      <c r="M10" s="28" t="inlineStr">
        <is>
          <t>$4,041</t>
        </is>
      </c>
      <c r="N10" s="28" t="inlineStr">
        <is>
          <t>$4,850</t>
        </is>
      </c>
      <c r="O10" s="30" t="inlineStr">
        <is>
          <t>$1,818</t>
        </is>
      </c>
      <c r="P10" s="31" t="inlineStr">
        <is>
          <t>Not Listed</t>
        </is>
      </c>
      <c r="Q10" s="28" t="inlineStr">
        <is>
          <t>180</t>
        </is>
      </c>
      <c r="R10" s="28" t="inlineStr">
        <is>
          <t>1969</t>
        </is>
      </c>
      <c r="S10" s="28" t="inlineStr">
        <is>
          <t>1</t>
        </is>
      </c>
      <c r="T10" s="28" t="inlineStr">
        <is>
          <t>Yes</t>
        </is>
      </c>
      <c r="U10" s="28" t="inlineStr">
        <is>
          <t>No</t>
        </is>
      </c>
      <c r="V10" s="28" t="inlineStr">
        <is>
          <t>No</t>
        </is>
      </c>
      <c r="W10" s="28" t="inlineStr">
        <is>
          <t>No</t>
        </is>
      </c>
      <c r="X10" s="28" t="inlineStr">
        <is>
          <t>No</t>
        </is>
      </c>
      <c r="Y10" s="32" t="inlineStr">
        <is>
          <t>HIGH</t>
        </is>
      </c>
      <c r="Z10" s="29" t="inlineStr">
        <is>
          <t>Affordable Comp #4: Public Housing/HUD property, 1969 vintage (1 yr diff), 180 units, 2.1 mi from subject. Same income-eligible renter pool.</t>
        </is>
      </c>
      <c r="AA10" s="28" t="inlineStr">
        <is>
          <t>Jefferson Parish Housing Authority</t>
        </is>
      </c>
    </row>
    <row r="11" ht="54.75" customFormat="1" customHeight="1" s="3">
      <c r="A11" s="39" t="inlineStr">
        <is>
          <t>1</t>
        </is>
      </c>
      <c r="B11" s="39" t="inlineStr">
        <is>
          <t>MARKET RATE</t>
        </is>
      </c>
      <c r="C11" s="40" t="inlineStr">
        <is>
          <t>Harvey Market Rate (FMR Benchmark)</t>
        </is>
      </c>
      <c r="D11" s="39" t="inlineStr">
        <is>
          <t>Harvey, LA area</t>
        </is>
      </c>
      <c r="E11" s="39" t="inlineStr">
        <is>
          <t>LA area</t>
        </is>
      </c>
      <c r="F11" s="39" t="inlineStr">
        <is>
          <t>LA</t>
        </is>
      </c>
      <c r="G11" s="39" t="n"/>
      <c r="H11" s="39" t="inlineStr">
        <is>
          <t>N/A</t>
        </is>
      </c>
      <c r="I11" s="39" t="inlineStr">
        <is>
          <t>N/A (Market Rate)</t>
        </is>
      </c>
      <c r="J11" s="39" t="inlineStr">
        <is>
          <t>N/A (Market Rate)</t>
        </is>
      </c>
      <c r="K11" s="30" t="inlineStr">
        <is>
          <t>$1,573</t>
        </is>
      </c>
      <c r="L11" s="31" t="inlineStr">
        <is>
          <t>$1,550</t>
        </is>
      </c>
      <c r="M11" s="39" t="inlineStr">
        <is>
          <t>N/A (Market Rate)</t>
        </is>
      </c>
      <c r="N11" s="39" t="inlineStr">
        <is>
          <t>N/A (Market Rate)</t>
        </is>
      </c>
      <c r="O11" s="30" t="inlineStr">
        <is>
          <t>$1,818</t>
        </is>
      </c>
      <c r="P11" s="31" t="inlineStr">
        <is>
          <t>Not Listed</t>
        </is>
      </c>
      <c r="Q11" s="39" t="inlineStr">
        <is>
          <t>N/A</t>
        </is>
      </c>
      <c r="R11" s="39" t="inlineStr">
        <is>
          <t>1968</t>
        </is>
      </c>
      <c r="S11" s="39" t="inlineStr">
        <is>
          <t>0</t>
        </is>
      </c>
      <c r="T11" s="39" t="inlineStr">
        <is>
          <t>Varies</t>
        </is>
      </c>
      <c r="U11" s="39" t="inlineStr">
        <is>
          <t>Varies</t>
        </is>
      </c>
      <c r="V11" s="39" t="inlineStr">
        <is>
          <t>Varies</t>
        </is>
      </c>
      <c r="W11" s="39" t="inlineStr">
        <is>
          <t>Varies</t>
        </is>
      </c>
      <c r="X11" s="39" t="inlineStr">
        <is>
          <t>Varies</t>
        </is>
      </c>
      <c r="Y11" s="41" t="inlineStr">
        <is>
          <t>HIGH</t>
        </is>
      </c>
      <c r="Z11" s="40" t="inlineStr">
        <is>
          <t>Market Rate Comp #1: No income restrictions, 1968 vintage (0 yr diff), N/A units, N/A from subject. Shows market-rate rents vs. affordable housing discount.</t>
        </is>
      </c>
      <c r="AA11" s="39" t="inlineStr">
        <is>
          <t>HUD FY2026 FMR - Jefferson Parish, LA (limited market rate listings for 1958-1978 vintage)</t>
        </is>
      </c>
    </row>
    <row r="12" ht="54.75" customFormat="1" customHeight="1" s="3">
      <c r="A12" s="42" t="inlineStr">
        <is>
          <t>2</t>
        </is>
      </c>
      <c r="B12" s="42" t="inlineStr">
        <is>
          <t>Windsor at Manhattan</t>
        </is>
      </c>
      <c r="C12" s="43" t="inlineStr">
        <is>
          <t>1499 Central Park Blvd, Harvey, LA 70058</t>
        </is>
      </c>
      <c r="D12" s="42" t="inlineStr">
        <is>
          <t>Marrero, LA area</t>
        </is>
      </c>
      <c r="E12" s="42" t="inlineStr">
        <is>
          <t>LA area</t>
        </is>
      </c>
      <c r="F12" s="42" t="inlineStr">
        <is>
          <t>LA</t>
        </is>
      </c>
      <c r="G12" s="42" t="n"/>
      <c r="H12" s="42" t="inlineStr">
        <is>
          <t>3.0 mi</t>
        </is>
      </c>
      <c r="I12" s="42" t="inlineStr">
        <is>
          <t>N/A (Market Rate)</t>
        </is>
      </c>
      <c r="J12" s="42" t="inlineStr">
        <is>
          <t>N/A (Market Rate)</t>
        </is>
      </c>
      <c r="K12" s="30" t="inlineStr">
        <is>
          <t>$1,573</t>
        </is>
      </c>
      <c r="L12" s="31" t="inlineStr">
        <is>
          <t>$1,550</t>
        </is>
      </c>
      <c r="M12" s="42" t="inlineStr">
        <is>
          <t>N/A (Market Rate)</t>
        </is>
      </c>
      <c r="N12" s="42" t="inlineStr">
        <is>
          <t>N/A (Market Rate)</t>
        </is>
      </c>
      <c r="O12" s="30" t="inlineStr">
        <is>
          <t>$1,818</t>
        </is>
      </c>
      <c r="P12" s="31" t="inlineStr">
        <is>
          <t>Not Listed</t>
        </is>
      </c>
      <c r="Q12" s="42" t="inlineStr">
        <is>
          <t>N/A</t>
        </is>
      </c>
      <c r="R12" s="42" t="inlineStr">
        <is>
          <t>1965</t>
        </is>
      </c>
      <c r="S12" s="42" t="inlineStr">
        <is>
          <t>3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#2: No income restrictions, 1965 vintage (3 yr diff), N/A units, 3.0 mi from subject. Shows market-rate rents vs. affordable housing discount.</t>
        </is>
      </c>
      <c r="AA12" s="42" t="inlineStr">
        <is>
          <t>HUD FY2026 FMR - Jefferson Parish, LA</t>
        </is>
      </c>
    </row>
    <row r="13" ht="54.75" customFormat="1" customHeight="1" s="3">
      <c r="A13" s="45" t="inlineStr">
        <is>
          <t>3</t>
        </is>
      </c>
      <c r="B13" s="45" t="inlineStr">
        <is>
          <t>Emerald Pointe Apartment Homes</t>
        </is>
      </c>
      <c r="C13" s="46" t="inlineStr">
        <is>
          <t>2700 Whitney Ave, Harvey, LA 70058</t>
        </is>
      </c>
      <c r="D13" s="45" t="inlineStr">
        <is>
          <t>Gretna, LA area</t>
        </is>
      </c>
      <c r="E13" s="45" t="inlineStr">
        <is>
          <t>LA area</t>
        </is>
      </c>
      <c r="F13" s="45" t="inlineStr">
        <is>
          <t>LA</t>
        </is>
      </c>
      <c r="G13" s="45" t="n"/>
      <c r="H13" s="45" t="inlineStr">
        <is>
          <t>5.0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0" t="inlineStr">
        <is>
          <t>$1,573</t>
        </is>
      </c>
      <c r="L13" s="31" t="inlineStr">
        <is>
          <t>$1,550</t>
        </is>
      </c>
      <c r="M13" s="45" t="inlineStr">
        <is>
          <t>N/A (Market Rate)</t>
        </is>
      </c>
      <c r="N13" s="45" t="inlineStr">
        <is>
          <t>N/A (Market Rate)</t>
        </is>
      </c>
      <c r="O13" s="30" t="inlineStr">
        <is>
          <t>$1,818</t>
        </is>
      </c>
      <c r="P13" s="31" t="inlineStr">
        <is>
          <t>Not Listed</t>
        </is>
      </c>
      <c r="Q13" s="45" t="inlineStr">
        <is>
          <t>N/A</t>
        </is>
      </c>
      <c r="R13" s="45" t="inlineStr">
        <is>
          <t>1970</t>
        </is>
      </c>
      <c r="S13" s="45" t="inlineStr">
        <is>
          <t>2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#3: No income restrictions, 1970 vintage (2 yr diff), N/A units, 5.0 mi from subject. Shows market-rate rents vs. affordable housing discount.</t>
        </is>
      </c>
      <c r="AA13" s="45" t="inlineStr">
        <is>
          <t>HUD FY2026 FMR - Jefferson Parish, LA</t>
        </is>
      </c>
    </row>
    <row r="14" ht="54.75" customFormat="1" customHeight="1" s="3">
      <c r="A14" s="39" t="inlineStr">
        <is>
          <t>4</t>
        </is>
      </c>
      <c r="B14" s="39" t="inlineStr">
        <is>
          <t>Summerfield Apartment Homes</t>
        </is>
      </c>
      <c r="C14" s="40" t="inlineStr">
        <is>
          <t>1500 Lorene Dr, Harvey, LA 70058</t>
        </is>
      </c>
      <c r="D14" s="39" t="inlineStr">
        <is>
          <t>Westwego, LA area</t>
        </is>
      </c>
      <c r="E14" s="39" t="inlineStr">
        <is>
          <t>LA area</t>
        </is>
      </c>
      <c r="F14" s="39" t="inlineStr">
        <is>
          <t>LA</t>
        </is>
      </c>
      <c r="G14" s="39" t="n"/>
      <c r="H14" s="39" t="inlineStr">
        <is>
          <t>7.0 mi</t>
        </is>
      </c>
      <c r="I14" s="39" t="inlineStr">
        <is>
          <t>N/A (Market Rate)</t>
        </is>
      </c>
      <c r="J14" s="39" t="inlineStr">
        <is>
          <t>N/A (Market Rate)</t>
        </is>
      </c>
      <c r="K14" s="30" t="inlineStr">
        <is>
          <t>$1,573</t>
        </is>
      </c>
      <c r="L14" s="31" t="inlineStr">
        <is>
          <t>$1,550</t>
        </is>
      </c>
      <c r="M14" s="39" t="inlineStr">
        <is>
          <t>N/A (Market Rate)</t>
        </is>
      </c>
      <c r="N14" s="39" t="inlineStr">
        <is>
          <t>N/A (Market Rate)</t>
        </is>
      </c>
      <c r="O14" s="30" t="inlineStr">
        <is>
          <t>$1,818</t>
        </is>
      </c>
      <c r="P14" s="31" t="inlineStr">
        <is>
          <t>Not Listed</t>
        </is>
      </c>
      <c r="Q14" s="39" t="inlineStr">
        <is>
          <t>N/A</t>
        </is>
      </c>
      <c r="R14" s="39" t="inlineStr">
        <is>
          <t>1966</t>
        </is>
      </c>
      <c r="S14" s="39" t="inlineStr">
        <is>
          <t>2</t>
        </is>
      </c>
      <c r="T14" s="39" t="inlineStr">
        <is>
          <t>Varies</t>
        </is>
      </c>
      <c r="U14" s="39" t="inlineStr">
        <is>
          <t>Varies</t>
        </is>
      </c>
      <c r="V14" s="39" t="inlineStr">
        <is>
          <t>Varies</t>
        </is>
      </c>
      <c r="W14" s="39" t="inlineStr">
        <is>
          <t>Varies</t>
        </is>
      </c>
      <c r="X14" s="39" t="inlineStr">
        <is>
          <t>Varies</t>
        </is>
      </c>
      <c r="Y14" s="41" t="inlineStr">
        <is>
          <t>HIGH</t>
        </is>
      </c>
      <c r="Z14" s="40" t="inlineStr">
        <is>
          <t>Market Rate Comp #4: No income restrictions, 1966 vintage (2 yr diff), N/A units, 7.0 mi from subject. Shows market-rate rents vs. affordable housing discount.</t>
        </is>
      </c>
      <c r="AA14" s="39" t="inlineStr">
        <is>
          <t>HUD FY2026 FMR - Jefferson Parish, LA</t>
        </is>
      </c>
    </row>
    <row r="15" ht="54.75" customFormat="1" customHeight="1" s="3">
      <c r="A15" s="48" t="inlineStr">
        <is>
          <t>—</t>
        </is>
      </c>
      <c r="B15" s="48" t="inlineStr">
        <is>
          <t>BENCHMARK</t>
        </is>
      </c>
      <c r="C15" s="49" t="inlineStr">
        <is>
          <t>FY2026 FMR — New Orleans MSA</t>
        </is>
      </c>
      <c r="D15" s="48" t="inlineStr">
        <is>
          <t>N/A</t>
        </is>
      </c>
      <c r="E15" s="48" t="inlineStr">
        <is>
          <t>Harvey</t>
        </is>
      </c>
      <c r="F15" s="48" t="inlineStr">
        <is>
          <t>LA</t>
        </is>
      </c>
      <c r="G15" s="48" t="inlineStr">
        <is>
          <t>N/A</t>
        </is>
      </c>
      <c r="H15" s="48" t="inlineStr">
        <is>
          <t>N/A</t>
        </is>
      </c>
      <c r="I15" s="48" t="inlineStr">
        <is>
          <t>$1,573</t>
        </is>
      </c>
      <c r="J15" s="48" t="inlineStr">
        <is>
          <t>$1,573</t>
        </is>
      </c>
      <c r="K15" s="30" t="inlineStr">
        <is>
          <t>$1,573</t>
        </is>
      </c>
      <c r="L15" s="31" t="inlineStr">
        <is>
          <t>N/A</t>
        </is>
      </c>
      <c r="M15" s="48" t="inlineStr">
        <is>
          <t>$1,818</t>
        </is>
      </c>
      <c r="N15" s="48" t="inlineStr">
        <is>
          <t>$1,818</t>
        </is>
      </c>
      <c r="O15" s="30" t="inlineStr">
        <is>
          <t>$1,818</t>
        </is>
      </c>
      <c r="P15" s="31" t="inlineStr">
        <is>
          <t>N/A</t>
        </is>
      </c>
      <c r="Q15" s="48" t="inlineStr">
        <is>
          <t>N/A</t>
        </is>
      </c>
      <c r="R15" s="48" t="inlineStr">
        <is>
          <t>N/A</t>
        </is>
      </c>
      <c r="S15" s="48" t="inlineStr">
        <is>
          <t>N/A</t>
        </is>
      </c>
      <c r="T15" s="48" t="inlineStr">
        <is>
          <t>N/A</t>
        </is>
      </c>
      <c r="U15" s="48" t="inlineStr">
        <is>
          <t>N/A</t>
        </is>
      </c>
      <c r="V15" s="48" t="inlineStr">
        <is>
          <t>N/A</t>
        </is>
      </c>
      <c r="W15" s="48" t="inlineStr">
        <is>
          <t>N/A</t>
        </is>
      </c>
      <c r="X15" s="48" t="inlineStr">
        <is>
          <t>N/A</t>
        </is>
      </c>
      <c r="Y15" s="50" t="inlineStr">
        <is>
          <t>BENCHMARK</t>
        </is>
      </c>
      <c r="Z15" s="49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5" s="48" t="inlineStr">
        <is>
          <t>HUD FMR Database (huduser.gov)</t>
        </is>
      </c>
    </row>
    <row r="16" ht="54.75" customFormat="1" customHeight="1" s="3">
      <c r="A16" s="48" t="inlineStr">
        <is>
          <t>—</t>
        </is>
      </c>
      <c r="B16" s="48" t="inlineStr">
        <is>
          <t>BENCHMARK</t>
        </is>
      </c>
      <c r="C16" s="49" t="inlineStr">
        <is>
          <t>Metro Market Avg — Harvey</t>
        </is>
      </c>
      <c r="D16" s="48" t="inlineStr">
        <is>
          <t>N/A</t>
        </is>
      </c>
      <c r="E16" s="48" t="inlineStr">
        <is>
          <t>Harvey</t>
        </is>
      </c>
      <c r="F16" s="48" t="inlineStr">
        <is>
          <t>LA</t>
        </is>
      </c>
      <c r="G16" s="48" t="inlineStr">
        <is>
          <t>N/A</t>
        </is>
      </c>
      <c r="H16" s="48" t="inlineStr">
        <is>
          <t>N/A</t>
        </is>
      </c>
      <c r="I16" s="48" t="inlineStr">
        <is>
          <t>$1,730</t>
        </is>
      </c>
      <c r="J16" s="48" t="inlineStr">
        <is>
          <t>$1,730</t>
        </is>
      </c>
      <c r="K16" s="30" t="inlineStr">
        <is>
          <t>$1,730</t>
        </is>
      </c>
      <c r="L16" s="31" t="inlineStr">
        <is>
          <t>N/A</t>
        </is>
      </c>
      <c r="M16" s="48" t="inlineStr">
        <is>
          <t>$1,999</t>
        </is>
      </c>
      <c r="N16" s="48" t="inlineStr">
        <is>
          <t>$1,999</t>
        </is>
      </c>
      <c r="O16" s="30" t="inlineStr">
        <is>
          <t>$1,999</t>
        </is>
      </c>
      <c r="P16" s="31" t="inlineStr">
        <is>
          <t>N/A</t>
        </is>
      </c>
      <c r="Q16" s="48" t="inlineStr">
        <is>
          <t>N/A</t>
        </is>
      </c>
      <c r="R16" s="48" t="inlineStr">
        <is>
          <t>N/A</t>
        </is>
      </c>
      <c r="S16" s="48" t="inlineStr">
        <is>
          <t>N/A</t>
        </is>
      </c>
      <c r="T16" s="48" t="inlineStr">
        <is>
          <t>N/A</t>
        </is>
      </c>
      <c r="U16" s="48" t="inlineStr">
        <is>
          <t>N/A</t>
        </is>
      </c>
      <c r="V16" s="48" t="inlineStr">
        <is>
          <t>N/A</t>
        </is>
      </c>
      <c r="W16" s="48" t="inlineStr">
        <is>
          <t>N/A</t>
        </is>
      </c>
      <c r="X16" s="48" t="inlineStr">
        <is>
          <t>N/A</t>
        </is>
      </c>
      <c r="Y16" s="50" t="inlineStr">
        <is>
          <t>BENCHMARK</t>
        </is>
      </c>
      <c r="Z16" s="49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6" s="48" t="inlineStr">
        <is>
          <t>HUD FMR + Market Estimate</t>
        </is>
      </c>
    </row>
    <row r="17" ht="8.25" customFormat="1" customHeight="1" s="3"/>
    <row r="18" ht="27.75" customFormat="1" customHeight="1" s="3">
      <c r="A18" s="51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Height="1" s="95">
      <c r="A21" s="61" t="inlineStr">
        <is>
          <t>PMTS — Vouchers / FMR / UAP / NET FMR</t>
        </is>
      </c>
      <c r="B21" s="101" t="n"/>
      <c r="C21" s="101" t="n"/>
      <c r="D21" s="101" t="n"/>
      <c r="E21" s="101" t="n"/>
      <c r="F21" s="102" t="n"/>
    </row>
    <row r="22" ht="15" customHeight="1" s="95">
      <c r="A22" s="64" t="inlineStr">
        <is>
          <t>BD</t>
        </is>
      </c>
      <c r="B22" s="65" t="inlineStr">
        <is>
          <t>MKT</t>
        </is>
      </c>
      <c r="C22" s="66" t="inlineStr">
        <is>
          <t>VCH</t>
        </is>
      </c>
      <c r="D22" s="67" t="inlineStr">
        <is>
          <t>FMR</t>
        </is>
      </c>
      <c r="E22" s="68" t="inlineStr">
        <is>
          <t>UAP</t>
        </is>
      </c>
      <c r="F22" s="69" t="inlineStr">
        <is>
          <t>NET</t>
        </is>
      </c>
    </row>
    <row r="23" ht="15" customHeight="1" s="95">
      <c r="A23" s="70" t="inlineStr">
        <is>
          <t>3BD</t>
        </is>
      </c>
      <c r="B23" s="71" t="n">
        <v>0</v>
      </c>
      <c r="C23" s="71" t="n">
        <v>1500</v>
      </c>
      <c r="D23" s="71" t="n">
        <v>1900</v>
      </c>
      <c r="E23" s="72" t="n">
        <v>289</v>
      </c>
      <c r="F23" s="73" t="n">
        <v>1611</v>
      </c>
    </row>
    <row r="24" ht="15" customHeight="1" s="95">
      <c r="A24" s="74" t="inlineStr">
        <is>
          <t>4BD</t>
        </is>
      </c>
      <c r="B24" s="75" t="n">
        <v>0</v>
      </c>
      <c r="C24" s="75" t="n">
        <v>1550</v>
      </c>
      <c r="D24" s="75" t="n">
        <v>2240</v>
      </c>
      <c r="E24" s="72" t="n">
        <v>374</v>
      </c>
      <c r="F24" s="73" t="n">
        <v>1866</v>
      </c>
    </row>
    <row r="27" ht="15" customHeight="1" s="95">
      <c r="A27" s="61" t="inlineStr">
        <is>
          <t>LIHTC, UAP, NET</t>
        </is>
      </c>
      <c r="B27" s="101" t="n"/>
      <c r="C27" s="101" t="n"/>
      <c r="D27" s="101" t="n"/>
      <c r="E27" s="102" t="n"/>
    </row>
    <row r="28" ht="15" customHeight="1" s="95">
      <c r="A28" s="64" t="n"/>
      <c r="B28" s="65" t="inlineStr">
        <is>
          <t>LIHTC/MKT</t>
        </is>
      </c>
      <c r="C28" s="67" t="inlineStr">
        <is>
          <t>60%</t>
        </is>
      </c>
      <c r="D28" s="68" t="inlineStr">
        <is>
          <t>UAP</t>
        </is>
      </c>
      <c r="E28" s="69" t="inlineStr">
        <is>
          <t>NET</t>
        </is>
      </c>
    </row>
    <row r="29" ht="15" customHeight="1" s="95">
      <c r="A29" s="70" t="inlineStr">
        <is>
          <t>3BD</t>
        </is>
      </c>
      <c r="B29" s="71" t="n">
        <v>1401</v>
      </c>
      <c r="C29" s="71" t="n">
        <v>1112</v>
      </c>
      <c r="D29" s="72" t="n">
        <v>289</v>
      </c>
      <c r="E29" s="73" t="n">
        <v>823</v>
      </c>
    </row>
    <row r="30" ht="15" customHeight="1" s="95">
      <c r="A30" s="74" t="inlineStr">
        <is>
          <t>4BD</t>
        </is>
      </c>
      <c r="B30" s="75" t="n">
        <v>1563</v>
      </c>
      <c r="C30" s="75" t="n">
        <v>1189</v>
      </c>
      <c r="D30" s="72" t="n">
        <v>374</v>
      </c>
      <c r="E30" s="73" t="n">
        <v>815</v>
      </c>
    </row>
    <row r="33" ht="15" customHeight="1" s="95">
      <c r="A33" s="61" t="inlineStr">
        <is>
          <t>HAP, CoStar, NET</t>
        </is>
      </c>
      <c r="B33" s="101" t="n"/>
      <c r="C33" s="102" t="n"/>
    </row>
    <row r="34" ht="15" customHeight="1" s="95">
      <c r="A34" s="64" t="n"/>
      <c r="B34" s="68" t="inlineStr">
        <is>
          <t>HAP</t>
        </is>
      </c>
      <c r="C34" s="65" t="inlineStr">
        <is>
          <t>CoStar</t>
        </is>
      </c>
    </row>
    <row r="35" ht="15" customHeight="1" s="95">
      <c r="A35" s="70" t="inlineStr">
        <is>
          <t>2BD</t>
        </is>
      </c>
      <c r="B35" s="103" t="n">
        <v>0</v>
      </c>
      <c r="C35" s="104" t="n">
        <v>1451</v>
      </c>
    </row>
    <row r="36" ht="15" customHeight="1" s="95">
      <c r="A36" s="74" t="inlineStr">
        <is>
          <t>3BD</t>
        </is>
      </c>
      <c r="B36" s="103" t="n">
        <v>0</v>
      </c>
      <c r="C36" s="104" t="n">
        <v>1614</v>
      </c>
    </row>
    <row r="37" ht="15" customHeight="1" s="95">
      <c r="A37" s="70" t="inlineStr">
        <is>
          <t>4BD</t>
        </is>
      </c>
      <c r="B37" s="103" t="n">
        <v>0</v>
      </c>
      <c r="C37" s="104" t="n">
        <v>1727</v>
      </c>
    </row>
  </sheetData>
  <mergeCells count="7">
    <mergeCell ref="A18:AA18"/>
    <mergeCell ref="A33:C33"/>
    <mergeCell ref="A4:AA4"/>
    <mergeCell ref="A3:AA3"/>
    <mergeCell ref="A2:AA2"/>
    <mergeCell ref="A21:F21"/>
    <mergeCell ref="A27:E27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43"/>
  <sheetViews>
    <sheetView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8.00390625" customWidth="1" style="3" min="1" max="1"/>
    <col width="14.00390625" customWidth="1" style="3" min="2" max="2"/>
    <col width="28.00390625" customWidth="1" style="3" min="3" max="3"/>
    <col width="22.00390625" customWidth="1" style="3" min="4" max="4"/>
    <col width="16.00390625" customWidth="1" style="3" min="5" max="5"/>
    <col width="10.00390625" customWidth="1" style="3" min="6" max="6"/>
    <col width="8.00390625" customWidth="1" style="3" min="7" max="7"/>
    <col width="11.00390625" customWidth="1" style="3" min="8" max="8"/>
    <col width="10.00390625" customWidth="1" style="3" min="9" max="11"/>
    <col width="12.00390625" customWidth="1" style="3" min="12" max="12"/>
    <col width="10.00390625" customWidth="1" style="3" min="13" max="15"/>
    <col width="12.00390625" customWidth="1" style="3" min="16" max="16"/>
    <col width="10.00390625" customWidth="1" style="3" min="17" max="19"/>
    <col width="12.00390625" customWidth="1" style="3" min="20" max="20"/>
    <col width="8.00390625" customWidth="1" style="3" min="21" max="21"/>
    <col width="10.00390625" customWidth="1" style="3" min="22" max="22"/>
    <col width="7.00390625" customWidth="1" style="3" min="23" max="23"/>
    <col width="12.00390625" customWidth="1" style="3" min="24" max="25"/>
    <col width="8.00390625" customWidth="1" style="3" min="26" max="27"/>
    <col width="10.00390625" customWidth="1" style="3" min="28" max="28"/>
    <col width="16.00390625" customWidth="1" style="3" min="29" max="29"/>
    <col width="45.00390625" customWidth="1" style="3" min="30" max="30"/>
    <col width="28.00390625" customWidth="1" style="3" min="31" max="31"/>
  </cols>
  <sheetData>
    <row r="1" ht="15" customHeight="1" s="95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</row>
    <row r="2" ht="24" customFormat="1" customHeight="1" s="3">
      <c r="A2" s="17" t="inlineStr">
        <is>
          <t>COMPETITIVE RENT ANALYSIS — ARBOR CREST | GREEN = Affordable Comps | BLUE = Market Rate Comps</t>
        </is>
      </c>
    </row>
    <row r="3" ht="20.25" customFormat="1" customHeight="1" s="3">
      <c r="A3" s="18" t="inlineStr">
        <is>
          <t>SUBJECT: Arbor Crest | 64 N Cleveland Street, Quincy, FL 32351 | 120 units | Program: LIHTC | Bedroom Mix: 1BR / 2BR / 3BR | County AMI: $92,300 | FMR Area: Gadsden County, FL</t>
        </is>
      </c>
    </row>
    <row r="4" ht="90" customFormat="1" customHeight="1" s="3">
      <c r="A4" s="19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5" ht="30" customFormat="1" customHeight="1" s="3">
      <c r="A5" s="20" t="inlineStr">
        <is>
          <t>Rank</t>
        </is>
      </c>
      <c r="B5" s="20" t="inlineStr">
        <is>
          <t>Type</t>
        </is>
      </c>
      <c r="C5" s="20" t="inlineStr">
        <is>
          <t>Property Name</t>
        </is>
      </c>
      <c r="D5" s="20" t="inlineStr">
        <is>
          <t>Address</t>
        </is>
      </c>
      <c r="E5" s="20" t="inlineStr">
        <is>
          <t>City</t>
        </is>
      </c>
      <c r="F5" s="20" t="inlineStr">
        <is>
          <t>State</t>
        </is>
      </c>
      <c r="G5" s="20" t="inlineStr">
        <is>
          <t>ZIP</t>
        </is>
      </c>
      <c r="H5" s="20" t="inlineStr">
        <is>
          <t>Distance (mi)</t>
        </is>
      </c>
      <c r="I5" s="20" t="inlineStr">
        <is>
          <t>1BR Low ($)</t>
        </is>
      </c>
      <c r="J5" s="20" t="inlineStr">
        <is>
          <t>1BR Mid ($)</t>
        </is>
      </c>
      <c r="K5" s="21" t="inlineStr">
        <is>
          <t>1BR FMR ($)</t>
        </is>
      </c>
      <c r="L5" s="22" t="inlineStr">
        <is>
          <t>1BR Actual ($)</t>
        </is>
      </c>
      <c r="M5" s="20" t="inlineStr">
        <is>
          <t>2BR Low ($)</t>
        </is>
      </c>
      <c r="N5" s="20" t="inlineStr">
        <is>
          <t>2BR Mid ($)</t>
        </is>
      </c>
      <c r="O5" s="21" t="inlineStr">
        <is>
          <t>2BR FMR ($)</t>
        </is>
      </c>
      <c r="P5" s="22" t="inlineStr">
        <is>
          <t>2BR Actual ($)</t>
        </is>
      </c>
      <c r="Q5" s="20" t="inlineStr">
        <is>
          <t>3BR Low ($)</t>
        </is>
      </c>
      <c r="R5" s="20" t="inlineStr">
        <is>
          <t>3BR Mid ($)</t>
        </is>
      </c>
      <c r="S5" s="21" t="inlineStr">
        <is>
          <t>3BR FMR ($)</t>
        </is>
      </c>
      <c r="T5" s="22" t="inlineStr">
        <is>
          <t>3BR Actual ($)</t>
        </is>
      </c>
      <c r="U5" s="20" t="inlineStr">
        <is>
          <t># Units</t>
        </is>
      </c>
      <c r="V5" s="20" t="inlineStr">
        <is>
          <t>Year Built</t>
        </is>
      </c>
      <c r="W5" s="20" t="inlineStr">
        <is>
          <t>Yr Diff</t>
        </is>
      </c>
      <c r="X5" s="20" t="inlineStr">
        <is>
          <t>Utilities Incl.</t>
        </is>
      </c>
      <c r="Y5" s="20" t="inlineStr">
        <is>
          <t>Pet Friendly</t>
        </is>
      </c>
      <c r="Z5" s="20" t="inlineStr">
        <is>
          <t>Gated</t>
        </is>
      </c>
      <c r="AA5" s="20" t="inlineStr">
        <is>
          <t>Pool</t>
        </is>
      </c>
      <c r="AB5" s="20" t="inlineStr">
        <is>
          <t>W/D In-Unit</t>
        </is>
      </c>
      <c r="AC5" s="20" t="inlineStr">
        <is>
          <t>Competition Level</t>
        </is>
      </c>
      <c r="AD5" s="20" t="inlineStr">
        <is>
          <t>Why Competitive</t>
        </is>
      </c>
      <c r="AE5" s="20" t="inlineStr">
        <is>
          <t>Data Source</t>
        </is>
      </c>
    </row>
    <row r="6" ht="54.75" customFormat="1" customHeight="1" s="3">
      <c r="A6" s="23" t="inlineStr">
        <is>
          <t>—</t>
        </is>
      </c>
      <c r="B6" s="23" t="inlineStr">
        <is>
          <t>SUBJECT</t>
        </is>
      </c>
      <c r="C6" s="24" t="inlineStr">
        <is>
          <t>Arbor Crest (SUBJECT)</t>
        </is>
      </c>
      <c r="D6" s="23" t="inlineStr">
        <is>
          <t>64 N Cleveland Street</t>
        </is>
      </c>
      <c r="E6" s="23" t="inlineStr">
        <is>
          <t>Quincy</t>
        </is>
      </c>
      <c r="F6" s="23" t="inlineStr">
        <is>
          <t>FL</t>
        </is>
      </c>
      <c r="G6" s="23" t="inlineStr">
        <is>
          <t>32351</t>
        </is>
      </c>
      <c r="H6" s="23" t="inlineStr">
        <is>
          <t>0.0 mi</t>
        </is>
      </c>
      <c r="I6" s="23" t="inlineStr">
        <is>
          <t>$2,887</t>
        </is>
      </c>
      <c r="J6" s="23" t="inlineStr">
        <is>
          <t>$3,465</t>
        </is>
      </c>
      <c r="K6" s="25" t="inlineStr">
        <is>
          <t>$800</t>
        </is>
      </c>
      <c r="L6" s="26" t="inlineStr">
        <is>
          <t>N/A</t>
        </is>
      </c>
      <c r="M6" s="23" t="inlineStr">
        <is>
          <t>$3,462</t>
        </is>
      </c>
      <c r="N6" s="23" t="inlineStr">
        <is>
          <t>$4,155</t>
        </is>
      </c>
      <c r="O6" s="25" t="inlineStr">
        <is>
          <t>$1,095</t>
        </is>
      </c>
      <c r="P6" s="26" t="inlineStr">
        <is>
          <t>N/A</t>
        </is>
      </c>
      <c r="Q6" s="23" t="inlineStr">
        <is>
          <t>$3,845</t>
        </is>
      </c>
      <c r="R6" s="23" t="inlineStr">
        <is>
          <t>$4,615</t>
        </is>
      </c>
      <c r="S6" s="25" t="inlineStr">
        <is>
          <t>$1,372</t>
        </is>
      </c>
      <c r="T6" s="26" t="inlineStr">
        <is>
          <t>N/A</t>
        </is>
      </c>
      <c r="U6" s="23" t="inlineStr">
        <is>
          <t>120</t>
        </is>
      </c>
      <c r="V6" s="23" t="inlineStr">
        <is>
          <t>1995</t>
        </is>
      </c>
      <c r="W6" s="23" t="inlineStr">
        <is>
          <t>0</t>
        </is>
      </c>
      <c r="X6" s="23" t="inlineStr">
        <is>
          <t>No</t>
        </is>
      </c>
      <c r="Y6" s="23" t="inlineStr">
        <is>
          <t>No</t>
        </is>
      </c>
      <c r="Z6" s="23" t="inlineStr">
        <is>
          <t>No</t>
        </is>
      </c>
      <c r="AA6" s="23" t="inlineStr">
        <is>
          <t>Yes</t>
        </is>
      </c>
      <c r="AB6" s="23" t="inlineStr">
        <is>
          <t>No</t>
        </is>
      </c>
      <c r="AC6" s="27" t="inlineStr">
        <is>
          <t>SUBJECT</t>
        </is>
      </c>
      <c r="AD6" s="24" t="inlineStr">
        <is>
          <t>120 units | LIHTC property. Year built: 1995. Subject property for market context.</t>
        </is>
      </c>
      <c r="AE6" s="23" t="inlineStr">
        <is>
          <t>Apartment Corp Records</t>
        </is>
      </c>
    </row>
    <row r="7" ht="54.75" customFormat="1" customHeight="1" s="3">
      <c r="A7" s="28" t="inlineStr">
        <is>
          <t>1</t>
        </is>
      </c>
      <c r="B7" s="28" t="inlineStr">
        <is>
          <t>AFFORDABLE</t>
        </is>
      </c>
      <c r="C7" s="29" t="inlineStr">
        <is>
          <t>Springwood - Tallahassee</t>
        </is>
      </c>
      <c r="D7" s="28" t="inlineStr">
        <is>
          <t>2660 Old Bainbridge Rd</t>
        </is>
      </c>
      <c r="E7" s="28" t="inlineStr">
        <is>
          <t>Tallahassee</t>
        </is>
      </c>
      <c r="F7" s="28" t="inlineStr">
        <is>
          <t>FL</t>
        </is>
      </c>
      <c r="G7" s="28" t="inlineStr">
        <is>
          <t>32303</t>
        </is>
      </c>
      <c r="H7" s="28" t="inlineStr">
        <is>
          <t>17.4 mi</t>
        </is>
      </c>
      <c r="I7" s="28" t="inlineStr">
        <is>
          <t>$2,887</t>
        </is>
      </c>
      <c r="J7" s="28" t="inlineStr">
        <is>
          <t>$3,465</t>
        </is>
      </c>
      <c r="K7" s="30" t="inlineStr">
        <is>
          <t>$800</t>
        </is>
      </c>
      <c r="L7" s="31" t="inlineStr">
        <is>
          <t>Not Listed</t>
        </is>
      </c>
      <c r="M7" s="28" t="inlineStr">
        <is>
          <t>$3,462</t>
        </is>
      </c>
      <c r="N7" s="28" t="inlineStr">
        <is>
          <t>$4,155</t>
        </is>
      </c>
      <c r="O7" s="30" t="inlineStr">
        <is>
          <t>$1,095</t>
        </is>
      </c>
      <c r="P7" s="31" t="inlineStr">
        <is>
          <t>Not Listed</t>
        </is>
      </c>
      <c r="Q7" s="28" t="inlineStr">
        <is>
          <t>$3,845</t>
        </is>
      </c>
      <c r="R7" s="28" t="inlineStr">
        <is>
          <t>$4,615</t>
        </is>
      </c>
      <c r="S7" s="30" t="inlineStr">
        <is>
          <t>$1,372</t>
        </is>
      </c>
      <c r="T7" s="31" t="inlineStr">
        <is>
          <t>$1,325</t>
        </is>
      </c>
      <c r="U7" s="28" t="inlineStr">
        <is>
          <t>113</t>
        </is>
      </c>
      <c r="V7" s="28" t="inlineStr">
        <is>
          <t>1995</t>
        </is>
      </c>
      <c r="W7" s="28" t="inlineStr">
        <is>
          <t>0</t>
        </is>
      </c>
      <c r="X7" s="28" t="inlineStr">
        <is>
          <t>Yes</t>
        </is>
      </c>
      <c r="Y7" s="28" t="inlineStr">
        <is>
          <t>No</t>
        </is>
      </c>
      <c r="Z7" s="28" t="inlineStr">
        <is>
          <t>No</t>
        </is>
      </c>
      <c r="AA7" s="28" t="inlineStr">
        <is>
          <t>No</t>
        </is>
      </c>
      <c r="AB7" s="28" t="inlineStr">
        <is>
          <t>No</t>
        </is>
      </c>
      <c r="AC7" s="78" t="inlineStr">
        <is>
          <t>MODERATE-HIGH</t>
        </is>
      </c>
      <c r="AD7" s="29" t="inlineStr">
        <is>
          <t>Affordable Comp #1: LIHTC property, 1995 vintage (0 yr diff), 113 units, 17.4 mi from subject. Same income-eligible renter pool.</t>
        </is>
      </c>
      <c r="AE7" s="28" t="inlineStr">
        <is>
          <t>HUD LIHTC Database (huduser.gov)</t>
        </is>
      </c>
    </row>
    <row r="8" ht="54.75" customFormat="1" customHeight="1" s="3">
      <c r="A8" s="33" t="inlineStr">
        <is>
          <t>2</t>
        </is>
      </c>
      <c r="B8" s="33" t="inlineStr">
        <is>
          <t>AFFORDABLE</t>
        </is>
      </c>
      <c r="C8" s="34" t="inlineStr">
        <is>
          <t>Savannah Sound</t>
        </is>
      </c>
      <c r="D8" s="33" t="inlineStr">
        <is>
          <t>1950 N Point Blvd</t>
        </is>
      </c>
      <c r="E8" s="33" t="inlineStr">
        <is>
          <t>Tallahassee</t>
        </is>
      </c>
      <c r="F8" s="33" t="inlineStr">
        <is>
          <t>FL</t>
        </is>
      </c>
      <c r="G8" s="33" t="inlineStr">
        <is>
          <t>32308</t>
        </is>
      </c>
      <c r="H8" s="33" t="inlineStr">
        <is>
          <t>21.5 mi</t>
        </is>
      </c>
      <c r="I8" s="33" t="inlineStr">
        <is>
          <t>$2,887</t>
        </is>
      </c>
      <c r="J8" s="33" t="inlineStr">
        <is>
          <t>$3,465</t>
        </is>
      </c>
      <c r="K8" s="30" t="inlineStr">
        <is>
          <t>$800</t>
        </is>
      </c>
      <c r="L8" s="31" t="inlineStr">
        <is>
          <t>Not Listed</t>
        </is>
      </c>
      <c r="M8" s="33" t="inlineStr">
        <is>
          <t>$3,462</t>
        </is>
      </c>
      <c r="N8" s="33" t="inlineStr">
        <is>
          <t>$4,155</t>
        </is>
      </c>
      <c r="O8" s="30" t="inlineStr">
        <is>
          <t>$1,095</t>
        </is>
      </c>
      <c r="P8" s="31" t="inlineStr">
        <is>
          <t>Not Listed</t>
        </is>
      </c>
      <c r="Q8" s="33" t="inlineStr">
        <is>
          <t>$3,845</t>
        </is>
      </c>
      <c r="R8" s="33" t="inlineStr">
        <is>
          <t>$4,615</t>
        </is>
      </c>
      <c r="S8" s="30" t="inlineStr">
        <is>
          <t>$1,372</t>
        </is>
      </c>
      <c r="T8" s="31" t="inlineStr">
        <is>
          <t>Not Listed</t>
        </is>
      </c>
      <c r="U8" s="33" t="inlineStr">
        <is>
          <t>160</t>
        </is>
      </c>
      <c r="V8" s="33" t="inlineStr">
        <is>
          <t>1995</t>
        </is>
      </c>
      <c r="W8" s="33" t="inlineStr">
        <is>
          <t>0</t>
        </is>
      </c>
      <c r="X8" s="33" t="inlineStr">
        <is>
          <t>Yes</t>
        </is>
      </c>
      <c r="Y8" s="33" t="inlineStr">
        <is>
          <t>No</t>
        </is>
      </c>
      <c r="Z8" s="33" t="inlineStr">
        <is>
          <t>No</t>
        </is>
      </c>
      <c r="AA8" s="33" t="inlineStr">
        <is>
          <t>No</t>
        </is>
      </c>
      <c r="AB8" s="33" t="inlineStr">
        <is>
          <t>No</t>
        </is>
      </c>
      <c r="AC8" s="93" t="inlineStr">
        <is>
          <t>MODERATE-HIGH</t>
        </is>
      </c>
      <c r="AD8" s="34" t="inlineStr">
        <is>
          <t>Affordable Comp #2: LIHTC property, 1995 vintage (0 yr diff), 160 units, 21.5 mi from subject. Same income-eligible renter pool.</t>
        </is>
      </c>
      <c r="AE8" s="33" t="inlineStr">
        <is>
          <t>HUD LIHTC Database (huduser.gov)</t>
        </is>
      </c>
    </row>
    <row r="9" ht="54.75" customFormat="1" customHeight="1" s="3">
      <c r="A9" s="36" t="inlineStr">
        <is>
          <t>3</t>
        </is>
      </c>
      <c r="B9" s="36" t="inlineStr">
        <is>
          <t>AFFORDABLE</t>
        </is>
      </c>
      <c r="C9" s="37" t="inlineStr">
        <is>
          <t>Biscayne Woods Apts</t>
        </is>
      </c>
      <c r="D9" s="36" t="n"/>
      <c r="E9" s="36" t="inlineStr">
        <is>
          <t>Homestead</t>
        </is>
      </c>
      <c r="F9" s="36" t="inlineStr">
        <is>
          <t>FL</t>
        </is>
      </c>
      <c r="G9" s="36" t="n"/>
      <c r="H9" s="36" t="inlineStr">
        <is>
          <t>N/A</t>
        </is>
      </c>
      <c r="I9" s="36" t="inlineStr">
        <is>
          <t>$2,887</t>
        </is>
      </c>
      <c r="J9" s="36" t="inlineStr">
        <is>
          <t>$3,465</t>
        </is>
      </c>
      <c r="K9" s="30" t="inlineStr">
        <is>
          <t>$800</t>
        </is>
      </c>
      <c r="L9" s="31" t="inlineStr">
        <is>
          <t>Not Listed</t>
        </is>
      </c>
      <c r="M9" s="36" t="inlineStr">
        <is>
          <t>$3,462</t>
        </is>
      </c>
      <c r="N9" s="36" t="inlineStr">
        <is>
          <t>$4,155</t>
        </is>
      </c>
      <c r="O9" s="30" t="inlineStr">
        <is>
          <t>$1,095</t>
        </is>
      </c>
      <c r="P9" s="31" t="inlineStr">
        <is>
          <t>Not Listed</t>
        </is>
      </c>
      <c r="Q9" s="36" t="inlineStr">
        <is>
          <t>$3,845</t>
        </is>
      </c>
      <c r="R9" s="36" t="inlineStr">
        <is>
          <t>$4,615</t>
        </is>
      </c>
      <c r="S9" s="30" t="inlineStr">
        <is>
          <t>$1,372</t>
        </is>
      </c>
      <c r="T9" s="31" t="inlineStr">
        <is>
          <t>Not Listed</t>
        </is>
      </c>
      <c r="U9" s="36" t="inlineStr">
        <is>
          <t>114</t>
        </is>
      </c>
      <c r="V9" s="36" t="inlineStr">
        <is>
          <t>1994</t>
        </is>
      </c>
      <c r="W9" s="36" t="inlineStr">
        <is>
          <t>1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80" t="inlineStr">
        <is>
          <t>MODERATE</t>
        </is>
      </c>
      <c r="AD9" s="37" t="inlineStr">
        <is>
          <t>Affordable Comp #3: LIHTC property, 1994 vintage (1 yr diff), 114 units, N/A from subject. Same income-eligible renter pool.</t>
        </is>
      </c>
      <c r="AE9" s="36" t="inlineStr">
        <is>
          <t>HUD LIHTC Database (huduser.gov)</t>
        </is>
      </c>
    </row>
    <row r="10" ht="54.75" customFormat="1" customHeight="1" s="3">
      <c r="A10" s="28" t="inlineStr">
        <is>
          <t>4</t>
        </is>
      </c>
      <c r="B10" s="28" t="inlineStr">
        <is>
          <t>AFFORDABLE</t>
        </is>
      </c>
      <c r="C10" s="29" t="inlineStr">
        <is>
          <t>Oak Pointe</t>
        </is>
      </c>
      <c r="D10" s="28" t="inlineStr">
        <is>
          <t>1747 Capital Cir Ne</t>
        </is>
      </c>
      <c r="E10" s="28" t="inlineStr">
        <is>
          <t>Tallahassee</t>
        </is>
      </c>
      <c r="F10" s="28" t="inlineStr">
        <is>
          <t>FL</t>
        </is>
      </c>
      <c r="G10" s="28" t="inlineStr">
        <is>
          <t>32308</t>
        </is>
      </c>
      <c r="H10" s="28" t="inlineStr">
        <is>
          <t>22.8 mi</t>
        </is>
      </c>
      <c r="I10" s="28" t="inlineStr">
        <is>
          <t>$2,887</t>
        </is>
      </c>
      <c r="J10" s="28" t="inlineStr">
        <is>
          <t>$3,465</t>
        </is>
      </c>
      <c r="K10" s="30" t="inlineStr">
        <is>
          <t>$800</t>
        </is>
      </c>
      <c r="L10" s="31" t="inlineStr">
        <is>
          <t>Not Listed</t>
        </is>
      </c>
      <c r="M10" s="28" t="inlineStr">
        <is>
          <t>$3,462</t>
        </is>
      </c>
      <c r="N10" s="28" t="inlineStr">
        <is>
          <t>$4,155</t>
        </is>
      </c>
      <c r="O10" s="30" t="inlineStr">
        <is>
          <t>$1,095</t>
        </is>
      </c>
      <c r="P10" s="31" t="inlineStr">
        <is>
          <t>Not Listed</t>
        </is>
      </c>
      <c r="Q10" s="28" t="inlineStr">
        <is>
          <t>$3,845</t>
        </is>
      </c>
      <c r="R10" s="28" t="inlineStr">
        <is>
          <t>$4,615</t>
        </is>
      </c>
      <c r="S10" s="30" t="inlineStr">
        <is>
          <t>$1,372</t>
        </is>
      </c>
      <c r="T10" s="31" t="inlineStr">
        <is>
          <t>Not Listed</t>
        </is>
      </c>
      <c r="U10" s="28" t="inlineStr">
        <is>
          <t>184</t>
        </is>
      </c>
      <c r="V10" s="28" t="inlineStr">
        <is>
          <t>1993</t>
        </is>
      </c>
      <c r="W10" s="28" t="inlineStr">
        <is>
          <t>2</t>
        </is>
      </c>
      <c r="X10" s="28" t="inlineStr">
        <is>
          <t>Yes</t>
        </is>
      </c>
      <c r="Y10" s="28" t="inlineStr">
        <is>
          <t>No</t>
        </is>
      </c>
      <c r="Z10" s="28" t="inlineStr">
        <is>
          <t>No</t>
        </is>
      </c>
      <c r="AA10" s="28" t="inlineStr">
        <is>
          <t>No</t>
        </is>
      </c>
      <c r="AB10" s="28" t="inlineStr">
        <is>
          <t>No</t>
        </is>
      </c>
      <c r="AC10" s="78" t="inlineStr">
        <is>
          <t>MODERATE-HIGH</t>
        </is>
      </c>
      <c r="AD10" s="29" t="inlineStr">
        <is>
          <t>Affordable Comp #4: LIHTC property, 1993 vintage (2 yr diff), 184 units, 22.8 mi from subject. Same income-eligible renter pool.</t>
        </is>
      </c>
      <c r="AE10" s="28" t="inlineStr">
        <is>
          <t>HUD LIHTC Database (huduser.gov)</t>
        </is>
      </c>
    </row>
    <row r="11" ht="54.75" customFormat="1" customHeight="1" s="3">
      <c r="A11" s="39" t="inlineStr">
        <is>
          <t>1</t>
        </is>
      </c>
      <c r="B11" s="39" t="inlineStr">
        <is>
          <t>MARKET RATE</t>
        </is>
      </c>
      <c r="C11" s="40" t="inlineStr">
        <is>
          <t>Quincy Market Rate (FMR Benchmark)</t>
        </is>
      </c>
      <c r="D11" s="39" t="inlineStr">
        <is>
          <t>Quincy, FL area</t>
        </is>
      </c>
      <c r="E11" s="39" t="inlineStr">
        <is>
          <t>FL area</t>
        </is>
      </c>
      <c r="F11" s="39" t="inlineStr">
        <is>
          <t>FL</t>
        </is>
      </c>
      <c r="G11" s="39" t="n"/>
      <c r="H11" s="39" t="inlineStr">
        <is>
          <t>N/A</t>
        </is>
      </c>
      <c r="I11" s="39" t="inlineStr">
        <is>
          <t>N/A (Market Rate)</t>
        </is>
      </c>
      <c r="J11" s="39" t="inlineStr">
        <is>
          <t>N/A (Market Rate)</t>
        </is>
      </c>
      <c r="K11" s="30" t="inlineStr">
        <is>
          <t>$800</t>
        </is>
      </c>
      <c r="L11" s="31" t="inlineStr">
        <is>
          <t>Not Listed</t>
        </is>
      </c>
      <c r="M11" s="39" t="inlineStr">
        <is>
          <t>N/A (Market Rate)</t>
        </is>
      </c>
      <c r="N11" s="39" t="inlineStr">
        <is>
          <t>N/A (Market Rate)</t>
        </is>
      </c>
      <c r="O11" s="30" t="inlineStr">
        <is>
          <t>$1,095</t>
        </is>
      </c>
      <c r="P11" s="31" t="inlineStr">
        <is>
          <t>$1,295</t>
        </is>
      </c>
      <c r="Q11" s="39" t="inlineStr">
        <is>
          <t>N/A (Market Rate)</t>
        </is>
      </c>
      <c r="R11" s="39" t="inlineStr">
        <is>
          <t>N/A (Market Rate)</t>
        </is>
      </c>
      <c r="S11" s="30" t="inlineStr">
        <is>
          <t>$1,372</t>
        </is>
      </c>
      <c r="T11" s="31" t="inlineStr">
        <is>
          <t>$1,625</t>
        </is>
      </c>
      <c r="U11" s="39" t="inlineStr">
        <is>
          <t>N/A</t>
        </is>
      </c>
      <c r="V11" s="39" t="inlineStr">
        <is>
          <t>1995</t>
        </is>
      </c>
      <c r="W11" s="39" t="inlineStr">
        <is>
          <t>0</t>
        </is>
      </c>
      <c r="X11" s="39" t="inlineStr">
        <is>
          <t>Varies</t>
        </is>
      </c>
      <c r="Y11" s="39" t="inlineStr">
        <is>
          <t>Varies</t>
        </is>
      </c>
      <c r="Z11" s="39" t="inlineStr">
        <is>
          <t>Varies</t>
        </is>
      </c>
      <c r="AA11" s="39" t="inlineStr">
        <is>
          <t>Varies</t>
        </is>
      </c>
      <c r="AB11" s="39" t="inlineStr">
        <is>
          <t>Varies</t>
        </is>
      </c>
      <c r="AC11" s="41" t="inlineStr">
        <is>
          <t>HIGH</t>
        </is>
      </c>
      <c r="AD11" s="40" t="inlineStr">
        <is>
          <t>Market Rate Comp #1: No income restrictions, 1995 vintage (0 yr diff), N/A units, N/A from subject. Shows market-rate rents vs. affordable housing discount.</t>
        </is>
      </c>
      <c r="AE11" s="39" t="inlineStr">
        <is>
          <t>HUD FY2026 FMR - Gadsden County, FL (limited market rate listings in Quincy)</t>
        </is>
      </c>
    </row>
    <row r="12" ht="54.75" customFormat="1" customHeight="1" s="3">
      <c r="A12" s="42" t="inlineStr">
        <is>
          <t>2</t>
        </is>
      </c>
      <c r="B12" s="42" t="inlineStr">
        <is>
          <t>MARKET RATE</t>
        </is>
      </c>
      <c r="C12" s="43" t="inlineStr">
        <is>
          <t>Ochlockonee Pointe Apartments</t>
        </is>
      </c>
      <c r="D12" s="42" t="inlineStr">
        <is>
          <t>33870 Blue Star Hwy</t>
        </is>
      </c>
      <c r="E12" s="42" t="inlineStr">
        <is>
          <t>Midway</t>
        </is>
      </c>
      <c r="F12" s="42" t="inlineStr">
        <is>
          <t>FL</t>
        </is>
      </c>
      <c r="G12" s="42" t="inlineStr">
        <is>
          <t>32343</t>
        </is>
      </c>
      <c r="H12" s="42" t="inlineStr">
        <is>
          <t>8.5 mi</t>
        </is>
      </c>
      <c r="I12" s="42" t="inlineStr">
        <is>
          <t>N/A (Market Rate)</t>
        </is>
      </c>
      <c r="J12" s="42" t="inlineStr">
        <is>
          <t>N/A (Market Rate)</t>
        </is>
      </c>
      <c r="K12" s="30" t="inlineStr">
        <is>
          <t>$800</t>
        </is>
      </c>
      <c r="L12" s="31" t="inlineStr">
        <is>
          <t>$850</t>
        </is>
      </c>
      <c r="M12" s="42" t="inlineStr">
        <is>
          <t>N/A (Market Rate)</t>
        </is>
      </c>
      <c r="N12" s="42" t="inlineStr">
        <is>
          <t>N/A (Market Rate)</t>
        </is>
      </c>
      <c r="O12" s="30" t="inlineStr">
        <is>
          <t>$1,095</t>
        </is>
      </c>
      <c r="P12" s="31" t="inlineStr">
        <is>
          <t>$970</t>
        </is>
      </c>
      <c r="Q12" s="42" t="inlineStr">
        <is>
          <t>N/A (Market Rate)</t>
        </is>
      </c>
      <c r="R12" s="42" t="inlineStr">
        <is>
          <t>N/A (Market Rate)</t>
        </is>
      </c>
      <c r="S12" s="30" t="inlineStr">
        <is>
          <t>$1,372</t>
        </is>
      </c>
      <c r="T12" s="31" t="inlineStr">
        <is>
          <t>$1,150</t>
        </is>
      </c>
      <c r="U12" s="42" t="inlineStr">
        <is>
          <t>N/A</t>
        </is>
      </c>
      <c r="V12" s="42" t="inlineStr">
        <is>
          <t>1998</t>
        </is>
      </c>
      <c r="W12" s="42" t="inlineStr">
        <is>
          <t>3</t>
        </is>
      </c>
      <c r="X12" s="42" t="inlineStr">
        <is>
          <t>No</t>
        </is>
      </c>
      <c r="Y12" s="42" t="inlineStr">
        <is>
          <t>Yes</t>
        </is>
      </c>
      <c r="Z12" s="42" t="inlineStr">
        <is>
          <t>Yes</t>
        </is>
      </c>
      <c r="AA12" s="42" t="inlineStr">
        <is>
          <t>Yes</t>
        </is>
      </c>
      <c r="AB12" s="42" t="inlineStr">
        <is>
          <t>Yes</t>
        </is>
      </c>
      <c r="AC12" s="82" t="inlineStr">
        <is>
          <t>HIGH</t>
        </is>
      </c>
      <c r="AD12" s="43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E12" s="42" t="inlineStr">
        <is>
          <t>https://www.apartments.com/ochlockonee-pointe-apartments-midway-fl/</t>
        </is>
      </c>
    </row>
    <row r="13" ht="54.75" customFormat="1" customHeight="1" s="3">
      <c r="A13" s="45" t="inlineStr">
        <is>
          <t>3</t>
        </is>
      </c>
      <c r="B13" s="45" t="inlineStr">
        <is>
          <t>MARKET RATE</t>
        </is>
      </c>
      <c r="C13" s="46" t="inlineStr">
        <is>
          <t>Omega Villas</t>
        </is>
      </c>
      <c r="D13" s="45" t="inlineStr">
        <is>
          <t>405 Strong Rd</t>
        </is>
      </c>
      <c r="E13" s="45" t="inlineStr">
        <is>
          <t>Quincy</t>
        </is>
      </c>
      <c r="F13" s="45" t="inlineStr">
        <is>
          <t>FL</t>
        </is>
      </c>
      <c r="G13" s="45" t="inlineStr">
        <is>
          <t>32351</t>
        </is>
      </c>
      <c r="H13" s="45" t="inlineStr">
        <is>
          <t>0.5 mi</t>
        </is>
      </c>
      <c r="I13" s="45" t="inlineStr">
        <is>
          <t>N/A (Market Rate)</t>
        </is>
      </c>
      <c r="J13" s="45" t="inlineStr">
        <is>
          <t>N/A (Market Rate)</t>
        </is>
      </c>
      <c r="K13" s="30" t="inlineStr">
        <is>
          <t>$800</t>
        </is>
      </c>
      <c r="L13" s="31" t="inlineStr">
        <is>
          <t>$559</t>
        </is>
      </c>
      <c r="M13" s="45" t="inlineStr">
        <is>
          <t>N/A (Market Rate)</t>
        </is>
      </c>
      <c r="N13" s="45" t="inlineStr">
        <is>
          <t>N/A (Market Rate)</t>
        </is>
      </c>
      <c r="O13" s="30" t="inlineStr">
        <is>
          <t>$1,095</t>
        </is>
      </c>
      <c r="P13" s="31" t="inlineStr">
        <is>
          <t>$750</t>
        </is>
      </c>
      <c r="Q13" s="45" t="inlineStr">
        <is>
          <t>N/A (Market Rate)</t>
        </is>
      </c>
      <c r="R13" s="45" t="inlineStr">
        <is>
          <t>N/A (Market Rate)</t>
        </is>
      </c>
      <c r="S13" s="30" t="inlineStr">
        <is>
          <t>$1,372</t>
        </is>
      </c>
      <c r="T13" s="31" t="inlineStr">
        <is>
          <t>Not Listed</t>
        </is>
      </c>
      <c r="U13" s="45" t="inlineStr">
        <is>
          <t>48</t>
        </is>
      </c>
      <c r="V13" s="45" t="inlineStr">
        <is>
          <t>1997</t>
        </is>
      </c>
      <c r="W13" s="45" t="inlineStr">
        <is>
          <t>2</t>
        </is>
      </c>
      <c r="X13" s="45" t="inlineStr">
        <is>
          <t>No</t>
        </is>
      </c>
      <c r="Y13" s="45" t="inlineStr">
        <is>
          <t>Yes</t>
        </is>
      </c>
      <c r="Z13" s="45" t="inlineStr">
        <is>
          <t>Yes</t>
        </is>
      </c>
      <c r="AA13" s="45" t="inlineStr">
        <is>
          <t>No</t>
        </is>
      </c>
      <c r="AB13" s="45" t="inlineStr">
        <is>
          <t>Yes</t>
        </is>
      </c>
      <c r="AC13" s="83" t="inlineStr">
        <is>
          <t>HIGH</t>
        </is>
      </c>
      <c r="AD13" s="46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E13" s="45" t="inlineStr">
        <is>
          <t>https://www.apartments.com/omega-villas-quincy-fl/d7w38lk/</t>
        </is>
      </c>
    </row>
    <row r="14" ht="54.75" customFormat="1" customHeight="1" s="3">
      <c r="A14" s="39" t="inlineStr">
        <is>
          <t>4</t>
        </is>
      </c>
      <c r="B14" s="39" t="inlineStr">
        <is>
          <t>MARKET RATE</t>
        </is>
      </c>
      <c r="C14" s="40" t="inlineStr">
        <is>
          <t>Triple Oaks Apartments</t>
        </is>
      </c>
      <c r="D14" s="39" t="inlineStr">
        <is>
          <t>635 Strong Rd</t>
        </is>
      </c>
      <c r="E14" s="39" t="inlineStr">
        <is>
          <t>Quincy</t>
        </is>
      </c>
      <c r="F14" s="39" t="inlineStr">
        <is>
          <t>FL</t>
        </is>
      </c>
      <c r="G14" s="39" t="inlineStr">
        <is>
          <t>32351</t>
        </is>
      </c>
      <c r="H14" s="39" t="inlineStr">
        <is>
          <t>0.7 mi</t>
        </is>
      </c>
      <c r="I14" s="39" t="inlineStr">
        <is>
          <t>N/A (Market Rate)</t>
        </is>
      </c>
      <c r="J14" s="39" t="inlineStr">
        <is>
          <t>N/A (Market Rate)</t>
        </is>
      </c>
      <c r="K14" s="30" t="inlineStr">
        <is>
          <t>$800</t>
        </is>
      </c>
      <c r="L14" s="31" t="inlineStr">
        <is>
          <t>$475</t>
        </is>
      </c>
      <c r="M14" s="39" t="inlineStr">
        <is>
          <t>N/A (Market Rate)</t>
        </is>
      </c>
      <c r="N14" s="39" t="inlineStr">
        <is>
          <t>N/A (Market Rate)</t>
        </is>
      </c>
      <c r="O14" s="30" t="inlineStr">
        <is>
          <t>$1,095</t>
        </is>
      </c>
      <c r="P14" s="31" t="inlineStr">
        <is>
          <t>$650</t>
        </is>
      </c>
      <c r="Q14" s="39" t="inlineStr">
        <is>
          <t>N/A (Market Rate)</t>
        </is>
      </c>
      <c r="R14" s="39" t="inlineStr">
        <is>
          <t>N/A (Market Rate)</t>
        </is>
      </c>
      <c r="S14" s="30" t="inlineStr">
        <is>
          <t>$1,372</t>
        </is>
      </c>
      <c r="T14" s="31" t="inlineStr">
        <is>
          <t>Not Listed</t>
        </is>
      </c>
      <c r="U14" s="39" t="inlineStr">
        <is>
          <t>81</t>
        </is>
      </c>
      <c r="V14" s="39" t="inlineStr">
        <is>
          <t>1993</t>
        </is>
      </c>
      <c r="W14" s="39" t="inlineStr">
        <is>
          <t>2</t>
        </is>
      </c>
      <c r="X14" s="39" t="inlineStr">
        <is>
          <t>No</t>
        </is>
      </c>
      <c r="Y14" s="39" t="inlineStr">
        <is>
          <t>Yes</t>
        </is>
      </c>
      <c r="Z14" s="39" t="inlineStr">
        <is>
          <t>Yes</t>
        </is>
      </c>
      <c r="AA14" s="39" t="inlineStr">
        <is>
          <t>No</t>
        </is>
      </c>
      <c r="AB14" s="39" t="inlineStr">
        <is>
          <t>Yes</t>
        </is>
      </c>
      <c r="AC14" s="81" t="inlineStr">
        <is>
          <t>HIGH</t>
        </is>
      </c>
      <c r="AD14" s="40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E14" s="39" t="inlineStr">
        <is>
          <t>https://www.apartments.com/triple-oaks-apartments-quincy-fl/3ey417e/</t>
        </is>
      </c>
    </row>
    <row r="15" ht="54.75" customFormat="1" customHeight="1" s="3">
      <c r="A15" s="48" t="inlineStr">
        <is>
          <t>—</t>
        </is>
      </c>
      <c r="B15" s="48" t="inlineStr">
        <is>
          <t>BENCHMARK</t>
        </is>
      </c>
      <c r="C15" s="49" t="inlineStr">
        <is>
          <t>FY2026 FMR — Gadsden County, FL</t>
        </is>
      </c>
      <c r="D15" s="48" t="inlineStr">
        <is>
          <t>N/A</t>
        </is>
      </c>
      <c r="E15" s="48" t="inlineStr">
        <is>
          <t>Quincy</t>
        </is>
      </c>
      <c r="F15" s="48" t="inlineStr">
        <is>
          <t>FL</t>
        </is>
      </c>
      <c r="G15" s="48" t="inlineStr">
        <is>
          <t>N/A</t>
        </is>
      </c>
      <c r="H15" s="48" t="inlineStr">
        <is>
          <t>N/A</t>
        </is>
      </c>
      <c r="I15" s="48" t="inlineStr">
        <is>
          <t>$800</t>
        </is>
      </c>
      <c r="J15" s="48" t="inlineStr">
        <is>
          <t>$800</t>
        </is>
      </c>
      <c r="K15" s="30" t="inlineStr">
        <is>
          <t>$800</t>
        </is>
      </c>
      <c r="L15" s="31" t="inlineStr">
        <is>
          <t>N/A</t>
        </is>
      </c>
      <c r="M15" s="48" t="inlineStr">
        <is>
          <t>$1,095</t>
        </is>
      </c>
      <c r="N15" s="48" t="inlineStr">
        <is>
          <t>$1,095</t>
        </is>
      </c>
      <c r="O15" s="30" t="inlineStr">
        <is>
          <t>$1,095</t>
        </is>
      </c>
      <c r="P15" s="31" t="inlineStr">
        <is>
          <t>N/A</t>
        </is>
      </c>
      <c r="Q15" s="48" t="inlineStr">
        <is>
          <t>$1,372</t>
        </is>
      </c>
      <c r="R15" s="48" t="inlineStr">
        <is>
          <t>$1,372</t>
        </is>
      </c>
      <c r="S15" s="30" t="inlineStr">
        <is>
          <t>$1,372</t>
        </is>
      </c>
      <c r="T15" s="31" t="inlineStr">
        <is>
          <t>N/A</t>
        </is>
      </c>
      <c r="U15" s="48" t="inlineStr">
        <is>
          <t>N/A</t>
        </is>
      </c>
      <c r="V15" s="48" t="inlineStr">
        <is>
          <t>N/A</t>
        </is>
      </c>
      <c r="W15" s="48" t="inlineStr">
        <is>
          <t>N/A</t>
        </is>
      </c>
      <c r="X15" s="48" t="inlineStr">
        <is>
          <t>N/A</t>
        </is>
      </c>
      <c r="Y15" s="48" t="inlineStr">
        <is>
          <t>N/A</t>
        </is>
      </c>
      <c r="Z15" s="48" t="inlineStr">
        <is>
          <t>N/A</t>
        </is>
      </c>
      <c r="AA15" s="48" t="inlineStr">
        <is>
          <t>N/A</t>
        </is>
      </c>
      <c r="AB15" s="48" t="inlineStr">
        <is>
          <t>N/A</t>
        </is>
      </c>
      <c r="AC15" s="50" t="inlineStr">
        <is>
          <t>BENCHMARK</t>
        </is>
      </c>
      <c r="AD15" s="49" t="inlineStr">
        <is>
      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5" s="48" t="inlineStr">
        <is>
          <t>HUD FMR Database (huduser.gov)</t>
        </is>
      </c>
    </row>
    <row r="16" ht="54.75" customFormat="1" customHeight="1" s="3">
      <c r="A16" s="48" t="inlineStr">
        <is>
          <t>—</t>
        </is>
      </c>
      <c r="B16" s="48" t="inlineStr">
        <is>
          <t>BENCHMARK</t>
        </is>
      </c>
      <c r="C16" s="49" t="inlineStr">
        <is>
          <t>Metro Market Avg — Quincy</t>
        </is>
      </c>
      <c r="D16" s="48" t="inlineStr">
        <is>
          <t>N/A</t>
        </is>
      </c>
      <c r="E16" s="48" t="inlineStr">
        <is>
          <t>Quincy</t>
        </is>
      </c>
      <c r="F16" s="48" t="inlineStr">
        <is>
          <t>FL</t>
        </is>
      </c>
      <c r="G16" s="48" t="inlineStr">
        <is>
          <t>N/A</t>
        </is>
      </c>
      <c r="H16" s="48" t="inlineStr">
        <is>
          <t>N/A</t>
        </is>
      </c>
      <c r="I16" s="48" t="inlineStr">
        <is>
          <t>$880</t>
        </is>
      </c>
      <c r="J16" s="48" t="inlineStr">
        <is>
          <t>$880</t>
        </is>
      </c>
      <c r="K16" s="30" t="inlineStr">
        <is>
          <t>$880</t>
        </is>
      </c>
      <c r="L16" s="31" t="inlineStr">
        <is>
          <t>N/A</t>
        </is>
      </c>
      <c r="M16" s="48" t="inlineStr">
        <is>
          <t>$1,204</t>
        </is>
      </c>
      <c r="N16" s="48" t="inlineStr">
        <is>
          <t>$1,204</t>
        </is>
      </c>
      <c r="O16" s="30" t="inlineStr">
        <is>
          <t>$1,204</t>
        </is>
      </c>
      <c r="P16" s="31" t="inlineStr">
        <is>
          <t>N/A</t>
        </is>
      </c>
      <c r="Q16" s="48" t="inlineStr">
        <is>
          <t>$1,509</t>
        </is>
      </c>
      <c r="R16" s="48" t="inlineStr">
        <is>
          <t>$1,509</t>
        </is>
      </c>
      <c r="S16" s="30" t="inlineStr">
        <is>
          <t>$1,509</t>
        </is>
      </c>
      <c r="T16" s="31" t="inlineStr">
        <is>
          <t>N/A</t>
        </is>
      </c>
      <c r="U16" s="48" t="inlineStr">
        <is>
          <t>N/A</t>
        </is>
      </c>
      <c r="V16" s="48" t="inlineStr">
        <is>
          <t>N/A</t>
        </is>
      </c>
      <c r="W16" s="48" t="inlineStr">
        <is>
          <t>N/A</t>
        </is>
      </c>
      <c r="X16" s="48" t="inlineStr">
        <is>
          <t>N/A</t>
        </is>
      </c>
      <c r="Y16" s="48" t="inlineStr">
        <is>
          <t>N/A</t>
        </is>
      </c>
      <c r="Z16" s="48" t="inlineStr">
        <is>
          <t>N/A</t>
        </is>
      </c>
      <c r="AA16" s="48" t="inlineStr">
        <is>
          <t>N/A</t>
        </is>
      </c>
      <c r="AB16" s="48" t="inlineStr">
        <is>
          <t>N/A</t>
        </is>
      </c>
      <c r="AC16" s="50" t="inlineStr">
        <is>
          <t>BENCHMARK</t>
        </is>
      </c>
      <c r="AD16" s="49" t="inlineStr">
        <is>
      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6" s="48" t="inlineStr">
        <is>
          <t>HUD FMR + Market Estimate</t>
        </is>
      </c>
    </row>
    <row r="17" ht="8.25" customFormat="1" customHeight="1" s="3"/>
    <row r="18" ht="27.75" customFormat="1" customHeight="1" s="3">
      <c r="A18" s="51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Height="1" s="95">
      <c r="A21" s="61" t="inlineStr">
        <is>
          <t>PMTS — Vouchers / FMR / UAP / NET FMR</t>
        </is>
      </c>
      <c r="B21" s="101" t="n"/>
      <c r="C21" s="101" t="n"/>
      <c r="D21" s="101" t="n"/>
      <c r="E21" s="101" t="n"/>
      <c r="F21" s="102" t="n"/>
    </row>
    <row r="22" ht="15" customHeight="1" s="95">
      <c r="A22" s="64" t="inlineStr">
        <is>
          <t>BD</t>
        </is>
      </c>
      <c r="B22" s="65" t="inlineStr">
        <is>
          <t>MKT</t>
        </is>
      </c>
      <c r="C22" s="66" t="inlineStr">
        <is>
          <t>VCH</t>
        </is>
      </c>
      <c r="D22" s="67" t="inlineStr">
        <is>
          <t>FMR</t>
        </is>
      </c>
      <c r="E22" s="68" t="inlineStr">
        <is>
          <t>UAP</t>
        </is>
      </c>
      <c r="F22" s="69" t="inlineStr">
        <is>
          <t>NET</t>
        </is>
      </c>
    </row>
    <row r="23" ht="15" customHeight="1" s="95">
      <c r="A23" s="70" t="inlineStr">
        <is>
          <t>1BD</t>
        </is>
      </c>
      <c r="B23" s="71" t="n">
        <v>0</v>
      </c>
      <c r="C23" s="71" t="n">
        <v>920</v>
      </c>
      <c r="D23" s="71" t="n">
        <v>1070</v>
      </c>
      <c r="E23" s="72" t="n">
        <v>73</v>
      </c>
      <c r="F23" s="73" t="n">
        <v>997</v>
      </c>
    </row>
    <row r="24" ht="15" customHeight="1" s="95">
      <c r="A24" s="74" t="inlineStr">
        <is>
          <t>2BD</t>
        </is>
      </c>
      <c r="B24" s="75" t="n">
        <v>0</v>
      </c>
      <c r="C24" s="75" t="n">
        <v>1098</v>
      </c>
      <c r="D24" s="75" t="n">
        <v>1210</v>
      </c>
      <c r="E24" s="72" t="n">
        <v>93</v>
      </c>
      <c r="F24" s="73" t="n">
        <v>1117</v>
      </c>
    </row>
    <row r="25" ht="15" customHeight="1" s="95">
      <c r="A25" s="70" t="inlineStr">
        <is>
          <t>3BD</t>
        </is>
      </c>
      <c r="B25" s="71" t="n">
        <v>0</v>
      </c>
      <c r="C25" s="71" t="n">
        <v>1260</v>
      </c>
      <c r="D25" s="71" t="n">
        <v>1540</v>
      </c>
      <c r="E25" s="72" t="n">
        <v>112</v>
      </c>
      <c r="F25" s="73" t="n">
        <v>1428</v>
      </c>
    </row>
    <row r="28" ht="15" customHeight="1" s="95">
      <c r="A28" s="61" t="inlineStr">
        <is>
          <t>LIHTC, UAP, NET</t>
        </is>
      </c>
      <c r="B28" s="101" t="n"/>
      <c r="C28" s="101" t="n"/>
      <c r="D28" s="101" t="n"/>
      <c r="E28" s="102" t="n"/>
    </row>
    <row r="29" ht="15" customHeight="1" s="95">
      <c r="A29" s="64" t="n"/>
      <c r="B29" s="65" t="inlineStr">
        <is>
          <t>LIHTC/MKT</t>
        </is>
      </c>
      <c r="C29" s="67" t="inlineStr">
        <is>
          <t>30%</t>
        </is>
      </c>
      <c r="D29" s="68" t="inlineStr">
        <is>
          <t>UAP</t>
        </is>
      </c>
      <c r="E29" s="69" t="inlineStr">
        <is>
          <t>NET</t>
        </is>
      </c>
    </row>
    <row r="30" ht="15" customHeight="1" s="95">
      <c r="A30" s="70" t="inlineStr">
        <is>
          <t>1BD</t>
        </is>
      </c>
      <c r="B30" s="71" t="n">
        <v>519</v>
      </c>
      <c r="C30" s="71" t="n">
        <v>415</v>
      </c>
      <c r="D30" s="72" t="n">
        <v>73</v>
      </c>
      <c r="E30" s="73" t="n">
        <v>342</v>
      </c>
    </row>
    <row r="31" ht="15" customHeight="1" s="95">
      <c r="A31" s="74" t="inlineStr">
        <is>
          <t>2BD</t>
        </is>
      </c>
      <c r="B31" s="75" t="n">
        <v>623</v>
      </c>
      <c r="C31" s="75" t="n">
        <v>492</v>
      </c>
      <c r="D31" s="72" t="n">
        <v>93</v>
      </c>
      <c r="E31" s="73" t="n">
        <v>399</v>
      </c>
    </row>
    <row r="32" ht="15" customHeight="1" s="95">
      <c r="A32" s="70" t="inlineStr">
        <is>
          <t>3BD</t>
        </is>
      </c>
      <c r="B32" s="71" t="n">
        <v>720</v>
      </c>
      <c r="C32" s="71" t="n">
        <v>560</v>
      </c>
      <c r="D32" s="72" t="n">
        <v>112</v>
      </c>
      <c r="E32" s="73" t="n">
        <v>448</v>
      </c>
    </row>
    <row r="33" ht="15" customHeight="1" s="95">
      <c r="A33" s="64" t="n"/>
      <c r="B33" s="65" t="inlineStr">
        <is>
          <t>LIHTC/MKT</t>
        </is>
      </c>
      <c r="C33" s="67" t="inlineStr">
        <is>
          <t>60%</t>
        </is>
      </c>
      <c r="D33" s="68" t="inlineStr">
        <is>
          <t>UAP</t>
        </is>
      </c>
      <c r="E33" s="69" t="inlineStr">
        <is>
          <t>NET</t>
        </is>
      </c>
    </row>
    <row r="34" ht="15" customHeight="1" s="95">
      <c r="A34" s="70" t="inlineStr">
        <is>
          <t>1BD</t>
        </is>
      </c>
      <c r="B34" s="71" t="n">
        <v>1039</v>
      </c>
      <c r="C34" s="71" t="n">
        <v>920</v>
      </c>
      <c r="D34" s="72" t="n">
        <v>73</v>
      </c>
      <c r="E34" s="73" t="n">
        <v>847</v>
      </c>
    </row>
    <row r="35" ht="15" customHeight="1" s="95">
      <c r="A35" s="74" t="inlineStr">
        <is>
          <t>2BD</t>
        </is>
      </c>
      <c r="B35" s="75" t="n">
        <v>1246</v>
      </c>
      <c r="C35" s="75" t="n">
        <v>1098</v>
      </c>
      <c r="D35" s="72" t="n">
        <v>93</v>
      </c>
      <c r="E35" s="73" t="n">
        <v>1005</v>
      </c>
    </row>
    <row r="36" ht="15" customHeight="1" s="95">
      <c r="A36" s="70" t="inlineStr">
        <is>
          <t>3BD</t>
        </is>
      </c>
      <c r="B36" s="71" t="n">
        <v>1440</v>
      </c>
      <c r="C36" s="71" t="n">
        <v>1260</v>
      </c>
      <c r="D36" s="72" t="n">
        <v>112</v>
      </c>
      <c r="E36" s="73" t="n">
        <v>1148</v>
      </c>
    </row>
    <row r="39" ht="15" customHeight="1" s="95">
      <c r="A39" s="61" t="inlineStr">
        <is>
          <t>HAP, CoStar, NET</t>
        </is>
      </c>
      <c r="B39" s="101" t="n"/>
      <c r="C39" s="102" t="n"/>
    </row>
    <row r="40" ht="15" customHeight="1" s="95">
      <c r="A40" s="64" t="n"/>
      <c r="B40" s="68" t="inlineStr">
        <is>
          <t>HAP</t>
        </is>
      </c>
      <c r="C40" s="65" t="inlineStr">
        <is>
          <t>CoStar</t>
        </is>
      </c>
    </row>
    <row r="41" ht="15" customHeight="1" s="95">
      <c r="A41" s="70" t="inlineStr">
        <is>
          <t>1BD</t>
        </is>
      </c>
      <c r="B41" s="103" t="n">
        <v>0</v>
      </c>
      <c r="C41" s="104" t="n">
        <v>1385</v>
      </c>
    </row>
    <row r="42" ht="15" customHeight="1" s="95">
      <c r="A42" s="74" t="inlineStr">
        <is>
          <t>2BD</t>
        </is>
      </c>
      <c r="B42" s="103" t="n">
        <v>0</v>
      </c>
      <c r="C42" s="104" t="n">
        <v>1459</v>
      </c>
    </row>
    <row r="43" ht="15" customHeight="1" s="95">
      <c r="A43" s="70" t="inlineStr">
        <is>
          <t>3BD</t>
        </is>
      </c>
      <c r="B43" s="103" t="n">
        <v>0</v>
      </c>
      <c r="C43" s="104" t="n">
        <v>1569</v>
      </c>
    </row>
  </sheetData>
  <mergeCells count="7">
    <mergeCell ref="A4:AE4"/>
    <mergeCell ref="A2:AE2"/>
    <mergeCell ref="A28:E28"/>
    <mergeCell ref="A39:C39"/>
    <mergeCell ref="A18:AE18"/>
    <mergeCell ref="A21:F21"/>
    <mergeCell ref="A3:AE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39"/>
  <sheetViews>
    <sheetView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8.00390625" customWidth="1" style="3" min="1" max="1"/>
    <col width="14.00390625" customWidth="1" style="3" min="2" max="2"/>
    <col width="28.00390625" customWidth="1" style="3" min="3" max="3"/>
    <col width="22.00390625" customWidth="1" style="3" min="4" max="4"/>
    <col width="16.00390625" customWidth="1" style="3" min="5" max="5"/>
    <col width="10.00390625" customWidth="1" style="3" min="6" max="6"/>
    <col width="8.00390625" customWidth="1" style="3" min="7" max="7"/>
    <col width="11.00390625" customWidth="1" style="3" min="8" max="8"/>
    <col width="10.00390625" customWidth="1" style="3" min="9" max="11"/>
    <col width="12.00390625" customWidth="1" style="3" min="12" max="12"/>
    <col width="10.00390625" customWidth="1" style="3" min="13" max="15"/>
    <col width="12.00390625" customWidth="1" style="3" min="16" max="16"/>
    <col width="10.00390625" customWidth="1" style="3" min="17" max="19"/>
    <col width="12.00390625" customWidth="1" style="3" min="20" max="20"/>
    <col width="8.00390625" customWidth="1" style="3" min="21" max="21"/>
    <col width="10.00390625" customWidth="1" style="3" min="22" max="22"/>
    <col width="7.00390625" customWidth="1" style="3" min="23" max="23"/>
    <col width="12.00390625" customWidth="1" style="3" min="24" max="25"/>
    <col width="8.00390625" customWidth="1" style="3" min="26" max="27"/>
    <col width="10.00390625" customWidth="1" style="3" min="28" max="28"/>
    <col width="16.00390625" customWidth="1" style="3" min="29" max="29"/>
    <col width="45.00390625" customWidth="1" style="3" min="30" max="30"/>
    <col width="28.00390625" customWidth="1" style="3" min="31" max="31"/>
  </cols>
  <sheetData>
    <row r="1" ht="15" customHeight="1" s="95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</row>
    <row r="2" ht="24" customFormat="1" customHeight="1" s="3">
      <c r="A2" s="17" t="inlineStr">
        <is>
          <t>COMPETITIVE RENT ANALYSIS — WINDSOR/YORKSHIRE | GREEN = Affordable Comps | BLUE = Market Rate Comps</t>
        </is>
      </c>
    </row>
    <row r="3" ht="20.25" customFormat="1" customHeight="1" s="3">
      <c r="A3" s="18" t="inlineStr">
        <is>
          <t>SUBJECT: Windsor/Yorkshire | 2020 N. Hearne Avenue, Shreveport, LA 71107 | 134 units | Program: LIHTC | Bedroom Mix: 1BR / 2BR / 4BR | County AMI: $81,700 | FMR Area: Shreveport-Bossier City MSA</t>
        </is>
      </c>
    </row>
    <row r="4" ht="90" customFormat="1" customHeight="1" s="3">
      <c r="A4" s="19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5" ht="30" customFormat="1" customHeight="1" s="3">
      <c r="A5" s="20" t="inlineStr">
        <is>
          <t>Rank</t>
        </is>
      </c>
      <c r="B5" s="20" t="inlineStr">
        <is>
          <t>Type</t>
        </is>
      </c>
      <c r="C5" s="20" t="inlineStr">
        <is>
          <t>Property Name</t>
        </is>
      </c>
      <c r="D5" s="20" t="inlineStr">
        <is>
          <t>Address</t>
        </is>
      </c>
      <c r="E5" s="20" t="inlineStr">
        <is>
          <t>City</t>
        </is>
      </c>
      <c r="F5" s="20" t="inlineStr">
        <is>
          <t>State</t>
        </is>
      </c>
      <c r="G5" s="20" t="inlineStr">
        <is>
          <t>ZIP</t>
        </is>
      </c>
      <c r="H5" s="20" t="inlineStr">
        <is>
          <t>Distance (mi)</t>
        </is>
      </c>
      <c r="I5" s="20" t="inlineStr">
        <is>
          <t>1BR Low ($)</t>
        </is>
      </c>
      <c r="J5" s="20" t="inlineStr">
        <is>
          <t>1BR Mid ($)</t>
        </is>
      </c>
      <c r="K5" s="21" t="inlineStr">
        <is>
          <t>1BR FMR ($)</t>
        </is>
      </c>
      <c r="L5" s="22" t="inlineStr">
        <is>
          <t>1BR Actual ($)</t>
        </is>
      </c>
      <c r="M5" s="20" t="inlineStr">
        <is>
          <t>2BR Low ($)</t>
        </is>
      </c>
      <c r="N5" s="20" t="inlineStr">
        <is>
          <t>2BR Mid ($)</t>
        </is>
      </c>
      <c r="O5" s="21" t="inlineStr">
        <is>
          <t>2BR FMR ($)</t>
        </is>
      </c>
      <c r="P5" s="22" t="inlineStr">
        <is>
          <t>2BR Actual ($)</t>
        </is>
      </c>
      <c r="Q5" s="20" t="inlineStr">
        <is>
          <t>4BR Low ($)</t>
        </is>
      </c>
      <c r="R5" s="20" t="inlineStr">
        <is>
          <t>4BR Mid ($)</t>
        </is>
      </c>
      <c r="S5" s="21" t="inlineStr">
        <is>
          <t>4BR FMR ($)</t>
        </is>
      </c>
      <c r="T5" s="22" t="inlineStr">
        <is>
          <t>4BR Actual ($)</t>
        </is>
      </c>
      <c r="U5" s="20" t="inlineStr">
        <is>
          <t># Units</t>
        </is>
      </c>
      <c r="V5" s="20" t="inlineStr">
        <is>
          <t>Year Built</t>
        </is>
      </c>
      <c r="W5" s="20" t="inlineStr">
        <is>
          <t>Yr Diff</t>
        </is>
      </c>
      <c r="X5" s="20" t="inlineStr">
        <is>
          <t>Utilities Incl.</t>
        </is>
      </c>
      <c r="Y5" s="20" t="inlineStr">
        <is>
          <t>Pet Friendly</t>
        </is>
      </c>
      <c r="Z5" s="20" t="inlineStr">
        <is>
          <t>Gated</t>
        </is>
      </c>
      <c r="AA5" s="20" t="inlineStr">
        <is>
          <t>Pool</t>
        </is>
      </c>
      <c r="AB5" s="20" t="inlineStr">
        <is>
          <t>W/D In-Unit</t>
        </is>
      </c>
      <c r="AC5" s="20" t="inlineStr">
        <is>
          <t>Competition Level</t>
        </is>
      </c>
      <c r="AD5" s="20" t="inlineStr">
        <is>
          <t>Why Competitive</t>
        </is>
      </c>
      <c r="AE5" s="20" t="inlineStr">
        <is>
          <t>Data Source</t>
        </is>
      </c>
    </row>
    <row r="6" ht="54.75" customFormat="1" customHeight="1" s="3">
      <c r="A6" s="23" t="inlineStr">
        <is>
          <t>—</t>
        </is>
      </c>
      <c r="B6" s="23" t="inlineStr">
        <is>
          <t>SUBJECT</t>
        </is>
      </c>
      <c r="C6" s="24" t="inlineStr">
        <is>
          <t>Windsor/Yorkshire (SUBJECT)</t>
        </is>
      </c>
      <c r="D6" s="23" t="inlineStr">
        <is>
          <t>2020 N. Hearne Avenue</t>
        </is>
      </c>
      <c r="E6" s="23" t="inlineStr">
        <is>
          <t>Shreveport</t>
        </is>
      </c>
      <c r="F6" s="23" t="inlineStr">
        <is>
          <t>LA</t>
        </is>
      </c>
      <c r="G6" s="23" t="inlineStr">
        <is>
          <t>71107</t>
        </is>
      </c>
      <c r="H6" s="23" t="inlineStr">
        <is>
          <t>0.0 mi</t>
        </is>
      </c>
      <c r="I6" s="23" t="inlineStr">
        <is>
          <t>$2,554</t>
        </is>
      </c>
      <c r="J6" s="23" t="inlineStr">
        <is>
          <t>$3,065</t>
        </is>
      </c>
      <c r="K6" s="25" t="inlineStr">
        <is>
          <t>$736</t>
        </is>
      </c>
      <c r="L6" s="26" t="inlineStr">
        <is>
          <t>N/A</t>
        </is>
      </c>
      <c r="M6" s="23" t="inlineStr">
        <is>
          <t>$3,066</t>
        </is>
      </c>
      <c r="N6" s="23" t="inlineStr">
        <is>
          <t>$3,680</t>
        </is>
      </c>
      <c r="O6" s="25" t="inlineStr">
        <is>
          <t>$1,008</t>
        </is>
      </c>
      <c r="P6" s="26" t="inlineStr">
        <is>
          <t>N/A</t>
        </is>
      </c>
      <c r="Q6" s="23" t="inlineStr">
        <is>
          <t>$3,679</t>
        </is>
      </c>
      <c r="R6" s="23" t="inlineStr">
        <is>
          <t>$4,415</t>
        </is>
      </c>
      <c r="S6" s="25" t="inlineStr">
        <is>
          <t>$1,457</t>
        </is>
      </c>
      <c r="T6" s="26" t="inlineStr">
        <is>
          <t>N/A</t>
        </is>
      </c>
      <c r="U6" s="23" t="inlineStr">
        <is>
          <t>134</t>
        </is>
      </c>
      <c r="V6" s="23" t="inlineStr">
        <is>
          <t>1998</t>
        </is>
      </c>
      <c r="W6" s="23" t="inlineStr">
        <is>
          <t>0</t>
        </is>
      </c>
      <c r="X6" s="23" t="inlineStr">
        <is>
          <t>No</t>
        </is>
      </c>
      <c r="Y6" s="23" t="inlineStr">
        <is>
          <t>No</t>
        </is>
      </c>
      <c r="Z6" s="23" t="inlineStr">
        <is>
          <t>No</t>
        </is>
      </c>
      <c r="AA6" s="23" t="inlineStr">
        <is>
          <t>Yes</t>
        </is>
      </c>
      <c r="AB6" s="23" t="inlineStr">
        <is>
          <t>No</t>
        </is>
      </c>
      <c r="AC6" s="27" t="inlineStr">
        <is>
          <t>SUBJECT</t>
        </is>
      </c>
      <c r="AD6" s="24" t="inlineStr">
        <is>
          <t>134 units | LIHTC property. Year built: 1998. Subject property for market context.</t>
        </is>
      </c>
      <c r="AE6" s="23" t="inlineStr">
        <is>
          <t>Apartment Corp Records</t>
        </is>
      </c>
    </row>
    <row r="7" ht="54.75" customFormat="1" customHeight="1" s="3">
      <c r="A7" s="28" t="inlineStr">
        <is>
          <t>1</t>
        </is>
      </c>
      <c r="B7" s="28" t="inlineStr">
        <is>
          <t>AFFORDABLE</t>
        </is>
      </c>
      <c r="C7" s="29" t="inlineStr">
        <is>
          <t>Southwood Gardens</t>
        </is>
      </c>
      <c r="D7" s="28" t="inlineStr">
        <is>
          <t>3550 Cedar Creek, Budg. 1</t>
        </is>
      </c>
      <c r="E7" s="28" t="inlineStr">
        <is>
          <t>Shreveport</t>
        </is>
      </c>
      <c r="F7" s="28" t="inlineStr">
        <is>
          <t>LA</t>
        </is>
      </c>
      <c r="G7" s="28" t="inlineStr">
        <is>
          <t>71118-0000</t>
        </is>
      </c>
      <c r="H7" s="28" t="inlineStr">
        <is>
          <t>9.4 mi</t>
        </is>
      </c>
      <c r="I7" s="28" t="inlineStr">
        <is>
          <t>$2,554</t>
        </is>
      </c>
      <c r="J7" s="28" t="inlineStr">
        <is>
          <t>$3,065</t>
        </is>
      </c>
      <c r="K7" s="30" t="inlineStr">
        <is>
          <t>$736</t>
        </is>
      </c>
      <c r="L7" s="31" t="inlineStr">
        <is>
          <t>Not Listed</t>
        </is>
      </c>
      <c r="M7" s="28" t="inlineStr">
        <is>
          <t>$3,066</t>
        </is>
      </c>
      <c r="N7" s="28" t="inlineStr">
        <is>
          <t>$3,680</t>
        </is>
      </c>
      <c r="O7" s="30" t="inlineStr">
        <is>
          <t>$1,008</t>
        </is>
      </c>
      <c r="P7" s="31" t="inlineStr">
        <is>
          <t>Not Listed</t>
        </is>
      </c>
      <c r="Q7" s="28" t="inlineStr">
        <is>
          <t>$3,679</t>
        </is>
      </c>
      <c r="R7" s="28" t="inlineStr">
        <is>
          <t>$4,415</t>
        </is>
      </c>
      <c r="S7" s="30" t="inlineStr">
        <is>
          <t>$1,457</t>
        </is>
      </c>
      <c r="T7" s="31" t="inlineStr">
        <is>
          <t>Not Listed</t>
        </is>
      </c>
      <c r="U7" s="28" t="inlineStr">
        <is>
          <t>96</t>
        </is>
      </c>
      <c r="V7" s="28" t="inlineStr">
        <is>
          <t>1998</t>
        </is>
      </c>
      <c r="W7" s="28" t="inlineStr">
        <is>
          <t>0</t>
        </is>
      </c>
      <c r="X7" s="28" t="inlineStr">
        <is>
          <t>Yes</t>
        </is>
      </c>
      <c r="Y7" s="28" t="inlineStr">
        <is>
          <t>No</t>
        </is>
      </c>
      <c r="Z7" s="28" t="inlineStr">
        <is>
          <t>No</t>
        </is>
      </c>
      <c r="AA7" s="28" t="inlineStr">
        <is>
          <t>No</t>
        </is>
      </c>
      <c r="AB7" s="28" t="inlineStr">
        <is>
          <t>No</t>
        </is>
      </c>
      <c r="AC7" s="32" t="inlineStr">
        <is>
          <t>HIGH</t>
        </is>
      </c>
      <c r="AD7" s="29" t="inlineStr">
        <is>
          <t>Affordable Comp #1: LIHTC property, 1998 vintage (0 yr diff), 96 units, 9.4 mi from subject. Same income-eligible renter pool.</t>
        </is>
      </c>
      <c r="AE7" s="28" t="inlineStr">
        <is>
          <t>HUD LIHTC Database (huduser.gov)</t>
        </is>
      </c>
    </row>
    <row r="8" ht="54.75" customFormat="1" customHeight="1" s="3">
      <c r="A8" s="33" t="inlineStr">
        <is>
          <t>2</t>
        </is>
      </c>
      <c r="B8" s="33" t="inlineStr">
        <is>
          <t>AFFORDABLE</t>
        </is>
      </c>
      <c r="C8" s="34" t="inlineStr">
        <is>
          <t>Bentley Apts</t>
        </is>
      </c>
      <c r="D8" s="33" t="inlineStr">
        <is>
          <t>6760 Rasberry Ln</t>
        </is>
      </c>
      <c r="E8" s="33" t="inlineStr">
        <is>
          <t>Shreveport</t>
        </is>
      </c>
      <c r="F8" s="33" t="inlineStr">
        <is>
          <t>LA</t>
        </is>
      </c>
      <c r="G8" s="33" t="inlineStr">
        <is>
          <t>71129</t>
        </is>
      </c>
      <c r="H8" s="33" t="inlineStr">
        <is>
          <t>8.2 mi</t>
        </is>
      </c>
      <c r="I8" s="33" t="inlineStr">
        <is>
          <t>$2,554</t>
        </is>
      </c>
      <c r="J8" s="33" t="inlineStr">
        <is>
          <t>$3,065</t>
        </is>
      </c>
      <c r="K8" s="30" t="inlineStr">
        <is>
          <t>$736</t>
        </is>
      </c>
      <c r="L8" s="31" t="inlineStr">
        <is>
          <t>Not Listed</t>
        </is>
      </c>
      <c r="M8" s="33" t="inlineStr">
        <is>
          <t>$3,066</t>
        </is>
      </c>
      <c r="N8" s="33" t="inlineStr">
        <is>
          <t>$3,680</t>
        </is>
      </c>
      <c r="O8" s="30" t="inlineStr">
        <is>
          <t>$1,008</t>
        </is>
      </c>
      <c r="P8" s="31" t="inlineStr">
        <is>
          <t>$620</t>
        </is>
      </c>
      <c r="Q8" s="33" t="inlineStr">
        <is>
          <t>$3,679</t>
        </is>
      </c>
      <c r="R8" s="33" t="inlineStr">
        <is>
          <t>$4,415</t>
        </is>
      </c>
      <c r="S8" s="30" t="inlineStr">
        <is>
          <t>$1,457</t>
        </is>
      </c>
      <c r="T8" s="31" t="inlineStr">
        <is>
          <t>Not Listed</t>
        </is>
      </c>
      <c r="U8" s="33" t="inlineStr">
        <is>
          <t>84</t>
        </is>
      </c>
      <c r="V8" s="33" t="inlineStr">
        <is>
          <t>1998</t>
        </is>
      </c>
      <c r="W8" s="33" t="inlineStr">
        <is>
          <t>0</t>
        </is>
      </c>
      <c r="X8" s="33" t="inlineStr">
        <is>
          <t>Yes</t>
        </is>
      </c>
      <c r="Y8" s="33" t="inlineStr">
        <is>
          <t>No</t>
        </is>
      </c>
      <c r="Z8" s="33" t="inlineStr">
        <is>
          <t>No</t>
        </is>
      </c>
      <c r="AA8" s="33" t="inlineStr">
        <is>
          <t>No</t>
        </is>
      </c>
      <c r="AB8" s="33" t="inlineStr">
        <is>
          <t>No</t>
        </is>
      </c>
      <c r="AC8" s="35" t="inlineStr">
        <is>
          <t>HIGH</t>
        </is>
      </c>
      <c r="AD8" s="34" t="inlineStr">
        <is>
          <t>Affordable Comp #2: LIHTC property, 1998 vintage (0 yr diff), 84 units, 8.2 mi from subject. Same income-eligible renter pool.</t>
        </is>
      </c>
      <c r="AE8" s="33" t="inlineStr">
        <is>
          <t>HUD LIHTC Database (huduser.gov)</t>
        </is>
      </c>
    </row>
    <row r="9" ht="54.75" customFormat="1" customHeight="1" s="3">
      <c r="A9" s="36" t="inlineStr">
        <is>
          <t>3</t>
        </is>
      </c>
      <c r="B9" s="36" t="inlineStr">
        <is>
          <t>AFFORDABLE</t>
        </is>
      </c>
      <c r="C9" s="37" t="inlineStr">
        <is>
          <t>New Zion Apartments</t>
        </is>
      </c>
      <c r="D9" s="36" t="inlineStr">
        <is>
          <t>4345 Illinois Ave</t>
        </is>
      </c>
      <c r="E9" s="36" t="inlineStr">
        <is>
          <t>Shreveport</t>
        </is>
      </c>
      <c r="F9" s="36" t="inlineStr">
        <is>
          <t>LA</t>
        </is>
      </c>
      <c r="G9" s="36" t="inlineStr">
        <is>
          <t>71109-0000</t>
        </is>
      </c>
      <c r="H9" s="36" t="inlineStr">
        <is>
          <t>5.8 mi</t>
        </is>
      </c>
      <c r="I9" s="36" t="inlineStr">
        <is>
          <t>$2,554</t>
        </is>
      </c>
      <c r="J9" s="36" t="inlineStr">
        <is>
          <t>$3,065</t>
        </is>
      </c>
      <c r="K9" s="30" t="inlineStr">
        <is>
          <t>$736</t>
        </is>
      </c>
      <c r="L9" s="31" t="inlineStr">
        <is>
          <t>Not Listed</t>
        </is>
      </c>
      <c r="M9" s="36" t="inlineStr">
        <is>
          <t>$3,066</t>
        </is>
      </c>
      <c r="N9" s="36" t="inlineStr">
        <is>
          <t>$3,680</t>
        </is>
      </c>
      <c r="O9" s="30" t="inlineStr">
        <is>
          <t>$1,008</t>
        </is>
      </c>
      <c r="P9" s="31" t="inlineStr">
        <is>
          <t>Not Listed</t>
        </is>
      </c>
      <c r="Q9" s="36" t="inlineStr">
        <is>
          <t>$3,679</t>
        </is>
      </c>
      <c r="R9" s="36" t="inlineStr">
        <is>
          <t>$4,415</t>
        </is>
      </c>
      <c r="S9" s="30" t="inlineStr">
        <is>
          <t>$1,457</t>
        </is>
      </c>
      <c r="T9" s="31" t="inlineStr">
        <is>
          <t>Not Listed</t>
        </is>
      </c>
      <c r="U9" s="36" t="inlineStr">
        <is>
          <t>100</t>
        </is>
      </c>
      <c r="V9" s="36" t="inlineStr">
        <is>
          <t>1997</t>
        </is>
      </c>
      <c r="W9" s="36" t="inlineStr">
        <is>
          <t>1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85" t="inlineStr">
        <is>
          <t>HIGH</t>
        </is>
      </c>
      <c r="AD9" s="37" t="inlineStr">
        <is>
          <t>Affordable Comp #3: LIHTC property, 1997 vintage (1 yr diff), 100 units, 5.8 mi from subject. Same income-eligible renter pool.</t>
        </is>
      </c>
      <c r="AE9" s="36" t="inlineStr">
        <is>
          <t>HUD LIHTC Database (huduser.gov)</t>
        </is>
      </c>
    </row>
    <row r="10" ht="54.75" customFormat="1" customHeight="1" s="3">
      <c r="A10" s="28" t="inlineStr">
        <is>
          <t>4</t>
        </is>
      </c>
      <c r="B10" s="28" t="inlineStr">
        <is>
          <t>AFFORDABLE</t>
        </is>
      </c>
      <c r="C10" s="29" t="inlineStr">
        <is>
          <t>Macadoo Sro</t>
        </is>
      </c>
      <c r="D10" s="28" t="inlineStr">
        <is>
          <t>1002 Texas Ave</t>
        </is>
      </c>
      <c r="E10" s="28" t="inlineStr">
        <is>
          <t>Shreveport</t>
        </is>
      </c>
      <c r="F10" s="28" t="inlineStr">
        <is>
          <t>LA</t>
        </is>
      </c>
      <c r="G10" s="28" t="inlineStr">
        <is>
          <t>71101-0000</t>
        </is>
      </c>
      <c r="H10" s="28" t="inlineStr">
        <is>
          <t>1.4 mi</t>
        </is>
      </c>
      <c r="I10" s="28" t="inlineStr">
        <is>
          <t>$2,554</t>
        </is>
      </c>
      <c r="J10" s="28" t="inlineStr">
        <is>
          <t>$3,065</t>
        </is>
      </c>
      <c r="K10" s="30" t="inlineStr">
        <is>
          <t>$736</t>
        </is>
      </c>
      <c r="L10" s="31" t="inlineStr">
        <is>
          <t>Not Listed</t>
        </is>
      </c>
      <c r="M10" s="28" t="inlineStr">
        <is>
          <t>$3,066</t>
        </is>
      </c>
      <c r="N10" s="28" t="inlineStr">
        <is>
          <t>$3,680</t>
        </is>
      </c>
      <c r="O10" s="30" t="inlineStr">
        <is>
          <t>$1,008</t>
        </is>
      </c>
      <c r="P10" s="31" t="inlineStr">
        <is>
          <t>Not Listed</t>
        </is>
      </c>
      <c r="Q10" s="28" t="inlineStr">
        <is>
          <t>$3,679</t>
        </is>
      </c>
      <c r="R10" s="28" t="inlineStr">
        <is>
          <t>$4,415</t>
        </is>
      </c>
      <c r="S10" s="30" t="inlineStr">
        <is>
          <t>$1,457</t>
        </is>
      </c>
      <c r="T10" s="31" t="inlineStr">
        <is>
          <t>Not Listed</t>
        </is>
      </c>
      <c r="U10" s="28" t="inlineStr">
        <is>
          <t>45</t>
        </is>
      </c>
      <c r="V10" s="28" t="inlineStr">
        <is>
          <t>1998</t>
        </is>
      </c>
      <c r="W10" s="28" t="inlineStr">
        <is>
          <t>0</t>
        </is>
      </c>
      <c r="X10" s="28" t="inlineStr">
        <is>
          <t>Yes</t>
        </is>
      </c>
      <c r="Y10" s="28" t="inlineStr">
        <is>
          <t>No</t>
        </is>
      </c>
      <c r="Z10" s="28" t="inlineStr">
        <is>
          <t>No</t>
        </is>
      </c>
      <c r="AA10" s="28" t="inlineStr">
        <is>
          <t>No</t>
        </is>
      </c>
      <c r="AB10" s="28" t="inlineStr">
        <is>
          <t>No</t>
        </is>
      </c>
      <c r="AC10" s="32" t="inlineStr">
        <is>
          <t>HIGH</t>
        </is>
      </c>
      <c r="AD10" s="29" t="inlineStr">
        <is>
          <t>Affordable Comp #4: LIHTC property, 1998 vintage (0 yr diff), 45 units, 1.4 mi from subject. Same income-eligible renter pool.</t>
        </is>
      </c>
      <c r="AE10" s="28" t="inlineStr">
        <is>
          <t>HUD LIHTC Database (huduser.gov)</t>
        </is>
      </c>
    </row>
    <row r="11" ht="54.75" customFormat="1" customHeight="1" s="3">
      <c r="A11" s="39" t="inlineStr">
        <is>
          <t>1</t>
        </is>
      </c>
      <c r="B11" s="39" t="inlineStr">
        <is>
          <t>MARKET RATE</t>
        </is>
      </c>
      <c r="C11" s="40" t="inlineStr">
        <is>
          <t>The Arbors At Shreveport</t>
        </is>
      </c>
      <c r="D11" s="39" t="inlineStr">
        <is>
          <t>7300 Pines Rd, Shreveport, LA 71129</t>
        </is>
      </c>
      <c r="E11" s="39" t="inlineStr">
        <is>
          <t>Shreveport</t>
        </is>
      </c>
      <c r="F11" s="39" t="inlineStr">
        <is>
          <t>LA</t>
        </is>
      </c>
      <c r="G11" s="39" t="n"/>
      <c r="H11" s="39" t="inlineStr">
        <is>
          <t>4.5 mi</t>
        </is>
      </c>
      <c r="I11" s="39" t="inlineStr">
        <is>
          <t>N/A (Market Rate)</t>
        </is>
      </c>
      <c r="J11" s="39" t="inlineStr">
        <is>
          <t>N/A (Market Rate)</t>
        </is>
      </c>
      <c r="K11" s="30" t="inlineStr">
        <is>
          <t>$736</t>
        </is>
      </c>
      <c r="L11" s="31" t="inlineStr">
        <is>
          <t>Not Listed</t>
        </is>
      </c>
      <c r="M11" s="39" t="inlineStr">
        <is>
          <t>N/A (Market Rate)</t>
        </is>
      </c>
      <c r="N11" s="39" t="inlineStr">
        <is>
          <t>N/A (Market Rate)</t>
        </is>
      </c>
      <c r="O11" s="30" t="inlineStr">
        <is>
          <t>$1,008</t>
        </is>
      </c>
      <c r="P11" s="31" t="inlineStr">
        <is>
          <t>$1,050</t>
        </is>
      </c>
      <c r="Q11" s="39" t="inlineStr">
        <is>
          <t>N/A (Market Rate)</t>
        </is>
      </c>
      <c r="R11" s="39" t="inlineStr">
        <is>
          <t>N/A (Market Rate)</t>
        </is>
      </c>
      <c r="S11" s="30" t="inlineStr">
        <is>
          <t>$1,457</t>
        </is>
      </c>
      <c r="T11" s="31" t="inlineStr">
        <is>
          <t>Not Listed</t>
        </is>
      </c>
      <c r="U11" s="39" t="inlineStr">
        <is>
          <t>200</t>
        </is>
      </c>
      <c r="V11" s="39" t="inlineStr">
        <is>
          <t>1999</t>
        </is>
      </c>
      <c r="W11" s="39" t="inlineStr">
        <is>
          <t>1</t>
        </is>
      </c>
      <c r="X11" s="39" t="inlineStr">
        <is>
          <t>Varies</t>
        </is>
      </c>
      <c r="Y11" s="39" t="inlineStr">
        <is>
          <t>Varies</t>
        </is>
      </c>
      <c r="Z11" s="39" t="inlineStr">
        <is>
          <t>Varies</t>
        </is>
      </c>
      <c r="AA11" s="39" t="inlineStr">
        <is>
          <t>Varies</t>
        </is>
      </c>
      <c r="AB11" s="39" t="inlineStr">
        <is>
          <t>Varies</t>
        </is>
      </c>
      <c r="AC11" s="41" t="inlineStr">
        <is>
          <t>HIGH</t>
        </is>
      </c>
      <c r="AD11" s="40" t="inlineStr">
        <is>
          <t>Market Rate Comp #1: No income restrictions, 1999 vintage (1 yr diff), 200 units, 4.5 mi from subject. Shows market-rate rents vs. affordable housing discount.</t>
        </is>
      </c>
      <c r="AE11" s="39" t="inlineStr">
        <is>
          <t>https://www.rentcafe.com/apartments-for-rent/us/la/shreveport/the-arbors-at-shreveport/</t>
        </is>
      </c>
    </row>
    <row r="12" ht="54.75" customFormat="1" customHeight="1" s="3">
      <c r="A12" s="42" t="inlineStr">
        <is>
          <t>2</t>
        </is>
      </c>
      <c r="B12" s="42" t="inlineStr">
        <is>
          <t>MARKET RATE</t>
        </is>
      </c>
      <c r="C12" s="43" t="inlineStr">
        <is>
          <t>Huntington Park Apartments</t>
        </is>
      </c>
      <c r="D12" s="42" t="inlineStr">
        <is>
          <t>9200 Mansfield Rd, Shreveport, LA 71118</t>
        </is>
      </c>
      <c r="E12" s="42" t="inlineStr">
        <is>
          <t>Shreveport</t>
        </is>
      </c>
      <c r="F12" s="42" t="inlineStr">
        <is>
          <t>LA</t>
        </is>
      </c>
      <c r="G12" s="42" t="n"/>
      <c r="H12" s="42" t="inlineStr">
        <is>
          <t>6.2 mi</t>
        </is>
      </c>
      <c r="I12" s="42" t="inlineStr">
        <is>
          <t>N/A (Market Rate)</t>
        </is>
      </c>
      <c r="J12" s="42" t="inlineStr">
        <is>
          <t>N/A (Market Rate)</t>
        </is>
      </c>
      <c r="K12" s="30" t="inlineStr">
        <is>
          <t>$736</t>
        </is>
      </c>
      <c r="L12" s="31" t="inlineStr">
        <is>
          <t>Not Listed</t>
        </is>
      </c>
      <c r="M12" s="42" t="inlineStr">
        <is>
          <t>N/A (Market Rate)</t>
        </is>
      </c>
      <c r="N12" s="42" t="inlineStr">
        <is>
          <t>N/A (Market Rate)</t>
        </is>
      </c>
      <c r="O12" s="30" t="inlineStr">
        <is>
          <t>$1,008</t>
        </is>
      </c>
      <c r="P12" s="31" t="inlineStr">
        <is>
          <t>$1,075</t>
        </is>
      </c>
      <c r="Q12" s="42" t="inlineStr">
        <is>
          <t>N/A (Market Rate)</t>
        </is>
      </c>
      <c r="R12" s="42" t="inlineStr">
        <is>
          <t>N/A (Market Rate)</t>
        </is>
      </c>
      <c r="S12" s="30" t="inlineStr">
        <is>
          <t>$1,457</t>
        </is>
      </c>
      <c r="T12" s="31" t="inlineStr">
        <is>
          <t>Not Listed</t>
        </is>
      </c>
      <c r="U12" s="42" t="inlineStr">
        <is>
          <t>160</t>
        </is>
      </c>
      <c r="V12" s="42" t="inlineStr">
        <is>
          <t>2000</t>
        </is>
      </c>
      <c r="W12" s="42" t="inlineStr">
        <is>
          <t>2</t>
        </is>
      </c>
      <c r="X12" s="42" t="inlineStr">
        <is>
          <t>Varies</t>
        </is>
      </c>
      <c r="Y12" s="42" t="inlineStr">
        <is>
          <t>Varies</t>
        </is>
      </c>
      <c r="Z12" s="42" t="inlineStr">
        <is>
          <t>Varies</t>
        </is>
      </c>
      <c r="AA12" s="42" t="inlineStr">
        <is>
          <t>Varies</t>
        </is>
      </c>
      <c r="AB12" s="42" t="inlineStr">
        <is>
          <t>Varies</t>
        </is>
      </c>
      <c r="AC12" s="44" t="inlineStr">
        <is>
          <t>HIGH</t>
        </is>
      </c>
      <c r="AD12" s="43" t="inlineStr">
        <is>
          <t>Market Rate Comp #2: No income restrictions, 2000 vintage (2 yr diff), 160 units, 6.2 mi from subject. Shows market-rate rents vs. affordable housing discount.</t>
        </is>
      </c>
      <c r="AE12" s="42" t="inlineStr">
        <is>
          <t>https://www.rentcafe.com/apartments-for-rent/us/la/shreveport/</t>
        </is>
      </c>
    </row>
    <row r="13" ht="54.75" customFormat="1" customHeight="1" s="3">
      <c r="A13" s="45" t="inlineStr">
        <is>
          <t>3</t>
        </is>
      </c>
      <c r="B13" s="45" t="inlineStr">
        <is>
          <t>MARKET RATE</t>
        </is>
      </c>
      <c r="C13" s="46" t="inlineStr">
        <is>
          <t>Bossier City Apartments</t>
        </is>
      </c>
      <c r="D13" s="45" t="inlineStr">
        <is>
          <t>2500 Airline Dr, Bossier City, LA 71111</t>
        </is>
      </c>
      <c r="E13" s="45" t="inlineStr">
        <is>
          <t>Bossier City</t>
        </is>
      </c>
      <c r="F13" s="45" t="inlineStr">
        <is>
          <t>LA</t>
        </is>
      </c>
      <c r="G13" s="45" t="n"/>
      <c r="H13" s="45" t="inlineStr">
        <is>
          <t>8.0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0" t="inlineStr">
        <is>
          <t>$736</t>
        </is>
      </c>
      <c r="L13" s="31" t="inlineStr">
        <is>
          <t>Not Listed</t>
        </is>
      </c>
      <c r="M13" s="45" t="inlineStr">
        <is>
          <t>N/A (Market Rate)</t>
        </is>
      </c>
      <c r="N13" s="45" t="inlineStr">
        <is>
          <t>N/A (Market Rate)</t>
        </is>
      </c>
      <c r="O13" s="30" t="inlineStr">
        <is>
          <t>$1,008</t>
        </is>
      </c>
      <c r="P13" s="31" t="inlineStr">
        <is>
          <t>$1,025</t>
        </is>
      </c>
      <c r="Q13" s="45" t="inlineStr">
        <is>
          <t>N/A (Market Rate)</t>
        </is>
      </c>
      <c r="R13" s="45" t="inlineStr">
        <is>
          <t>N/A (Market Rate)</t>
        </is>
      </c>
      <c r="S13" s="30" t="inlineStr">
        <is>
          <t>$1,457</t>
        </is>
      </c>
      <c r="T13" s="31" t="inlineStr">
        <is>
          <t>Not Listed</t>
        </is>
      </c>
      <c r="U13" s="45" t="inlineStr">
        <is>
          <t>120</t>
        </is>
      </c>
      <c r="V13" s="45" t="inlineStr">
        <is>
          <t>1997</t>
        </is>
      </c>
      <c r="W13" s="45" t="inlineStr">
        <is>
          <t>1</t>
        </is>
      </c>
      <c r="X13" s="45" t="inlineStr">
        <is>
          <t>Varies</t>
        </is>
      </c>
      <c r="Y13" s="45" t="inlineStr">
        <is>
          <t>Varies</t>
        </is>
      </c>
      <c r="Z13" s="45" t="inlineStr">
        <is>
          <t>Varies</t>
        </is>
      </c>
      <c r="AA13" s="45" t="inlineStr">
        <is>
          <t>Varies</t>
        </is>
      </c>
      <c r="AB13" s="45" t="inlineStr">
        <is>
          <t>Varies</t>
        </is>
      </c>
      <c r="AC13" s="47" t="inlineStr">
        <is>
          <t>HIGH</t>
        </is>
      </c>
      <c r="AD13" s="46" t="inlineStr">
        <is>
          <t>Market Rate Comp #3: No income restrictions, 1997 vintage (1 yr diff), 120 units, 8.0 mi from subject. Shows market-rate rents vs. affordable housing discount.</t>
        </is>
      </c>
      <c r="AE13" s="45" t="inlineStr">
        <is>
          <t>https://www.rentcafe.com/apartments-for-rent/us/la/bossier-city/</t>
        </is>
      </c>
    </row>
    <row r="14" ht="54.75" customFormat="1" customHeight="1" s="3">
      <c r="A14" s="39" t="inlineStr">
        <is>
          <t>4</t>
        </is>
      </c>
      <c r="B14" s="39" t="inlineStr">
        <is>
          <t>MARKET RATE</t>
        </is>
      </c>
      <c r="C14" s="40" t="inlineStr">
        <is>
          <t>Shreveport Pines Apartments</t>
        </is>
      </c>
      <c r="D14" s="39" t="inlineStr">
        <is>
          <t>6200 Pines Rd, Shreveport, LA 71129</t>
        </is>
      </c>
      <c r="E14" s="39" t="inlineStr">
        <is>
          <t>Shreveport</t>
        </is>
      </c>
      <c r="F14" s="39" t="inlineStr">
        <is>
          <t>LA</t>
        </is>
      </c>
      <c r="G14" s="39" t="n"/>
      <c r="H14" s="39" t="inlineStr">
        <is>
          <t>5.8 mi</t>
        </is>
      </c>
      <c r="I14" s="39" t="inlineStr">
        <is>
          <t>N/A (Market Rate)</t>
        </is>
      </c>
      <c r="J14" s="39" t="inlineStr">
        <is>
          <t>N/A (Market Rate)</t>
        </is>
      </c>
      <c r="K14" s="30" t="inlineStr">
        <is>
          <t>$736</t>
        </is>
      </c>
      <c r="L14" s="31" t="inlineStr">
        <is>
          <t>Not Listed</t>
        </is>
      </c>
      <c r="M14" s="39" t="inlineStr">
        <is>
          <t>N/A (Market Rate)</t>
        </is>
      </c>
      <c r="N14" s="39" t="inlineStr">
        <is>
          <t>N/A (Market Rate)</t>
        </is>
      </c>
      <c r="O14" s="30" t="inlineStr">
        <is>
          <t>$1,008</t>
        </is>
      </c>
      <c r="P14" s="31" t="inlineStr">
        <is>
          <t>$1,025</t>
        </is>
      </c>
      <c r="Q14" s="39" t="inlineStr">
        <is>
          <t>N/A (Market Rate)</t>
        </is>
      </c>
      <c r="R14" s="39" t="inlineStr">
        <is>
          <t>N/A (Market Rate)</t>
        </is>
      </c>
      <c r="S14" s="30" t="inlineStr">
        <is>
          <t>$1,457</t>
        </is>
      </c>
      <c r="T14" s="31" t="inlineStr">
        <is>
          <t>Not Listed</t>
        </is>
      </c>
      <c r="U14" s="39" t="inlineStr">
        <is>
          <t>96</t>
        </is>
      </c>
      <c r="V14" s="39" t="inlineStr">
        <is>
          <t>1997</t>
        </is>
      </c>
      <c r="W14" s="39" t="inlineStr">
        <is>
          <t>1</t>
        </is>
      </c>
      <c r="X14" s="39" t="inlineStr">
        <is>
          <t>Varies</t>
        </is>
      </c>
      <c r="Y14" s="39" t="inlineStr">
        <is>
          <t>Varies</t>
        </is>
      </c>
      <c r="Z14" s="39" t="inlineStr">
        <is>
          <t>Varies</t>
        </is>
      </c>
      <c r="AA14" s="39" t="inlineStr">
        <is>
          <t>Varies</t>
        </is>
      </c>
      <c r="AB14" s="39" t="inlineStr">
        <is>
          <t>Varies</t>
        </is>
      </c>
      <c r="AC14" s="41" t="inlineStr">
        <is>
          <t>HIGH</t>
        </is>
      </c>
      <c r="AD14" s="40" t="inlineStr">
        <is>
          <t>Market Rate Comp #4: No income restrictions, 1997 vintage (1 yr diff), 96 units, 5.8 mi from subject. Shows market-rate rents vs. affordable housing discount.</t>
        </is>
      </c>
      <c r="AE14" s="39" t="inlineStr">
        <is>
          <t>https://www.rentcafe.com/apartments-for-rent/us/la/shreveport/</t>
        </is>
      </c>
    </row>
    <row r="15" ht="54.75" customFormat="1" customHeight="1" s="3">
      <c r="A15" s="48" t="inlineStr">
        <is>
          <t>—</t>
        </is>
      </c>
      <c r="B15" s="48" t="inlineStr">
        <is>
          <t>BENCHMARK</t>
        </is>
      </c>
      <c r="C15" s="49" t="inlineStr">
        <is>
          <t>FY2026 FMR — Shreveport-Bossier City MSA</t>
        </is>
      </c>
      <c r="D15" s="48" t="inlineStr">
        <is>
          <t>N/A</t>
        </is>
      </c>
      <c r="E15" s="48" t="inlineStr">
        <is>
          <t>Shreveport</t>
        </is>
      </c>
      <c r="F15" s="48" t="inlineStr">
        <is>
          <t>LA</t>
        </is>
      </c>
      <c r="G15" s="48" t="inlineStr">
        <is>
          <t>N/A</t>
        </is>
      </c>
      <c r="H15" s="48" t="inlineStr">
        <is>
          <t>N/A</t>
        </is>
      </c>
      <c r="I15" s="48" t="inlineStr">
        <is>
          <t>$736</t>
        </is>
      </c>
      <c r="J15" s="48" t="inlineStr">
        <is>
          <t>$736</t>
        </is>
      </c>
      <c r="K15" s="30" t="inlineStr">
        <is>
          <t>$736</t>
        </is>
      </c>
      <c r="L15" s="31" t="inlineStr">
        <is>
          <t>N/A</t>
        </is>
      </c>
      <c r="M15" s="48" t="inlineStr">
        <is>
          <t>$1,008</t>
        </is>
      </c>
      <c r="N15" s="48" t="inlineStr">
        <is>
          <t>$1,008</t>
        </is>
      </c>
      <c r="O15" s="30" t="inlineStr">
        <is>
          <t>$1,008</t>
        </is>
      </c>
      <c r="P15" s="31" t="inlineStr">
        <is>
          <t>N/A</t>
        </is>
      </c>
      <c r="Q15" s="48" t="inlineStr">
        <is>
          <t>$1,457</t>
        </is>
      </c>
      <c r="R15" s="48" t="inlineStr">
        <is>
          <t>$1,457</t>
        </is>
      </c>
      <c r="S15" s="30" t="inlineStr">
        <is>
          <t>$1,457</t>
        </is>
      </c>
      <c r="T15" s="31" t="inlineStr">
        <is>
          <t>N/A</t>
        </is>
      </c>
      <c r="U15" s="48" t="inlineStr">
        <is>
          <t>N/A</t>
        </is>
      </c>
      <c r="V15" s="48" t="inlineStr">
        <is>
          <t>N/A</t>
        </is>
      </c>
      <c r="W15" s="48" t="inlineStr">
        <is>
          <t>N/A</t>
        </is>
      </c>
      <c r="X15" s="48" t="inlineStr">
        <is>
          <t>N/A</t>
        </is>
      </c>
      <c r="Y15" s="48" t="inlineStr">
        <is>
          <t>N/A</t>
        </is>
      </c>
      <c r="Z15" s="48" t="inlineStr">
        <is>
          <t>N/A</t>
        </is>
      </c>
      <c r="AA15" s="48" t="inlineStr">
        <is>
          <t>N/A</t>
        </is>
      </c>
      <c r="AB15" s="48" t="inlineStr">
        <is>
          <t>N/A</t>
        </is>
      </c>
      <c r="AC15" s="50" t="inlineStr">
        <is>
          <t>BENCHMARK</t>
        </is>
      </c>
      <c r="AD15" s="49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5" s="48" t="inlineStr">
        <is>
          <t>HUD FMR Database (huduser.gov)</t>
        </is>
      </c>
    </row>
    <row r="16" ht="54.75" customFormat="1" customHeight="1" s="3">
      <c r="A16" s="48" t="inlineStr">
        <is>
          <t>—</t>
        </is>
      </c>
      <c r="B16" s="48" t="inlineStr">
        <is>
          <t>BENCHMARK</t>
        </is>
      </c>
      <c r="C16" s="49" t="inlineStr">
        <is>
          <t>Metro Market Avg — Shreveport</t>
        </is>
      </c>
      <c r="D16" s="48" t="inlineStr">
        <is>
          <t>N/A</t>
        </is>
      </c>
      <c r="E16" s="48" t="inlineStr">
        <is>
          <t>Shreveport</t>
        </is>
      </c>
      <c r="F16" s="48" t="inlineStr">
        <is>
          <t>LA</t>
        </is>
      </c>
      <c r="G16" s="48" t="inlineStr">
        <is>
          <t>N/A</t>
        </is>
      </c>
      <c r="H16" s="48" t="inlineStr">
        <is>
          <t>N/A</t>
        </is>
      </c>
      <c r="I16" s="48" t="inlineStr">
        <is>
          <t>$809</t>
        </is>
      </c>
      <c r="J16" s="48" t="inlineStr">
        <is>
          <t>$809</t>
        </is>
      </c>
      <c r="K16" s="30" t="inlineStr">
        <is>
          <t>$809</t>
        </is>
      </c>
      <c r="L16" s="31" t="inlineStr">
        <is>
          <t>N/A</t>
        </is>
      </c>
      <c r="M16" s="48" t="inlineStr">
        <is>
          <t>$1,108</t>
        </is>
      </c>
      <c r="N16" s="48" t="inlineStr">
        <is>
          <t>$1,108</t>
        </is>
      </c>
      <c r="O16" s="30" t="inlineStr">
        <is>
          <t>$1,108</t>
        </is>
      </c>
      <c r="P16" s="31" t="inlineStr">
        <is>
          <t>N/A</t>
        </is>
      </c>
      <c r="Q16" s="48" t="inlineStr">
        <is>
          <t>$1,602</t>
        </is>
      </c>
      <c r="R16" s="48" t="inlineStr">
        <is>
          <t>$1,602</t>
        </is>
      </c>
      <c r="S16" s="30" t="inlineStr">
        <is>
          <t>$1,602</t>
        </is>
      </c>
      <c r="T16" s="31" t="inlineStr">
        <is>
          <t>N/A</t>
        </is>
      </c>
      <c r="U16" s="48" t="inlineStr">
        <is>
          <t>N/A</t>
        </is>
      </c>
      <c r="V16" s="48" t="inlineStr">
        <is>
          <t>N/A</t>
        </is>
      </c>
      <c r="W16" s="48" t="inlineStr">
        <is>
          <t>N/A</t>
        </is>
      </c>
      <c r="X16" s="48" t="inlineStr">
        <is>
          <t>N/A</t>
        </is>
      </c>
      <c r="Y16" s="48" t="inlineStr">
        <is>
          <t>N/A</t>
        </is>
      </c>
      <c r="Z16" s="48" t="inlineStr">
        <is>
          <t>N/A</t>
        </is>
      </c>
      <c r="AA16" s="48" t="inlineStr">
        <is>
          <t>N/A</t>
        </is>
      </c>
      <c r="AB16" s="48" t="inlineStr">
        <is>
          <t>N/A</t>
        </is>
      </c>
      <c r="AC16" s="50" t="inlineStr">
        <is>
          <t>BENCHMARK</t>
        </is>
      </c>
      <c r="AD16" s="49" t="inlineStr">
        <is>
      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6" s="48" t="inlineStr">
        <is>
          <t>HUD FMR + Market Estimate</t>
        </is>
      </c>
    </row>
    <row r="17" ht="8.25" customFormat="1" customHeight="1" s="3"/>
    <row r="18" ht="27.75" customFormat="1" customHeight="1" s="3">
      <c r="A18" s="51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Height="1" s="95">
      <c r="A21" s="61" t="inlineStr">
        <is>
          <t>PMTS — Vouchers / FMR / UAP / NET FMR</t>
        </is>
      </c>
      <c r="B21" s="101" t="n"/>
      <c r="C21" s="101" t="n"/>
      <c r="D21" s="101" t="n"/>
      <c r="E21" s="101" t="n"/>
      <c r="F21" s="102" t="n"/>
    </row>
    <row r="22" ht="15" customHeight="1" s="95">
      <c r="A22" s="64" t="inlineStr">
        <is>
          <t>BD</t>
        </is>
      </c>
      <c r="B22" s="65" t="inlineStr">
        <is>
          <t>MKT</t>
        </is>
      </c>
      <c r="C22" s="66" t="inlineStr">
        <is>
          <t>VCH</t>
        </is>
      </c>
      <c r="D22" s="67" t="inlineStr">
        <is>
          <t>FMR</t>
        </is>
      </c>
      <c r="E22" s="68" t="inlineStr">
        <is>
          <t>UAP</t>
        </is>
      </c>
      <c r="F22" s="69" t="inlineStr">
        <is>
          <t>NET</t>
        </is>
      </c>
    </row>
    <row r="23" ht="15" customHeight="1" s="95">
      <c r="A23" s="70" t="inlineStr">
        <is>
          <t>1BD</t>
        </is>
      </c>
      <c r="B23" s="71" t="n">
        <v>0</v>
      </c>
      <c r="C23" s="71" t="n">
        <v>875</v>
      </c>
      <c r="D23" s="71" t="n">
        <v>860</v>
      </c>
      <c r="E23" s="72" t="n">
        <v>76</v>
      </c>
      <c r="F23" s="73" t="n">
        <v>784</v>
      </c>
    </row>
    <row r="24" ht="15" customHeight="1" s="95">
      <c r="A24" s="74" t="inlineStr">
        <is>
          <t>2BD</t>
        </is>
      </c>
      <c r="B24" s="75" t="n">
        <v>0</v>
      </c>
      <c r="C24" s="75" t="n">
        <v>1075</v>
      </c>
      <c r="D24" s="75" t="n">
        <v>980</v>
      </c>
      <c r="E24" s="72" t="n">
        <v>102</v>
      </c>
      <c r="F24" s="73" t="n">
        <v>878</v>
      </c>
    </row>
    <row r="25" ht="15" customHeight="1" s="95">
      <c r="A25" s="70" t="inlineStr">
        <is>
          <t>4BD</t>
        </is>
      </c>
      <c r="B25" s="71" t="n">
        <v>0</v>
      </c>
      <c r="C25" s="71" t="n">
        <v>1100</v>
      </c>
      <c r="D25" s="71" t="n">
        <v>1340</v>
      </c>
      <c r="E25" s="72" t="n">
        <v>152</v>
      </c>
      <c r="F25" s="73" t="n">
        <v>1188</v>
      </c>
    </row>
    <row r="28" ht="15" customHeight="1" s="95">
      <c r="A28" s="61" t="inlineStr">
        <is>
          <t>LIHTC, UAP, NET</t>
        </is>
      </c>
      <c r="B28" s="101" t="n"/>
      <c r="C28" s="101" t="n"/>
      <c r="D28" s="101" t="n"/>
      <c r="E28" s="102" t="n"/>
    </row>
    <row r="29" ht="15" customHeight="1" s="95">
      <c r="A29" s="64" t="n"/>
      <c r="B29" s="65" t="inlineStr">
        <is>
          <t>LIHTC/MKT</t>
        </is>
      </c>
      <c r="C29" s="67" t="inlineStr">
        <is>
          <t>60%</t>
        </is>
      </c>
      <c r="D29" s="68" t="inlineStr">
        <is>
          <t>UAP</t>
        </is>
      </c>
      <c r="E29" s="69" t="inlineStr">
        <is>
          <t>NET</t>
        </is>
      </c>
    </row>
    <row r="30" ht="15" customHeight="1" s="95">
      <c r="A30" s="70" t="inlineStr">
        <is>
          <t>1BD</t>
        </is>
      </c>
      <c r="B30" s="71" t="n">
        <v>919</v>
      </c>
      <c r="C30" s="71" t="n">
        <v>702</v>
      </c>
      <c r="D30" s="72" t="n">
        <v>76</v>
      </c>
      <c r="E30" s="73" t="n">
        <v>626</v>
      </c>
    </row>
    <row r="31" ht="15" customHeight="1" s="95">
      <c r="A31" s="74" t="inlineStr">
        <is>
          <t>2BD</t>
        </is>
      </c>
      <c r="B31" s="75" t="n">
        <v>1104</v>
      </c>
      <c r="C31" s="75" t="n">
        <v>834</v>
      </c>
      <c r="D31" s="72" t="n">
        <v>102</v>
      </c>
      <c r="E31" s="73" t="n">
        <v>732</v>
      </c>
    </row>
    <row r="32" ht="15" customHeight="1" s="95">
      <c r="A32" s="70" t="inlineStr">
        <is>
          <t>4BD</t>
        </is>
      </c>
      <c r="B32" s="71" t="n">
        <v>1422</v>
      </c>
      <c r="C32" s="71" t="n">
        <v>1054</v>
      </c>
      <c r="D32" s="72" t="n">
        <v>152</v>
      </c>
      <c r="E32" s="73" t="n">
        <v>902</v>
      </c>
    </row>
    <row r="35" ht="15" customHeight="1" s="95">
      <c r="A35" s="61" t="inlineStr">
        <is>
          <t>HAP, CoStar, NET</t>
        </is>
      </c>
      <c r="B35" s="101" t="n"/>
      <c r="C35" s="102" t="n"/>
    </row>
    <row r="36" ht="15" customHeight="1" s="95">
      <c r="A36" s="64" t="n"/>
      <c r="B36" s="68" t="inlineStr">
        <is>
          <t>HAP</t>
        </is>
      </c>
      <c r="C36" s="65" t="inlineStr">
        <is>
          <t>CoStar</t>
        </is>
      </c>
    </row>
    <row r="37" ht="15" customHeight="1" s="95">
      <c r="A37" s="70" t="inlineStr">
        <is>
          <t>1BD</t>
        </is>
      </c>
      <c r="B37" s="103" t="n">
        <v>0</v>
      </c>
      <c r="C37" s="104" t="n">
        <v>939</v>
      </c>
    </row>
    <row r="38" ht="15" customHeight="1" s="95">
      <c r="A38" s="74" t="inlineStr">
        <is>
          <t>2BD</t>
        </is>
      </c>
      <c r="B38" s="103" t="n">
        <v>0</v>
      </c>
      <c r="C38" s="104" t="n">
        <v>1289</v>
      </c>
    </row>
    <row r="39" ht="15" customHeight="1" s="95">
      <c r="A39" s="70" t="inlineStr">
        <is>
          <t>4BD</t>
        </is>
      </c>
      <c r="B39" s="103" t="n">
        <v>0</v>
      </c>
      <c r="C39" s="104" t="n">
        <v>850</v>
      </c>
    </row>
  </sheetData>
  <mergeCells count="7">
    <mergeCell ref="A4:AE4"/>
    <mergeCell ref="A2:AE2"/>
    <mergeCell ref="A28:E28"/>
    <mergeCell ref="A35:C35"/>
    <mergeCell ref="A18:AE18"/>
    <mergeCell ref="A21:F21"/>
    <mergeCell ref="A3:AE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39"/>
  <sheetViews>
    <sheetView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8.00390625" customWidth="1" style="3" min="1" max="1"/>
    <col width="14.00390625" customWidth="1" style="3" min="2" max="2"/>
    <col width="28.00390625" customWidth="1" style="3" min="3" max="3"/>
    <col width="22.00390625" customWidth="1" style="3" min="4" max="4"/>
    <col width="16.00390625" customWidth="1" style="3" min="5" max="5"/>
    <col width="10.00390625" customWidth="1" style="3" min="6" max="6"/>
    <col width="8.00390625" customWidth="1" style="3" min="7" max="7"/>
    <col width="11.00390625" customWidth="1" style="3" min="8" max="8"/>
    <col width="10.00390625" customWidth="1" style="3" min="9" max="11"/>
    <col width="12.00390625" customWidth="1" style="3" min="12" max="12"/>
    <col width="10.00390625" customWidth="1" style="3" min="13" max="15"/>
    <col width="12.00390625" customWidth="1" style="3" min="16" max="16"/>
    <col width="10.00390625" customWidth="1" style="3" min="17" max="19"/>
    <col width="12.00390625" customWidth="1" style="3" min="20" max="20"/>
    <col width="8.00390625" customWidth="1" style="3" min="21" max="21"/>
    <col width="10.00390625" customWidth="1" style="3" min="22" max="22"/>
    <col width="7.00390625" customWidth="1" style="3" min="23" max="23"/>
    <col width="12.00390625" customWidth="1" style="3" min="24" max="25"/>
    <col width="8.00390625" customWidth="1" style="3" min="26" max="27"/>
    <col width="10.00390625" customWidth="1" style="3" min="28" max="28"/>
    <col width="16.00390625" customWidth="1" style="3" min="29" max="29"/>
    <col width="45.00390625" customWidth="1" style="3" min="30" max="30"/>
    <col width="28.00390625" customWidth="1" style="3" min="31" max="31"/>
  </cols>
  <sheetData>
    <row r="1" ht="15" customHeight="1" s="95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</row>
    <row r="2" ht="24" customFormat="1" customHeight="1" s="3">
      <c r="A2" s="17" t="inlineStr">
        <is>
          <t>COMPETITIVE RENT ANALYSIS — NORTH POINTE | GREEN = Affordable Comps | BLUE = Market Rate Comps</t>
        </is>
      </c>
    </row>
    <row r="3" ht="20.25" customFormat="1" customHeight="1" s="3">
      <c r="A3" s="18" t="inlineStr">
        <is>
          <t>SUBJECT: North Pointe | Bossier City, Bossier City, LA 71111 | 27 units | Program: LIHTC | Bedroom Mix: 2BR / 3BR / 4BR | County AMI: $81,700 | FMR Area: Shreveport-Bossier City MSA</t>
        </is>
      </c>
    </row>
    <row r="4" ht="90" customFormat="1" customHeight="1" s="3">
      <c r="A4" s="19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5" ht="30" customFormat="1" customHeight="1" s="3">
      <c r="A5" s="20" t="inlineStr">
        <is>
          <t>Rank</t>
        </is>
      </c>
      <c r="B5" s="20" t="inlineStr">
        <is>
          <t>Type</t>
        </is>
      </c>
      <c r="C5" s="20" t="inlineStr">
        <is>
          <t>Property Name</t>
        </is>
      </c>
      <c r="D5" s="20" t="inlineStr">
        <is>
          <t>Address</t>
        </is>
      </c>
      <c r="E5" s="20" t="inlineStr">
        <is>
          <t>City</t>
        </is>
      </c>
      <c r="F5" s="20" t="inlineStr">
        <is>
          <t>State</t>
        </is>
      </c>
      <c r="G5" s="20" t="inlineStr">
        <is>
          <t>ZIP</t>
        </is>
      </c>
      <c r="H5" s="20" t="inlineStr">
        <is>
          <t>Distance (mi)</t>
        </is>
      </c>
      <c r="I5" s="20" t="inlineStr">
        <is>
          <t>2BR Low ($)</t>
        </is>
      </c>
      <c r="J5" s="20" t="inlineStr">
        <is>
          <t>2BR Mid ($)</t>
        </is>
      </c>
      <c r="K5" s="21" t="inlineStr">
        <is>
          <t>2BR FMR ($)</t>
        </is>
      </c>
      <c r="L5" s="22" t="inlineStr">
        <is>
          <t>2BR Actual ($)</t>
        </is>
      </c>
      <c r="M5" s="20" t="inlineStr">
        <is>
          <t>3BR Low ($)</t>
        </is>
      </c>
      <c r="N5" s="20" t="inlineStr">
        <is>
          <t>3BR Mid ($)</t>
        </is>
      </c>
      <c r="O5" s="21" t="inlineStr">
        <is>
          <t>3BR FMR ($)</t>
        </is>
      </c>
      <c r="P5" s="22" t="inlineStr">
        <is>
          <t>3BR Actual ($)</t>
        </is>
      </c>
      <c r="Q5" s="20" t="inlineStr">
        <is>
          <t>4BR Low ($)</t>
        </is>
      </c>
      <c r="R5" s="20" t="inlineStr">
        <is>
          <t>4BR Mid ($)</t>
        </is>
      </c>
      <c r="S5" s="21" t="inlineStr">
        <is>
          <t>4BR FMR ($)</t>
        </is>
      </c>
      <c r="T5" s="22" t="inlineStr">
        <is>
          <t>4BR Actual ($)</t>
        </is>
      </c>
      <c r="U5" s="20" t="inlineStr">
        <is>
          <t># Units</t>
        </is>
      </c>
      <c r="V5" s="20" t="inlineStr">
        <is>
          <t>Year Built</t>
        </is>
      </c>
      <c r="W5" s="20" t="inlineStr">
        <is>
          <t>Yr Diff</t>
        </is>
      </c>
      <c r="X5" s="20" t="inlineStr">
        <is>
          <t>Utilities Incl.</t>
        </is>
      </c>
      <c r="Y5" s="20" t="inlineStr">
        <is>
          <t>Pet Friendly</t>
        </is>
      </c>
      <c r="Z5" s="20" t="inlineStr">
        <is>
          <t>Gated</t>
        </is>
      </c>
      <c r="AA5" s="20" t="inlineStr">
        <is>
          <t>Pool</t>
        </is>
      </c>
      <c r="AB5" s="20" t="inlineStr">
        <is>
          <t>W/D In-Unit</t>
        </is>
      </c>
      <c r="AC5" s="20" t="inlineStr">
        <is>
          <t>Competition Level</t>
        </is>
      </c>
      <c r="AD5" s="20" t="inlineStr">
        <is>
          <t>Why Competitive</t>
        </is>
      </c>
      <c r="AE5" s="20" t="inlineStr">
        <is>
          <t>Data Source</t>
        </is>
      </c>
    </row>
    <row r="6" ht="54.75" customFormat="1" customHeight="1" s="3">
      <c r="A6" s="23" t="inlineStr">
        <is>
          <t>—</t>
        </is>
      </c>
      <c r="B6" s="23" t="inlineStr">
        <is>
          <t>SUBJECT</t>
        </is>
      </c>
      <c r="C6" s="24" t="inlineStr">
        <is>
          <t>North Pointe (SUBJECT)</t>
        </is>
      </c>
      <c r="D6" s="23" t="inlineStr">
        <is>
          <t>Bossier City</t>
        </is>
      </c>
      <c r="E6" s="23" t="inlineStr">
        <is>
          <t>Bossier City</t>
        </is>
      </c>
      <c r="F6" s="23" t="inlineStr">
        <is>
          <t>LA</t>
        </is>
      </c>
      <c r="G6" s="23" t="inlineStr">
        <is>
          <t>71111</t>
        </is>
      </c>
      <c r="H6" s="23" t="inlineStr">
        <is>
          <t>0.0 mi</t>
        </is>
      </c>
      <c r="I6" s="23" t="inlineStr">
        <is>
          <t>$3,066</t>
        </is>
      </c>
      <c r="J6" s="23" t="inlineStr">
        <is>
          <t>$3,680</t>
        </is>
      </c>
      <c r="K6" s="25" t="inlineStr">
        <is>
          <t>$1,008</t>
        </is>
      </c>
      <c r="L6" s="26" t="inlineStr">
        <is>
          <t>N/A</t>
        </is>
      </c>
      <c r="M6" s="23" t="inlineStr">
        <is>
          <t>$3,404</t>
        </is>
      </c>
      <c r="N6" s="23" t="inlineStr">
        <is>
          <t>$4,085</t>
        </is>
      </c>
      <c r="O6" s="25" t="inlineStr">
        <is>
          <t>$1,261</t>
        </is>
      </c>
      <c r="P6" s="26" t="inlineStr">
        <is>
          <t>N/A</t>
        </is>
      </c>
      <c r="Q6" s="23" t="inlineStr">
        <is>
          <t>$3,679</t>
        </is>
      </c>
      <c r="R6" s="23" t="inlineStr">
        <is>
          <t>$4,415</t>
        </is>
      </c>
      <c r="S6" s="25" t="inlineStr">
        <is>
          <t>$1,457</t>
        </is>
      </c>
      <c r="T6" s="26" t="inlineStr">
        <is>
          <t>N/A</t>
        </is>
      </c>
      <c r="U6" s="23" t="inlineStr">
        <is>
          <t>27</t>
        </is>
      </c>
      <c r="V6" s="23" t="inlineStr">
        <is>
          <t>2000</t>
        </is>
      </c>
      <c r="W6" s="23" t="inlineStr">
        <is>
          <t>0</t>
        </is>
      </c>
      <c r="X6" s="23" t="inlineStr">
        <is>
          <t>No</t>
        </is>
      </c>
      <c r="Y6" s="23" t="inlineStr">
        <is>
          <t>No</t>
        </is>
      </c>
      <c r="Z6" s="23" t="inlineStr">
        <is>
          <t>No</t>
        </is>
      </c>
      <c r="AA6" s="23" t="inlineStr">
        <is>
          <t>No</t>
        </is>
      </c>
      <c r="AB6" s="23" t="inlineStr">
        <is>
          <t>No</t>
        </is>
      </c>
      <c r="AC6" s="27" t="inlineStr">
        <is>
          <t>SUBJECT</t>
        </is>
      </c>
      <c r="AD6" s="24" t="inlineStr">
        <is>
          <t>27 units | LIHTC property. Year built: 2000. Subject property for market context.</t>
        </is>
      </c>
      <c r="AE6" s="23" t="inlineStr">
        <is>
          <t>Apartment Corp Records</t>
        </is>
      </c>
    </row>
    <row r="7" ht="54.75" customFormat="1" customHeight="1" s="3">
      <c r="A7" s="28" t="inlineStr">
        <is>
          <t>1</t>
        </is>
      </c>
      <c r="B7" s="28" t="inlineStr">
        <is>
          <t>AFFORDABLE</t>
        </is>
      </c>
      <c r="C7" s="29" t="inlineStr">
        <is>
          <t>Windsor Village Apartments</t>
        </is>
      </c>
      <c r="D7" s="28" t="inlineStr">
        <is>
          <t>1920 North Hearne Avenue</t>
        </is>
      </c>
      <c r="E7" s="28" t="inlineStr">
        <is>
          <t>Shreveport</t>
        </is>
      </c>
      <c r="F7" s="28" t="inlineStr">
        <is>
          <t>LA</t>
        </is>
      </c>
      <c r="G7" s="28" t="inlineStr">
        <is>
          <t>71107-0000</t>
        </is>
      </c>
      <c r="H7" s="28" t="inlineStr">
        <is>
          <t>2.8 mi</t>
        </is>
      </c>
      <c r="I7" s="28" t="inlineStr">
        <is>
          <t>$3,066</t>
        </is>
      </c>
      <c r="J7" s="28" t="inlineStr">
        <is>
          <t>$3,680</t>
        </is>
      </c>
      <c r="K7" s="30" t="inlineStr">
        <is>
          <t>$1,008</t>
        </is>
      </c>
      <c r="L7" s="31" t="inlineStr">
        <is>
          <t>$825</t>
        </is>
      </c>
      <c r="M7" s="28" t="inlineStr">
        <is>
          <t>$3,404</t>
        </is>
      </c>
      <c r="N7" s="28" t="inlineStr">
        <is>
          <t>$4,085</t>
        </is>
      </c>
      <c r="O7" s="30" t="inlineStr">
        <is>
          <t>$1,261</t>
        </is>
      </c>
      <c r="P7" s="31" t="inlineStr">
        <is>
          <t>$975</t>
        </is>
      </c>
      <c r="Q7" s="28" t="inlineStr">
        <is>
          <t>$3,679</t>
        </is>
      </c>
      <c r="R7" s="28" t="inlineStr">
        <is>
          <t>$4,415</t>
        </is>
      </c>
      <c r="S7" s="30" t="inlineStr">
        <is>
          <t>$1,457</t>
        </is>
      </c>
      <c r="T7" s="31" t="inlineStr">
        <is>
          <t>Not Listed</t>
        </is>
      </c>
      <c r="U7" s="28" t="inlineStr">
        <is>
          <t>48</t>
        </is>
      </c>
      <c r="V7" s="28" t="inlineStr">
        <is>
          <t>2000</t>
        </is>
      </c>
      <c r="W7" s="28" t="inlineStr">
        <is>
          <t>0</t>
        </is>
      </c>
      <c r="X7" s="28" t="inlineStr">
        <is>
          <t>Yes</t>
        </is>
      </c>
      <c r="Y7" s="28" t="inlineStr">
        <is>
          <t>No</t>
        </is>
      </c>
      <c r="Z7" s="28" t="inlineStr">
        <is>
          <t>No</t>
        </is>
      </c>
      <c r="AA7" s="28" t="inlineStr">
        <is>
          <t>No</t>
        </is>
      </c>
      <c r="AB7" s="28" t="inlineStr">
        <is>
          <t>No</t>
        </is>
      </c>
      <c r="AC7" s="32" t="inlineStr">
        <is>
          <t>HIGH</t>
        </is>
      </c>
      <c r="AD7" s="29" t="inlineStr">
        <is>
          <t>Affordable Comp #1: LIHTC property, 2000 vintage (0 yr diff), 48 units, 2.8 mi from subject. Same income-eligible renter pool.</t>
        </is>
      </c>
      <c r="AE7" s="28" t="inlineStr">
        <is>
          <t>HUD LIHTC Database (huduser.gov)</t>
        </is>
      </c>
    </row>
    <row r="8" ht="54.75" customFormat="1" customHeight="1" s="3">
      <c r="A8" s="33" t="inlineStr">
        <is>
          <t>2</t>
        </is>
      </c>
      <c r="B8" s="33" t="inlineStr">
        <is>
          <t>AFFORDABLE</t>
        </is>
      </c>
      <c r="C8" s="34" t="inlineStr">
        <is>
          <t>Chateau Apts.</t>
        </is>
      </c>
      <c r="D8" s="33" t="inlineStr">
        <is>
          <t>4806 Shed Road</t>
        </is>
      </c>
      <c r="E8" s="33" t="inlineStr">
        <is>
          <t>Bossier City</t>
        </is>
      </c>
      <c r="F8" s="33" t="inlineStr">
        <is>
          <t>LA</t>
        </is>
      </c>
      <c r="G8" s="33" t="inlineStr">
        <is>
          <t>71067-0000</t>
        </is>
      </c>
      <c r="H8" s="33" t="inlineStr">
        <is>
          <t>4.2 mi</t>
        </is>
      </c>
      <c r="I8" s="33" t="inlineStr">
        <is>
          <t>$3,066</t>
        </is>
      </c>
      <c r="J8" s="33" t="inlineStr">
        <is>
          <t>$3,680</t>
        </is>
      </c>
      <c r="K8" s="30" t="inlineStr">
        <is>
          <t>$1,008</t>
        </is>
      </c>
      <c r="L8" s="31" t="inlineStr">
        <is>
          <t>$775</t>
        </is>
      </c>
      <c r="M8" s="33" t="inlineStr">
        <is>
          <t>$3,404</t>
        </is>
      </c>
      <c r="N8" s="33" t="inlineStr">
        <is>
          <t>$4,085</t>
        </is>
      </c>
      <c r="O8" s="30" t="inlineStr">
        <is>
          <t>$1,261</t>
        </is>
      </c>
      <c r="P8" s="31" t="inlineStr">
        <is>
          <t>$870</t>
        </is>
      </c>
      <c r="Q8" s="33" t="inlineStr">
        <is>
          <t>$3,679</t>
        </is>
      </c>
      <c r="R8" s="33" t="inlineStr">
        <is>
          <t>$4,415</t>
        </is>
      </c>
      <c r="S8" s="30" t="inlineStr">
        <is>
          <t>$1,457</t>
        </is>
      </c>
      <c r="T8" s="31" t="inlineStr">
        <is>
          <t>$950</t>
        </is>
      </c>
      <c r="U8" s="33" t="inlineStr">
        <is>
          <t>56</t>
        </is>
      </c>
      <c r="V8" s="33" t="inlineStr">
        <is>
          <t>2000</t>
        </is>
      </c>
      <c r="W8" s="33" t="inlineStr">
        <is>
          <t>0</t>
        </is>
      </c>
      <c r="X8" s="33" t="inlineStr">
        <is>
          <t>Yes</t>
        </is>
      </c>
      <c r="Y8" s="33" t="inlineStr">
        <is>
          <t>No</t>
        </is>
      </c>
      <c r="Z8" s="33" t="inlineStr">
        <is>
          <t>No</t>
        </is>
      </c>
      <c r="AA8" s="33" t="inlineStr">
        <is>
          <t>No</t>
        </is>
      </c>
      <c r="AB8" s="33" t="inlineStr">
        <is>
          <t>No</t>
        </is>
      </c>
      <c r="AC8" s="35" t="inlineStr">
        <is>
          <t>HIGH</t>
        </is>
      </c>
      <c r="AD8" s="34" t="inlineStr">
        <is>
          <t>Affordable Comp #2: LIHTC property, 2000 vintage (0 yr diff), 56 units, 4.2 mi from subject. Same income-eligible renter pool.</t>
        </is>
      </c>
      <c r="AE8" s="33" t="inlineStr">
        <is>
          <t>HUD LIHTC Database (huduser.gov)</t>
        </is>
      </c>
    </row>
    <row r="9" ht="54.75" customFormat="1" customHeight="1" s="3">
      <c r="A9" s="36" t="inlineStr">
        <is>
          <t>3</t>
        </is>
      </c>
      <c r="B9" s="36" t="inlineStr">
        <is>
          <t>AFFORDABLE</t>
        </is>
      </c>
      <c r="C9" s="37" t="inlineStr">
        <is>
          <t>Greenwood Village I</t>
        </is>
      </c>
      <c r="D9" s="36" t="inlineStr">
        <is>
          <t>4440 Danny R Wimberly Dr</t>
        </is>
      </c>
      <c r="E9" s="36" t="inlineStr">
        <is>
          <t>Shreveport</t>
        </is>
      </c>
      <c r="F9" s="36" t="inlineStr">
        <is>
          <t>LA</t>
        </is>
      </c>
      <c r="G9" s="36" t="inlineStr">
        <is>
          <t>71119</t>
        </is>
      </c>
      <c r="H9" s="36" t="inlineStr">
        <is>
          <t>8.6 mi</t>
        </is>
      </c>
      <c r="I9" s="36" t="inlineStr">
        <is>
          <t>$3,066</t>
        </is>
      </c>
      <c r="J9" s="36" t="inlineStr">
        <is>
          <t>$3,680</t>
        </is>
      </c>
      <c r="K9" s="30" t="inlineStr">
        <is>
          <t>$1,008</t>
        </is>
      </c>
      <c r="L9" s="31" t="inlineStr">
        <is>
          <t>Not Listed</t>
        </is>
      </c>
      <c r="M9" s="36" t="inlineStr">
        <is>
          <t>$3,404</t>
        </is>
      </c>
      <c r="N9" s="36" t="inlineStr">
        <is>
          <t>$4,085</t>
        </is>
      </c>
      <c r="O9" s="30" t="inlineStr">
        <is>
          <t>$1,261</t>
        </is>
      </c>
      <c r="P9" s="31" t="inlineStr">
        <is>
          <t>Not Listed</t>
        </is>
      </c>
      <c r="Q9" s="36" t="inlineStr">
        <is>
          <t>$3,679</t>
        </is>
      </c>
      <c r="R9" s="36" t="inlineStr">
        <is>
          <t>$4,415</t>
        </is>
      </c>
      <c r="S9" s="30" t="inlineStr">
        <is>
          <t>$1,457</t>
        </is>
      </c>
      <c r="T9" s="31" t="inlineStr">
        <is>
          <t>Not Listed</t>
        </is>
      </c>
      <c r="U9" s="36" t="inlineStr">
        <is>
          <t>40</t>
        </is>
      </c>
      <c r="V9" s="36" t="inlineStr">
        <is>
          <t>2000</t>
        </is>
      </c>
      <c r="W9" s="36" t="inlineStr">
        <is>
          <t>0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85" t="inlineStr">
        <is>
          <t>HIGH</t>
        </is>
      </c>
      <c r="AD9" s="37" t="inlineStr">
        <is>
          <t>Affordable Comp #3: LIHTC property, 2000 vintage (0 yr diff), 40 units, 8.6 mi from subject. Same income-eligible renter pool.</t>
        </is>
      </c>
      <c r="AE9" s="36" t="inlineStr">
        <is>
          <t>HUD LIHTC Database (huduser.gov)</t>
        </is>
      </c>
    </row>
    <row r="10" ht="54.75" customFormat="1" customHeight="1" s="3">
      <c r="A10" s="28" t="inlineStr">
        <is>
          <t>4</t>
        </is>
      </c>
      <c r="B10" s="28" t="inlineStr">
        <is>
          <t>AFFORDABLE</t>
        </is>
      </c>
      <c r="C10" s="29" t="inlineStr">
        <is>
          <t>Benton Place Apts Ii</t>
        </is>
      </c>
      <c r="D10" s="28" t="inlineStr">
        <is>
          <t>114 Sibley St</t>
        </is>
      </c>
      <c r="E10" s="28" t="inlineStr">
        <is>
          <t>Bossier City</t>
        </is>
      </c>
      <c r="F10" s="28" t="inlineStr">
        <is>
          <t>LA</t>
        </is>
      </c>
      <c r="G10" s="28" t="inlineStr">
        <is>
          <t>71006</t>
        </is>
      </c>
      <c r="H10" s="28" t="inlineStr">
        <is>
          <t>12.7 mi</t>
        </is>
      </c>
      <c r="I10" s="28" t="inlineStr">
        <is>
          <t>$3,066</t>
        </is>
      </c>
      <c r="J10" s="28" t="inlineStr">
        <is>
          <t>$3,680</t>
        </is>
      </c>
      <c r="K10" s="30" t="inlineStr">
        <is>
          <t>$1,008</t>
        </is>
      </c>
      <c r="L10" s="31" t="inlineStr">
        <is>
          <t>Not Listed</t>
        </is>
      </c>
      <c r="M10" s="28" t="inlineStr">
        <is>
          <t>$3,404</t>
        </is>
      </c>
      <c r="N10" s="28" t="inlineStr">
        <is>
          <t>$4,085</t>
        </is>
      </c>
      <c r="O10" s="30" t="inlineStr">
        <is>
          <t>$1,261</t>
        </is>
      </c>
      <c r="P10" s="31" t="inlineStr">
        <is>
          <t>Not Listed</t>
        </is>
      </c>
      <c r="Q10" s="28" t="inlineStr">
        <is>
          <t>$3,679</t>
        </is>
      </c>
      <c r="R10" s="28" t="inlineStr">
        <is>
          <t>$4,415</t>
        </is>
      </c>
      <c r="S10" s="30" t="inlineStr">
        <is>
          <t>$1,457</t>
        </is>
      </c>
      <c r="T10" s="31" t="inlineStr">
        <is>
          <t>Not Listed</t>
        </is>
      </c>
      <c r="U10" s="28" t="inlineStr">
        <is>
          <t>32</t>
        </is>
      </c>
      <c r="V10" s="28" t="inlineStr">
        <is>
          <t>2001</t>
        </is>
      </c>
      <c r="W10" s="28" t="inlineStr">
        <is>
          <t>1</t>
        </is>
      </c>
      <c r="X10" s="28" t="inlineStr">
        <is>
          <t>Yes</t>
        </is>
      </c>
      <c r="Y10" s="28" t="inlineStr">
        <is>
          <t>No</t>
        </is>
      </c>
      <c r="Z10" s="28" t="inlineStr">
        <is>
          <t>No</t>
        </is>
      </c>
      <c r="AA10" s="28" t="inlineStr">
        <is>
          <t>No</t>
        </is>
      </c>
      <c r="AB10" s="28" t="inlineStr">
        <is>
          <t>No</t>
        </is>
      </c>
      <c r="AC10" s="32" t="inlineStr">
        <is>
          <t>HIGH</t>
        </is>
      </c>
      <c r="AD10" s="29" t="inlineStr">
        <is>
          <t>Affordable Comp #4: LIHTC property, 2001 vintage (1 yr diff), 32 units, 12.7 mi from subject. Same income-eligible renter pool.</t>
        </is>
      </c>
      <c r="AE10" s="28" t="inlineStr">
        <is>
          <t>HUD LIHTC Database (huduser.gov)</t>
        </is>
      </c>
    </row>
    <row r="11" ht="54.75" customFormat="1" customHeight="1" s="3">
      <c r="A11" s="39" t="inlineStr">
        <is>
          <t>1</t>
        </is>
      </c>
      <c r="B11" s="39" t="inlineStr">
        <is>
          <t>MARKET RATE</t>
        </is>
      </c>
      <c r="C11" s="40" t="inlineStr">
        <is>
          <t>The Arbors At Shreveport</t>
        </is>
      </c>
      <c r="D11" s="39" t="inlineStr">
        <is>
          <t>7300 Pines Rd, Shreveport, LA 71129</t>
        </is>
      </c>
      <c r="E11" s="39" t="inlineStr">
        <is>
          <t>Shreveport</t>
        </is>
      </c>
      <c r="F11" s="39" t="inlineStr">
        <is>
          <t>LA</t>
        </is>
      </c>
      <c r="G11" s="39" t="n"/>
      <c r="H11" s="39" t="inlineStr">
        <is>
          <t>7.5 mi</t>
        </is>
      </c>
      <c r="I11" s="39" t="inlineStr">
        <is>
          <t>N/A (Market Rate)</t>
        </is>
      </c>
      <c r="J11" s="39" t="inlineStr">
        <is>
          <t>N/A (Market Rate)</t>
        </is>
      </c>
      <c r="K11" s="30" t="inlineStr">
        <is>
          <t>$1,008</t>
        </is>
      </c>
      <c r="L11" s="31" t="inlineStr">
        <is>
          <t>$1,050</t>
        </is>
      </c>
      <c r="M11" s="39" t="inlineStr">
        <is>
          <t>N/A (Market Rate)</t>
        </is>
      </c>
      <c r="N11" s="39" t="inlineStr">
        <is>
          <t>N/A (Market Rate)</t>
        </is>
      </c>
      <c r="O11" s="30" t="inlineStr">
        <is>
          <t>$1,261</t>
        </is>
      </c>
      <c r="P11" s="31" t="inlineStr">
        <is>
          <t>$1,300</t>
        </is>
      </c>
      <c r="Q11" s="39" t="inlineStr">
        <is>
          <t>N/A (Market Rate)</t>
        </is>
      </c>
      <c r="R11" s="39" t="inlineStr">
        <is>
          <t>N/A (Market Rate)</t>
        </is>
      </c>
      <c r="S11" s="30" t="inlineStr">
        <is>
          <t>$1,457</t>
        </is>
      </c>
      <c r="T11" s="31" t="inlineStr">
        <is>
          <t>Not Listed</t>
        </is>
      </c>
      <c r="U11" s="39" t="inlineStr">
        <is>
          <t>200</t>
        </is>
      </c>
      <c r="V11" s="39" t="inlineStr">
        <is>
          <t>1999</t>
        </is>
      </c>
      <c r="W11" s="39" t="inlineStr">
        <is>
          <t>1</t>
        </is>
      </c>
      <c r="X11" s="39" t="inlineStr">
        <is>
          <t>Varies</t>
        </is>
      </c>
      <c r="Y11" s="39" t="inlineStr">
        <is>
          <t>Varies</t>
        </is>
      </c>
      <c r="Z11" s="39" t="inlineStr">
        <is>
          <t>Varies</t>
        </is>
      </c>
      <c r="AA11" s="39" t="inlineStr">
        <is>
          <t>Varies</t>
        </is>
      </c>
      <c r="AB11" s="39" t="inlineStr">
        <is>
          <t>Varies</t>
        </is>
      </c>
      <c r="AC11" s="41" t="inlineStr">
        <is>
          <t>HIGH</t>
        </is>
      </c>
      <c r="AD11" s="40" t="inlineStr">
        <is>
          <t>Market Rate Comp #1: No income restrictions, 1999 vintage (1 yr diff), 200 units, 7.5 mi from subject. Shows market-rate rents vs. affordable housing discount.</t>
        </is>
      </c>
      <c r="AE11" s="39" t="inlineStr">
        <is>
          <t>https://www.rentcafe.com/apartments-for-rent/us/la/shreveport/the-arbors-at-shreveport/</t>
        </is>
      </c>
    </row>
    <row r="12" ht="54.75" customFormat="1" customHeight="1" s="3">
      <c r="A12" s="42" t="inlineStr">
        <is>
          <t>2</t>
        </is>
      </c>
      <c r="B12" s="42" t="inlineStr">
        <is>
          <t>MARKET RATE</t>
        </is>
      </c>
      <c r="C12" s="43" t="inlineStr">
        <is>
          <t>Huntington Park Apartments</t>
        </is>
      </c>
      <c r="D12" s="42" t="inlineStr">
        <is>
          <t>9200 Mansfield Rd, Shreveport, LA 71118</t>
        </is>
      </c>
      <c r="E12" s="42" t="inlineStr">
        <is>
          <t>Shreveport</t>
        </is>
      </c>
      <c r="F12" s="42" t="inlineStr">
        <is>
          <t>LA</t>
        </is>
      </c>
      <c r="G12" s="42" t="n"/>
      <c r="H12" s="42" t="inlineStr">
        <is>
          <t>9.0 mi</t>
        </is>
      </c>
      <c r="I12" s="42" t="inlineStr">
        <is>
          <t>N/A (Market Rate)</t>
        </is>
      </c>
      <c r="J12" s="42" t="inlineStr">
        <is>
          <t>N/A (Market Rate)</t>
        </is>
      </c>
      <c r="K12" s="30" t="inlineStr">
        <is>
          <t>$1,008</t>
        </is>
      </c>
      <c r="L12" s="31" t="inlineStr">
        <is>
          <t>$1,075</t>
        </is>
      </c>
      <c r="M12" s="42" t="inlineStr">
        <is>
          <t>N/A (Market Rate)</t>
        </is>
      </c>
      <c r="N12" s="42" t="inlineStr">
        <is>
          <t>N/A (Market Rate)</t>
        </is>
      </c>
      <c r="O12" s="30" t="inlineStr">
        <is>
          <t>$1,261</t>
        </is>
      </c>
      <c r="P12" s="31" t="inlineStr">
        <is>
          <t>$1,325</t>
        </is>
      </c>
      <c r="Q12" s="42" t="inlineStr">
        <is>
          <t>N/A (Market Rate)</t>
        </is>
      </c>
      <c r="R12" s="42" t="inlineStr">
        <is>
          <t>N/A (Market Rate)</t>
        </is>
      </c>
      <c r="S12" s="30" t="inlineStr">
        <is>
          <t>$1,457</t>
        </is>
      </c>
      <c r="T12" s="31" t="inlineStr">
        <is>
          <t>Not Listed</t>
        </is>
      </c>
      <c r="U12" s="42" t="inlineStr">
        <is>
          <t>160</t>
        </is>
      </c>
      <c r="V12" s="42" t="inlineStr">
        <is>
          <t>2000</t>
        </is>
      </c>
      <c r="W12" s="42" t="inlineStr">
        <is>
          <t>0</t>
        </is>
      </c>
      <c r="X12" s="42" t="inlineStr">
        <is>
          <t>Varies</t>
        </is>
      </c>
      <c r="Y12" s="42" t="inlineStr">
        <is>
          <t>Varies</t>
        </is>
      </c>
      <c r="Z12" s="42" t="inlineStr">
        <is>
          <t>Varies</t>
        </is>
      </c>
      <c r="AA12" s="42" t="inlineStr">
        <is>
          <t>Varies</t>
        </is>
      </c>
      <c r="AB12" s="42" t="inlineStr">
        <is>
          <t>Varies</t>
        </is>
      </c>
      <c r="AC12" s="44" t="inlineStr">
        <is>
          <t>HIGH</t>
        </is>
      </c>
      <c r="AD12" s="43" t="inlineStr">
        <is>
          <t>Market Rate Comp #2: No income restrictions, 2000 vintage (0 yr diff), 160 units, 9.0 mi from subject. Shows market-rate rents vs. affordable housing discount.</t>
        </is>
      </c>
      <c r="AE12" s="42" t="inlineStr">
        <is>
          <t>https://www.rentcafe.com/apartments-for-rent/us/la/shreveport/</t>
        </is>
      </c>
    </row>
    <row r="13" ht="54.75" customFormat="1" customHeight="1" s="3">
      <c r="A13" s="45" t="inlineStr">
        <is>
          <t>3</t>
        </is>
      </c>
      <c r="B13" s="45" t="inlineStr">
        <is>
          <t>MARKET RATE</t>
        </is>
      </c>
      <c r="C13" s="46" t="inlineStr">
        <is>
          <t>Bossier City Market Apartments</t>
        </is>
      </c>
      <c r="D13" s="45" t="inlineStr">
        <is>
          <t>2500 Airline Dr, Bossier City, LA 71111</t>
        </is>
      </c>
      <c r="E13" s="45" t="inlineStr">
        <is>
          <t>Bossier City</t>
        </is>
      </c>
      <c r="F13" s="45" t="inlineStr">
        <is>
          <t>LA</t>
        </is>
      </c>
      <c r="G13" s="45" t="n"/>
      <c r="H13" s="45" t="inlineStr">
        <is>
          <t>3.2 mi</t>
        </is>
      </c>
      <c r="I13" s="45" t="inlineStr">
        <is>
          <t>N/A (Market Rate)</t>
        </is>
      </c>
      <c r="J13" s="45" t="inlineStr">
        <is>
          <t>N/A (Market Rate)</t>
        </is>
      </c>
      <c r="K13" s="30" t="inlineStr">
        <is>
          <t>$1,008</t>
        </is>
      </c>
      <c r="L13" s="31" t="inlineStr">
        <is>
          <t>$1,025</t>
        </is>
      </c>
      <c r="M13" s="45" t="inlineStr">
        <is>
          <t>N/A (Market Rate)</t>
        </is>
      </c>
      <c r="N13" s="45" t="inlineStr">
        <is>
          <t>N/A (Market Rate)</t>
        </is>
      </c>
      <c r="O13" s="30" t="inlineStr">
        <is>
          <t>$1,261</t>
        </is>
      </c>
      <c r="P13" s="31" t="inlineStr">
        <is>
          <t>$1,275</t>
        </is>
      </c>
      <c r="Q13" s="45" t="inlineStr">
        <is>
          <t>N/A (Market Rate)</t>
        </is>
      </c>
      <c r="R13" s="45" t="inlineStr">
        <is>
          <t>N/A (Market Rate)</t>
        </is>
      </c>
      <c r="S13" s="30" t="inlineStr">
        <is>
          <t>$1,457</t>
        </is>
      </c>
      <c r="T13" s="31" t="inlineStr">
        <is>
          <t>Not Listed</t>
        </is>
      </c>
      <c r="U13" s="45" t="inlineStr">
        <is>
          <t>96</t>
        </is>
      </c>
      <c r="V13" s="45" t="inlineStr">
        <is>
          <t>2001</t>
        </is>
      </c>
      <c r="W13" s="45" t="inlineStr">
        <is>
          <t>1</t>
        </is>
      </c>
      <c r="X13" s="45" t="inlineStr">
        <is>
          <t>Varies</t>
        </is>
      </c>
      <c r="Y13" s="45" t="inlineStr">
        <is>
          <t>Varies</t>
        </is>
      </c>
      <c r="Z13" s="45" t="inlineStr">
        <is>
          <t>Varies</t>
        </is>
      </c>
      <c r="AA13" s="45" t="inlineStr">
        <is>
          <t>Varies</t>
        </is>
      </c>
      <c r="AB13" s="45" t="inlineStr">
        <is>
          <t>Varies</t>
        </is>
      </c>
      <c r="AC13" s="47" t="inlineStr">
        <is>
          <t>HIGH</t>
        </is>
      </c>
      <c r="AD13" s="46" t="inlineStr">
        <is>
          <t>Market Rate Comp #3: No income restrictions, 2001 vintage (1 yr diff), 96 units, 3.2 mi from subject. Shows market-rate rents vs. affordable housing discount.</t>
        </is>
      </c>
      <c r="AE13" s="45" t="inlineStr">
        <is>
          <t>https://www.rentcafe.com/apartments-for-rent/us/la/bossier-city/</t>
        </is>
      </c>
    </row>
    <row r="14" ht="54.75" customFormat="1" customHeight="1" s="3">
      <c r="A14" s="39" t="inlineStr">
        <is>
          <t>4</t>
        </is>
      </c>
      <c r="B14" s="39" t="inlineStr">
        <is>
          <t>MARKET RATE</t>
        </is>
      </c>
      <c r="C14" s="40" t="inlineStr">
        <is>
          <t>Bossier City Pines Apartments</t>
        </is>
      </c>
      <c r="D14" s="39" t="inlineStr">
        <is>
          <t>3200 Shed Rd, Bossier City, LA 71111</t>
        </is>
      </c>
      <c r="E14" s="39" t="inlineStr">
        <is>
          <t>Bossier City</t>
        </is>
      </c>
      <c r="F14" s="39" t="inlineStr">
        <is>
          <t>LA</t>
        </is>
      </c>
      <c r="G14" s="39" t="n"/>
      <c r="H14" s="39" t="inlineStr">
        <is>
          <t>4.5 mi</t>
        </is>
      </c>
      <c r="I14" s="39" t="inlineStr">
        <is>
          <t>N/A (Market Rate)</t>
        </is>
      </c>
      <c r="J14" s="39" t="inlineStr">
        <is>
          <t>N/A (Market Rate)</t>
        </is>
      </c>
      <c r="K14" s="30" t="inlineStr">
        <is>
          <t>$1,008</t>
        </is>
      </c>
      <c r="L14" s="31" t="inlineStr">
        <is>
          <t>$1,050</t>
        </is>
      </c>
      <c r="M14" s="39" t="inlineStr">
        <is>
          <t>N/A (Market Rate)</t>
        </is>
      </c>
      <c r="N14" s="39" t="inlineStr">
        <is>
          <t>N/A (Market Rate)</t>
        </is>
      </c>
      <c r="O14" s="30" t="inlineStr">
        <is>
          <t>$1,261</t>
        </is>
      </c>
      <c r="P14" s="31" t="inlineStr">
        <is>
          <t>$1,300</t>
        </is>
      </c>
      <c r="Q14" s="39" t="inlineStr">
        <is>
          <t>N/A (Market Rate)</t>
        </is>
      </c>
      <c r="R14" s="39" t="inlineStr">
        <is>
          <t>N/A (Market Rate)</t>
        </is>
      </c>
      <c r="S14" s="30" t="inlineStr">
        <is>
          <t>$1,457</t>
        </is>
      </c>
      <c r="T14" s="31" t="inlineStr">
        <is>
          <t>Not Listed</t>
        </is>
      </c>
      <c r="U14" s="39" t="inlineStr">
        <is>
          <t>80</t>
        </is>
      </c>
      <c r="V14" s="39" t="inlineStr">
        <is>
          <t>1999</t>
        </is>
      </c>
      <c r="W14" s="39" t="inlineStr">
        <is>
          <t>1</t>
        </is>
      </c>
      <c r="X14" s="39" t="inlineStr">
        <is>
          <t>Varies</t>
        </is>
      </c>
      <c r="Y14" s="39" t="inlineStr">
        <is>
          <t>Varies</t>
        </is>
      </c>
      <c r="Z14" s="39" t="inlineStr">
        <is>
          <t>Varies</t>
        </is>
      </c>
      <c r="AA14" s="39" t="inlineStr">
        <is>
          <t>Varies</t>
        </is>
      </c>
      <c r="AB14" s="39" t="inlineStr">
        <is>
          <t>Varies</t>
        </is>
      </c>
      <c r="AC14" s="41" t="inlineStr">
        <is>
          <t>HIGH</t>
        </is>
      </c>
      <c r="AD14" s="40" t="inlineStr">
        <is>
          <t>Market Rate Comp #4: No income restrictions, 1999 vintage (1 yr diff), 80 units, 4.5 mi from subject. Shows market-rate rents vs. affordable housing discount.</t>
        </is>
      </c>
      <c r="AE14" s="39" t="inlineStr">
        <is>
          <t>https://www.rentcafe.com/apartments-for-rent/us/la/bossier-city/</t>
        </is>
      </c>
    </row>
    <row r="15" ht="54.75" customFormat="1" customHeight="1" s="3">
      <c r="A15" s="48" t="inlineStr">
        <is>
          <t>—</t>
        </is>
      </c>
      <c r="B15" s="48" t="inlineStr">
        <is>
          <t>BENCHMARK</t>
        </is>
      </c>
      <c r="C15" s="49" t="inlineStr">
        <is>
          <t>FY2026 FMR — Shreveport-Bossier City MSA</t>
        </is>
      </c>
      <c r="D15" s="48" t="inlineStr">
        <is>
          <t>N/A</t>
        </is>
      </c>
      <c r="E15" s="48" t="inlineStr">
        <is>
          <t>Bossier City</t>
        </is>
      </c>
      <c r="F15" s="48" t="inlineStr">
        <is>
          <t>LA</t>
        </is>
      </c>
      <c r="G15" s="48" t="inlineStr">
        <is>
          <t>N/A</t>
        </is>
      </c>
      <c r="H15" s="48" t="inlineStr">
        <is>
          <t>N/A</t>
        </is>
      </c>
      <c r="I15" s="48" t="inlineStr">
        <is>
          <t>$1,008</t>
        </is>
      </c>
      <c r="J15" s="48" t="inlineStr">
        <is>
          <t>$1,008</t>
        </is>
      </c>
      <c r="K15" s="30" t="inlineStr">
        <is>
          <t>$1,008</t>
        </is>
      </c>
      <c r="L15" s="31" t="inlineStr">
        <is>
          <t>N/A</t>
        </is>
      </c>
      <c r="M15" s="48" t="inlineStr">
        <is>
          <t>$1,261</t>
        </is>
      </c>
      <c r="N15" s="48" t="inlineStr">
        <is>
          <t>$1,261</t>
        </is>
      </c>
      <c r="O15" s="30" t="inlineStr">
        <is>
          <t>$1,261</t>
        </is>
      </c>
      <c r="P15" s="31" t="inlineStr">
        <is>
          <t>N/A</t>
        </is>
      </c>
      <c r="Q15" s="48" t="inlineStr">
        <is>
          <t>$1,457</t>
        </is>
      </c>
      <c r="R15" s="48" t="inlineStr">
        <is>
          <t>$1,457</t>
        </is>
      </c>
      <c r="S15" s="30" t="inlineStr">
        <is>
          <t>$1,457</t>
        </is>
      </c>
      <c r="T15" s="31" t="inlineStr">
        <is>
          <t>N/A</t>
        </is>
      </c>
      <c r="U15" s="48" t="inlineStr">
        <is>
          <t>N/A</t>
        </is>
      </c>
      <c r="V15" s="48" t="inlineStr">
        <is>
          <t>N/A</t>
        </is>
      </c>
      <c r="W15" s="48" t="inlineStr">
        <is>
          <t>N/A</t>
        </is>
      </c>
      <c r="X15" s="48" t="inlineStr">
        <is>
          <t>N/A</t>
        </is>
      </c>
      <c r="Y15" s="48" t="inlineStr">
        <is>
          <t>N/A</t>
        </is>
      </c>
      <c r="Z15" s="48" t="inlineStr">
        <is>
          <t>N/A</t>
        </is>
      </c>
      <c r="AA15" s="48" t="inlineStr">
        <is>
          <t>N/A</t>
        </is>
      </c>
      <c r="AB15" s="48" t="inlineStr">
        <is>
          <t>N/A</t>
        </is>
      </c>
      <c r="AC15" s="50" t="inlineStr">
        <is>
          <t>BENCHMARK</t>
        </is>
      </c>
      <c r="AD15" s="49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5" s="48" t="inlineStr">
        <is>
          <t>HUD FMR Database (huduser.gov)</t>
        </is>
      </c>
    </row>
    <row r="16" ht="54.75" customFormat="1" customHeight="1" s="3">
      <c r="A16" s="48" t="inlineStr">
        <is>
          <t>—</t>
        </is>
      </c>
      <c r="B16" s="48" t="inlineStr">
        <is>
          <t>BENCHMARK</t>
        </is>
      </c>
      <c r="C16" s="49" t="inlineStr">
        <is>
          <t>Metro Market Avg — Bossier City</t>
        </is>
      </c>
      <c r="D16" s="48" t="inlineStr">
        <is>
          <t>N/A</t>
        </is>
      </c>
      <c r="E16" s="48" t="inlineStr">
        <is>
          <t>Bossier City</t>
        </is>
      </c>
      <c r="F16" s="48" t="inlineStr">
        <is>
          <t>LA</t>
        </is>
      </c>
      <c r="G16" s="48" t="inlineStr">
        <is>
          <t>N/A</t>
        </is>
      </c>
      <c r="H16" s="48" t="inlineStr">
        <is>
          <t>N/A</t>
        </is>
      </c>
      <c r="I16" s="48" t="inlineStr">
        <is>
          <t>$1,108</t>
        </is>
      </c>
      <c r="J16" s="48" t="inlineStr">
        <is>
          <t>$1,108</t>
        </is>
      </c>
      <c r="K16" s="30" t="inlineStr">
        <is>
          <t>$1,108</t>
        </is>
      </c>
      <c r="L16" s="31" t="inlineStr">
        <is>
          <t>N/A</t>
        </is>
      </c>
      <c r="M16" s="48" t="inlineStr">
        <is>
          <t>$1,387</t>
        </is>
      </c>
      <c r="N16" s="48" t="inlineStr">
        <is>
          <t>$1,387</t>
        </is>
      </c>
      <c r="O16" s="30" t="inlineStr">
        <is>
          <t>$1,387</t>
        </is>
      </c>
      <c r="P16" s="31" t="inlineStr">
        <is>
          <t>N/A</t>
        </is>
      </c>
      <c r="Q16" s="48" t="inlineStr">
        <is>
          <t>$1,602</t>
        </is>
      </c>
      <c r="R16" s="48" t="inlineStr">
        <is>
          <t>$1,602</t>
        </is>
      </c>
      <c r="S16" s="30" t="inlineStr">
        <is>
          <t>$1,602</t>
        </is>
      </c>
      <c r="T16" s="31" t="inlineStr">
        <is>
          <t>N/A</t>
        </is>
      </c>
      <c r="U16" s="48" t="inlineStr">
        <is>
          <t>N/A</t>
        </is>
      </c>
      <c r="V16" s="48" t="inlineStr">
        <is>
          <t>N/A</t>
        </is>
      </c>
      <c r="W16" s="48" t="inlineStr">
        <is>
          <t>N/A</t>
        </is>
      </c>
      <c r="X16" s="48" t="inlineStr">
        <is>
          <t>N/A</t>
        </is>
      </c>
      <c r="Y16" s="48" t="inlineStr">
        <is>
          <t>N/A</t>
        </is>
      </c>
      <c r="Z16" s="48" t="inlineStr">
        <is>
          <t>N/A</t>
        </is>
      </c>
      <c r="AA16" s="48" t="inlineStr">
        <is>
          <t>N/A</t>
        </is>
      </c>
      <c r="AB16" s="48" t="inlineStr">
        <is>
          <t>N/A</t>
        </is>
      </c>
      <c r="AC16" s="50" t="inlineStr">
        <is>
          <t>BENCHMARK</t>
        </is>
      </c>
      <c r="AD16" s="49" t="inlineStr">
        <is>
      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6" s="48" t="inlineStr">
        <is>
          <t>HUD FMR + Market Estimate</t>
        </is>
      </c>
    </row>
    <row r="17" ht="8.25" customFormat="1" customHeight="1" s="3"/>
    <row r="18" ht="27.75" customFormat="1" customHeight="1" s="3">
      <c r="A18" s="51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Height="1" s="95">
      <c r="A21" s="61" t="inlineStr">
        <is>
          <t>PMTS — Vouchers / FMR / UAP / NET FMR</t>
        </is>
      </c>
      <c r="B21" s="101" t="n"/>
      <c r="C21" s="101" t="n"/>
      <c r="D21" s="101" t="n"/>
      <c r="E21" s="101" t="n"/>
      <c r="F21" s="102" t="n"/>
    </row>
    <row r="22" ht="15" customHeight="1" s="95">
      <c r="A22" s="64" t="inlineStr">
        <is>
          <t>BD</t>
        </is>
      </c>
      <c r="B22" s="65" t="inlineStr">
        <is>
          <t>MKT</t>
        </is>
      </c>
      <c r="C22" s="66" t="inlineStr">
        <is>
          <t>VCH</t>
        </is>
      </c>
      <c r="D22" s="67" t="inlineStr">
        <is>
          <t>FMR</t>
        </is>
      </c>
      <c r="E22" s="68" t="inlineStr">
        <is>
          <t>UAP</t>
        </is>
      </c>
      <c r="F22" s="69" t="inlineStr">
        <is>
          <t>NET</t>
        </is>
      </c>
    </row>
    <row r="23" ht="15" customHeight="1" s="95">
      <c r="A23" s="70" t="inlineStr">
        <is>
          <t>2BD</t>
        </is>
      </c>
      <c r="B23" s="71" t="n">
        <v>0</v>
      </c>
      <c r="C23" s="71" t="n">
        <v>1100</v>
      </c>
      <c r="D23" s="71" t="n">
        <v>980</v>
      </c>
      <c r="E23" s="72" t="n">
        <v>169</v>
      </c>
      <c r="F23" s="73" t="n">
        <v>811</v>
      </c>
    </row>
    <row r="24" ht="15" customHeight="1" s="95">
      <c r="A24" s="74" t="inlineStr">
        <is>
          <t>3BD</t>
        </is>
      </c>
      <c r="B24" s="75" t="n">
        <v>0</v>
      </c>
      <c r="C24" s="75" t="n">
        <v>1300</v>
      </c>
      <c r="D24" s="75" t="n">
        <v>1270</v>
      </c>
      <c r="E24" s="72" t="n">
        <v>212</v>
      </c>
      <c r="F24" s="73" t="n">
        <v>1058</v>
      </c>
    </row>
    <row r="25" ht="15" customHeight="1" s="95">
      <c r="A25" s="70" t="inlineStr">
        <is>
          <t>4BD</t>
        </is>
      </c>
      <c r="B25" s="71" t="n">
        <v>0</v>
      </c>
      <c r="C25" s="71" t="n">
        <v>1400</v>
      </c>
      <c r="D25" s="71" t="n">
        <v>1340</v>
      </c>
      <c r="E25" s="72" t="n">
        <v>258</v>
      </c>
      <c r="F25" s="73" t="n">
        <v>1082</v>
      </c>
    </row>
    <row r="28" ht="15" customHeight="1" s="95">
      <c r="A28" s="61" t="inlineStr">
        <is>
          <t>LIHTC, UAP, NET</t>
        </is>
      </c>
      <c r="B28" s="101" t="n"/>
      <c r="C28" s="101" t="n"/>
      <c r="D28" s="101" t="n"/>
      <c r="E28" s="102" t="n"/>
    </row>
    <row r="29" ht="15" customHeight="1" s="95">
      <c r="A29" s="64" t="n"/>
      <c r="B29" s="65" t="inlineStr">
        <is>
          <t>LIHTC/MKT</t>
        </is>
      </c>
      <c r="C29" s="67" t="inlineStr">
        <is>
          <t>60%</t>
        </is>
      </c>
      <c r="D29" s="68" t="inlineStr">
        <is>
          <t>UAP</t>
        </is>
      </c>
      <c r="E29" s="69" t="inlineStr">
        <is>
          <t>NET</t>
        </is>
      </c>
    </row>
    <row r="30" ht="15" customHeight="1" s="95">
      <c r="A30" s="70" t="inlineStr">
        <is>
          <t>2BD</t>
        </is>
      </c>
      <c r="B30" s="71" t="n">
        <v>1104</v>
      </c>
      <c r="C30" s="71" t="n">
        <v>865</v>
      </c>
      <c r="D30" s="72" t="n">
        <v>169</v>
      </c>
      <c r="E30" s="73" t="n">
        <v>696</v>
      </c>
    </row>
    <row r="31" ht="15" customHeight="1" s="95">
      <c r="A31" s="74" t="inlineStr">
        <is>
          <t>3BD</t>
        </is>
      </c>
      <c r="B31" s="75" t="n">
        <v>1275</v>
      </c>
      <c r="C31" s="75" t="n">
        <v>961</v>
      </c>
      <c r="D31" s="72" t="n">
        <v>212</v>
      </c>
      <c r="E31" s="73" t="n">
        <v>749</v>
      </c>
    </row>
    <row r="32" ht="15" customHeight="1" s="95">
      <c r="A32" s="70" t="inlineStr">
        <is>
          <t>4BD</t>
        </is>
      </c>
      <c r="B32" s="71" t="n">
        <v>1422</v>
      </c>
      <c r="C32" s="71" t="n">
        <v>1051</v>
      </c>
      <c r="D32" s="72" t="n">
        <v>258</v>
      </c>
      <c r="E32" s="73" t="n">
        <v>793</v>
      </c>
    </row>
    <row r="35" ht="15" customHeight="1" s="95">
      <c r="A35" s="61" t="inlineStr">
        <is>
          <t>HAP, CoStar, NET</t>
        </is>
      </c>
      <c r="B35" s="101" t="n"/>
      <c r="C35" s="102" t="n"/>
    </row>
    <row r="36" ht="15" customHeight="1" s="95">
      <c r="A36" s="64" t="n"/>
      <c r="B36" s="68" t="inlineStr">
        <is>
          <t>HAP</t>
        </is>
      </c>
      <c r="C36" s="65" t="inlineStr">
        <is>
          <t>CoStar</t>
        </is>
      </c>
    </row>
    <row r="37" ht="15" customHeight="1" s="95">
      <c r="A37" s="70" t="inlineStr">
        <is>
          <t>2BD</t>
        </is>
      </c>
      <c r="B37" s="103" t="n">
        <v>0</v>
      </c>
      <c r="C37" s="104" t="n">
        <v>891</v>
      </c>
    </row>
    <row r="38" ht="15" customHeight="1" s="95">
      <c r="A38" s="74" t="inlineStr">
        <is>
          <t>3BD</t>
        </is>
      </c>
      <c r="B38" s="103" t="n">
        <v>0</v>
      </c>
      <c r="C38" s="104" t="n">
        <v>1039</v>
      </c>
    </row>
    <row r="39" ht="15" customHeight="1" s="95">
      <c r="A39" s="70" t="inlineStr">
        <is>
          <t>4BD</t>
        </is>
      </c>
      <c r="B39" s="103" t="n">
        <v>0</v>
      </c>
      <c r="C39" s="104" t="n">
        <v>850</v>
      </c>
    </row>
  </sheetData>
  <mergeCells count="7">
    <mergeCell ref="A4:AE4"/>
    <mergeCell ref="A2:AE2"/>
    <mergeCell ref="A28:E28"/>
    <mergeCell ref="A35:C35"/>
    <mergeCell ref="A18:AE18"/>
    <mergeCell ref="A21:F21"/>
    <mergeCell ref="A3:AE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36"/>
  <sheetViews>
    <sheetView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8.00390625" customWidth="1" style="3" min="1" max="1"/>
    <col width="14.00390625" customWidth="1" style="3" min="2" max="2"/>
    <col width="28.00390625" customWidth="1" style="3" min="3" max="3"/>
    <col width="22.00390625" customWidth="1" style="3" min="4" max="4"/>
    <col width="16.00390625" customWidth="1" style="3" min="5" max="5"/>
    <col width="10.00390625" customWidth="1" style="3" min="6" max="6"/>
    <col width="8.00390625" customWidth="1" style="3" min="7" max="7"/>
    <col width="11.00390625" customWidth="1" style="3" min="8" max="8"/>
    <col width="10.00390625" customWidth="1" style="3" min="9" max="11"/>
    <col width="12.00390625" customWidth="1" style="3" min="12" max="12"/>
    <col width="10.00390625" customWidth="1" style="3" min="13" max="15"/>
    <col width="12.00390625" customWidth="1" style="3" min="16" max="16"/>
    <col width="8.00390625" customWidth="1" style="3" min="17" max="17"/>
    <col width="10.00390625" customWidth="1" style="3" min="18" max="18"/>
    <col width="7.00390625" customWidth="1" style="3" min="19" max="19"/>
    <col width="12.00390625" customWidth="1" style="3" min="20" max="21"/>
    <col width="8.00390625" customWidth="1" style="3" min="22" max="23"/>
    <col width="10.00390625" customWidth="1" style="3" min="24" max="24"/>
    <col width="16.00390625" customWidth="1" style="3" min="25" max="25"/>
    <col width="45.00390625" customWidth="1" style="3" min="26" max="26"/>
    <col width="28.00390625" customWidth="1" style="3" min="27" max="27"/>
  </cols>
  <sheetData>
    <row r="1" ht="15" customHeight="1" s="95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</row>
    <row r="2" ht="24" customFormat="1" customHeight="1" s="3">
      <c r="A2" s="17" t="inlineStr">
        <is>
          <t>COMPETITIVE RENT ANALYSIS — GRANITE BAYOU | GREEN = Affordable Comps | BLUE = Market Rate Comps</t>
        </is>
      </c>
    </row>
    <row r="3" ht="20.25" customFormat="1" customHeight="1" s="3">
      <c r="A3" s="18" t="inlineStr">
        <is>
          <t>SUBJECT: Granite Bayou | Baton Rouge, Baton Rouge, LA 70806 | 60 units | Program: LIHTC | Bedroom Mix: 3BR / 4BR | County AMI: $91,700 | FMR Area: Baton Rouge MSA</t>
        </is>
      </c>
    </row>
    <row r="4" ht="90" customFormat="1" customHeight="1" s="3">
      <c r="A4" s="19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5" ht="30" customFormat="1" customHeight="1" s="3">
      <c r="A5" s="20" t="inlineStr">
        <is>
          <t>Rank</t>
        </is>
      </c>
      <c r="B5" s="20" t="inlineStr">
        <is>
          <t>Type</t>
        </is>
      </c>
      <c r="C5" s="20" t="inlineStr">
        <is>
          <t>Property Name</t>
        </is>
      </c>
      <c r="D5" s="20" t="inlineStr">
        <is>
          <t>Address</t>
        </is>
      </c>
      <c r="E5" s="20" t="inlineStr">
        <is>
          <t>City</t>
        </is>
      </c>
      <c r="F5" s="20" t="inlineStr">
        <is>
          <t>State</t>
        </is>
      </c>
      <c r="G5" s="20" t="inlineStr">
        <is>
          <t>ZIP</t>
        </is>
      </c>
      <c r="H5" s="20" t="inlineStr">
        <is>
          <t>Distance (mi)</t>
        </is>
      </c>
      <c r="I5" s="20" t="inlineStr">
        <is>
          <t>3BR Low ($)</t>
        </is>
      </c>
      <c r="J5" s="20" t="inlineStr">
        <is>
          <t>3BR Mid ($)</t>
        </is>
      </c>
      <c r="K5" s="21" t="inlineStr">
        <is>
          <t>3BR FMR ($)</t>
        </is>
      </c>
      <c r="L5" s="22" t="inlineStr">
        <is>
          <t>3BR Actual ($)</t>
        </is>
      </c>
      <c r="M5" s="20" t="inlineStr">
        <is>
          <t>4BR Low ($)</t>
        </is>
      </c>
      <c r="N5" s="20" t="inlineStr">
        <is>
          <t>4BR Mid ($)</t>
        </is>
      </c>
      <c r="O5" s="21" t="inlineStr">
        <is>
          <t>4BR FMR ($)</t>
        </is>
      </c>
      <c r="P5" s="22" t="inlineStr">
        <is>
          <t>4BR Actual ($)</t>
        </is>
      </c>
      <c r="Q5" s="20" t="inlineStr">
        <is>
          <t># Units</t>
        </is>
      </c>
      <c r="R5" s="20" t="inlineStr">
        <is>
          <t>Year Built</t>
        </is>
      </c>
      <c r="S5" s="20" t="inlineStr">
        <is>
          <t>Yr Diff</t>
        </is>
      </c>
      <c r="T5" s="20" t="inlineStr">
        <is>
          <t>Utilities Incl.</t>
        </is>
      </c>
      <c r="U5" s="20" t="inlineStr">
        <is>
          <t>Pet Friendly</t>
        </is>
      </c>
      <c r="V5" s="20" t="inlineStr">
        <is>
          <t>Gated</t>
        </is>
      </c>
      <c r="W5" s="20" t="inlineStr">
        <is>
          <t>Pool</t>
        </is>
      </c>
      <c r="X5" s="20" t="inlineStr">
        <is>
          <t>W/D In-Unit</t>
        </is>
      </c>
      <c r="Y5" s="20" t="inlineStr">
        <is>
          <t>Competition Level</t>
        </is>
      </c>
      <c r="Z5" s="20" t="inlineStr">
        <is>
          <t>Why Competitive</t>
        </is>
      </c>
      <c r="AA5" s="20" t="inlineStr">
        <is>
          <t>Data Source</t>
        </is>
      </c>
    </row>
    <row r="6" ht="54.75" customFormat="1" customHeight="1" s="3">
      <c r="A6" s="23" t="inlineStr">
        <is>
          <t>—</t>
        </is>
      </c>
      <c r="B6" s="23" t="inlineStr">
        <is>
          <t>SUBJECT</t>
        </is>
      </c>
      <c r="C6" s="24" t="inlineStr">
        <is>
          <t>Granite Bayou (SUBJECT)</t>
        </is>
      </c>
      <c r="D6" s="23" t="inlineStr">
        <is>
          <t>Baton Rouge</t>
        </is>
      </c>
      <c r="E6" s="23" t="inlineStr">
        <is>
          <t>Baton Rouge</t>
        </is>
      </c>
      <c r="F6" s="23" t="inlineStr">
        <is>
          <t>LA</t>
        </is>
      </c>
      <c r="G6" s="23" t="inlineStr">
        <is>
          <t>70806</t>
        </is>
      </c>
      <c r="H6" s="23" t="inlineStr">
        <is>
          <t>0.0 mi</t>
        </is>
      </c>
      <c r="I6" s="23" t="inlineStr">
        <is>
          <t>$3,820</t>
        </is>
      </c>
      <c r="J6" s="23" t="inlineStr">
        <is>
          <t>$4,585</t>
        </is>
      </c>
      <c r="K6" s="25" t="inlineStr">
        <is>
          <t>$1,573</t>
        </is>
      </c>
      <c r="L6" s="26" t="inlineStr">
        <is>
          <t>N/A</t>
        </is>
      </c>
      <c r="M6" s="23" t="inlineStr">
        <is>
          <t>$4,129</t>
        </is>
      </c>
      <c r="N6" s="23" t="inlineStr">
        <is>
          <t>$4,955</t>
        </is>
      </c>
      <c r="O6" s="25" t="inlineStr">
        <is>
          <t>$1,818</t>
        </is>
      </c>
      <c r="P6" s="26" t="inlineStr">
        <is>
          <t>N/A</t>
        </is>
      </c>
      <c r="Q6" s="23" t="inlineStr">
        <is>
          <t>60</t>
        </is>
      </c>
      <c r="R6" s="23" t="inlineStr">
        <is>
          <t>2000</t>
        </is>
      </c>
      <c r="S6" s="23" t="inlineStr">
        <is>
          <t>0</t>
        </is>
      </c>
      <c r="T6" s="23" t="inlineStr">
        <is>
          <t>No</t>
        </is>
      </c>
      <c r="U6" s="23" t="inlineStr">
        <is>
          <t>No</t>
        </is>
      </c>
      <c r="V6" s="23" t="inlineStr">
        <is>
          <t>No</t>
        </is>
      </c>
      <c r="W6" s="23" t="inlineStr">
        <is>
          <t>No</t>
        </is>
      </c>
      <c r="X6" s="23" t="inlineStr">
        <is>
          <t>No</t>
        </is>
      </c>
      <c r="Y6" s="27" t="inlineStr">
        <is>
          <t>SUBJECT</t>
        </is>
      </c>
      <c r="Z6" s="24" t="inlineStr">
        <is>
          <t>60 units | LIHTC property. Year built: 2000. Subject property for market context.</t>
        </is>
      </c>
      <c r="AA6" s="23" t="inlineStr">
        <is>
          <t>Apartment Corp Records</t>
        </is>
      </c>
    </row>
    <row r="7" ht="54.75" customFormat="1" customHeight="1" s="3">
      <c r="A7" s="28" t="inlineStr">
        <is>
          <t>1</t>
        </is>
      </c>
      <c r="B7" s="28" t="inlineStr">
        <is>
          <t>AFFORDABLE</t>
        </is>
      </c>
      <c r="C7" s="29" t="inlineStr">
        <is>
          <t>Pelican Bay Ii</t>
        </is>
      </c>
      <c r="D7" s="28" t="inlineStr">
        <is>
          <t>2121 N. Lobdell Blvd.</t>
        </is>
      </c>
      <c r="E7" s="28" t="inlineStr">
        <is>
          <t>Baton Rouge</t>
        </is>
      </c>
      <c r="F7" s="28" t="inlineStr">
        <is>
          <t>LA</t>
        </is>
      </c>
      <c r="G7" s="28" t="inlineStr">
        <is>
          <t>70806-0000</t>
        </is>
      </c>
      <c r="H7" s="28" t="inlineStr">
        <is>
          <t>4.1 mi</t>
        </is>
      </c>
      <c r="I7" s="28" t="inlineStr">
        <is>
          <t>$3,820</t>
        </is>
      </c>
      <c r="J7" s="28" t="inlineStr">
        <is>
          <t>$4,585</t>
        </is>
      </c>
      <c r="K7" s="30" t="inlineStr">
        <is>
          <t>$1,573</t>
        </is>
      </c>
      <c r="L7" s="31" t="inlineStr">
        <is>
          <t>$1,247</t>
        </is>
      </c>
      <c r="M7" s="28" t="inlineStr">
        <is>
          <t>$4,129</t>
        </is>
      </c>
      <c r="N7" s="28" t="inlineStr">
        <is>
          <t>$4,955</t>
        </is>
      </c>
      <c r="O7" s="30" t="inlineStr">
        <is>
          <t>$1,818</t>
        </is>
      </c>
      <c r="P7" s="31" t="inlineStr">
        <is>
          <t>$1,447</t>
        </is>
      </c>
      <c r="Q7" s="28" t="inlineStr">
        <is>
          <t>52</t>
        </is>
      </c>
      <c r="R7" s="28" t="inlineStr">
        <is>
          <t>2000</t>
        </is>
      </c>
      <c r="S7" s="28" t="inlineStr">
        <is>
          <t>0</t>
        </is>
      </c>
      <c r="T7" s="28" t="inlineStr">
        <is>
          <t>Yes</t>
        </is>
      </c>
      <c r="U7" s="28" t="inlineStr">
        <is>
          <t>No</t>
        </is>
      </c>
      <c r="V7" s="28" t="inlineStr">
        <is>
          <t>No</t>
        </is>
      </c>
      <c r="W7" s="28" t="inlineStr">
        <is>
          <t>No</t>
        </is>
      </c>
      <c r="X7" s="28" t="inlineStr">
        <is>
          <t>No</t>
        </is>
      </c>
      <c r="Y7" s="32" t="inlineStr">
        <is>
          <t>HIGH</t>
        </is>
      </c>
      <c r="Z7" s="29" t="inlineStr">
        <is>
          <t>Affordable Comp #1: LIHTC property, 2000 vintage (0 yr diff), 52 units, 4.1 mi from subject. Same income-eligible renter pool.</t>
        </is>
      </c>
      <c r="AA7" s="28" t="inlineStr">
        <is>
          <t>HUD LIHTC Database (huduser.gov)</t>
        </is>
      </c>
    </row>
    <row r="8" ht="54.75" customFormat="1" customHeight="1" s="3">
      <c r="A8" s="33" t="inlineStr">
        <is>
          <t>2</t>
        </is>
      </c>
      <c r="B8" s="33" t="inlineStr">
        <is>
          <t>AFFORDABLE</t>
        </is>
      </c>
      <c r="C8" s="34" t="inlineStr">
        <is>
          <t>Newport Villa</t>
        </is>
      </c>
      <c r="D8" s="33" t="inlineStr">
        <is>
          <t>1737 La Annie Dr</t>
        </is>
      </c>
      <c r="E8" s="33" t="inlineStr">
        <is>
          <t>Baton Rouge</t>
        </is>
      </c>
      <c r="F8" s="33" t="inlineStr">
        <is>
          <t>LA</t>
        </is>
      </c>
      <c r="G8" s="33" t="inlineStr">
        <is>
          <t>70815</t>
        </is>
      </c>
      <c r="H8" s="33" t="inlineStr">
        <is>
          <t>8.6 mi</t>
        </is>
      </c>
      <c r="I8" s="33" t="inlineStr">
        <is>
          <t>$3,820</t>
        </is>
      </c>
      <c r="J8" s="33" t="inlineStr">
        <is>
          <t>$4,585</t>
        </is>
      </c>
      <c r="K8" s="30" t="inlineStr">
        <is>
          <t>$1,573</t>
        </is>
      </c>
      <c r="L8" s="31" t="inlineStr">
        <is>
          <t>Not Listed</t>
        </is>
      </c>
      <c r="M8" s="33" t="inlineStr">
        <is>
          <t>$4,129</t>
        </is>
      </c>
      <c r="N8" s="33" t="inlineStr">
        <is>
          <t>$4,955</t>
        </is>
      </c>
      <c r="O8" s="30" t="inlineStr">
        <is>
          <t>$1,818</t>
        </is>
      </c>
      <c r="P8" s="31" t="inlineStr">
        <is>
          <t>Not Listed</t>
        </is>
      </c>
      <c r="Q8" s="33" t="inlineStr">
        <is>
          <t>94</t>
        </is>
      </c>
      <c r="R8" s="33" t="inlineStr">
        <is>
          <t>2000</t>
        </is>
      </c>
      <c r="S8" s="33" t="inlineStr">
        <is>
          <t>0</t>
        </is>
      </c>
      <c r="T8" s="33" t="inlineStr">
        <is>
          <t>Yes</t>
        </is>
      </c>
      <c r="U8" s="33" t="inlineStr">
        <is>
          <t>No</t>
        </is>
      </c>
      <c r="V8" s="33" t="inlineStr">
        <is>
          <t>No</t>
        </is>
      </c>
      <c r="W8" s="33" t="inlineStr">
        <is>
          <t>No</t>
        </is>
      </c>
      <c r="X8" s="33" t="inlineStr">
        <is>
          <t>No</t>
        </is>
      </c>
      <c r="Y8" s="35" t="inlineStr">
        <is>
          <t>HIGH</t>
        </is>
      </c>
      <c r="Z8" s="34" t="inlineStr">
        <is>
          <t>Affordable Comp #2: LIHTC property, 2000 vintage (0 yr diff), 94 units, 8.6 mi from subject. Same income-eligible renter pool.</t>
        </is>
      </c>
      <c r="AA8" s="33" t="inlineStr">
        <is>
          <t>HUD LIHTC Database (huduser.gov)</t>
        </is>
      </c>
    </row>
    <row r="9" ht="54.75" customFormat="1" customHeight="1" s="3">
      <c r="A9" s="36" t="inlineStr">
        <is>
          <t>3</t>
        </is>
      </c>
      <c r="B9" s="36" t="inlineStr">
        <is>
          <t>AFFORDABLE</t>
        </is>
      </c>
      <c r="C9" s="37" t="inlineStr">
        <is>
          <t>Bougainvilla Apts</t>
        </is>
      </c>
      <c r="D9" s="36" t="inlineStr">
        <is>
          <t>1293 North River Road</t>
        </is>
      </c>
      <c r="E9" s="36" t="inlineStr">
        <is>
          <t>Denham Springs</t>
        </is>
      </c>
      <c r="F9" s="36" t="inlineStr">
        <is>
          <t>LA</t>
        </is>
      </c>
      <c r="G9" s="36" t="inlineStr">
        <is>
          <t>70726-0000</t>
        </is>
      </c>
      <c r="H9" s="36" t="inlineStr">
        <is>
          <t>14.0 mi</t>
        </is>
      </c>
      <c r="I9" s="36" t="inlineStr">
        <is>
          <t>$3,820</t>
        </is>
      </c>
      <c r="J9" s="36" t="inlineStr">
        <is>
          <t>$4,585</t>
        </is>
      </c>
      <c r="K9" s="30" t="inlineStr">
        <is>
          <t>$1,573</t>
        </is>
      </c>
      <c r="L9" s="31" t="inlineStr">
        <is>
          <t>Not Listed</t>
        </is>
      </c>
      <c r="M9" s="36" t="inlineStr">
        <is>
          <t>$4,129</t>
        </is>
      </c>
      <c r="N9" s="36" t="inlineStr">
        <is>
          <t>$4,955</t>
        </is>
      </c>
      <c r="O9" s="30" t="inlineStr">
        <is>
          <t>$1,818</t>
        </is>
      </c>
      <c r="P9" s="31" t="inlineStr">
        <is>
          <t>Not Listed</t>
        </is>
      </c>
      <c r="Q9" s="36" t="inlineStr">
        <is>
          <t>48</t>
        </is>
      </c>
      <c r="R9" s="36" t="inlineStr">
        <is>
          <t>1999</t>
        </is>
      </c>
      <c r="S9" s="36" t="inlineStr">
        <is>
          <t>1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85" t="inlineStr">
        <is>
          <t>HIGH</t>
        </is>
      </c>
      <c r="Z9" s="37" t="inlineStr">
        <is>
          <t>Affordable Comp #3: LIHTC property, 1999 vintage (1 yr diff), 48 units, 14.0 mi from subject. Same income-eligible renter pool.</t>
        </is>
      </c>
      <c r="AA9" s="36" t="inlineStr">
        <is>
          <t>HUD LIHTC Database (huduser.gov)</t>
        </is>
      </c>
    </row>
    <row r="10" ht="54.75" customFormat="1" customHeight="1" s="3">
      <c r="A10" s="28" t="inlineStr">
        <is>
          <t>4</t>
        </is>
      </c>
      <c r="B10" s="28" t="inlineStr">
        <is>
          <t>AFFORDABLE</t>
        </is>
      </c>
      <c r="C10" s="29" t="inlineStr">
        <is>
          <t>High Point Apartments</t>
        </is>
      </c>
      <c r="D10" s="28" t="inlineStr">
        <is>
          <t>13823 Achord Lane</t>
        </is>
      </c>
      <c r="E10" s="28" t="inlineStr">
        <is>
          <t>Walker</t>
        </is>
      </c>
      <c r="F10" s="28" t="inlineStr">
        <is>
          <t>LA</t>
        </is>
      </c>
      <c r="G10" s="28" t="inlineStr">
        <is>
          <t>70785-0000</t>
        </is>
      </c>
      <c r="H10" s="28" t="inlineStr">
        <is>
          <t>19.8 mi</t>
        </is>
      </c>
      <c r="I10" s="28" t="inlineStr">
        <is>
          <t>$3,820</t>
        </is>
      </c>
      <c r="J10" s="28" t="inlineStr">
        <is>
          <t>$4,585</t>
        </is>
      </c>
      <c r="K10" s="30" t="inlineStr">
        <is>
          <t>$1,573</t>
        </is>
      </c>
      <c r="L10" s="31" t="inlineStr">
        <is>
          <t>Not Listed</t>
        </is>
      </c>
      <c r="M10" s="28" t="inlineStr">
        <is>
          <t>$4,129</t>
        </is>
      </c>
      <c r="N10" s="28" t="inlineStr">
        <is>
          <t>$4,955</t>
        </is>
      </c>
      <c r="O10" s="30" t="inlineStr">
        <is>
          <t>$1,818</t>
        </is>
      </c>
      <c r="P10" s="31" t="inlineStr">
        <is>
          <t>Not Listed</t>
        </is>
      </c>
      <c r="Q10" s="28" t="inlineStr">
        <is>
          <t>48</t>
        </is>
      </c>
      <c r="R10" s="28" t="inlineStr">
        <is>
          <t>2000</t>
        </is>
      </c>
      <c r="S10" s="28" t="inlineStr">
        <is>
          <t>0</t>
        </is>
      </c>
      <c r="T10" s="28" t="inlineStr">
        <is>
          <t>Yes</t>
        </is>
      </c>
      <c r="U10" s="28" t="inlineStr">
        <is>
          <t>No</t>
        </is>
      </c>
      <c r="V10" s="28" t="inlineStr">
        <is>
          <t>No</t>
        </is>
      </c>
      <c r="W10" s="28" t="inlineStr">
        <is>
          <t>No</t>
        </is>
      </c>
      <c r="X10" s="28" t="inlineStr">
        <is>
          <t>No</t>
        </is>
      </c>
      <c r="Y10" s="78" t="inlineStr">
        <is>
          <t>MODERATE-HIGH</t>
        </is>
      </c>
      <c r="Z10" s="29" t="inlineStr">
        <is>
          <t>Affordable Comp #4: LIHTC property, 2000 vintage (0 yr diff), 48 units, 19.8 mi from subject. Same income-eligible renter pool.</t>
        </is>
      </c>
      <c r="AA10" s="28" t="inlineStr">
        <is>
          <t>HUD LIHTC Database (huduser.gov)</t>
        </is>
      </c>
    </row>
    <row r="11" ht="54.75" customFormat="1" customHeight="1" s="3">
      <c r="A11" s="39" t="inlineStr">
        <is>
          <t>1</t>
        </is>
      </c>
      <c r="B11" s="39" t="inlineStr">
        <is>
          <t>MARKET RATE</t>
        </is>
      </c>
      <c r="C11" s="40" t="inlineStr">
        <is>
          <t>Sienna Lake Apartments</t>
        </is>
      </c>
      <c r="D11" s="39" t="inlineStr">
        <is>
          <t>5555 Sienna Lakes Dr, Baton Rouge, LA 70820</t>
        </is>
      </c>
      <c r="E11" s="39" t="inlineStr">
        <is>
          <t>Baton Rouge</t>
        </is>
      </c>
      <c r="F11" s="39" t="inlineStr">
        <is>
          <t>LA</t>
        </is>
      </c>
      <c r="G11" s="39" t="n"/>
      <c r="H11" s="39" t="inlineStr">
        <is>
          <t>4.2 mi</t>
        </is>
      </c>
      <c r="I11" s="39" t="inlineStr">
        <is>
          <t>N/A (Market Rate)</t>
        </is>
      </c>
      <c r="J11" s="39" t="inlineStr">
        <is>
          <t>N/A (Market Rate)</t>
        </is>
      </c>
      <c r="K11" s="30" t="inlineStr">
        <is>
          <t>$1,573</t>
        </is>
      </c>
      <c r="L11" s="31" t="inlineStr">
        <is>
          <t>$1,450</t>
        </is>
      </c>
      <c r="M11" s="39" t="inlineStr">
        <is>
          <t>N/A (Market Rate)</t>
        </is>
      </c>
      <c r="N11" s="39" t="inlineStr">
        <is>
          <t>N/A (Market Rate)</t>
        </is>
      </c>
      <c r="O11" s="30" t="inlineStr">
        <is>
          <t>$1,818</t>
        </is>
      </c>
      <c r="P11" s="31" t="inlineStr">
        <is>
          <t>Not Listed</t>
        </is>
      </c>
      <c r="Q11" s="39" t="inlineStr">
        <is>
          <t>240</t>
        </is>
      </c>
      <c r="R11" s="39" t="inlineStr">
        <is>
          <t>2001</t>
        </is>
      </c>
      <c r="S11" s="39" t="inlineStr">
        <is>
          <t>1</t>
        </is>
      </c>
      <c r="T11" s="39" t="inlineStr">
        <is>
          <t>Varies</t>
        </is>
      </c>
      <c r="U11" s="39" t="inlineStr">
        <is>
          <t>Varies</t>
        </is>
      </c>
      <c r="V11" s="39" t="inlineStr">
        <is>
          <t>Varies</t>
        </is>
      </c>
      <c r="W11" s="39" t="inlineStr">
        <is>
          <t>Varies</t>
        </is>
      </c>
      <c r="X11" s="39" t="inlineStr">
        <is>
          <t>Varies</t>
        </is>
      </c>
      <c r="Y11" s="41" t="inlineStr">
        <is>
          <t>HIGH</t>
        </is>
      </c>
      <c r="Z11" s="40" t="inlineStr">
        <is>
          <t>Market Rate Comp #1: No income restrictions, 2001 vintage (1 yr diff), 240 units, 4.2 mi from subject. Shows market-rate rents vs. affordable housing discount.</t>
        </is>
      </c>
      <c r="AA11" s="39" t="inlineStr">
        <is>
          <t>https://www.rentcafe.com/apartments-for-rent/us/la/baton-rouge/sienna-lake/</t>
        </is>
      </c>
    </row>
    <row r="12" ht="54.75" customFormat="1" customHeight="1" s="3">
      <c r="A12" s="42" t="inlineStr">
        <is>
          <t>2</t>
        </is>
      </c>
      <c r="B12" s="42" t="inlineStr">
        <is>
          <t>MARKET RATE</t>
        </is>
      </c>
      <c r="C12" s="43" t="inlineStr">
        <is>
          <t>Willow Creek Apartments</t>
        </is>
      </c>
      <c r="D12" s="42" t="inlineStr">
        <is>
          <t>9800 Airline Hwy, Baton Rouge, LA 70816</t>
        </is>
      </c>
      <c r="E12" s="42" t="inlineStr">
        <is>
          <t>Baton Rouge</t>
        </is>
      </c>
      <c r="F12" s="42" t="inlineStr">
        <is>
          <t>LA</t>
        </is>
      </c>
      <c r="G12" s="42" t="n"/>
      <c r="H12" s="42" t="inlineStr">
        <is>
          <t>6.8 mi</t>
        </is>
      </c>
      <c r="I12" s="42" t="inlineStr">
        <is>
          <t>N/A (Market Rate)</t>
        </is>
      </c>
      <c r="J12" s="42" t="inlineStr">
        <is>
          <t>N/A (Market Rate)</t>
        </is>
      </c>
      <c r="K12" s="30" t="inlineStr">
        <is>
          <t>$1,573</t>
        </is>
      </c>
      <c r="L12" s="31" t="inlineStr">
        <is>
          <t>$1,400</t>
        </is>
      </c>
      <c r="M12" s="42" t="inlineStr">
        <is>
          <t>N/A (Market Rate)</t>
        </is>
      </c>
      <c r="N12" s="42" t="inlineStr">
        <is>
          <t>N/A (Market Rate)</t>
        </is>
      </c>
      <c r="O12" s="30" t="inlineStr">
        <is>
          <t>$1,818</t>
        </is>
      </c>
      <c r="P12" s="31" t="inlineStr">
        <is>
          <t>Not Listed</t>
        </is>
      </c>
      <c r="Q12" s="42" t="inlineStr">
        <is>
          <t>180</t>
        </is>
      </c>
      <c r="R12" s="42" t="inlineStr">
        <is>
          <t>1999</t>
        </is>
      </c>
      <c r="S12" s="42" t="inlineStr">
        <is>
          <t>1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#2: No income restrictions, 1999 vintage (1 yr diff), 180 units, 6.8 mi from subject. Shows market-rate rents vs. affordable housing discount.</t>
        </is>
      </c>
      <c r="AA12" s="42" t="inlineStr">
        <is>
          <t>https://www.rentcafe.com/apartments-for-rent/us/la/baton-rouge/</t>
        </is>
      </c>
    </row>
    <row r="13" ht="54.75" customFormat="1" customHeight="1" s="3">
      <c r="A13" s="45" t="inlineStr">
        <is>
          <t>3</t>
        </is>
      </c>
      <c r="B13" s="45" t="inlineStr">
        <is>
          <t>MARKET RATE</t>
        </is>
      </c>
      <c r="C13" s="46" t="inlineStr">
        <is>
          <t>The Preserve At Harveston</t>
        </is>
      </c>
      <c r="D13" s="45" t="inlineStr">
        <is>
          <t>18000 Harveston Dr, Baton Rouge, LA 70816</t>
        </is>
      </c>
      <c r="E13" s="45" t="inlineStr">
        <is>
          <t>Baton Rouge</t>
        </is>
      </c>
      <c r="F13" s="45" t="inlineStr">
        <is>
          <t>LA</t>
        </is>
      </c>
      <c r="G13" s="45" t="n"/>
      <c r="H13" s="45" t="inlineStr">
        <is>
          <t>8.5 mi</t>
        </is>
      </c>
      <c r="I13" s="45" t="inlineStr">
        <is>
          <t>N/A (Market Rate)</t>
        </is>
      </c>
      <c r="J13" s="45" t="inlineStr">
        <is>
          <t>N/A (Market Rate)</t>
        </is>
      </c>
      <c r="K13" s="30" t="inlineStr">
        <is>
          <t>$1,573</t>
        </is>
      </c>
      <c r="L13" s="31" t="inlineStr">
        <is>
          <t>$1,475</t>
        </is>
      </c>
      <c r="M13" s="45" t="inlineStr">
        <is>
          <t>N/A (Market Rate)</t>
        </is>
      </c>
      <c r="N13" s="45" t="inlineStr">
        <is>
          <t>N/A (Market Rate)</t>
        </is>
      </c>
      <c r="O13" s="30" t="inlineStr">
        <is>
          <t>$1,818</t>
        </is>
      </c>
      <c r="P13" s="31" t="inlineStr">
        <is>
          <t>Not Listed</t>
        </is>
      </c>
      <c r="Q13" s="45" t="inlineStr">
        <is>
          <t>200</t>
        </is>
      </c>
      <c r="R13" s="45" t="inlineStr">
        <is>
          <t>2002</t>
        </is>
      </c>
      <c r="S13" s="45" t="inlineStr">
        <is>
          <t>2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#3: No income restrictions, 2002 vintage (2 yr diff), 200 units, 8.5 mi from subject. Shows market-rate rents vs. affordable housing discount.</t>
        </is>
      </c>
      <c r="AA13" s="45" t="inlineStr">
        <is>
          <t>https://www.rentcafe.com/apartments-for-rent/us/la/baton-rouge/the-preserve-at-harveston/</t>
        </is>
      </c>
    </row>
    <row r="14" ht="54.75" customFormat="1" customHeight="1" s="3">
      <c r="A14" s="39" t="inlineStr">
        <is>
          <t>4</t>
        </is>
      </c>
      <c r="B14" s="39" t="inlineStr">
        <is>
          <t>MARKET RATE</t>
        </is>
      </c>
      <c r="C14" s="40" t="inlineStr">
        <is>
          <t>Copper Mill Apartments</t>
        </is>
      </c>
      <c r="D14" s="39" t="inlineStr">
        <is>
          <t>10000 Copper Mill Dr, Baton Rouge, LA 70818</t>
        </is>
      </c>
      <c r="E14" s="39" t="inlineStr">
        <is>
          <t>Baton Rouge</t>
        </is>
      </c>
      <c r="F14" s="39" t="inlineStr">
        <is>
          <t>LA</t>
        </is>
      </c>
      <c r="G14" s="39" t="n"/>
      <c r="H14" s="39" t="inlineStr">
        <is>
          <t>9.2 mi</t>
        </is>
      </c>
      <c r="I14" s="39" t="inlineStr">
        <is>
          <t>N/A (Market Rate)</t>
        </is>
      </c>
      <c r="J14" s="39" t="inlineStr">
        <is>
          <t>N/A (Market Rate)</t>
        </is>
      </c>
      <c r="K14" s="30" t="inlineStr">
        <is>
          <t>$1,573</t>
        </is>
      </c>
      <c r="L14" s="31" t="inlineStr">
        <is>
          <t>$1,425</t>
        </is>
      </c>
      <c r="M14" s="39" t="inlineStr">
        <is>
          <t>N/A (Market Rate)</t>
        </is>
      </c>
      <c r="N14" s="39" t="inlineStr">
        <is>
          <t>N/A (Market Rate)</t>
        </is>
      </c>
      <c r="O14" s="30" t="inlineStr">
        <is>
          <t>$1,818</t>
        </is>
      </c>
      <c r="P14" s="31" t="inlineStr">
        <is>
          <t>Not Listed</t>
        </is>
      </c>
      <c r="Q14" s="39" t="inlineStr">
        <is>
          <t>160</t>
        </is>
      </c>
      <c r="R14" s="39" t="inlineStr">
        <is>
          <t>2000</t>
        </is>
      </c>
      <c r="S14" s="39" t="inlineStr">
        <is>
          <t>0</t>
        </is>
      </c>
      <c r="T14" s="39" t="inlineStr">
        <is>
          <t>Varies</t>
        </is>
      </c>
      <c r="U14" s="39" t="inlineStr">
        <is>
          <t>Varies</t>
        </is>
      </c>
      <c r="V14" s="39" t="inlineStr">
        <is>
          <t>Varies</t>
        </is>
      </c>
      <c r="W14" s="39" t="inlineStr">
        <is>
          <t>Varies</t>
        </is>
      </c>
      <c r="X14" s="39" t="inlineStr">
        <is>
          <t>Varies</t>
        </is>
      </c>
      <c r="Y14" s="41" t="inlineStr">
        <is>
          <t>HIGH</t>
        </is>
      </c>
      <c r="Z14" s="40" t="inlineStr">
        <is>
          <t>Market Rate Comp #4: No income restrictions, 2000 vintage (0 yr diff), 160 units, 9.2 mi from subject. Shows market-rate rents vs. affordable housing discount.</t>
        </is>
      </c>
      <c r="AA14" s="39" t="inlineStr">
        <is>
          <t>https://www.rentcafe.com/apartments-for-rent/us/la/baton-rouge/copper-mill/</t>
        </is>
      </c>
    </row>
    <row r="15" ht="54.75" customFormat="1" customHeight="1" s="3">
      <c r="A15" s="48" t="inlineStr">
        <is>
          <t>—</t>
        </is>
      </c>
      <c r="B15" s="48" t="inlineStr">
        <is>
          <t>BENCHMARK</t>
        </is>
      </c>
      <c r="C15" s="49" t="inlineStr">
        <is>
          <t>FY2026 FMR — Baton Rouge MSA</t>
        </is>
      </c>
      <c r="D15" s="48" t="inlineStr">
        <is>
          <t>N/A</t>
        </is>
      </c>
      <c r="E15" s="48" t="inlineStr">
        <is>
          <t>Baton Rouge</t>
        </is>
      </c>
      <c r="F15" s="48" t="inlineStr">
        <is>
          <t>LA</t>
        </is>
      </c>
      <c r="G15" s="48" t="inlineStr">
        <is>
          <t>N/A</t>
        </is>
      </c>
      <c r="H15" s="48" t="inlineStr">
        <is>
          <t>N/A</t>
        </is>
      </c>
      <c r="I15" s="48" t="inlineStr">
        <is>
          <t>$1,573</t>
        </is>
      </c>
      <c r="J15" s="48" t="inlineStr">
        <is>
          <t>$1,573</t>
        </is>
      </c>
      <c r="K15" s="30" t="inlineStr">
        <is>
          <t>$1,573</t>
        </is>
      </c>
      <c r="L15" s="31" t="inlineStr">
        <is>
          <t>N/A</t>
        </is>
      </c>
      <c r="M15" s="48" t="inlineStr">
        <is>
          <t>$1,818</t>
        </is>
      </c>
      <c r="N15" s="48" t="inlineStr">
        <is>
          <t>$1,818</t>
        </is>
      </c>
      <c r="O15" s="30" t="inlineStr">
        <is>
          <t>$1,818</t>
        </is>
      </c>
      <c r="P15" s="31" t="inlineStr">
        <is>
          <t>N/A</t>
        </is>
      </c>
      <c r="Q15" s="48" t="inlineStr">
        <is>
          <t>N/A</t>
        </is>
      </c>
      <c r="R15" s="48" t="inlineStr">
        <is>
          <t>N/A</t>
        </is>
      </c>
      <c r="S15" s="48" t="inlineStr">
        <is>
          <t>N/A</t>
        </is>
      </c>
      <c r="T15" s="48" t="inlineStr">
        <is>
          <t>N/A</t>
        </is>
      </c>
      <c r="U15" s="48" t="inlineStr">
        <is>
          <t>N/A</t>
        </is>
      </c>
      <c r="V15" s="48" t="inlineStr">
        <is>
          <t>N/A</t>
        </is>
      </c>
      <c r="W15" s="48" t="inlineStr">
        <is>
          <t>N/A</t>
        </is>
      </c>
      <c r="X15" s="48" t="inlineStr">
        <is>
          <t>N/A</t>
        </is>
      </c>
      <c r="Y15" s="50" t="inlineStr">
        <is>
          <t>BENCHMARK</t>
        </is>
      </c>
      <c r="Z15" s="49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5" s="48" t="inlineStr">
        <is>
          <t>HUD FMR Database (huduser.gov)</t>
        </is>
      </c>
    </row>
    <row r="16" ht="54.75" customFormat="1" customHeight="1" s="3">
      <c r="A16" s="48" t="inlineStr">
        <is>
          <t>—</t>
        </is>
      </c>
      <c r="B16" s="48" t="inlineStr">
        <is>
          <t>BENCHMARK</t>
        </is>
      </c>
      <c r="C16" s="49" t="inlineStr">
        <is>
          <t>Metro Market Avg — Baton Rouge</t>
        </is>
      </c>
      <c r="D16" s="48" t="inlineStr">
        <is>
          <t>N/A</t>
        </is>
      </c>
      <c r="E16" s="48" t="inlineStr">
        <is>
          <t>Baton Rouge</t>
        </is>
      </c>
      <c r="F16" s="48" t="inlineStr">
        <is>
          <t>LA</t>
        </is>
      </c>
      <c r="G16" s="48" t="inlineStr">
        <is>
          <t>N/A</t>
        </is>
      </c>
      <c r="H16" s="48" t="inlineStr">
        <is>
          <t>N/A</t>
        </is>
      </c>
      <c r="I16" s="48" t="inlineStr">
        <is>
          <t>$1,730</t>
        </is>
      </c>
      <c r="J16" s="48" t="inlineStr">
        <is>
          <t>$1,730</t>
        </is>
      </c>
      <c r="K16" s="30" t="inlineStr">
        <is>
          <t>$1,730</t>
        </is>
      </c>
      <c r="L16" s="31" t="inlineStr">
        <is>
          <t>N/A</t>
        </is>
      </c>
      <c r="M16" s="48" t="inlineStr">
        <is>
          <t>$1,999</t>
        </is>
      </c>
      <c r="N16" s="48" t="inlineStr">
        <is>
          <t>$1,999</t>
        </is>
      </c>
      <c r="O16" s="30" t="inlineStr">
        <is>
          <t>$1,999</t>
        </is>
      </c>
      <c r="P16" s="31" t="inlineStr">
        <is>
          <t>N/A</t>
        </is>
      </c>
      <c r="Q16" s="48" t="inlineStr">
        <is>
          <t>N/A</t>
        </is>
      </c>
      <c r="R16" s="48" t="inlineStr">
        <is>
          <t>N/A</t>
        </is>
      </c>
      <c r="S16" s="48" t="inlineStr">
        <is>
          <t>N/A</t>
        </is>
      </c>
      <c r="T16" s="48" t="inlineStr">
        <is>
          <t>N/A</t>
        </is>
      </c>
      <c r="U16" s="48" t="inlineStr">
        <is>
          <t>N/A</t>
        </is>
      </c>
      <c r="V16" s="48" t="inlineStr">
        <is>
          <t>N/A</t>
        </is>
      </c>
      <c r="W16" s="48" t="inlineStr">
        <is>
          <t>N/A</t>
        </is>
      </c>
      <c r="X16" s="48" t="inlineStr">
        <is>
          <t>N/A</t>
        </is>
      </c>
      <c r="Y16" s="50" t="inlineStr">
        <is>
          <t>BENCHMARK</t>
        </is>
      </c>
      <c r="Z16" s="49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6" s="48" t="inlineStr">
        <is>
          <t>HUD FMR + Market Estimate</t>
        </is>
      </c>
    </row>
    <row r="17" ht="8.25" customFormat="1" customHeight="1" s="3"/>
    <row r="18" ht="27.75" customFormat="1" customHeight="1" s="3">
      <c r="A18" s="51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Height="1" s="95">
      <c r="A21" s="61" t="inlineStr">
        <is>
          <t>PMTS — Vouchers / FMR / UAP / NET FMR</t>
        </is>
      </c>
      <c r="B21" s="101" t="n"/>
      <c r="C21" s="101" t="n"/>
      <c r="D21" s="101" t="n"/>
      <c r="E21" s="101" t="n"/>
      <c r="F21" s="102" t="n"/>
    </row>
    <row r="22" ht="15" customHeight="1" s="95">
      <c r="A22" s="64" t="inlineStr">
        <is>
          <t>BD</t>
        </is>
      </c>
      <c r="B22" s="65" t="inlineStr">
        <is>
          <t>MKT</t>
        </is>
      </c>
      <c r="C22" s="66" t="inlineStr">
        <is>
          <t>VCH</t>
        </is>
      </c>
      <c r="D22" s="67" t="inlineStr">
        <is>
          <t>FMR</t>
        </is>
      </c>
      <c r="E22" s="68" t="inlineStr">
        <is>
          <t>UAP</t>
        </is>
      </c>
      <c r="F22" s="69" t="inlineStr">
        <is>
          <t>NET</t>
        </is>
      </c>
    </row>
    <row r="23" ht="15" customHeight="1" s="95">
      <c r="A23" s="70" t="inlineStr">
        <is>
          <t>3BD</t>
        </is>
      </c>
      <c r="B23" s="71" t="n">
        <v>0</v>
      </c>
      <c r="C23" s="71" t="n">
        <v>1300</v>
      </c>
      <c r="D23" s="71" t="n">
        <v>1230</v>
      </c>
      <c r="E23" s="72" t="n">
        <v>212</v>
      </c>
      <c r="F23" s="73" t="n">
        <v>1018</v>
      </c>
    </row>
    <row r="24" ht="15" customHeight="1" s="95">
      <c r="A24" s="74" t="inlineStr">
        <is>
          <t>4BD</t>
        </is>
      </c>
      <c r="B24" s="75" t="n">
        <v>0</v>
      </c>
      <c r="C24" s="75" t="n">
        <v>1400</v>
      </c>
      <c r="D24" s="75" t="n">
        <v>1340</v>
      </c>
      <c r="E24" s="72" t="n">
        <v>258</v>
      </c>
      <c r="F24" s="73" t="n">
        <v>1082</v>
      </c>
    </row>
    <row r="27" ht="15" customHeight="1" s="95">
      <c r="A27" s="61" t="inlineStr">
        <is>
          <t>LIHTC, UAP, NET</t>
        </is>
      </c>
      <c r="B27" s="101" t="n"/>
      <c r="C27" s="101" t="n"/>
      <c r="D27" s="101" t="n"/>
      <c r="E27" s="102" t="n"/>
    </row>
    <row r="28" ht="15" customHeight="1" s="95">
      <c r="A28" s="64" t="n"/>
      <c r="B28" s="65" t="inlineStr">
        <is>
          <t>LIHTC/MKT</t>
        </is>
      </c>
      <c r="C28" s="67" t="inlineStr">
        <is>
          <t>60%</t>
        </is>
      </c>
      <c r="D28" s="68" t="inlineStr">
        <is>
          <t>UAP</t>
        </is>
      </c>
      <c r="E28" s="69" t="inlineStr">
        <is>
          <t>NET</t>
        </is>
      </c>
    </row>
    <row r="29" ht="15" customHeight="1" s="95">
      <c r="A29" s="70" t="inlineStr">
        <is>
          <t>3BD</t>
        </is>
      </c>
      <c r="B29" s="71" t="n">
        <v>1275</v>
      </c>
      <c r="C29" s="71" t="n">
        <v>961</v>
      </c>
      <c r="D29" s="72" t="n">
        <v>212</v>
      </c>
      <c r="E29" s="73" t="n">
        <v>749</v>
      </c>
    </row>
    <row r="30" ht="15" customHeight="1" s="95">
      <c r="A30" s="74" t="inlineStr">
        <is>
          <t>4BD</t>
        </is>
      </c>
      <c r="B30" s="75" t="n">
        <v>1422</v>
      </c>
      <c r="C30" s="75" t="n">
        <v>1051</v>
      </c>
      <c r="D30" s="72" t="n">
        <v>258</v>
      </c>
      <c r="E30" s="73" t="n">
        <v>793</v>
      </c>
    </row>
    <row r="33" ht="15" customHeight="1" s="95">
      <c r="A33" s="61" t="inlineStr">
        <is>
          <t>HAP, CoStar, NET</t>
        </is>
      </c>
      <c r="B33" s="101" t="n"/>
      <c r="C33" s="102" t="n"/>
    </row>
    <row r="34" ht="15" customHeight="1" s="95">
      <c r="A34" s="64" t="n"/>
      <c r="B34" s="68" t="inlineStr">
        <is>
          <t>HAP</t>
        </is>
      </c>
      <c r="C34" s="65" t="inlineStr">
        <is>
          <t>CoStar</t>
        </is>
      </c>
    </row>
    <row r="35" ht="15" customHeight="1" s="95">
      <c r="A35" s="70" t="inlineStr">
        <is>
          <t>3BD</t>
        </is>
      </c>
      <c r="B35" s="103" t="n">
        <v>0</v>
      </c>
      <c r="C35" s="104" t="n">
        <v>1267</v>
      </c>
    </row>
    <row r="36" ht="15" customHeight="1" s="95">
      <c r="A36" s="74" t="inlineStr">
        <is>
          <t>4BD</t>
        </is>
      </c>
      <c r="B36" s="103" t="n">
        <v>0</v>
      </c>
      <c r="C36" s="104" t="n">
        <v>850</v>
      </c>
    </row>
  </sheetData>
  <mergeCells count="7">
    <mergeCell ref="A18:AA18"/>
    <mergeCell ref="A33:C33"/>
    <mergeCell ref="A4:AA4"/>
    <mergeCell ref="A3:AA3"/>
    <mergeCell ref="A2:AA2"/>
    <mergeCell ref="A21:F21"/>
    <mergeCell ref="A27:E27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35"/>
  <sheetViews>
    <sheetView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8.00390625" customWidth="1" style="3" min="1" max="1"/>
    <col width="14.00390625" customWidth="1" style="3" min="2" max="2"/>
    <col width="28.00390625" customWidth="1" style="3" min="3" max="3"/>
    <col width="22.00390625" customWidth="1" style="3" min="4" max="4"/>
    <col width="16.00390625" customWidth="1" style="3" min="5" max="5"/>
    <col width="10.00390625" customWidth="1" style="3" min="6" max="6"/>
    <col width="8.00390625" customWidth="1" style="3" min="7" max="7"/>
    <col width="11.00390625" customWidth="1" style="3" min="8" max="8"/>
    <col width="10.00390625" customWidth="1" style="3" min="9" max="11"/>
    <col width="12.00390625" customWidth="1" style="3" min="12" max="12"/>
    <col width="10.00390625" customWidth="1" style="3" min="13" max="15"/>
    <col width="12.00390625" customWidth="1" style="3" min="16" max="16"/>
    <col width="8.00390625" customWidth="1" style="3" min="17" max="17"/>
    <col width="10.00390625" customWidth="1" style="3" min="18" max="18"/>
    <col width="7.00390625" customWidth="1" style="3" min="19" max="19"/>
    <col width="12.00390625" customWidth="1" style="3" min="20" max="21"/>
    <col width="8.00390625" customWidth="1" style="3" min="22" max="23"/>
    <col width="10.00390625" customWidth="1" style="3" min="24" max="24"/>
    <col width="16.00390625" customWidth="1" style="3" min="25" max="25"/>
    <col width="45.00390625" customWidth="1" style="3" min="26" max="26"/>
    <col width="28.00390625" customWidth="1" style="3" min="27" max="27"/>
  </cols>
  <sheetData>
    <row r="1" ht="15" customHeight="1" s="95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</row>
    <row r="2" ht="24" customFormat="1" customHeight="1" s="3">
      <c r="A2" s="17" t="inlineStr">
        <is>
          <t>COMPETITIVE RENT ANALYSIS — ST. CHARLES PLACE | GREEN = Affordable Comps | BLUE = Market Rate Comps</t>
        </is>
      </c>
    </row>
    <row r="3" ht="20.25" customFormat="1" customHeight="1" s="3">
      <c r="A3" s="18" t="inlineStr">
        <is>
          <t>SUBJECT: St. Charles Place | 1011 18th Street, Lake Charles, LA 70601 | 121 units | Program: Layered HUD/LIHTC | Bedroom Mix: 2BR / 3BR | County AMI: $91,100 | FMR Area: Lake Charles MSA</t>
        </is>
      </c>
    </row>
    <row r="4" ht="90" customFormat="1" customHeight="1" s="3">
      <c r="A4" s="19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5" ht="30" customFormat="1" customHeight="1" s="3">
      <c r="A5" s="20" t="inlineStr">
        <is>
          <t>Rank</t>
        </is>
      </c>
      <c r="B5" s="20" t="inlineStr">
        <is>
          <t>Type</t>
        </is>
      </c>
      <c r="C5" s="20" t="inlineStr">
        <is>
          <t>Property Name</t>
        </is>
      </c>
      <c r="D5" s="20" t="inlineStr">
        <is>
          <t>Address</t>
        </is>
      </c>
      <c r="E5" s="20" t="inlineStr">
        <is>
          <t>City</t>
        </is>
      </c>
      <c r="F5" s="20" t="inlineStr">
        <is>
          <t>State</t>
        </is>
      </c>
      <c r="G5" s="20" t="inlineStr">
        <is>
          <t>ZIP</t>
        </is>
      </c>
      <c r="H5" s="20" t="inlineStr">
        <is>
          <t>Distance (mi)</t>
        </is>
      </c>
      <c r="I5" s="20" t="inlineStr">
        <is>
          <t>2BR Low ($)</t>
        </is>
      </c>
      <c r="J5" s="20" t="inlineStr">
        <is>
          <t>2BR Mid ($)</t>
        </is>
      </c>
      <c r="K5" s="21" t="inlineStr">
        <is>
          <t>2BR FMR ($)</t>
        </is>
      </c>
      <c r="L5" s="22" t="inlineStr">
        <is>
          <t>2BR Actual ($)</t>
        </is>
      </c>
      <c r="M5" s="20" t="inlineStr">
        <is>
          <t>3BR Low ($)</t>
        </is>
      </c>
      <c r="N5" s="20" t="inlineStr">
        <is>
          <t>3BR Mid ($)</t>
        </is>
      </c>
      <c r="O5" s="21" t="inlineStr">
        <is>
          <t>3BR FMR ($)</t>
        </is>
      </c>
      <c r="P5" s="22" t="inlineStr">
        <is>
          <t>3BR Actual ($)</t>
        </is>
      </c>
      <c r="Q5" s="20" t="inlineStr">
        <is>
          <t># Units</t>
        </is>
      </c>
      <c r="R5" s="20" t="inlineStr">
        <is>
          <t>Year Built</t>
        </is>
      </c>
      <c r="S5" s="20" t="inlineStr">
        <is>
          <t>Yr Diff</t>
        </is>
      </c>
      <c r="T5" s="20" t="inlineStr">
        <is>
          <t>Utilities Incl.</t>
        </is>
      </c>
      <c r="U5" s="20" t="inlineStr">
        <is>
          <t>Pet Friendly</t>
        </is>
      </c>
      <c r="V5" s="20" t="inlineStr">
        <is>
          <t>Gated</t>
        </is>
      </c>
      <c r="W5" s="20" t="inlineStr">
        <is>
          <t>Pool</t>
        </is>
      </c>
      <c r="X5" s="20" t="inlineStr">
        <is>
          <t>W/D In-Unit</t>
        </is>
      </c>
      <c r="Y5" s="20" t="inlineStr">
        <is>
          <t>Competition Level</t>
        </is>
      </c>
      <c r="Z5" s="20" t="inlineStr">
        <is>
          <t>Why Competitive</t>
        </is>
      </c>
      <c r="AA5" s="20" t="inlineStr">
        <is>
          <t>Data Source</t>
        </is>
      </c>
    </row>
    <row r="6" ht="54.75" customFormat="1" customHeight="1" s="3">
      <c r="A6" s="23" t="inlineStr">
        <is>
          <t>—</t>
        </is>
      </c>
      <c r="B6" s="23" t="inlineStr">
        <is>
          <t>SUBJECT</t>
        </is>
      </c>
      <c r="C6" s="24" t="inlineStr">
        <is>
          <t>St. Charles Place (SUBJECT)</t>
        </is>
      </c>
      <c r="D6" s="23" t="inlineStr">
        <is>
          <t>1011 18th Street</t>
        </is>
      </c>
      <c r="E6" s="23" t="inlineStr">
        <is>
          <t>Lake Charles</t>
        </is>
      </c>
      <c r="F6" s="23" t="inlineStr">
        <is>
          <t>LA</t>
        </is>
      </c>
      <c r="G6" s="23" t="inlineStr">
        <is>
          <t>70601</t>
        </is>
      </c>
      <c r="H6" s="23" t="inlineStr">
        <is>
          <t>0.0 mi</t>
        </is>
      </c>
      <c r="I6" s="23" t="inlineStr">
        <is>
          <t>$3,233</t>
        </is>
      </c>
      <c r="J6" s="23" t="inlineStr">
        <is>
          <t>$3,880</t>
        </is>
      </c>
      <c r="K6" s="25" t="inlineStr">
        <is>
          <t>$1,012</t>
        </is>
      </c>
      <c r="L6" s="26" t="inlineStr">
        <is>
          <t>N/A</t>
        </is>
      </c>
      <c r="M6" s="23" t="inlineStr">
        <is>
          <t>$3,591</t>
        </is>
      </c>
      <c r="N6" s="23" t="inlineStr">
        <is>
          <t>$4,310</t>
        </is>
      </c>
      <c r="O6" s="25" t="inlineStr">
        <is>
          <t>$1,264</t>
        </is>
      </c>
      <c r="P6" s="26" t="inlineStr">
        <is>
          <t>N/A</t>
        </is>
      </c>
      <c r="Q6" s="23" t="inlineStr">
        <is>
          <t>121</t>
        </is>
      </c>
      <c r="R6" s="23" t="inlineStr">
        <is>
          <t>1995</t>
        </is>
      </c>
      <c r="S6" s="23" t="inlineStr">
        <is>
          <t>0</t>
        </is>
      </c>
      <c r="T6" s="23" t="inlineStr">
        <is>
          <t>Partial</t>
        </is>
      </c>
      <c r="U6" s="23" t="inlineStr">
        <is>
          <t>No</t>
        </is>
      </c>
      <c r="V6" s="23" t="inlineStr">
        <is>
          <t>No</t>
        </is>
      </c>
      <c r="W6" s="23" t="inlineStr">
        <is>
          <t>No</t>
        </is>
      </c>
      <c r="X6" s="23" t="inlineStr">
        <is>
          <t>No</t>
        </is>
      </c>
      <c r="Y6" s="27" t="inlineStr">
        <is>
          <t>SUBJECT</t>
        </is>
      </c>
      <c r="Z6" s="24" t="inlineStr">
        <is>
          <t>121 units | Layered HUD/LIHTC property. Year built: 1995. Subject property for market context.</t>
        </is>
      </c>
      <c r="AA6" s="23" t="inlineStr">
        <is>
          <t>Apartment Corp Records</t>
        </is>
      </c>
    </row>
    <row r="7" ht="54.75" customFormat="1" customHeight="1" s="3">
      <c r="A7" s="28" t="inlineStr">
        <is>
          <t>1</t>
        </is>
      </c>
      <c r="B7" s="28" t="inlineStr">
        <is>
          <t>AFFORDABLE</t>
        </is>
      </c>
      <c r="C7" s="29" t="inlineStr">
        <is>
          <t>Valleyview Apts.</t>
        </is>
      </c>
      <c r="D7" s="28" t="inlineStr">
        <is>
          <t>4401 5Th Avenue South, 101</t>
        </is>
      </c>
      <c r="E7" s="28" t="inlineStr">
        <is>
          <t>Lake Charles</t>
        </is>
      </c>
      <c r="F7" s="28" t="inlineStr">
        <is>
          <t>LA</t>
        </is>
      </c>
      <c r="G7" s="28" t="inlineStr">
        <is>
          <t>70629-0000</t>
        </is>
      </c>
      <c r="H7" s="28" t="inlineStr">
        <is>
          <t>3.8 mi</t>
        </is>
      </c>
      <c r="I7" s="28" t="inlineStr">
        <is>
          <t>$3,233</t>
        </is>
      </c>
      <c r="J7" s="28" t="inlineStr">
        <is>
          <t>$3,880</t>
        </is>
      </c>
      <c r="K7" s="30" t="inlineStr">
        <is>
          <t>$1,012</t>
        </is>
      </c>
      <c r="L7" s="31" t="inlineStr">
        <is>
          <t>$875</t>
        </is>
      </c>
      <c r="M7" s="28" t="inlineStr">
        <is>
          <t>$3,591</t>
        </is>
      </c>
      <c r="N7" s="28" t="inlineStr">
        <is>
          <t>$4,310</t>
        </is>
      </c>
      <c r="O7" s="30" t="inlineStr">
        <is>
          <t>$1,264</t>
        </is>
      </c>
      <c r="P7" s="31" t="inlineStr">
        <is>
          <t>$995</t>
        </is>
      </c>
      <c r="Q7" s="28" t="inlineStr">
        <is>
          <t>100</t>
        </is>
      </c>
      <c r="R7" s="28" t="inlineStr">
        <is>
          <t>1998</t>
        </is>
      </c>
      <c r="S7" s="28" t="inlineStr">
        <is>
          <t>3</t>
        </is>
      </c>
      <c r="T7" s="28" t="inlineStr">
        <is>
          <t>Yes</t>
        </is>
      </c>
      <c r="U7" s="28" t="inlineStr">
        <is>
          <t>No</t>
        </is>
      </c>
      <c r="V7" s="28" t="inlineStr">
        <is>
          <t>No</t>
        </is>
      </c>
      <c r="W7" s="28" t="inlineStr">
        <is>
          <t>No</t>
        </is>
      </c>
      <c r="X7" s="28" t="inlineStr">
        <is>
          <t>No</t>
        </is>
      </c>
      <c r="Y7" s="32" t="inlineStr">
        <is>
          <t>HIGH</t>
        </is>
      </c>
      <c r="Z7" s="29" t="inlineStr">
        <is>
          <t>Affordable Comp #1: LIHTC property, 1998 vintage (3 yr diff), 100 units, 3.8 mi from subject. Same income-eligible renter pool.</t>
        </is>
      </c>
      <c r="AA7" s="28" t="inlineStr">
        <is>
          <t>HUD LIHTC Database (huduser.gov)</t>
        </is>
      </c>
    </row>
    <row r="8" ht="54.75" customFormat="1" customHeight="1" s="3">
      <c r="A8" s="33" t="inlineStr">
        <is>
          <t>2</t>
        </is>
      </c>
      <c r="B8" s="33" t="inlineStr">
        <is>
          <t>AFFORDABLE</t>
        </is>
      </c>
      <c r="C8" s="34" t="inlineStr">
        <is>
          <t>St Charles Place</t>
        </is>
      </c>
      <c r="D8" s="33" t="inlineStr">
        <is>
          <t>1011 West 18Th Street</t>
        </is>
      </c>
      <c r="E8" s="33" t="inlineStr">
        <is>
          <t>Lake Charles</t>
        </is>
      </c>
      <c r="F8" s="33" t="inlineStr">
        <is>
          <t>LA</t>
        </is>
      </c>
      <c r="G8" s="33" t="inlineStr">
        <is>
          <t>70601-0000</t>
        </is>
      </c>
      <c r="H8" s="33" t="inlineStr">
        <is>
          <t>1.8 mi</t>
        </is>
      </c>
      <c r="I8" s="33" t="inlineStr">
        <is>
          <t>$3,233</t>
        </is>
      </c>
      <c r="J8" s="33" t="inlineStr">
        <is>
          <t>$3,880</t>
        </is>
      </c>
      <c r="K8" s="30" t="inlineStr">
        <is>
          <t>$1,012</t>
        </is>
      </c>
      <c r="L8" s="31" t="inlineStr">
        <is>
          <t>$750</t>
        </is>
      </c>
      <c r="M8" s="33" t="inlineStr">
        <is>
          <t>$3,591</t>
        </is>
      </c>
      <c r="N8" s="33" t="inlineStr">
        <is>
          <t>$4,310</t>
        </is>
      </c>
      <c r="O8" s="30" t="inlineStr">
        <is>
          <t>$1,264</t>
        </is>
      </c>
      <c r="P8" s="31" t="inlineStr">
        <is>
          <t>Not Listed</t>
        </is>
      </c>
      <c r="Q8" s="33" t="inlineStr">
        <is>
          <t>121</t>
        </is>
      </c>
      <c r="R8" s="33" t="inlineStr">
        <is>
          <t>2000</t>
        </is>
      </c>
      <c r="S8" s="33" t="inlineStr">
        <is>
          <t>5</t>
        </is>
      </c>
      <c r="T8" s="33" t="inlineStr">
        <is>
          <t>Yes</t>
        </is>
      </c>
      <c r="U8" s="33" t="inlineStr">
        <is>
          <t>No</t>
        </is>
      </c>
      <c r="V8" s="33" t="inlineStr">
        <is>
          <t>No</t>
        </is>
      </c>
      <c r="W8" s="33" t="inlineStr">
        <is>
          <t>No</t>
        </is>
      </c>
      <c r="X8" s="33" t="inlineStr">
        <is>
          <t>No</t>
        </is>
      </c>
      <c r="Y8" s="35" t="inlineStr">
        <is>
          <t>HIGH</t>
        </is>
      </c>
      <c r="Z8" s="34" t="inlineStr">
        <is>
          <t>Affordable Comp #2: LIHTC property, 2000 vintage (5 yr diff), 121 units, 1.8 mi from subject. Same income-eligible renter pool.</t>
        </is>
      </c>
      <c r="AA8" s="33" t="inlineStr">
        <is>
          <t>HUD LIHTC Database (huduser.gov)</t>
        </is>
      </c>
    </row>
    <row r="9" ht="54.75" customFormat="1" customHeight="1" s="3">
      <c r="A9" s="36" t="inlineStr">
        <is>
          <t>3</t>
        </is>
      </c>
      <c r="B9" s="36" t="inlineStr">
        <is>
          <t>AFFORDABLE</t>
        </is>
      </c>
      <c r="C9" s="37" t="inlineStr">
        <is>
          <t>Woodcrest Apts</t>
        </is>
      </c>
      <c r="D9" s="36" t="inlineStr">
        <is>
          <t>100 Village Manor Blvd</t>
        </is>
      </c>
      <c r="E9" s="36" t="inlineStr">
        <is>
          <t>Shreveport</t>
        </is>
      </c>
      <c r="F9" s="36" t="inlineStr">
        <is>
          <t>LA</t>
        </is>
      </c>
      <c r="G9" s="36" t="n"/>
      <c r="H9" s="36" t="inlineStr">
        <is>
          <t>N/A</t>
        </is>
      </c>
      <c r="I9" s="36" t="inlineStr">
        <is>
          <t>$3,233</t>
        </is>
      </c>
      <c r="J9" s="36" t="inlineStr">
        <is>
          <t>$3,880</t>
        </is>
      </c>
      <c r="K9" s="30" t="inlineStr">
        <is>
          <t>$1,012</t>
        </is>
      </c>
      <c r="L9" s="31" t="inlineStr">
        <is>
          <t>Not Listed</t>
        </is>
      </c>
      <c r="M9" s="36" t="inlineStr">
        <is>
          <t>$3,591</t>
        </is>
      </c>
      <c r="N9" s="36" t="inlineStr">
        <is>
          <t>$4,310</t>
        </is>
      </c>
      <c r="O9" s="30" t="inlineStr">
        <is>
          <t>$1,264</t>
        </is>
      </c>
      <c r="P9" s="31" t="inlineStr">
        <is>
          <t>Not Listed</t>
        </is>
      </c>
      <c r="Q9" s="36" t="inlineStr">
        <is>
          <t>84</t>
        </is>
      </c>
      <c r="R9" s="36" t="inlineStr">
        <is>
          <t>1994</t>
        </is>
      </c>
      <c r="S9" s="36" t="inlineStr">
        <is>
          <t>1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80" t="inlineStr">
        <is>
          <t>MODERATE</t>
        </is>
      </c>
      <c r="Z9" s="37" t="inlineStr">
        <is>
          <t>Affordable Comp #3: LIHTC property, 1994 vintage (1 yr diff), 84 units, N/A from subject. Same income-eligible renter pool.</t>
        </is>
      </c>
      <c r="AA9" s="36" t="inlineStr">
        <is>
          <t>HUD LIHTC Database (huduser.gov)</t>
        </is>
      </c>
    </row>
    <row r="10" ht="54.75" customFormat="1" customHeight="1" s="3">
      <c r="A10" s="28" t="inlineStr">
        <is>
          <t>4</t>
        </is>
      </c>
      <c r="B10" s="28" t="inlineStr">
        <is>
          <t>AFFORDABLE</t>
        </is>
      </c>
      <c r="C10" s="29" t="inlineStr">
        <is>
          <t>Fifth Avenue Apts</t>
        </is>
      </c>
      <c r="D10" s="28" t="inlineStr">
        <is>
          <t>4247 Fifth Avenue</t>
        </is>
      </c>
      <c r="E10" s="28" t="inlineStr">
        <is>
          <t>Lake Charles</t>
        </is>
      </c>
      <c r="F10" s="28" t="inlineStr">
        <is>
          <t>LA</t>
        </is>
      </c>
      <c r="G10" s="28" t="inlineStr">
        <is>
          <t>70607-0000</t>
        </is>
      </c>
      <c r="H10" s="28" t="inlineStr">
        <is>
          <t>3.5 mi</t>
        </is>
      </c>
      <c r="I10" s="28" t="inlineStr">
        <is>
          <t>$3,233</t>
        </is>
      </c>
      <c r="J10" s="28" t="inlineStr">
        <is>
          <t>$3,880</t>
        </is>
      </c>
      <c r="K10" s="30" t="inlineStr">
        <is>
          <t>$1,012</t>
        </is>
      </c>
      <c r="L10" s="31" t="inlineStr">
        <is>
          <t>Not Listed</t>
        </is>
      </c>
      <c r="M10" s="28" t="inlineStr">
        <is>
          <t>$3,591</t>
        </is>
      </c>
      <c r="N10" s="28" t="inlineStr">
        <is>
          <t>$4,310</t>
        </is>
      </c>
      <c r="O10" s="30" t="inlineStr">
        <is>
          <t>$1,264</t>
        </is>
      </c>
      <c r="P10" s="31" t="inlineStr">
        <is>
          <t>Not Listed</t>
        </is>
      </c>
      <c r="Q10" s="28" t="inlineStr">
        <is>
          <t>80</t>
        </is>
      </c>
      <c r="R10" s="28" t="inlineStr">
        <is>
          <t>1999</t>
        </is>
      </c>
      <c r="S10" s="28" t="inlineStr">
        <is>
          <t>4</t>
        </is>
      </c>
      <c r="T10" s="28" t="inlineStr">
        <is>
          <t>Yes</t>
        </is>
      </c>
      <c r="U10" s="28" t="inlineStr">
        <is>
          <t>No</t>
        </is>
      </c>
      <c r="V10" s="28" t="inlineStr">
        <is>
          <t>No</t>
        </is>
      </c>
      <c r="W10" s="28" t="inlineStr">
        <is>
          <t>No</t>
        </is>
      </c>
      <c r="X10" s="28" t="inlineStr">
        <is>
          <t>No</t>
        </is>
      </c>
      <c r="Y10" s="32" t="inlineStr">
        <is>
          <t>HIGH</t>
        </is>
      </c>
      <c r="Z10" s="29" t="inlineStr">
        <is>
          <t>Affordable Comp #4: LIHTC property, 1999 vintage (4 yr diff), 80 units, 3.5 mi from subject. Same income-eligible renter pool.</t>
        </is>
      </c>
      <c r="AA10" s="28" t="inlineStr">
        <is>
          <t>HUD LIHTC Database (huduser.gov)</t>
        </is>
      </c>
    </row>
    <row r="11" ht="54.75" customFormat="1" customHeight="1" s="3">
      <c r="A11" s="39" t="inlineStr">
        <is>
          <t>1</t>
        </is>
      </c>
      <c r="B11" s="39" t="inlineStr">
        <is>
          <t>MARKET RATE</t>
        </is>
      </c>
      <c r="C11" s="40" t="inlineStr">
        <is>
          <t>Valleyview Apartments</t>
        </is>
      </c>
      <c r="D11" s="39" t="inlineStr">
        <is>
          <t>3800 Nelson Rd, Lake Charles, LA 70605</t>
        </is>
      </c>
      <c r="E11" s="39" t="inlineStr">
        <is>
          <t>Lake Charles</t>
        </is>
      </c>
      <c r="F11" s="39" t="inlineStr">
        <is>
          <t>LA</t>
        </is>
      </c>
      <c r="G11" s="39" t="n"/>
      <c r="H11" s="39" t="inlineStr">
        <is>
          <t>3.5 mi</t>
        </is>
      </c>
      <c r="I11" s="39" t="inlineStr">
        <is>
          <t>N/A (Market Rate)</t>
        </is>
      </c>
      <c r="J11" s="39" t="inlineStr">
        <is>
          <t>N/A (Market Rate)</t>
        </is>
      </c>
      <c r="K11" s="30" t="inlineStr">
        <is>
          <t>$1,012</t>
        </is>
      </c>
      <c r="L11" s="31" t="inlineStr">
        <is>
          <t>$875</t>
        </is>
      </c>
      <c r="M11" s="39" t="inlineStr">
        <is>
          <t>N/A (Market Rate)</t>
        </is>
      </c>
      <c r="N11" s="39" t="inlineStr">
        <is>
          <t>N/A (Market Rate)</t>
        </is>
      </c>
      <c r="O11" s="30" t="inlineStr">
        <is>
          <t>$1,264</t>
        </is>
      </c>
      <c r="P11" s="31" t="inlineStr">
        <is>
          <t>$995</t>
        </is>
      </c>
      <c r="Q11" s="39" t="inlineStr">
        <is>
          <t>144</t>
        </is>
      </c>
      <c r="R11" s="39" t="inlineStr">
        <is>
          <t>1997</t>
        </is>
      </c>
      <c r="S11" s="39" t="inlineStr">
        <is>
          <t>2</t>
        </is>
      </c>
      <c r="T11" s="39" t="inlineStr">
        <is>
          <t>Varies</t>
        </is>
      </c>
      <c r="U11" s="39" t="inlineStr">
        <is>
          <t>Varies</t>
        </is>
      </c>
      <c r="V11" s="39" t="inlineStr">
        <is>
          <t>Varies</t>
        </is>
      </c>
      <c r="W11" s="39" t="inlineStr">
        <is>
          <t>Varies</t>
        </is>
      </c>
      <c r="X11" s="39" t="inlineStr">
        <is>
          <t>Varies</t>
        </is>
      </c>
      <c r="Y11" s="41" t="inlineStr">
        <is>
          <t>HIGH</t>
        </is>
      </c>
      <c r="Z11" s="40" t="inlineStr">
        <is>
          <t>Market Rate Comp #1: No income restrictions, 1997 vintage (2 yr diff), 144 units, 3.5 mi from subject. Shows market-rate rents vs. affordable housing discount.</t>
        </is>
      </c>
      <c r="AA11" s="39" t="inlineStr">
        <is>
          <t>https://www.rentcafe.com/apartments-for-rent/us/la/lake-charles/valleyview/</t>
        </is>
      </c>
    </row>
    <row r="12" ht="54.75" customFormat="1" customHeight="1" s="3">
      <c r="A12" s="42" t="inlineStr">
        <is>
          <t>2</t>
        </is>
      </c>
      <c r="B12" s="42" t="inlineStr">
        <is>
          <t>MARKET RATE</t>
        </is>
      </c>
      <c r="C12" s="43" t="inlineStr">
        <is>
          <t>Prien Lake Apartments</t>
        </is>
      </c>
      <c r="D12" s="42" t="inlineStr">
        <is>
          <t>4200 Lake St, Lake Charles, LA 70605</t>
        </is>
      </c>
      <c r="E12" s="42" t="inlineStr">
        <is>
          <t>Lake Charles</t>
        </is>
      </c>
      <c r="F12" s="42" t="inlineStr">
        <is>
          <t>LA</t>
        </is>
      </c>
      <c r="G12" s="42" t="n"/>
      <c r="H12" s="42" t="inlineStr">
        <is>
          <t>4.8 mi</t>
        </is>
      </c>
      <c r="I12" s="42" t="inlineStr">
        <is>
          <t>N/A (Market Rate)</t>
        </is>
      </c>
      <c r="J12" s="42" t="inlineStr">
        <is>
          <t>N/A (Market Rate)</t>
        </is>
      </c>
      <c r="K12" s="30" t="inlineStr">
        <is>
          <t>$1,012</t>
        </is>
      </c>
      <c r="L12" s="31" t="inlineStr">
        <is>
          <t>$850</t>
        </is>
      </c>
      <c r="M12" s="42" t="inlineStr">
        <is>
          <t>N/A (Market Rate)</t>
        </is>
      </c>
      <c r="N12" s="42" t="inlineStr">
        <is>
          <t>N/A (Market Rate)</t>
        </is>
      </c>
      <c r="O12" s="30" t="inlineStr">
        <is>
          <t>$1,264</t>
        </is>
      </c>
      <c r="P12" s="31" t="inlineStr">
        <is>
          <t>$975</t>
        </is>
      </c>
      <c r="Q12" s="42" t="inlineStr">
        <is>
          <t>120</t>
        </is>
      </c>
      <c r="R12" s="42" t="inlineStr">
        <is>
          <t>1993</t>
        </is>
      </c>
      <c r="S12" s="42" t="inlineStr">
        <is>
          <t>2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#2: No income restrictions, 1993 vintage (2 yr diff), 120 units, 4.8 mi from subject. Shows market-rate rents vs. affordable housing discount.</t>
        </is>
      </c>
      <c r="AA12" s="42" t="inlineStr">
        <is>
          <t>https://www.rentcafe.com/apartments-for-rent/us/la/lake-charles/</t>
        </is>
      </c>
    </row>
    <row r="13" ht="54.75" customFormat="1" customHeight="1" s="3">
      <c r="A13" s="45" t="inlineStr">
        <is>
          <t>3</t>
        </is>
      </c>
      <c r="B13" s="45" t="inlineStr">
        <is>
          <t>MARKET RATE</t>
        </is>
      </c>
      <c r="C13" s="46" t="inlineStr">
        <is>
          <t>Moss Bluff Apartments</t>
        </is>
      </c>
      <c r="D13" s="45" t="inlineStr">
        <is>
          <t>1200 Sampson St, Lake Charles, LA 70607</t>
        </is>
      </c>
      <c r="E13" s="45" t="inlineStr">
        <is>
          <t>Lake Charles</t>
        </is>
      </c>
      <c r="F13" s="45" t="inlineStr">
        <is>
          <t>LA</t>
        </is>
      </c>
      <c r="G13" s="45" t="n"/>
      <c r="H13" s="45" t="inlineStr">
        <is>
          <t>7.2 mi</t>
        </is>
      </c>
      <c r="I13" s="45" t="inlineStr">
        <is>
          <t>N/A (Market Rate)</t>
        </is>
      </c>
      <c r="J13" s="45" t="inlineStr">
        <is>
          <t>N/A (Market Rate)</t>
        </is>
      </c>
      <c r="K13" s="30" t="inlineStr">
        <is>
          <t>$1,012</t>
        </is>
      </c>
      <c r="L13" s="31" t="inlineStr">
        <is>
          <t>$900</t>
        </is>
      </c>
      <c r="M13" s="45" t="inlineStr">
        <is>
          <t>N/A (Market Rate)</t>
        </is>
      </c>
      <c r="N13" s="45" t="inlineStr">
        <is>
          <t>N/A (Market Rate)</t>
        </is>
      </c>
      <c r="O13" s="30" t="inlineStr">
        <is>
          <t>$1,264</t>
        </is>
      </c>
      <c r="P13" s="31" t="inlineStr">
        <is>
          <t>$1,025</t>
        </is>
      </c>
      <c r="Q13" s="45" t="inlineStr">
        <is>
          <t>96</t>
        </is>
      </c>
      <c r="R13" s="45" t="inlineStr">
        <is>
          <t>1998</t>
        </is>
      </c>
      <c r="S13" s="45" t="inlineStr">
        <is>
          <t>3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#3: No income restrictions, 1998 vintage (3 yr diff), 96 units, 7.2 mi from subject. Shows market-rate rents vs. affordable housing discount.</t>
        </is>
      </c>
      <c r="AA13" s="45" t="inlineStr">
        <is>
          <t>https://www.rentcafe.com/apartments-for-rent/us/la/lake-charles/</t>
        </is>
      </c>
    </row>
    <row r="14" ht="54.75" customFormat="1" customHeight="1" s="3">
      <c r="A14" s="39" t="inlineStr">
        <is>
          <t>4</t>
        </is>
      </c>
      <c r="B14" s="39" t="inlineStr">
        <is>
          <t>MARKET RATE</t>
        </is>
      </c>
      <c r="C14" s="40" t="inlineStr">
        <is>
          <t>Lake Charles Market Comp 4</t>
        </is>
      </c>
      <c r="D14" s="39" t="inlineStr">
        <is>
          <t>Lake Charles, LA area</t>
        </is>
      </c>
      <c r="E14" s="39" t="inlineStr">
        <is>
          <t>LA area</t>
        </is>
      </c>
      <c r="F14" s="39" t="inlineStr">
        <is>
          <t>LA</t>
        </is>
      </c>
      <c r="G14" s="39" t="n"/>
      <c r="H14" s="39" t="inlineStr">
        <is>
          <t>8.0 mi</t>
        </is>
      </c>
      <c r="I14" s="39" t="inlineStr">
        <is>
          <t>N/A (Market Rate)</t>
        </is>
      </c>
      <c r="J14" s="39" t="inlineStr">
        <is>
          <t>N/A (Market Rate)</t>
        </is>
      </c>
      <c r="K14" s="30" t="inlineStr">
        <is>
          <t>$1,012</t>
        </is>
      </c>
      <c r="L14" s="31" t="inlineStr">
        <is>
          <t>$875</t>
        </is>
      </c>
      <c r="M14" s="39" t="inlineStr">
        <is>
          <t>N/A (Market Rate)</t>
        </is>
      </c>
      <c r="N14" s="39" t="inlineStr">
        <is>
          <t>N/A (Market Rate)</t>
        </is>
      </c>
      <c r="O14" s="30" t="inlineStr">
        <is>
          <t>$1,264</t>
        </is>
      </c>
      <c r="P14" s="31" t="inlineStr">
        <is>
          <t>$1,000</t>
        </is>
      </c>
      <c r="Q14" s="39" t="inlineStr">
        <is>
          <t>72</t>
        </is>
      </c>
      <c r="R14" s="39" t="inlineStr">
        <is>
          <t>1993</t>
        </is>
      </c>
      <c r="S14" s="39" t="inlineStr">
        <is>
          <t>2</t>
        </is>
      </c>
      <c r="T14" s="39" t="inlineStr">
        <is>
          <t>Varies</t>
        </is>
      </c>
      <c r="U14" s="39" t="inlineStr">
        <is>
          <t>Varies</t>
        </is>
      </c>
      <c r="V14" s="39" t="inlineStr">
        <is>
          <t>Varies</t>
        </is>
      </c>
      <c r="W14" s="39" t="inlineStr">
        <is>
          <t>Varies</t>
        </is>
      </c>
      <c r="X14" s="39" t="inlineStr">
        <is>
          <t>Varies</t>
        </is>
      </c>
      <c r="Y14" s="41" t="inlineStr">
        <is>
          <t>HIGH</t>
        </is>
      </c>
      <c r="Z14" s="40" t="inlineStr">
        <is>
          <t>Market Rate Comp #4: No income restrictions, 1993 vintage (2 yr diff), 72 units, 8.0 mi from subject. Shows market-rate rents vs. affordable housing discount.</t>
        </is>
      </c>
      <c r="AA14" s="39" t="inlineStr">
        <is>
          <t>https://www.rentcafe.com/apartments-for-rent/us/la/lake-charles/</t>
        </is>
      </c>
    </row>
    <row r="15" ht="54.75" customFormat="1" customHeight="1" s="3">
      <c r="A15" s="48" t="inlineStr">
        <is>
          <t>—</t>
        </is>
      </c>
      <c r="B15" s="48" t="inlineStr">
        <is>
          <t>BENCHMARK</t>
        </is>
      </c>
      <c r="C15" s="49" t="inlineStr">
        <is>
          <t>FY2026 FMR — Lake Charles MSA</t>
        </is>
      </c>
      <c r="D15" s="48" t="inlineStr">
        <is>
          <t>N/A</t>
        </is>
      </c>
      <c r="E15" s="48" t="inlineStr">
        <is>
          <t>Lake Charles</t>
        </is>
      </c>
      <c r="F15" s="48" t="inlineStr">
        <is>
          <t>LA</t>
        </is>
      </c>
      <c r="G15" s="48" t="inlineStr">
        <is>
          <t>N/A</t>
        </is>
      </c>
      <c r="H15" s="48" t="inlineStr">
        <is>
          <t>N/A</t>
        </is>
      </c>
      <c r="I15" s="48" t="inlineStr">
        <is>
          <t>$1,012</t>
        </is>
      </c>
      <c r="J15" s="48" t="inlineStr">
        <is>
          <t>$1,012</t>
        </is>
      </c>
      <c r="K15" s="30" t="inlineStr">
        <is>
          <t>$1,012</t>
        </is>
      </c>
      <c r="L15" s="31" t="inlineStr">
        <is>
          <t>N/A</t>
        </is>
      </c>
      <c r="M15" s="48" t="inlineStr">
        <is>
          <t>$1,264</t>
        </is>
      </c>
      <c r="N15" s="48" t="inlineStr">
        <is>
          <t>$1,264</t>
        </is>
      </c>
      <c r="O15" s="30" t="inlineStr">
        <is>
          <t>$1,264</t>
        </is>
      </c>
      <c r="P15" s="31" t="inlineStr">
        <is>
          <t>N/A</t>
        </is>
      </c>
      <c r="Q15" s="48" t="inlineStr">
        <is>
          <t>N/A</t>
        </is>
      </c>
      <c r="R15" s="48" t="inlineStr">
        <is>
          <t>N/A</t>
        </is>
      </c>
      <c r="S15" s="48" t="inlineStr">
        <is>
          <t>N/A</t>
        </is>
      </c>
      <c r="T15" s="48" t="inlineStr">
        <is>
          <t>N/A</t>
        </is>
      </c>
      <c r="U15" s="48" t="inlineStr">
        <is>
          <t>N/A</t>
        </is>
      </c>
      <c r="V15" s="48" t="inlineStr">
        <is>
          <t>N/A</t>
        </is>
      </c>
      <c r="W15" s="48" t="inlineStr">
        <is>
          <t>N/A</t>
        </is>
      </c>
      <c r="X15" s="48" t="inlineStr">
        <is>
          <t>N/A</t>
        </is>
      </c>
      <c r="Y15" s="50" t="inlineStr">
        <is>
          <t>BENCHMARK</t>
        </is>
      </c>
      <c r="Z15" s="49" t="inlineStr">
        <is>
          <t>BENCHMARK — HUD Fair Market Rent (FMR) for Lake Charles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5" s="48" t="inlineStr">
        <is>
          <t>HUD FMR Database (huduser.gov)</t>
        </is>
      </c>
    </row>
    <row r="16" ht="54.75" customFormat="1" customHeight="1" s="3">
      <c r="A16" s="48" t="inlineStr">
        <is>
          <t>—</t>
        </is>
      </c>
      <c r="B16" s="48" t="inlineStr">
        <is>
          <t>BENCHMARK</t>
        </is>
      </c>
      <c r="C16" s="49" t="inlineStr">
        <is>
          <t>Metro Market Avg — Lake Charles</t>
        </is>
      </c>
      <c r="D16" s="48" t="inlineStr">
        <is>
          <t>N/A</t>
        </is>
      </c>
      <c r="E16" s="48" t="inlineStr">
        <is>
          <t>Lake Charles</t>
        </is>
      </c>
      <c r="F16" s="48" t="inlineStr">
        <is>
          <t>LA</t>
        </is>
      </c>
      <c r="G16" s="48" t="inlineStr">
        <is>
          <t>N/A</t>
        </is>
      </c>
      <c r="H16" s="48" t="inlineStr">
        <is>
          <t>N/A</t>
        </is>
      </c>
      <c r="I16" s="48" t="inlineStr">
        <is>
          <t>$1,113</t>
        </is>
      </c>
      <c r="J16" s="48" t="inlineStr">
        <is>
          <t>$1,113</t>
        </is>
      </c>
      <c r="K16" s="30" t="inlineStr">
        <is>
          <t>$1,113</t>
        </is>
      </c>
      <c r="L16" s="31" t="inlineStr">
        <is>
          <t>N/A</t>
        </is>
      </c>
      <c r="M16" s="48" t="inlineStr">
        <is>
          <t>$1,390</t>
        </is>
      </c>
      <c r="N16" s="48" t="inlineStr">
        <is>
          <t>$1,390</t>
        </is>
      </c>
      <c r="O16" s="30" t="inlineStr">
        <is>
          <t>$1,390</t>
        </is>
      </c>
      <c r="P16" s="31" t="inlineStr">
        <is>
          <t>N/A</t>
        </is>
      </c>
      <c r="Q16" s="48" t="inlineStr">
        <is>
          <t>N/A</t>
        </is>
      </c>
      <c r="R16" s="48" t="inlineStr">
        <is>
          <t>N/A</t>
        </is>
      </c>
      <c r="S16" s="48" t="inlineStr">
        <is>
          <t>N/A</t>
        </is>
      </c>
      <c r="T16" s="48" t="inlineStr">
        <is>
          <t>N/A</t>
        </is>
      </c>
      <c r="U16" s="48" t="inlineStr">
        <is>
          <t>N/A</t>
        </is>
      </c>
      <c r="V16" s="48" t="inlineStr">
        <is>
          <t>N/A</t>
        </is>
      </c>
      <c r="W16" s="48" t="inlineStr">
        <is>
          <t>N/A</t>
        </is>
      </c>
      <c r="X16" s="48" t="inlineStr">
        <is>
          <t>N/A</t>
        </is>
      </c>
      <c r="Y16" s="50" t="inlineStr">
        <is>
          <t>BENCHMARK</t>
        </is>
      </c>
      <c r="Z16" s="49" t="inlineStr">
        <is>
          <t>BENCHMARK — Estimated Metro Market Average for Lake Charles,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6" s="48" t="inlineStr">
        <is>
          <t>HUD FMR + Market Estimate</t>
        </is>
      </c>
    </row>
    <row r="17" ht="8.25" customFormat="1" customHeight="1" s="3"/>
    <row r="18" ht="27.75" customFormat="1" customHeight="1" s="3">
      <c r="A18" s="51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Height="1" s="95">
      <c r="A21" s="61" t="inlineStr">
        <is>
          <t>PMTS — Vouchers / FMR / UAP / NET FMR</t>
        </is>
      </c>
      <c r="B21" s="101" t="n"/>
      <c r="C21" s="101" t="n"/>
      <c r="D21" s="101" t="n"/>
      <c r="E21" s="101" t="n"/>
      <c r="F21" s="102" t="n"/>
    </row>
    <row r="22" ht="15" customHeight="1" s="95">
      <c r="A22" s="64" t="inlineStr">
        <is>
          <t>BD</t>
        </is>
      </c>
      <c r="B22" s="65" t="inlineStr">
        <is>
          <t>MKT</t>
        </is>
      </c>
      <c r="C22" s="66" t="inlineStr">
        <is>
          <t>VCH</t>
        </is>
      </c>
      <c r="D22" s="67" t="inlineStr">
        <is>
          <t>FMR</t>
        </is>
      </c>
      <c r="E22" s="68" t="inlineStr">
        <is>
          <t>UAP</t>
        </is>
      </c>
      <c r="F22" s="69" t="inlineStr">
        <is>
          <t>NET</t>
        </is>
      </c>
    </row>
    <row r="23" ht="15" customHeight="1" s="95">
      <c r="A23" s="70" t="inlineStr">
        <is>
          <t>2BD</t>
        </is>
      </c>
      <c r="B23" s="71" t="n">
        <v>0</v>
      </c>
      <c r="C23" s="71" t="n">
        <v>0</v>
      </c>
      <c r="D23" s="71" t="n">
        <v>1070</v>
      </c>
      <c r="E23" s="72" t="n">
        <v>86</v>
      </c>
      <c r="F23" s="73" t="n">
        <v>984</v>
      </c>
    </row>
    <row r="24" ht="15" customHeight="1" s="95">
      <c r="A24" s="74" t="inlineStr">
        <is>
          <t>3BD</t>
        </is>
      </c>
      <c r="B24" s="75" t="n">
        <v>0</v>
      </c>
      <c r="C24" s="75" t="n">
        <v>0</v>
      </c>
      <c r="D24" s="75" t="n">
        <v>1290</v>
      </c>
      <c r="E24" s="72" t="n">
        <v>125</v>
      </c>
      <c r="F24" s="73" t="n">
        <v>1165</v>
      </c>
    </row>
    <row r="27" ht="15" customHeight="1" s="95">
      <c r="A27" s="61" t="inlineStr">
        <is>
          <t>LIHTC, UAP, NET</t>
        </is>
      </c>
      <c r="B27" s="101" t="n"/>
      <c r="C27" s="101" t="n"/>
      <c r="D27" s="101" t="n"/>
      <c r="E27" s="102" t="n"/>
    </row>
    <row r="28" ht="15" customHeight="1" s="95">
      <c r="A28" s="64" t="n"/>
      <c r="B28" s="65" t="inlineStr">
        <is>
          <t>LIHTC/MKT</t>
        </is>
      </c>
      <c r="C28" s="67" t="inlineStr">
        <is>
          <t>60%</t>
        </is>
      </c>
      <c r="D28" s="68" t="inlineStr">
        <is>
          <t>UAP</t>
        </is>
      </c>
      <c r="E28" s="69" t="inlineStr">
        <is>
          <t>NET</t>
        </is>
      </c>
    </row>
    <row r="29" ht="15" customHeight="1" s="95">
      <c r="A29" s="70" t="inlineStr">
        <is>
          <t>2BD</t>
        </is>
      </c>
      <c r="B29" s="71" t="n">
        <v>1230</v>
      </c>
      <c r="C29" s="71" t="n">
        <v>725</v>
      </c>
      <c r="D29" s="72" t="n">
        <v>86</v>
      </c>
      <c r="E29" s="73" t="n">
        <v>639</v>
      </c>
    </row>
    <row r="32" ht="15" customHeight="1" s="95">
      <c r="A32" s="61" t="inlineStr">
        <is>
          <t>HAP, CoStar, NET</t>
        </is>
      </c>
      <c r="B32" s="101" t="n"/>
      <c r="C32" s="102" t="n"/>
    </row>
    <row r="33" ht="15" customHeight="1" s="95">
      <c r="A33" s="64" t="n"/>
      <c r="B33" s="68" t="inlineStr">
        <is>
          <t>HAP</t>
        </is>
      </c>
      <c r="C33" s="65" t="inlineStr">
        <is>
          <t>CoStar</t>
        </is>
      </c>
    </row>
    <row r="34" ht="15" customHeight="1" s="95">
      <c r="A34" s="70" t="inlineStr">
        <is>
          <t>2BD</t>
        </is>
      </c>
      <c r="B34" s="103" t="n">
        <v>1050</v>
      </c>
      <c r="C34" s="104" t="n">
        <v>937</v>
      </c>
    </row>
    <row r="35" ht="15" customHeight="1" s="95">
      <c r="A35" s="74" t="inlineStr">
        <is>
          <t>3BD</t>
        </is>
      </c>
      <c r="B35" s="103" t="n">
        <v>1350</v>
      </c>
      <c r="C35" s="104" t="n">
        <v>1096</v>
      </c>
    </row>
  </sheetData>
  <mergeCells count="7">
    <mergeCell ref="A18:AA18"/>
    <mergeCell ref="A4:AA4"/>
    <mergeCell ref="A3:AA3"/>
    <mergeCell ref="A32:C32"/>
    <mergeCell ref="A2:AA2"/>
    <mergeCell ref="A21:F21"/>
    <mergeCell ref="A27:E27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I42"/>
  <sheetViews>
    <sheetView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8.00390625" customWidth="1" style="3" min="1" max="1"/>
    <col width="14.00390625" customWidth="1" style="3" min="2" max="2"/>
    <col width="28.00390625" customWidth="1" style="3" min="3" max="3"/>
    <col width="22.00390625" customWidth="1" style="3" min="4" max="4"/>
    <col width="16.00390625" customWidth="1" style="3" min="5" max="5"/>
    <col width="10.00390625" customWidth="1" style="3" min="6" max="6"/>
    <col width="8.00390625" customWidth="1" style="3" min="7" max="7"/>
    <col width="11.00390625" customWidth="1" style="3" min="8" max="8"/>
    <col width="10.00390625" customWidth="1" style="3" min="9" max="11"/>
    <col width="12.00390625" customWidth="1" style="3" min="12" max="12"/>
    <col width="10.00390625" customWidth="1" style="3" min="13" max="15"/>
    <col width="12.00390625" customWidth="1" style="3" min="16" max="16"/>
    <col width="10.00390625" customWidth="1" style="3" min="17" max="19"/>
    <col width="12.00390625" customWidth="1" style="3" min="20" max="20"/>
    <col width="10.00390625" customWidth="1" style="3" min="21" max="23"/>
    <col width="12.00390625" customWidth="1" style="3" min="24" max="24"/>
    <col width="8.00390625" customWidth="1" style="3" min="25" max="25"/>
    <col width="10.00390625" customWidth="1" style="3" min="26" max="26"/>
    <col width="7.00390625" customWidth="1" style="3" min="27" max="27"/>
    <col width="12.00390625" customWidth="1" style="3" min="28" max="29"/>
    <col width="8.00390625" customWidth="1" style="3" min="30" max="31"/>
    <col width="10.00390625" customWidth="1" style="3" min="32" max="32"/>
    <col width="16.00390625" customWidth="1" style="3" min="33" max="33"/>
    <col width="45.00390625" customWidth="1" style="3" min="34" max="34"/>
    <col width="28.00390625" customWidth="1" style="3" min="35" max="35"/>
  </cols>
  <sheetData>
    <row r="1" ht="15" customHeight="1" s="95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</row>
    <row r="2" ht="24" customFormat="1" customHeight="1" s="3">
      <c r="A2" s="17" t="inlineStr">
        <is>
          <t>COMPETITIVE RENT ANALYSIS — PELICAN BAY | GREEN = Affordable Comps | BLUE = Market Rate Comps</t>
        </is>
      </c>
    </row>
    <row r="3" ht="20.25" customFormat="1" customHeight="1" s="3">
      <c r="A3" s="18" t="inlineStr">
        <is>
          <t>SUBJECT: Pelican Bay | 2121 N Lobdell Blvd, Baton Rouge, LA 70806 | 152 units | Program: Section 8/HUD | Bedroom Mix: 1BR / 2BR / 3BR / 4BR | County AMI: $91,700 | FMR Area: Baton Rouge MSA</t>
        </is>
      </c>
    </row>
    <row r="4" ht="90" customFormat="1" customHeight="1" s="3">
      <c r="A4" s="19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5" ht="30" customFormat="1" customHeight="1" s="3">
      <c r="A5" s="20" t="inlineStr">
        <is>
          <t>Rank</t>
        </is>
      </c>
      <c r="B5" s="20" t="inlineStr">
        <is>
          <t>Type</t>
        </is>
      </c>
      <c r="C5" s="20" t="inlineStr">
        <is>
          <t>Property Name</t>
        </is>
      </c>
      <c r="D5" s="20" t="inlineStr">
        <is>
          <t>Address</t>
        </is>
      </c>
      <c r="E5" s="20" t="inlineStr">
        <is>
          <t>City</t>
        </is>
      </c>
      <c r="F5" s="20" t="inlineStr">
        <is>
          <t>State</t>
        </is>
      </c>
      <c r="G5" s="20" t="inlineStr">
        <is>
          <t>ZIP</t>
        </is>
      </c>
      <c r="H5" s="20" t="inlineStr">
        <is>
          <t>Distance (mi)</t>
        </is>
      </c>
      <c r="I5" s="20" t="inlineStr">
        <is>
          <t>1BR Low ($)</t>
        </is>
      </c>
      <c r="J5" s="20" t="inlineStr">
        <is>
          <t>1BR Mid ($)</t>
        </is>
      </c>
      <c r="K5" s="21" t="inlineStr">
        <is>
          <t>1BR FMR ($)</t>
        </is>
      </c>
      <c r="L5" s="22" t="inlineStr">
        <is>
          <t>1BR Actual ($)</t>
        </is>
      </c>
      <c r="M5" s="20" t="inlineStr">
        <is>
          <t>2BR Low ($)</t>
        </is>
      </c>
      <c r="N5" s="20" t="inlineStr">
        <is>
          <t>2BR Mid ($)</t>
        </is>
      </c>
      <c r="O5" s="21" t="inlineStr">
        <is>
          <t>2BR FMR ($)</t>
        </is>
      </c>
      <c r="P5" s="22" t="inlineStr">
        <is>
          <t>2BR Actual ($)</t>
        </is>
      </c>
      <c r="Q5" s="20" t="inlineStr">
        <is>
          <t>3BR Low ($)</t>
        </is>
      </c>
      <c r="R5" s="20" t="inlineStr">
        <is>
          <t>3BR Mid ($)</t>
        </is>
      </c>
      <c r="S5" s="21" t="inlineStr">
        <is>
          <t>3BR FMR ($)</t>
        </is>
      </c>
      <c r="T5" s="22" t="inlineStr">
        <is>
          <t>3BR Actual ($)</t>
        </is>
      </c>
      <c r="U5" s="20" t="inlineStr">
        <is>
          <t>4BR Low ($)</t>
        </is>
      </c>
      <c r="V5" s="20" t="inlineStr">
        <is>
          <t>4BR Mid ($)</t>
        </is>
      </c>
      <c r="W5" s="21" t="inlineStr">
        <is>
          <t>4BR FMR ($)</t>
        </is>
      </c>
      <c r="X5" s="22" t="inlineStr">
        <is>
          <t>4BR Actual ($)</t>
        </is>
      </c>
      <c r="Y5" s="20" t="inlineStr">
        <is>
          <t># Units</t>
        </is>
      </c>
      <c r="Z5" s="20" t="inlineStr">
        <is>
          <t>Year Built</t>
        </is>
      </c>
      <c r="AA5" s="20" t="inlineStr">
        <is>
          <t>Yr Diff</t>
        </is>
      </c>
      <c r="AB5" s="20" t="inlineStr">
        <is>
          <t>Utilities Incl.</t>
        </is>
      </c>
      <c r="AC5" s="20" t="inlineStr">
        <is>
          <t>Pet Friendly</t>
        </is>
      </c>
      <c r="AD5" s="20" t="inlineStr">
        <is>
          <t>Gated</t>
        </is>
      </c>
      <c r="AE5" s="20" t="inlineStr">
        <is>
          <t>Pool</t>
        </is>
      </c>
      <c r="AF5" s="20" t="inlineStr">
        <is>
          <t>W/D In-Unit</t>
        </is>
      </c>
      <c r="AG5" s="20" t="inlineStr">
        <is>
          <t>Competition Level</t>
        </is>
      </c>
      <c r="AH5" s="20" t="inlineStr">
        <is>
          <t>Why Competitive</t>
        </is>
      </c>
      <c r="AI5" s="20" t="inlineStr">
        <is>
          <t>Data Source</t>
        </is>
      </c>
    </row>
    <row r="6" ht="54.75" customFormat="1" customHeight="1" s="3">
      <c r="A6" s="23" t="inlineStr">
        <is>
          <t>—</t>
        </is>
      </c>
      <c r="B6" s="23" t="inlineStr">
        <is>
          <t>SUBJECT</t>
        </is>
      </c>
      <c r="C6" s="24" t="inlineStr">
        <is>
          <t>Pelican Bay (SUBJECT)</t>
        </is>
      </c>
      <c r="D6" s="23" t="inlineStr">
        <is>
          <t>2121 N Lobdell Blvd</t>
        </is>
      </c>
      <c r="E6" s="23" t="inlineStr">
        <is>
          <t>Baton Rouge</t>
        </is>
      </c>
      <c r="F6" s="23" t="inlineStr">
        <is>
          <t>LA</t>
        </is>
      </c>
      <c r="G6" s="23" t="inlineStr">
        <is>
          <t>70806</t>
        </is>
      </c>
      <c r="H6" s="23" t="inlineStr">
        <is>
          <t>0.0 mi</t>
        </is>
      </c>
      <c r="I6" s="23" t="inlineStr">
        <is>
          <t>$2,866</t>
        </is>
      </c>
      <c r="J6" s="23" t="inlineStr">
        <is>
          <t>$3,440</t>
        </is>
      </c>
      <c r="K6" s="25" t="inlineStr">
        <is>
          <t>$916</t>
        </is>
      </c>
      <c r="L6" s="26" t="inlineStr">
        <is>
          <t>N/A</t>
        </is>
      </c>
      <c r="M6" s="23" t="inlineStr">
        <is>
          <t>$3,441</t>
        </is>
      </c>
      <c r="N6" s="23" t="inlineStr">
        <is>
          <t>$4,130</t>
        </is>
      </c>
      <c r="O6" s="25" t="inlineStr">
        <is>
          <t>$1,254</t>
        </is>
      </c>
      <c r="P6" s="26" t="inlineStr">
        <is>
          <t>N/A</t>
        </is>
      </c>
      <c r="Q6" s="23" t="inlineStr">
        <is>
          <t>$3,820</t>
        </is>
      </c>
      <c r="R6" s="23" t="inlineStr">
        <is>
          <t>$4,585</t>
        </is>
      </c>
      <c r="S6" s="25" t="inlineStr">
        <is>
          <t>$1,573</t>
        </is>
      </c>
      <c r="T6" s="26" t="inlineStr">
        <is>
          <t>N/A</t>
        </is>
      </c>
      <c r="U6" s="23" t="inlineStr">
        <is>
          <t>$4,129</t>
        </is>
      </c>
      <c r="V6" s="23" t="inlineStr">
        <is>
          <t>$4,955</t>
        </is>
      </c>
      <c r="W6" s="25" t="inlineStr">
        <is>
          <t>$1,818</t>
        </is>
      </c>
      <c r="X6" s="26" t="inlineStr">
        <is>
          <t>N/A</t>
        </is>
      </c>
      <c r="Y6" s="23" t="inlineStr">
        <is>
          <t>152</t>
        </is>
      </c>
      <c r="Z6" s="23" t="inlineStr">
        <is>
          <t>2001</t>
        </is>
      </c>
      <c r="AA6" s="23" t="inlineStr">
        <is>
          <t>0</t>
        </is>
      </c>
      <c r="AB6" s="23" t="inlineStr">
        <is>
          <t>Partial</t>
        </is>
      </c>
      <c r="AC6" s="23" t="inlineStr">
        <is>
          <t>No</t>
        </is>
      </c>
      <c r="AD6" s="23" t="inlineStr">
        <is>
          <t>No</t>
        </is>
      </c>
      <c r="AE6" s="23" t="inlineStr">
        <is>
          <t>Yes</t>
        </is>
      </c>
      <c r="AF6" s="23" t="inlineStr">
        <is>
          <t>No</t>
        </is>
      </c>
      <c r="AG6" s="27" t="inlineStr">
        <is>
          <t>SUBJECT</t>
        </is>
      </c>
      <c r="AH6" s="24" t="inlineStr">
        <is>
          <t>152 units | Section 8/HUD property. Year built: 2001. Subject property for market context.</t>
        </is>
      </c>
      <c r="AI6" s="23" t="inlineStr">
        <is>
          <t>Apartment Corp Records</t>
        </is>
      </c>
    </row>
    <row r="7" ht="54.75" customFormat="1" customHeight="1" s="3">
      <c r="A7" s="28" t="inlineStr">
        <is>
          <t>1</t>
        </is>
      </c>
      <c r="B7" s="28" t="inlineStr">
        <is>
          <t>AFFORDABLE</t>
        </is>
      </c>
      <c r="C7" s="29" t="inlineStr">
        <is>
          <t>Bon Carre' Court (Melrose)</t>
        </is>
      </c>
      <c r="D7" s="28" t="inlineStr">
        <is>
          <t>6645 Harry Dr</t>
        </is>
      </c>
      <c r="E7" s="28" t="inlineStr">
        <is>
          <t>Baton Rouge</t>
        </is>
      </c>
      <c r="F7" s="28" t="inlineStr">
        <is>
          <t>LA</t>
        </is>
      </c>
      <c r="G7" s="28" t="inlineStr">
        <is>
          <t>70806</t>
        </is>
      </c>
      <c r="H7" s="28" t="inlineStr">
        <is>
          <t>3.9 mi</t>
        </is>
      </c>
      <c r="I7" s="28" t="inlineStr">
        <is>
          <t>$2,866</t>
        </is>
      </c>
      <c r="J7" s="28" t="inlineStr">
        <is>
          <t>$3,440</t>
        </is>
      </c>
      <c r="K7" s="30" t="inlineStr">
        <is>
          <t>$916</t>
        </is>
      </c>
      <c r="L7" s="31" t="inlineStr">
        <is>
          <t>Not Listed</t>
        </is>
      </c>
      <c r="M7" s="28" t="inlineStr">
        <is>
          <t>$3,441</t>
        </is>
      </c>
      <c r="N7" s="28" t="inlineStr">
        <is>
          <t>$4,130</t>
        </is>
      </c>
      <c r="O7" s="30" t="inlineStr">
        <is>
          <t>$1,254</t>
        </is>
      </c>
      <c r="P7" s="31" t="inlineStr">
        <is>
          <t>$965</t>
        </is>
      </c>
      <c r="Q7" s="28" t="inlineStr">
        <is>
          <t>$3,820</t>
        </is>
      </c>
      <c r="R7" s="28" t="inlineStr">
        <is>
          <t>$4,585</t>
        </is>
      </c>
      <c r="S7" s="30" t="inlineStr">
        <is>
          <t>$1,573</t>
        </is>
      </c>
      <c r="T7" s="31" t="inlineStr">
        <is>
          <t>$1,185</t>
        </is>
      </c>
      <c r="U7" s="28" t="inlineStr">
        <is>
          <t>$4,129</t>
        </is>
      </c>
      <c r="V7" s="28" t="inlineStr">
        <is>
          <t>$4,955</t>
        </is>
      </c>
      <c r="W7" s="30" t="inlineStr">
        <is>
          <t>$1,818</t>
        </is>
      </c>
      <c r="X7" s="31" t="inlineStr">
        <is>
          <t>$1,450</t>
        </is>
      </c>
      <c r="Y7" s="28" t="inlineStr">
        <is>
          <t>172</t>
        </is>
      </c>
      <c r="Z7" s="28" t="inlineStr">
        <is>
          <t>2003</t>
        </is>
      </c>
      <c r="AA7" s="28" t="inlineStr">
        <is>
          <t>2</t>
        </is>
      </c>
      <c r="AB7" s="28" t="inlineStr">
        <is>
          <t>Yes</t>
        </is>
      </c>
      <c r="AC7" s="28" t="inlineStr">
        <is>
          <t>No</t>
        </is>
      </c>
      <c r="AD7" s="28" t="inlineStr">
        <is>
          <t>No</t>
        </is>
      </c>
      <c r="AE7" s="28" t="inlineStr">
        <is>
          <t>No</t>
        </is>
      </c>
      <c r="AF7" s="28" t="inlineStr">
        <is>
          <t>No</t>
        </is>
      </c>
      <c r="AG7" s="32" t="inlineStr">
        <is>
          <t>HIGH</t>
        </is>
      </c>
      <c r="AH7" s="29" t="inlineStr">
        <is>
          <t>Affordable Comp #1: LIHTC property, 2003 vintage (2 yr diff), 172 units, 3.9 mi from subject. Same income-eligible renter pool.</t>
        </is>
      </c>
      <c r="AI7" s="28" t="inlineStr">
        <is>
          <t>HUD LIHTC Database (huduser.gov)</t>
        </is>
      </c>
    </row>
    <row r="8" ht="54.75" customFormat="1" customHeight="1" s="3">
      <c r="A8" s="33" t="inlineStr">
        <is>
          <t>2</t>
        </is>
      </c>
      <c r="B8" s="33" t="inlineStr">
        <is>
          <t>AFFORDABLE</t>
        </is>
      </c>
      <c r="C8" s="34" t="inlineStr">
        <is>
          <t>Newport Villa</t>
        </is>
      </c>
      <c r="D8" s="33" t="inlineStr">
        <is>
          <t>1737 La Annie Dr</t>
        </is>
      </c>
      <c r="E8" s="33" t="inlineStr">
        <is>
          <t>Baton Rouge</t>
        </is>
      </c>
      <c r="F8" s="33" t="inlineStr">
        <is>
          <t>LA</t>
        </is>
      </c>
      <c r="G8" s="33" t="inlineStr">
        <is>
          <t>70815</t>
        </is>
      </c>
      <c r="H8" s="33" t="inlineStr">
        <is>
          <t>8.6 mi</t>
        </is>
      </c>
      <c r="I8" s="33" t="inlineStr">
        <is>
          <t>$2,866</t>
        </is>
      </c>
      <c r="J8" s="33" t="inlineStr">
        <is>
          <t>$3,440</t>
        </is>
      </c>
      <c r="K8" s="30" t="inlineStr">
        <is>
          <t>$916</t>
        </is>
      </c>
      <c r="L8" s="31" t="inlineStr">
        <is>
          <t>Not Listed</t>
        </is>
      </c>
      <c r="M8" s="33" t="inlineStr">
        <is>
          <t>$3,441</t>
        </is>
      </c>
      <c r="N8" s="33" t="inlineStr">
        <is>
          <t>$4,130</t>
        </is>
      </c>
      <c r="O8" s="30" t="inlineStr">
        <is>
          <t>$1,254</t>
        </is>
      </c>
      <c r="P8" s="31" t="inlineStr">
        <is>
          <t>Not Listed</t>
        </is>
      </c>
      <c r="Q8" s="33" t="inlineStr">
        <is>
          <t>$3,820</t>
        </is>
      </c>
      <c r="R8" s="33" t="inlineStr">
        <is>
          <t>$4,585</t>
        </is>
      </c>
      <c r="S8" s="30" t="inlineStr">
        <is>
          <t>$1,573</t>
        </is>
      </c>
      <c r="T8" s="31" t="inlineStr">
        <is>
          <t>Not Listed</t>
        </is>
      </c>
      <c r="U8" s="33" t="inlineStr">
        <is>
          <t>$4,129</t>
        </is>
      </c>
      <c r="V8" s="33" t="inlineStr">
        <is>
          <t>$4,955</t>
        </is>
      </c>
      <c r="W8" s="30" t="inlineStr">
        <is>
          <t>$1,818</t>
        </is>
      </c>
      <c r="X8" s="31" t="inlineStr">
        <is>
          <t>Not Listed</t>
        </is>
      </c>
      <c r="Y8" s="33" t="inlineStr">
        <is>
          <t>94</t>
        </is>
      </c>
      <c r="Z8" s="33" t="inlineStr">
        <is>
          <t>2000</t>
        </is>
      </c>
      <c r="AA8" s="33" t="inlineStr">
        <is>
          <t>1</t>
        </is>
      </c>
      <c r="AB8" s="33" t="inlineStr">
        <is>
          <t>Yes</t>
        </is>
      </c>
      <c r="AC8" s="33" t="inlineStr">
        <is>
          <t>No</t>
        </is>
      </c>
      <c r="AD8" s="33" t="inlineStr">
        <is>
          <t>No</t>
        </is>
      </c>
      <c r="AE8" s="33" t="inlineStr">
        <is>
          <t>No</t>
        </is>
      </c>
      <c r="AF8" s="33" t="inlineStr">
        <is>
          <t>No</t>
        </is>
      </c>
      <c r="AG8" s="35" t="inlineStr">
        <is>
          <t>HIGH</t>
        </is>
      </c>
      <c r="AH8" s="34" t="inlineStr">
        <is>
          <t>Affordable Comp #2: LIHTC property, 2000 vintage (1 yr diff), 94 units, 8.6 mi from subject. Same income-eligible renter pool.</t>
        </is>
      </c>
      <c r="AI8" s="33" t="inlineStr">
        <is>
          <t>HUD LIHTC Database (huduser.gov)</t>
        </is>
      </c>
    </row>
    <row r="9" ht="54.75" customFormat="1" customHeight="1" s="3">
      <c r="A9" s="36" t="inlineStr">
        <is>
          <t>3</t>
        </is>
      </c>
      <c r="B9" s="36" t="inlineStr">
        <is>
          <t>AFFORDABLE</t>
        </is>
      </c>
      <c r="C9" s="37" t="inlineStr">
        <is>
          <t>Mt. Zion Homess</t>
        </is>
      </c>
      <c r="D9" s="36" t="inlineStr">
        <is>
          <t>802 N. 22Nd St., Gracie St, N. 29Th St.</t>
        </is>
      </c>
      <c r="E9" s="36" t="inlineStr">
        <is>
          <t>Baton Rouge</t>
        </is>
      </c>
      <c r="F9" s="36" t="inlineStr">
        <is>
          <t>LA</t>
        </is>
      </c>
      <c r="G9" s="36" t="inlineStr">
        <is>
          <t>70802-0000</t>
        </is>
      </c>
      <c r="H9" s="36" t="inlineStr">
        <is>
          <t>1.3 mi</t>
        </is>
      </c>
      <c r="I9" s="36" t="inlineStr">
        <is>
          <t>$2,866</t>
        </is>
      </c>
      <c r="J9" s="36" t="inlineStr">
        <is>
          <t>$3,440</t>
        </is>
      </c>
      <c r="K9" s="30" t="inlineStr">
        <is>
          <t>$916</t>
        </is>
      </c>
      <c r="L9" s="31" t="inlineStr">
        <is>
          <t>Not Listed</t>
        </is>
      </c>
      <c r="M9" s="36" t="inlineStr">
        <is>
          <t>$3,441</t>
        </is>
      </c>
      <c r="N9" s="36" t="inlineStr">
        <is>
          <t>$4,130</t>
        </is>
      </c>
      <c r="O9" s="30" t="inlineStr">
        <is>
          <t>$1,254</t>
        </is>
      </c>
      <c r="P9" s="31" t="inlineStr">
        <is>
          <t>Not Listed</t>
        </is>
      </c>
      <c r="Q9" s="36" t="inlineStr">
        <is>
          <t>$3,820</t>
        </is>
      </c>
      <c r="R9" s="36" t="inlineStr">
        <is>
          <t>$4,585</t>
        </is>
      </c>
      <c r="S9" s="30" t="inlineStr">
        <is>
          <t>$1,573</t>
        </is>
      </c>
      <c r="T9" s="31" t="inlineStr">
        <is>
          <t>Not Listed</t>
        </is>
      </c>
      <c r="U9" s="36" t="inlineStr">
        <is>
          <t>$4,129</t>
        </is>
      </c>
      <c r="V9" s="36" t="inlineStr">
        <is>
          <t>$4,955</t>
        </is>
      </c>
      <c r="W9" s="30" t="inlineStr">
        <is>
          <t>$1,818</t>
        </is>
      </c>
      <c r="X9" s="31" t="inlineStr">
        <is>
          <t>Not Listed</t>
        </is>
      </c>
      <c r="Y9" s="36" t="inlineStr">
        <is>
          <t>31</t>
        </is>
      </c>
      <c r="Z9" s="36" t="inlineStr">
        <is>
          <t>2001</t>
        </is>
      </c>
      <c r="AA9" s="36" t="inlineStr">
        <is>
          <t>0</t>
        </is>
      </c>
      <c r="AB9" s="36" t="inlineStr">
        <is>
          <t>Yes</t>
        </is>
      </c>
      <c r="AC9" s="36" t="inlineStr">
        <is>
          <t>No</t>
        </is>
      </c>
      <c r="AD9" s="36" t="inlineStr">
        <is>
          <t>No</t>
        </is>
      </c>
      <c r="AE9" s="36" t="inlineStr">
        <is>
          <t>No</t>
        </is>
      </c>
      <c r="AF9" s="36" t="inlineStr">
        <is>
          <t>No</t>
        </is>
      </c>
      <c r="AG9" s="85" t="inlineStr">
        <is>
          <t>HIGH</t>
        </is>
      </c>
      <c r="AH9" s="37" t="inlineStr">
        <is>
          <t>Affordable Comp #3: LIHTC property, 2001 vintage (0 yr diff), 31 units, 1.3 mi from subject. Same income-eligible renter pool.</t>
        </is>
      </c>
      <c r="AI9" s="36" t="inlineStr">
        <is>
          <t>HUD LIHTC Database (huduser.gov)</t>
        </is>
      </c>
    </row>
    <row r="10" ht="54.75" customFormat="1" customHeight="1" s="3">
      <c r="A10" s="28" t="inlineStr">
        <is>
          <t>4</t>
        </is>
      </c>
      <c r="B10" s="28" t="inlineStr">
        <is>
          <t>AFFORDABLE</t>
        </is>
      </c>
      <c r="C10" s="29" t="inlineStr">
        <is>
          <t>Howell Place</t>
        </is>
      </c>
      <c r="D10" s="28" t="inlineStr">
        <is>
          <t>4150 72Nd St.</t>
        </is>
      </c>
      <c r="E10" s="28" t="inlineStr">
        <is>
          <t>Baton Rouge</t>
        </is>
      </c>
      <c r="F10" s="28" t="inlineStr">
        <is>
          <t>LA</t>
        </is>
      </c>
      <c r="G10" s="28" t="inlineStr">
        <is>
          <t>70811-0000</t>
        </is>
      </c>
      <c r="H10" s="28" t="inlineStr">
        <is>
          <t>5.0 mi</t>
        </is>
      </c>
      <c r="I10" s="28" t="inlineStr">
        <is>
          <t>$2,866</t>
        </is>
      </c>
      <c r="J10" s="28" t="inlineStr">
        <is>
          <t>$3,440</t>
        </is>
      </c>
      <c r="K10" s="30" t="inlineStr">
        <is>
          <t>$916</t>
        </is>
      </c>
      <c r="L10" s="31" t="inlineStr">
        <is>
          <t>Not Listed</t>
        </is>
      </c>
      <c r="M10" s="28" t="inlineStr">
        <is>
          <t>$3,441</t>
        </is>
      </c>
      <c r="N10" s="28" t="inlineStr">
        <is>
          <t>$4,130</t>
        </is>
      </c>
      <c r="O10" s="30" t="inlineStr">
        <is>
          <t>$1,254</t>
        </is>
      </c>
      <c r="P10" s="31" t="inlineStr">
        <is>
          <t>Not Listed</t>
        </is>
      </c>
      <c r="Q10" s="28" t="inlineStr">
        <is>
          <t>$3,820</t>
        </is>
      </c>
      <c r="R10" s="28" t="inlineStr">
        <is>
          <t>$4,585</t>
        </is>
      </c>
      <c r="S10" s="30" t="inlineStr">
        <is>
          <t>$1,573</t>
        </is>
      </c>
      <c r="T10" s="31" t="inlineStr">
        <is>
          <t>Not Listed</t>
        </is>
      </c>
      <c r="U10" s="28" t="inlineStr">
        <is>
          <t>$4,129</t>
        </is>
      </c>
      <c r="V10" s="28" t="inlineStr">
        <is>
          <t>$4,955</t>
        </is>
      </c>
      <c r="W10" s="30" t="inlineStr">
        <is>
          <t>$1,818</t>
        </is>
      </c>
      <c r="X10" s="31" t="inlineStr">
        <is>
          <t>Not Listed</t>
        </is>
      </c>
      <c r="Y10" s="28" t="inlineStr">
        <is>
          <t>48</t>
        </is>
      </c>
      <c r="Z10" s="28" t="inlineStr">
        <is>
          <t>2002</t>
        </is>
      </c>
      <c r="AA10" s="28" t="inlineStr">
        <is>
          <t>1</t>
        </is>
      </c>
      <c r="AB10" s="28" t="inlineStr">
        <is>
          <t>Yes</t>
        </is>
      </c>
      <c r="AC10" s="28" t="inlineStr">
        <is>
          <t>No</t>
        </is>
      </c>
      <c r="AD10" s="28" t="inlineStr">
        <is>
          <t>No</t>
        </is>
      </c>
      <c r="AE10" s="28" t="inlineStr">
        <is>
          <t>No</t>
        </is>
      </c>
      <c r="AF10" s="28" t="inlineStr">
        <is>
          <t>No</t>
        </is>
      </c>
      <c r="AG10" s="32" t="inlineStr">
        <is>
          <t>HIGH</t>
        </is>
      </c>
      <c r="AH10" s="29" t="inlineStr">
        <is>
          <t>Affordable Comp #4: LIHTC property, 2002 vintage (1 yr diff), 48 units, 5.0 mi from subject. Same income-eligible renter pool.</t>
        </is>
      </c>
      <c r="AI10" s="28" t="inlineStr">
        <is>
          <t>HUD LIHTC Database (huduser.gov)</t>
        </is>
      </c>
    </row>
    <row r="11" ht="54.75" customFormat="1" customHeight="1" s="3">
      <c r="A11" s="39" t="inlineStr">
        <is>
          <t>1</t>
        </is>
      </c>
      <c r="B11" s="39" t="inlineStr">
        <is>
          <t>MARKET RATE</t>
        </is>
      </c>
      <c r="C11" s="40" t="inlineStr">
        <is>
          <t>Sienna Lake Apartments</t>
        </is>
      </c>
      <c r="D11" s="39" t="inlineStr">
        <is>
          <t>5555 Sienna Lakes Dr, Baton Rouge, LA 70820</t>
        </is>
      </c>
      <c r="E11" s="39" t="inlineStr">
        <is>
          <t>Baton Rouge</t>
        </is>
      </c>
      <c r="F11" s="39" t="inlineStr">
        <is>
          <t>LA</t>
        </is>
      </c>
      <c r="G11" s="39" t="n"/>
      <c r="H11" s="39" t="inlineStr">
        <is>
          <t>5.5 mi</t>
        </is>
      </c>
      <c r="I11" s="39" t="inlineStr">
        <is>
          <t>N/A (Market Rate)</t>
        </is>
      </c>
      <c r="J11" s="39" t="inlineStr">
        <is>
          <t>N/A (Market Rate)</t>
        </is>
      </c>
      <c r="K11" s="30" t="inlineStr">
        <is>
          <t>$916</t>
        </is>
      </c>
      <c r="L11" s="31" t="inlineStr">
        <is>
          <t>$925</t>
        </is>
      </c>
      <c r="M11" s="39" t="inlineStr">
        <is>
          <t>N/A (Market Rate)</t>
        </is>
      </c>
      <c r="N11" s="39" t="inlineStr">
        <is>
          <t>N/A (Market Rate)</t>
        </is>
      </c>
      <c r="O11" s="30" t="inlineStr">
        <is>
          <t>$1,254</t>
        </is>
      </c>
      <c r="P11" s="31" t="inlineStr">
        <is>
          <t>$1,175</t>
        </is>
      </c>
      <c r="Q11" s="39" t="inlineStr">
        <is>
          <t>N/A (Market Rate)</t>
        </is>
      </c>
      <c r="R11" s="39" t="inlineStr">
        <is>
          <t>N/A (Market Rate)</t>
        </is>
      </c>
      <c r="S11" s="30" t="inlineStr">
        <is>
          <t>$1,573</t>
        </is>
      </c>
      <c r="T11" s="31" t="inlineStr">
        <is>
          <t>$1,450</t>
        </is>
      </c>
      <c r="U11" s="39" t="inlineStr">
        <is>
          <t>N/A (Market Rate)</t>
        </is>
      </c>
      <c r="V11" s="39" t="inlineStr">
        <is>
          <t>N/A (Market Rate)</t>
        </is>
      </c>
      <c r="W11" s="30" t="inlineStr">
        <is>
          <t>$1,818</t>
        </is>
      </c>
      <c r="X11" s="31" t="inlineStr">
        <is>
          <t>Not Listed</t>
        </is>
      </c>
      <c r="Y11" s="39" t="inlineStr">
        <is>
          <t>240</t>
        </is>
      </c>
      <c r="Z11" s="39" t="inlineStr">
        <is>
          <t>2001</t>
        </is>
      </c>
      <c r="AA11" s="39" t="inlineStr">
        <is>
          <t>0</t>
        </is>
      </c>
      <c r="AB11" s="39" t="inlineStr">
        <is>
          <t>Varies</t>
        </is>
      </c>
      <c r="AC11" s="39" t="inlineStr">
        <is>
          <t>Varies</t>
        </is>
      </c>
      <c r="AD11" s="39" t="inlineStr">
        <is>
          <t>Varies</t>
        </is>
      </c>
      <c r="AE11" s="39" t="inlineStr">
        <is>
          <t>Varies</t>
        </is>
      </c>
      <c r="AF11" s="39" t="inlineStr">
        <is>
          <t>Varies</t>
        </is>
      </c>
      <c r="AG11" s="41" t="inlineStr">
        <is>
          <t>HIGH</t>
        </is>
      </c>
      <c r="AH11" s="40" t="inlineStr">
        <is>
          <t>Market Rate Comp #1: No income restrictions, 2001 vintage (0 yr diff), 240 units, 5.5 mi from subject. Shows market-rate rents vs. affordable housing discount.</t>
        </is>
      </c>
      <c r="AI11" s="39" t="inlineStr">
        <is>
          <t>https://www.rentcafe.com/apartments-for-rent/us/la/baton-rouge/sienna-lake/</t>
        </is>
      </c>
    </row>
    <row r="12" ht="54.75" customFormat="1" customHeight="1" s="3">
      <c r="A12" s="42" t="inlineStr">
        <is>
          <t>2</t>
        </is>
      </c>
      <c r="B12" s="42" t="inlineStr">
        <is>
          <t>MARKET RATE</t>
        </is>
      </c>
      <c r="C12" s="43" t="inlineStr">
        <is>
          <t>Willow Creek Apartments</t>
        </is>
      </c>
      <c r="D12" s="42" t="inlineStr">
        <is>
          <t>9800 Airline Hwy, Baton Rouge, LA 70816</t>
        </is>
      </c>
      <c r="E12" s="42" t="inlineStr">
        <is>
          <t>Baton Rouge</t>
        </is>
      </c>
      <c r="F12" s="42" t="inlineStr">
        <is>
          <t>LA</t>
        </is>
      </c>
      <c r="G12" s="42" t="n"/>
      <c r="H12" s="42" t="inlineStr">
        <is>
          <t>7.2 mi</t>
        </is>
      </c>
      <c r="I12" s="42" t="inlineStr">
        <is>
          <t>N/A (Market Rate)</t>
        </is>
      </c>
      <c r="J12" s="42" t="inlineStr">
        <is>
          <t>N/A (Market Rate)</t>
        </is>
      </c>
      <c r="K12" s="30" t="inlineStr">
        <is>
          <t>$916</t>
        </is>
      </c>
      <c r="L12" s="31" t="inlineStr">
        <is>
          <t>$895</t>
        </is>
      </c>
      <c r="M12" s="42" t="inlineStr">
        <is>
          <t>N/A (Market Rate)</t>
        </is>
      </c>
      <c r="N12" s="42" t="inlineStr">
        <is>
          <t>N/A (Market Rate)</t>
        </is>
      </c>
      <c r="O12" s="30" t="inlineStr">
        <is>
          <t>$1,254</t>
        </is>
      </c>
      <c r="P12" s="31" t="inlineStr">
        <is>
          <t>$1,125</t>
        </is>
      </c>
      <c r="Q12" s="42" t="inlineStr">
        <is>
          <t>N/A (Market Rate)</t>
        </is>
      </c>
      <c r="R12" s="42" t="inlineStr">
        <is>
          <t>N/A (Market Rate)</t>
        </is>
      </c>
      <c r="S12" s="30" t="inlineStr">
        <is>
          <t>$1,573</t>
        </is>
      </c>
      <c r="T12" s="31" t="inlineStr">
        <is>
          <t>$1,400</t>
        </is>
      </c>
      <c r="U12" s="42" t="inlineStr">
        <is>
          <t>N/A (Market Rate)</t>
        </is>
      </c>
      <c r="V12" s="42" t="inlineStr">
        <is>
          <t>N/A (Market Rate)</t>
        </is>
      </c>
      <c r="W12" s="30" t="inlineStr">
        <is>
          <t>$1,818</t>
        </is>
      </c>
      <c r="X12" s="31" t="inlineStr">
        <is>
          <t>Not Listed</t>
        </is>
      </c>
      <c r="Y12" s="42" t="inlineStr">
        <is>
          <t>180</t>
        </is>
      </c>
      <c r="Z12" s="42" t="inlineStr">
        <is>
          <t>1999</t>
        </is>
      </c>
      <c r="AA12" s="42" t="inlineStr">
        <is>
          <t>2</t>
        </is>
      </c>
      <c r="AB12" s="42" t="inlineStr">
        <is>
          <t>Varies</t>
        </is>
      </c>
      <c r="AC12" s="42" t="inlineStr">
        <is>
          <t>Varies</t>
        </is>
      </c>
      <c r="AD12" s="42" t="inlineStr">
        <is>
          <t>Varies</t>
        </is>
      </c>
      <c r="AE12" s="42" t="inlineStr">
        <is>
          <t>Varies</t>
        </is>
      </c>
      <c r="AF12" s="42" t="inlineStr">
        <is>
          <t>Varies</t>
        </is>
      </c>
      <c r="AG12" s="44" t="inlineStr">
        <is>
          <t>HIGH</t>
        </is>
      </c>
      <c r="AH12" s="43" t="inlineStr">
        <is>
          <t>Market Rate Comp #2: No income restrictions, 1999 vintage (2 yr diff), 180 units, 7.2 mi from subject. Shows market-rate rents vs. affordable housing discount.</t>
        </is>
      </c>
      <c r="AI12" s="42" t="inlineStr">
        <is>
          <t>https://www.rentcafe.com/apartments-for-rent/us/la/baton-rouge/</t>
        </is>
      </c>
    </row>
    <row r="13" ht="54.75" customFormat="1" customHeight="1" s="3">
      <c r="A13" s="45" t="inlineStr">
        <is>
          <t>3</t>
        </is>
      </c>
      <c r="B13" s="45" t="inlineStr">
        <is>
          <t>MARKET RATE</t>
        </is>
      </c>
      <c r="C13" s="46" t="inlineStr">
        <is>
          <t>The Preserve At Harveston</t>
        </is>
      </c>
      <c r="D13" s="45" t="inlineStr">
        <is>
          <t>18000 Harveston Dr, Baton Rouge, LA 70816</t>
        </is>
      </c>
      <c r="E13" s="45" t="inlineStr">
        <is>
          <t>Baton Rouge</t>
        </is>
      </c>
      <c r="F13" s="45" t="inlineStr">
        <is>
          <t>LA</t>
        </is>
      </c>
      <c r="G13" s="45" t="n"/>
      <c r="H13" s="45" t="inlineStr">
        <is>
          <t>9.0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0" t="inlineStr">
        <is>
          <t>$916</t>
        </is>
      </c>
      <c r="L13" s="31" t="inlineStr">
        <is>
          <t>$950</t>
        </is>
      </c>
      <c r="M13" s="45" t="inlineStr">
        <is>
          <t>N/A (Market Rate)</t>
        </is>
      </c>
      <c r="N13" s="45" t="inlineStr">
        <is>
          <t>N/A (Market Rate)</t>
        </is>
      </c>
      <c r="O13" s="30" t="inlineStr">
        <is>
          <t>$1,254</t>
        </is>
      </c>
      <c r="P13" s="31" t="inlineStr">
        <is>
          <t>$1,200</t>
        </is>
      </c>
      <c r="Q13" s="45" t="inlineStr">
        <is>
          <t>N/A (Market Rate)</t>
        </is>
      </c>
      <c r="R13" s="45" t="inlineStr">
        <is>
          <t>N/A (Market Rate)</t>
        </is>
      </c>
      <c r="S13" s="30" t="inlineStr">
        <is>
          <t>$1,573</t>
        </is>
      </c>
      <c r="T13" s="31" t="inlineStr">
        <is>
          <t>$1,475</t>
        </is>
      </c>
      <c r="U13" s="45" t="inlineStr">
        <is>
          <t>N/A (Market Rate)</t>
        </is>
      </c>
      <c r="V13" s="45" t="inlineStr">
        <is>
          <t>N/A (Market Rate)</t>
        </is>
      </c>
      <c r="W13" s="30" t="inlineStr">
        <is>
          <t>$1,818</t>
        </is>
      </c>
      <c r="X13" s="31" t="inlineStr">
        <is>
          <t>Not Listed</t>
        </is>
      </c>
      <c r="Y13" s="45" t="inlineStr">
        <is>
          <t>200</t>
        </is>
      </c>
      <c r="Z13" s="45" t="inlineStr">
        <is>
          <t>2002</t>
        </is>
      </c>
      <c r="AA13" s="45" t="inlineStr">
        <is>
          <t>1</t>
        </is>
      </c>
      <c r="AB13" s="45" t="inlineStr">
        <is>
          <t>Varies</t>
        </is>
      </c>
      <c r="AC13" s="45" t="inlineStr">
        <is>
          <t>Varies</t>
        </is>
      </c>
      <c r="AD13" s="45" t="inlineStr">
        <is>
          <t>Varies</t>
        </is>
      </c>
      <c r="AE13" s="45" t="inlineStr">
        <is>
          <t>Varies</t>
        </is>
      </c>
      <c r="AF13" s="45" t="inlineStr">
        <is>
          <t>Varies</t>
        </is>
      </c>
      <c r="AG13" s="47" t="inlineStr">
        <is>
          <t>HIGH</t>
        </is>
      </c>
      <c r="AH13" s="46" t="inlineStr">
        <is>
          <t>Market Rate Comp #3: No income restrictions, 2002 vintage (1 yr diff), 200 units, 9.0 mi from subject. Shows market-rate rents vs. affordable housing discount.</t>
        </is>
      </c>
      <c r="AI13" s="45" t="inlineStr">
        <is>
          <t>https://www.rentcafe.com/apartments-for-rent/us/la/baton-rouge/the-preserve-at-harveston/</t>
        </is>
      </c>
    </row>
    <row r="14" ht="54.75" customFormat="1" customHeight="1" s="3">
      <c r="A14" s="39" t="inlineStr">
        <is>
          <t>4</t>
        </is>
      </c>
      <c r="B14" s="39" t="inlineStr">
        <is>
          <t>MARKET RATE</t>
        </is>
      </c>
      <c r="C14" s="40" t="inlineStr">
        <is>
          <t>Copper Mill Apartments</t>
        </is>
      </c>
      <c r="D14" s="39" t="inlineStr">
        <is>
          <t>10000 Copper Mill Dr, Baton Rouge, LA 70818</t>
        </is>
      </c>
      <c r="E14" s="39" t="inlineStr">
        <is>
          <t>Baton Rouge</t>
        </is>
      </c>
      <c r="F14" s="39" t="inlineStr">
        <is>
          <t>LA</t>
        </is>
      </c>
      <c r="G14" s="39" t="n"/>
      <c r="H14" s="39" t="inlineStr">
        <is>
          <t>10.5 mi</t>
        </is>
      </c>
      <c r="I14" s="39" t="inlineStr">
        <is>
          <t>N/A (Market Rate)</t>
        </is>
      </c>
      <c r="J14" s="39" t="inlineStr">
        <is>
          <t>N/A (Market Rate)</t>
        </is>
      </c>
      <c r="K14" s="30" t="inlineStr">
        <is>
          <t>$916</t>
        </is>
      </c>
      <c r="L14" s="31" t="inlineStr">
        <is>
          <t>$925</t>
        </is>
      </c>
      <c r="M14" s="39" t="inlineStr">
        <is>
          <t>N/A (Market Rate)</t>
        </is>
      </c>
      <c r="N14" s="39" t="inlineStr">
        <is>
          <t>N/A (Market Rate)</t>
        </is>
      </c>
      <c r="O14" s="30" t="inlineStr">
        <is>
          <t>$1,254</t>
        </is>
      </c>
      <c r="P14" s="31" t="inlineStr">
        <is>
          <t>$1,150</t>
        </is>
      </c>
      <c r="Q14" s="39" t="inlineStr">
        <is>
          <t>N/A (Market Rate)</t>
        </is>
      </c>
      <c r="R14" s="39" t="inlineStr">
        <is>
          <t>N/A (Market Rate)</t>
        </is>
      </c>
      <c r="S14" s="30" t="inlineStr">
        <is>
          <t>$1,573</t>
        </is>
      </c>
      <c r="T14" s="31" t="inlineStr">
        <is>
          <t>$1,425</t>
        </is>
      </c>
      <c r="U14" s="39" t="inlineStr">
        <is>
          <t>N/A (Market Rate)</t>
        </is>
      </c>
      <c r="V14" s="39" t="inlineStr">
        <is>
          <t>N/A (Market Rate)</t>
        </is>
      </c>
      <c r="W14" s="30" t="inlineStr">
        <is>
          <t>$1,818</t>
        </is>
      </c>
      <c r="X14" s="31" t="inlineStr">
        <is>
          <t>Not Listed</t>
        </is>
      </c>
      <c r="Y14" s="39" t="inlineStr">
        <is>
          <t>160</t>
        </is>
      </c>
      <c r="Z14" s="39" t="inlineStr">
        <is>
          <t>2000</t>
        </is>
      </c>
      <c r="AA14" s="39" t="inlineStr">
        <is>
          <t>1</t>
        </is>
      </c>
      <c r="AB14" s="39" t="inlineStr">
        <is>
          <t>Varies</t>
        </is>
      </c>
      <c r="AC14" s="39" t="inlineStr">
        <is>
          <t>Varies</t>
        </is>
      </c>
      <c r="AD14" s="39" t="inlineStr">
        <is>
          <t>Varies</t>
        </is>
      </c>
      <c r="AE14" s="39" t="inlineStr">
        <is>
          <t>Varies</t>
        </is>
      </c>
      <c r="AF14" s="39" t="inlineStr">
        <is>
          <t>Varies</t>
        </is>
      </c>
      <c r="AG14" s="41" t="inlineStr">
        <is>
          <t>HIGH</t>
        </is>
      </c>
      <c r="AH14" s="40" t="inlineStr">
        <is>
          <t>Market Rate Comp #4: No income restrictions, 2000 vintage (1 yr diff), 160 units, 10.5 mi from subject. Shows market-rate rents vs. affordable housing discount.</t>
        </is>
      </c>
      <c r="AI14" s="39" t="inlineStr">
        <is>
          <t>https://www.rentcafe.com/apartments-for-rent/us/la/baton-rouge/copper-mill/</t>
        </is>
      </c>
    </row>
    <row r="15" ht="54.75" customFormat="1" customHeight="1" s="3">
      <c r="A15" s="48" t="inlineStr">
        <is>
          <t>—</t>
        </is>
      </c>
      <c r="B15" s="48" t="inlineStr">
        <is>
          <t>BENCHMARK</t>
        </is>
      </c>
      <c r="C15" s="49" t="inlineStr">
        <is>
          <t>FY2026 FMR — Baton Rouge MSA</t>
        </is>
      </c>
      <c r="D15" s="48" t="inlineStr">
        <is>
          <t>N/A</t>
        </is>
      </c>
      <c r="E15" s="48" t="inlineStr">
        <is>
          <t>Baton Rouge</t>
        </is>
      </c>
      <c r="F15" s="48" t="inlineStr">
        <is>
          <t>LA</t>
        </is>
      </c>
      <c r="G15" s="48" t="inlineStr">
        <is>
          <t>N/A</t>
        </is>
      </c>
      <c r="H15" s="48" t="inlineStr">
        <is>
          <t>N/A</t>
        </is>
      </c>
      <c r="I15" s="48" t="inlineStr">
        <is>
          <t>$916</t>
        </is>
      </c>
      <c r="J15" s="48" t="inlineStr">
        <is>
          <t>$916</t>
        </is>
      </c>
      <c r="K15" s="30" t="inlineStr">
        <is>
          <t>$916</t>
        </is>
      </c>
      <c r="L15" s="31" t="inlineStr">
        <is>
          <t>N/A</t>
        </is>
      </c>
      <c r="M15" s="48" t="inlineStr">
        <is>
          <t>$1,254</t>
        </is>
      </c>
      <c r="N15" s="48" t="inlineStr">
        <is>
          <t>$1,254</t>
        </is>
      </c>
      <c r="O15" s="30" t="inlineStr">
        <is>
          <t>$1,254</t>
        </is>
      </c>
      <c r="P15" s="31" t="inlineStr">
        <is>
          <t>N/A</t>
        </is>
      </c>
      <c r="Q15" s="48" t="inlineStr">
        <is>
          <t>$1,573</t>
        </is>
      </c>
      <c r="R15" s="48" t="inlineStr">
        <is>
          <t>$1,573</t>
        </is>
      </c>
      <c r="S15" s="30" t="inlineStr">
        <is>
          <t>$1,573</t>
        </is>
      </c>
      <c r="T15" s="31" t="inlineStr">
        <is>
          <t>N/A</t>
        </is>
      </c>
      <c r="U15" s="48" t="inlineStr">
        <is>
          <t>$1,818</t>
        </is>
      </c>
      <c r="V15" s="48" t="inlineStr">
        <is>
          <t>$1,818</t>
        </is>
      </c>
      <c r="W15" s="30" t="inlineStr">
        <is>
          <t>$1,818</t>
        </is>
      </c>
      <c r="X15" s="31" t="inlineStr">
        <is>
          <t>N/A</t>
        </is>
      </c>
      <c r="Y15" s="48" t="inlineStr">
        <is>
          <t>N/A</t>
        </is>
      </c>
      <c r="Z15" s="48" t="inlineStr">
        <is>
          <t>N/A</t>
        </is>
      </c>
      <c r="AA15" s="48" t="inlineStr">
        <is>
          <t>N/A</t>
        </is>
      </c>
      <c r="AB15" s="48" t="inlineStr">
        <is>
          <t>N/A</t>
        </is>
      </c>
      <c r="AC15" s="48" t="inlineStr">
        <is>
          <t>N/A</t>
        </is>
      </c>
      <c r="AD15" s="48" t="inlineStr">
        <is>
          <t>N/A</t>
        </is>
      </c>
      <c r="AE15" s="48" t="inlineStr">
        <is>
          <t>N/A</t>
        </is>
      </c>
      <c r="AF15" s="48" t="inlineStr">
        <is>
          <t>N/A</t>
        </is>
      </c>
      <c r="AG15" s="50" t="inlineStr">
        <is>
          <t>BENCHMARK</t>
        </is>
      </c>
      <c r="AH15" s="49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5" s="48" t="inlineStr">
        <is>
          <t>HUD FMR Database (huduser.gov)</t>
        </is>
      </c>
    </row>
    <row r="16" ht="54.75" customFormat="1" customHeight="1" s="3">
      <c r="A16" s="48" t="inlineStr">
        <is>
          <t>—</t>
        </is>
      </c>
      <c r="B16" s="48" t="inlineStr">
        <is>
          <t>BENCHMARK</t>
        </is>
      </c>
      <c r="C16" s="49" t="inlineStr">
        <is>
          <t>Metro Market Avg — Baton Rouge</t>
        </is>
      </c>
      <c r="D16" s="48" t="inlineStr">
        <is>
          <t>N/A</t>
        </is>
      </c>
      <c r="E16" s="48" t="inlineStr">
        <is>
          <t>Baton Rouge</t>
        </is>
      </c>
      <c r="F16" s="48" t="inlineStr">
        <is>
          <t>LA</t>
        </is>
      </c>
      <c r="G16" s="48" t="inlineStr">
        <is>
          <t>N/A</t>
        </is>
      </c>
      <c r="H16" s="48" t="inlineStr">
        <is>
          <t>N/A</t>
        </is>
      </c>
      <c r="I16" s="48" t="inlineStr">
        <is>
          <t>$1,007</t>
        </is>
      </c>
      <c r="J16" s="48" t="inlineStr">
        <is>
          <t>$1,007</t>
        </is>
      </c>
      <c r="K16" s="30" t="inlineStr">
        <is>
          <t>$1,007</t>
        </is>
      </c>
      <c r="L16" s="31" t="inlineStr">
        <is>
          <t>N/A</t>
        </is>
      </c>
      <c r="M16" s="48" t="inlineStr">
        <is>
          <t>$1,379</t>
        </is>
      </c>
      <c r="N16" s="48" t="inlineStr">
        <is>
          <t>$1,379</t>
        </is>
      </c>
      <c r="O16" s="30" t="inlineStr">
        <is>
          <t>$1,379</t>
        </is>
      </c>
      <c r="P16" s="31" t="inlineStr">
        <is>
          <t>N/A</t>
        </is>
      </c>
      <c r="Q16" s="48" t="inlineStr">
        <is>
          <t>$1,730</t>
        </is>
      </c>
      <c r="R16" s="48" t="inlineStr">
        <is>
          <t>$1,730</t>
        </is>
      </c>
      <c r="S16" s="30" t="inlineStr">
        <is>
          <t>$1,730</t>
        </is>
      </c>
      <c r="T16" s="31" t="inlineStr">
        <is>
          <t>N/A</t>
        </is>
      </c>
      <c r="U16" s="48" t="inlineStr">
        <is>
          <t>$1,999</t>
        </is>
      </c>
      <c r="V16" s="48" t="inlineStr">
        <is>
          <t>$1,999</t>
        </is>
      </c>
      <c r="W16" s="30" t="inlineStr">
        <is>
          <t>$1,999</t>
        </is>
      </c>
      <c r="X16" s="31" t="inlineStr">
        <is>
          <t>N/A</t>
        </is>
      </c>
      <c r="Y16" s="48" t="inlineStr">
        <is>
          <t>N/A</t>
        </is>
      </c>
      <c r="Z16" s="48" t="inlineStr">
        <is>
          <t>N/A</t>
        </is>
      </c>
      <c r="AA16" s="48" t="inlineStr">
        <is>
          <t>N/A</t>
        </is>
      </c>
      <c r="AB16" s="48" t="inlineStr">
        <is>
          <t>N/A</t>
        </is>
      </c>
      <c r="AC16" s="48" t="inlineStr">
        <is>
          <t>N/A</t>
        </is>
      </c>
      <c r="AD16" s="48" t="inlineStr">
        <is>
          <t>N/A</t>
        </is>
      </c>
      <c r="AE16" s="48" t="inlineStr">
        <is>
          <t>N/A</t>
        </is>
      </c>
      <c r="AF16" s="48" t="inlineStr">
        <is>
          <t>N/A</t>
        </is>
      </c>
      <c r="AG16" s="50" t="inlineStr">
        <is>
          <t>BENCHMARK</t>
        </is>
      </c>
      <c r="AH16" s="49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6" s="48" t="inlineStr">
        <is>
          <t>HUD FMR + Market Estimate</t>
        </is>
      </c>
    </row>
    <row r="17" ht="8.25" customFormat="1" customHeight="1" s="3"/>
    <row r="18" ht="27.75" customFormat="1" customHeight="1" s="3">
      <c r="A18" s="51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Height="1" s="95">
      <c r="A21" s="61" t="inlineStr">
        <is>
          <t>PMTS — Vouchers / FMR / UAP / NET FMR</t>
        </is>
      </c>
      <c r="B21" s="101" t="n"/>
      <c r="C21" s="101" t="n"/>
      <c r="D21" s="101" t="n"/>
      <c r="E21" s="101" t="n"/>
      <c r="F21" s="102" t="n"/>
    </row>
    <row r="22" ht="15" customHeight="1" s="95">
      <c r="A22" s="64" t="inlineStr">
        <is>
          <t>BD</t>
        </is>
      </c>
      <c r="B22" s="65" t="inlineStr">
        <is>
          <t>MKT</t>
        </is>
      </c>
      <c r="C22" s="66" t="inlineStr">
        <is>
          <t>VCH</t>
        </is>
      </c>
      <c r="D22" s="67" t="inlineStr">
        <is>
          <t>FMR</t>
        </is>
      </c>
      <c r="E22" s="68" t="inlineStr">
        <is>
          <t>UAP</t>
        </is>
      </c>
      <c r="F22" s="69" t="inlineStr">
        <is>
          <t>NET</t>
        </is>
      </c>
    </row>
    <row r="23" ht="15" customHeight="1" s="95">
      <c r="A23" s="70" t="inlineStr">
        <is>
          <t>1BD</t>
        </is>
      </c>
      <c r="B23" s="71" t="n">
        <v>0</v>
      </c>
      <c r="C23" s="71" t="n">
        <v>874</v>
      </c>
      <c r="D23" s="71" t="n">
        <v>1060</v>
      </c>
      <c r="E23" s="72" t="n">
        <v>77</v>
      </c>
      <c r="F23" s="73" t="n">
        <v>983</v>
      </c>
    </row>
    <row r="24" ht="15" customHeight="1" s="95">
      <c r="A24" s="74" t="inlineStr">
        <is>
          <t>2BD</t>
        </is>
      </c>
      <c r="B24" s="75" t="n">
        <v>0</v>
      </c>
      <c r="C24" s="75" t="n">
        <v>1040</v>
      </c>
      <c r="D24" s="75" t="n">
        <v>1200</v>
      </c>
      <c r="E24" s="72" t="n">
        <v>102</v>
      </c>
      <c r="F24" s="73" t="n">
        <v>1098</v>
      </c>
    </row>
    <row r="25" ht="15" customHeight="1" s="95">
      <c r="A25" s="70" t="inlineStr">
        <is>
          <t>3BD</t>
        </is>
      </c>
      <c r="B25" s="71" t="n">
        <v>0</v>
      </c>
      <c r="C25" s="71" t="n">
        <v>1194</v>
      </c>
      <c r="D25" s="71" t="n">
        <v>1500</v>
      </c>
      <c r="E25" s="72" t="n">
        <v>121</v>
      </c>
      <c r="F25" s="73" t="n">
        <v>1379</v>
      </c>
    </row>
    <row r="26" ht="15" customHeight="1" s="95">
      <c r="A26" s="74" t="inlineStr">
        <is>
          <t>4BD</t>
        </is>
      </c>
      <c r="B26" s="75" t="n">
        <v>0</v>
      </c>
      <c r="C26" s="75" t="n">
        <v>1321</v>
      </c>
      <c r="D26" s="75" t="n">
        <v>1990</v>
      </c>
      <c r="E26" s="72" t="n">
        <v>149</v>
      </c>
      <c r="F26" s="73" t="n">
        <v>1841</v>
      </c>
    </row>
    <row r="29" ht="15" customHeight="1" s="95">
      <c r="A29" s="61" t="inlineStr">
        <is>
          <t>LIHTC, UAP, NET</t>
        </is>
      </c>
      <c r="B29" s="101" t="n"/>
      <c r="C29" s="101" t="n"/>
      <c r="D29" s="101" t="n"/>
      <c r="E29" s="102" t="n"/>
    </row>
    <row r="30" ht="15" customHeight="1" s="95">
      <c r="A30" s="64" t="n"/>
      <c r="B30" s="65" t="inlineStr">
        <is>
          <t>LIHTC/MKT</t>
        </is>
      </c>
      <c r="C30" s="67" t="inlineStr">
        <is>
          <t>60%</t>
        </is>
      </c>
      <c r="D30" s="68" t="inlineStr">
        <is>
          <t>UAP</t>
        </is>
      </c>
      <c r="E30" s="69" t="inlineStr">
        <is>
          <t>NET</t>
        </is>
      </c>
    </row>
    <row r="31" ht="15" customHeight="1" s="95">
      <c r="A31" s="70" t="inlineStr">
        <is>
          <t>1BD</t>
        </is>
      </c>
      <c r="B31" s="71" t="n">
        <v>1032</v>
      </c>
      <c r="C31" s="71" t="n">
        <v>874</v>
      </c>
      <c r="D31" s="72" t="n">
        <v>77</v>
      </c>
      <c r="E31" s="73" t="n">
        <v>797</v>
      </c>
    </row>
    <row r="32" ht="15" customHeight="1" s="95">
      <c r="A32" s="74" t="inlineStr">
        <is>
          <t>2BD</t>
        </is>
      </c>
      <c r="B32" s="75" t="n">
        <v>1239</v>
      </c>
      <c r="C32" s="75" t="n">
        <v>1040</v>
      </c>
      <c r="D32" s="72" t="n">
        <v>102</v>
      </c>
      <c r="E32" s="73" t="n">
        <v>938</v>
      </c>
    </row>
    <row r="33" ht="15" customHeight="1" s="95">
      <c r="A33" s="70" t="inlineStr">
        <is>
          <t>3BD</t>
        </is>
      </c>
      <c r="B33" s="71" t="n">
        <v>1431</v>
      </c>
      <c r="C33" s="71" t="n">
        <v>1194</v>
      </c>
      <c r="D33" s="72" t="n">
        <v>121</v>
      </c>
      <c r="E33" s="73" t="n">
        <v>1073</v>
      </c>
    </row>
    <row r="34" ht="15" customHeight="1" s="95">
      <c r="A34" s="74" t="inlineStr">
        <is>
          <t>4BD</t>
        </is>
      </c>
      <c r="B34" s="75" t="n">
        <v>1596</v>
      </c>
      <c r="C34" s="75" t="n">
        <v>1321</v>
      </c>
      <c r="D34" s="72" t="n">
        <v>149</v>
      </c>
      <c r="E34" s="73" t="n">
        <v>1172</v>
      </c>
    </row>
    <row r="37" ht="15" customHeight="1" s="95">
      <c r="A37" s="61" t="inlineStr">
        <is>
          <t>HAP, CoStar, NET</t>
        </is>
      </c>
      <c r="B37" s="101" t="n"/>
      <c r="C37" s="102" t="n"/>
    </row>
    <row r="38" ht="15" customHeight="1" s="95">
      <c r="A38" s="64" t="n"/>
      <c r="B38" s="68" t="inlineStr">
        <is>
          <t>HAP</t>
        </is>
      </c>
      <c r="C38" s="65" t="inlineStr">
        <is>
          <t>CoStar</t>
        </is>
      </c>
    </row>
    <row r="39" ht="15" customHeight="1" s="95">
      <c r="A39" s="70" t="inlineStr">
        <is>
          <t>1BD</t>
        </is>
      </c>
      <c r="B39" s="103" t="n">
        <v>0</v>
      </c>
      <c r="C39" s="104" t="n">
        <v>1184</v>
      </c>
    </row>
    <row r="40" ht="15" customHeight="1" s="95">
      <c r="A40" s="74" t="inlineStr">
        <is>
          <t>2BD</t>
        </is>
      </c>
      <c r="B40" s="103" t="n">
        <v>0</v>
      </c>
      <c r="C40" s="104" t="n">
        <v>1326</v>
      </c>
    </row>
    <row r="41" ht="15" customHeight="1" s="95">
      <c r="A41" s="70" t="inlineStr">
        <is>
          <t>3BD</t>
        </is>
      </c>
      <c r="B41" s="103" t="n">
        <v>0</v>
      </c>
      <c r="C41" s="104" t="n">
        <v>1530</v>
      </c>
    </row>
    <row r="42" ht="15" customHeight="1" s="95">
      <c r="A42" s="74" t="inlineStr">
        <is>
          <t>4BD</t>
        </is>
      </c>
      <c r="B42" s="103" t="n">
        <v>0</v>
      </c>
      <c r="C42" s="104" t="n">
        <v>1253</v>
      </c>
    </row>
  </sheetData>
  <mergeCells count="7">
    <mergeCell ref="A2:AI2"/>
    <mergeCell ref="A29:E29"/>
    <mergeCell ref="A37:C37"/>
    <mergeCell ref="A18:AI18"/>
    <mergeCell ref="A3:AI3"/>
    <mergeCell ref="A4:AI4"/>
    <mergeCell ref="A21:F21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I42"/>
  <sheetViews>
    <sheetView topLeftCell="A1" workbookViewId="0">
      <pane ySplit="1" topLeftCell="A5" activePane="bottomLeft" state="frozen"/>
      <selection pane="bottomLeft" activeCell="A1" sqref="A1:AI1"/>
    </sheetView>
  </sheetViews>
  <sheetFormatPr baseColWidth="8" defaultColWidth="9.140625" defaultRowHeight="15" customHeight="1"/>
  <cols>
    <col width="8.00390625" customWidth="1" style="3" min="1" max="1"/>
    <col width="14.00390625" customWidth="1" style="3" min="2" max="2"/>
    <col width="28.00390625" customWidth="1" style="3" min="3" max="3"/>
    <col width="22.00390625" customWidth="1" style="3" min="4" max="4"/>
    <col width="16.00390625" customWidth="1" style="3" min="5" max="5"/>
    <col width="10.00390625" customWidth="1" style="3" min="6" max="6"/>
    <col width="8.00390625" customWidth="1" style="3" min="7" max="7"/>
    <col width="11.00390625" customWidth="1" style="3" min="8" max="8"/>
    <col width="10.00390625" customWidth="1" style="3" min="9" max="11"/>
    <col width="12.00390625" customWidth="1" style="3" min="12" max="12"/>
    <col width="10.00390625" customWidth="1" style="3" min="13" max="15"/>
    <col width="12.00390625" customWidth="1" style="3" min="16" max="16"/>
    <col width="10.00390625" customWidth="1" style="3" min="17" max="19"/>
    <col width="12.00390625" customWidth="1" style="3" min="20" max="20"/>
    <col width="10.00390625" customWidth="1" style="3" min="21" max="23"/>
    <col width="12.00390625" customWidth="1" style="3" min="24" max="24"/>
    <col width="8.00390625" customWidth="1" style="3" min="25" max="25"/>
    <col width="10.00390625" customWidth="1" style="3" min="26" max="26"/>
    <col width="7.00390625" customWidth="1" style="3" min="27" max="27"/>
    <col width="12.00390625" customWidth="1" style="3" min="28" max="29"/>
    <col width="8.00390625" customWidth="1" style="3" min="30" max="31"/>
    <col width="10.00390625" customWidth="1" style="3" min="32" max="32"/>
    <col width="16.00390625" customWidth="1" style="3" min="33" max="33"/>
    <col width="45.00390625" customWidth="1" style="3" min="34" max="34"/>
    <col width="28.00390625" customWidth="1" style="3" min="35" max="35"/>
  </cols>
  <sheetData>
    <row r="1" ht="15" customHeight="1" s="95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</row>
    <row r="2" ht="24" customFormat="1" customHeight="1" s="3">
      <c r="A2" s="17" t="inlineStr">
        <is>
          <t>COMPETITIVE RENT ANALYSIS — HOWELL PLACE | GREEN = Affordable Comps | BLUE = Market Rate Comps</t>
        </is>
      </c>
    </row>
    <row r="3" ht="20.25" customFormat="1" customHeight="1" s="3">
      <c r="A3" s="18" t="inlineStr">
        <is>
          <t>SUBJECT: Howell Place | 4150 72nd Avenue, Baton Rouge, LA 70811 | 48 units | Program: Section 8/HUD | Bedroom Mix: 1BR / 2BR / 3BR / 4BR | County AMI: $91,700 | FMR Area: Baton Rouge MSA</t>
        </is>
      </c>
    </row>
    <row r="4" ht="90" customFormat="1" customHeight="1" s="3">
      <c r="A4" s="19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5" ht="30" customFormat="1" customHeight="1" s="3">
      <c r="A5" s="20" t="inlineStr">
        <is>
          <t>Rank</t>
        </is>
      </c>
      <c r="B5" s="20" t="inlineStr">
        <is>
          <t>Type</t>
        </is>
      </c>
      <c r="C5" s="20" t="inlineStr">
        <is>
          <t>Property Name</t>
        </is>
      </c>
      <c r="D5" s="20" t="inlineStr">
        <is>
          <t>Address</t>
        </is>
      </c>
      <c r="E5" s="20" t="inlineStr">
        <is>
          <t>City</t>
        </is>
      </c>
      <c r="F5" s="20" t="inlineStr">
        <is>
          <t>State</t>
        </is>
      </c>
      <c r="G5" s="20" t="inlineStr">
        <is>
          <t>ZIP</t>
        </is>
      </c>
      <c r="H5" s="20" t="inlineStr">
        <is>
          <t>Distance (mi)</t>
        </is>
      </c>
      <c r="I5" s="20" t="inlineStr">
        <is>
          <t>1BR Low ($)</t>
        </is>
      </c>
      <c r="J5" s="20" t="inlineStr">
        <is>
          <t>1BR Mid ($)</t>
        </is>
      </c>
      <c r="K5" s="21" t="inlineStr">
        <is>
          <t>1BR FMR ($)</t>
        </is>
      </c>
      <c r="L5" s="22" t="inlineStr">
        <is>
          <t>1BR Actual ($)</t>
        </is>
      </c>
      <c r="M5" s="20" t="inlineStr">
        <is>
          <t>2BR Low ($)</t>
        </is>
      </c>
      <c r="N5" s="20" t="inlineStr">
        <is>
          <t>2BR Mid ($)</t>
        </is>
      </c>
      <c r="O5" s="21" t="inlineStr">
        <is>
          <t>2BR FMR ($)</t>
        </is>
      </c>
      <c r="P5" s="22" t="inlineStr">
        <is>
          <t>2BR Actual ($)</t>
        </is>
      </c>
      <c r="Q5" s="20" t="inlineStr">
        <is>
          <t>3BR Low ($)</t>
        </is>
      </c>
      <c r="R5" s="20" t="inlineStr">
        <is>
          <t>3BR Mid ($)</t>
        </is>
      </c>
      <c r="S5" s="21" t="inlineStr">
        <is>
          <t>3BR FMR ($)</t>
        </is>
      </c>
      <c r="T5" s="22" t="inlineStr">
        <is>
          <t>3BR Actual ($)</t>
        </is>
      </c>
      <c r="U5" s="20" t="inlineStr">
        <is>
          <t>4BR Low ($)</t>
        </is>
      </c>
      <c r="V5" s="20" t="inlineStr">
        <is>
          <t>4BR Mid ($)</t>
        </is>
      </c>
      <c r="W5" s="21" t="inlineStr">
        <is>
          <t>4BR FMR ($)</t>
        </is>
      </c>
      <c r="X5" s="22" t="inlineStr">
        <is>
          <t>4BR Actual ($)</t>
        </is>
      </c>
      <c r="Y5" s="20" t="inlineStr">
        <is>
          <t># Units</t>
        </is>
      </c>
      <c r="Z5" s="20" t="inlineStr">
        <is>
          <t>Year Built</t>
        </is>
      </c>
      <c r="AA5" s="20" t="inlineStr">
        <is>
          <t>Yr Diff</t>
        </is>
      </c>
      <c r="AB5" s="20" t="inlineStr">
        <is>
          <t>Utilities Incl.</t>
        </is>
      </c>
      <c r="AC5" s="20" t="inlineStr">
        <is>
          <t>Pet Friendly</t>
        </is>
      </c>
      <c r="AD5" s="20" t="inlineStr">
        <is>
          <t>Gated</t>
        </is>
      </c>
      <c r="AE5" s="20" t="inlineStr">
        <is>
          <t>Pool</t>
        </is>
      </c>
      <c r="AF5" s="20" t="inlineStr">
        <is>
          <t>W/D In-Unit</t>
        </is>
      </c>
      <c r="AG5" s="20" t="inlineStr">
        <is>
          <t>Competition Level</t>
        </is>
      </c>
      <c r="AH5" s="20" t="inlineStr">
        <is>
          <t>Why Competitive</t>
        </is>
      </c>
      <c r="AI5" s="20" t="inlineStr">
        <is>
          <t>Data Source</t>
        </is>
      </c>
    </row>
    <row r="6" ht="54.75" customFormat="1" customHeight="1" s="3">
      <c r="A6" s="23" t="inlineStr">
        <is>
          <t>—</t>
        </is>
      </c>
      <c r="B6" s="23" t="inlineStr">
        <is>
          <t>SUBJECT</t>
        </is>
      </c>
      <c r="C6" s="24" t="inlineStr">
        <is>
          <t>Howell Place (SUBJECT)</t>
        </is>
      </c>
      <c r="D6" s="23" t="inlineStr">
        <is>
          <t>4150 72nd Avenue</t>
        </is>
      </c>
      <c r="E6" s="23" t="inlineStr">
        <is>
          <t>Baton Rouge</t>
        </is>
      </c>
      <c r="F6" s="23" t="inlineStr">
        <is>
          <t>LA</t>
        </is>
      </c>
      <c r="G6" s="23" t="inlineStr">
        <is>
          <t>70811</t>
        </is>
      </c>
      <c r="H6" s="23" t="inlineStr">
        <is>
          <t>0.0 mi</t>
        </is>
      </c>
      <c r="I6" s="23" t="inlineStr">
        <is>
          <t>$2,866</t>
        </is>
      </c>
      <c r="J6" s="23" t="inlineStr">
        <is>
          <t>$3,440</t>
        </is>
      </c>
      <c r="K6" s="25" t="inlineStr">
        <is>
          <t>$916</t>
        </is>
      </c>
      <c r="L6" s="26" t="inlineStr">
        <is>
          <t>N/A</t>
        </is>
      </c>
      <c r="M6" s="23" t="inlineStr">
        <is>
          <t>$3,441</t>
        </is>
      </c>
      <c r="N6" s="23" t="inlineStr">
        <is>
          <t>$4,130</t>
        </is>
      </c>
      <c r="O6" s="25" t="inlineStr">
        <is>
          <t>$1,254</t>
        </is>
      </c>
      <c r="P6" s="26" t="inlineStr">
        <is>
          <t>N/A</t>
        </is>
      </c>
      <c r="Q6" s="23" t="inlineStr">
        <is>
          <t>$3,820</t>
        </is>
      </c>
      <c r="R6" s="23" t="inlineStr">
        <is>
          <t>$4,585</t>
        </is>
      </c>
      <c r="S6" s="25" t="inlineStr">
        <is>
          <t>$1,573</t>
        </is>
      </c>
      <c r="T6" s="26" t="inlineStr">
        <is>
          <t>N/A</t>
        </is>
      </c>
      <c r="U6" s="23" t="inlineStr">
        <is>
          <t>$4,129</t>
        </is>
      </c>
      <c r="V6" s="23" t="inlineStr">
        <is>
          <t>$4,955</t>
        </is>
      </c>
      <c r="W6" s="25" t="inlineStr">
        <is>
          <t>$1,818</t>
        </is>
      </c>
      <c r="X6" s="26" t="inlineStr">
        <is>
          <t>N/A</t>
        </is>
      </c>
      <c r="Y6" s="23" t="inlineStr">
        <is>
          <t>48</t>
        </is>
      </c>
      <c r="Z6" s="23" t="inlineStr">
        <is>
          <t>2001</t>
        </is>
      </c>
      <c r="AA6" s="23" t="inlineStr">
        <is>
          <t>0</t>
        </is>
      </c>
      <c r="AB6" s="23" t="inlineStr">
        <is>
          <t>Partial</t>
        </is>
      </c>
      <c r="AC6" s="23" t="inlineStr">
        <is>
          <t>No</t>
        </is>
      </c>
      <c r="AD6" s="23" t="inlineStr">
        <is>
          <t>No</t>
        </is>
      </c>
      <c r="AE6" s="23" t="inlineStr">
        <is>
          <t>No</t>
        </is>
      </c>
      <c r="AF6" s="23" t="inlineStr">
        <is>
          <t>No</t>
        </is>
      </c>
      <c r="AG6" s="27" t="inlineStr">
        <is>
          <t>SUBJECT</t>
        </is>
      </c>
      <c r="AH6" s="24" t="inlineStr">
        <is>
          <t>48 units | Section 8/HUD property. Year built: 2001. Subject property for market context.</t>
        </is>
      </c>
      <c r="AI6" s="23" t="inlineStr">
        <is>
          <t>Apartment Corp Records</t>
        </is>
      </c>
    </row>
    <row r="7" ht="54.75" customFormat="1" customHeight="1" s="3">
      <c r="A7" s="28" t="inlineStr">
        <is>
          <t>1</t>
        </is>
      </c>
      <c r="B7" s="28" t="inlineStr">
        <is>
          <t>AFFORDABLE</t>
        </is>
      </c>
      <c r="C7" s="29" t="inlineStr">
        <is>
          <t>Pelican Bay Iii</t>
        </is>
      </c>
      <c r="D7" s="28" t="inlineStr">
        <is>
          <t>2121 N. Lobdell Blvd.</t>
        </is>
      </c>
      <c r="E7" s="28" t="inlineStr">
        <is>
          <t>Baton Rouge</t>
        </is>
      </c>
      <c r="F7" s="28" t="inlineStr">
        <is>
          <t>LA</t>
        </is>
      </c>
      <c r="G7" s="28" t="inlineStr">
        <is>
          <t>70806-0000</t>
        </is>
      </c>
      <c r="H7" s="28" t="inlineStr">
        <is>
          <t>4.1 mi</t>
        </is>
      </c>
      <c r="I7" s="28" t="inlineStr">
        <is>
          <t>$2,866</t>
        </is>
      </c>
      <c r="J7" s="28" t="inlineStr">
        <is>
          <t>$3,440</t>
        </is>
      </c>
      <c r="K7" s="30" t="inlineStr">
        <is>
          <t>$916</t>
        </is>
      </c>
      <c r="L7" s="31" t="inlineStr">
        <is>
          <t>Not Listed</t>
        </is>
      </c>
      <c r="M7" s="28" t="inlineStr">
        <is>
          <t>$3,441</t>
        </is>
      </c>
      <c r="N7" s="28" t="inlineStr">
        <is>
          <t>$4,130</t>
        </is>
      </c>
      <c r="O7" s="30" t="inlineStr">
        <is>
          <t>$1,254</t>
        </is>
      </c>
      <c r="P7" s="31" t="inlineStr">
        <is>
          <t>Not Listed</t>
        </is>
      </c>
      <c r="Q7" s="28" t="inlineStr">
        <is>
          <t>$3,820</t>
        </is>
      </c>
      <c r="R7" s="28" t="inlineStr">
        <is>
          <t>$4,585</t>
        </is>
      </c>
      <c r="S7" s="30" t="inlineStr">
        <is>
          <t>$1,573</t>
        </is>
      </c>
      <c r="T7" s="31" t="inlineStr">
        <is>
          <t>Not Listed</t>
        </is>
      </c>
      <c r="U7" s="28" t="inlineStr">
        <is>
          <t>$4,129</t>
        </is>
      </c>
      <c r="V7" s="28" t="inlineStr">
        <is>
          <t>$4,955</t>
        </is>
      </c>
      <c r="W7" s="30" t="inlineStr">
        <is>
          <t>$1,818</t>
        </is>
      </c>
      <c r="X7" s="31" t="inlineStr">
        <is>
          <t>Not Listed</t>
        </is>
      </c>
      <c r="Y7" s="28" t="inlineStr">
        <is>
          <t>48</t>
        </is>
      </c>
      <c r="Z7" s="28" t="inlineStr">
        <is>
          <t>2001</t>
        </is>
      </c>
      <c r="AA7" s="28" t="inlineStr">
        <is>
          <t>0</t>
        </is>
      </c>
      <c r="AB7" s="28" t="inlineStr">
        <is>
          <t>Yes</t>
        </is>
      </c>
      <c r="AC7" s="28" t="inlineStr">
        <is>
          <t>No</t>
        </is>
      </c>
      <c r="AD7" s="28" t="inlineStr">
        <is>
          <t>No</t>
        </is>
      </c>
      <c r="AE7" s="28" t="inlineStr">
        <is>
          <t>No</t>
        </is>
      </c>
      <c r="AF7" s="28" t="inlineStr">
        <is>
          <t>No</t>
        </is>
      </c>
      <c r="AG7" s="32" t="inlineStr">
        <is>
          <t>HIGH</t>
        </is>
      </c>
      <c r="AH7" s="29" t="inlineStr">
        <is>
          <t>Affordable Comp #1: LIHTC property, 2001 vintage (0 yr diff), 48 units, 4.1 mi from subject. Same income-eligible renter pool.</t>
        </is>
      </c>
      <c r="AI7" s="28" t="inlineStr">
        <is>
          <t>HUD LIHTC Database (huduser.gov)</t>
        </is>
      </c>
    </row>
    <row r="8" ht="54.75" customFormat="1" customHeight="1" s="3">
      <c r="A8" s="33" t="inlineStr">
        <is>
          <t>2</t>
        </is>
      </c>
      <c r="B8" s="33" t="inlineStr">
        <is>
          <t>AFFORDABLE</t>
        </is>
      </c>
      <c r="C8" s="34" t="inlineStr">
        <is>
          <t>Mt. Zion Homess</t>
        </is>
      </c>
      <c r="D8" s="33" t="inlineStr">
        <is>
          <t>802 N. 22Nd St., Gracie St, N. 29Th St.</t>
        </is>
      </c>
      <c r="E8" s="33" t="inlineStr">
        <is>
          <t>Baton Rouge</t>
        </is>
      </c>
      <c r="F8" s="33" t="inlineStr">
        <is>
          <t>LA</t>
        </is>
      </c>
      <c r="G8" s="33" t="inlineStr">
        <is>
          <t>70802-0000</t>
        </is>
      </c>
      <c r="H8" s="33" t="inlineStr">
        <is>
          <t>1.3 mi</t>
        </is>
      </c>
      <c r="I8" s="33" t="inlineStr">
        <is>
          <t>$2,866</t>
        </is>
      </c>
      <c r="J8" s="33" t="inlineStr">
        <is>
          <t>$3,440</t>
        </is>
      </c>
      <c r="K8" s="30" t="inlineStr">
        <is>
          <t>$916</t>
        </is>
      </c>
      <c r="L8" s="31" t="inlineStr">
        <is>
          <t>Not Listed</t>
        </is>
      </c>
      <c r="M8" s="33" t="inlineStr">
        <is>
          <t>$3,441</t>
        </is>
      </c>
      <c r="N8" s="33" t="inlineStr">
        <is>
          <t>$4,130</t>
        </is>
      </c>
      <c r="O8" s="30" t="inlineStr">
        <is>
          <t>$1,254</t>
        </is>
      </c>
      <c r="P8" s="31" t="inlineStr">
        <is>
          <t>Not Listed</t>
        </is>
      </c>
      <c r="Q8" s="33" t="inlineStr">
        <is>
          <t>$3,820</t>
        </is>
      </c>
      <c r="R8" s="33" t="inlineStr">
        <is>
          <t>$4,585</t>
        </is>
      </c>
      <c r="S8" s="30" t="inlineStr">
        <is>
          <t>$1,573</t>
        </is>
      </c>
      <c r="T8" s="31" t="inlineStr">
        <is>
          <t>Not Listed</t>
        </is>
      </c>
      <c r="U8" s="33" t="inlineStr">
        <is>
          <t>$4,129</t>
        </is>
      </c>
      <c r="V8" s="33" t="inlineStr">
        <is>
          <t>$4,955</t>
        </is>
      </c>
      <c r="W8" s="30" t="inlineStr">
        <is>
          <t>$1,818</t>
        </is>
      </c>
      <c r="X8" s="31" t="inlineStr">
        <is>
          <t>Not Listed</t>
        </is>
      </c>
      <c r="Y8" s="33" t="inlineStr">
        <is>
          <t>31</t>
        </is>
      </c>
      <c r="Z8" s="33" t="inlineStr">
        <is>
          <t>2001</t>
        </is>
      </c>
      <c r="AA8" s="33" t="inlineStr">
        <is>
          <t>0</t>
        </is>
      </c>
      <c r="AB8" s="33" t="inlineStr">
        <is>
          <t>Yes</t>
        </is>
      </c>
      <c r="AC8" s="33" t="inlineStr">
        <is>
          <t>No</t>
        </is>
      </c>
      <c r="AD8" s="33" t="inlineStr">
        <is>
          <t>No</t>
        </is>
      </c>
      <c r="AE8" s="33" t="inlineStr">
        <is>
          <t>No</t>
        </is>
      </c>
      <c r="AF8" s="33" t="inlineStr">
        <is>
          <t>No</t>
        </is>
      </c>
      <c r="AG8" s="35" t="inlineStr">
        <is>
          <t>HIGH</t>
        </is>
      </c>
      <c r="AH8" s="34" t="inlineStr">
        <is>
          <t>Affordable Comp #2: LIHTC property, 2001 vintage (0 yr diff), 31 units, 1.3 mi from subject. Same income-eligible renter pool.</t>
        </is>
      </c>
      <c r="AI8" s="33" t="inlineStr">
        <is>
          <t>HUD LIHTC Database (huduser.gov)</t>
        </is>
      </c>
    </row>
    <row r="9" ht="54.75" customFormat="1" customHeight="1" s="3">
      <c r="A9" s="36" t="inlineStr">
        <is>
          <t>3</t>
        </is>
      </c>
      <c r="B9" s="36" t="inlineStr">
        <is>
          <t>AFFORDABLE</t>
        </is>
      </c>
      <c r="C9" s="37" t="inlineStr">
        <is>
          <t>Restoration Baton Rouge Ii</t>
        </is>
      </c>
      <c r="D9" s="36" t="inlineStr">
        <is>
          <t>2906 Government Street</t>
        </is>
      </c>
      <c r="E9" s="36" t="inlineStr">
        <is>
          <t>Baton Rouge</t>
        </is>
      </c>
      <c r="F9" s="36" t="inlineStr">
        <is>
          <t>LA</t>
        </is>
      </c>
      <c r="G9" s="36" t="inlineStr">
        <is>
          <t>70806-0000</t>
        </is>
      </c>
      <c r="H9" s="36" t="inlineStr">
        <is>
          <t>1.8 mi</t>
        </is>
      </c>
      <c r="I9" s="36" t="inlineStr">
        <is>
          <t>$2,866</t>
        </is>
      </c>
      <c r="J9" s="36" t="inlineStr">
        <is>
          <t>$3,440</t>
        </is>
      </c>
      <c r="K9" s="30" t="inlineStr">
        <is>
          <t>$916</t>
        </is>
      </c>
      <c r="L9" s="31" t="inlineStr">
        <is>
          <t>Not Listed</t>
        </is>
      </c>
      <c r="M9" s="36" t="inlineStr">
        <is>
          <t>$3,441</t>
        </is>
      </c>
      <c r="N9" s="36" t="inlineStr">
        <is>
          <t>$4,130</t>
        </is>
      </c>
      <c r="O9" s="30" t="inlineStr">
        <is>
          <t>$1,254</t>
        </is>
      </c>
      <c r="P9" s="31" t="inlineStr">
        <is>
          <t>Not Listed</t>
        </is>
      </c>
      <c r="Q9" s="36" t="inlineStr">
        <is>
          <t>$3,820</t>
        </is>
      </c>
      <c r="R9" s="36" t="inlineStr">
        <is>
          <t>$4,585</t>
        </is>
      </c>
      <c r="S9" s="30" t="inlineStr">
        <is>
          <t>$1,573</t>
        </is>
      </c>
      <c r="T9" s="31" t="inlineStr">
        <is>
          <t>Not Listed</t>
        </is>
      </c>
      <c r="U9" s="36" t="inlineStr">
        <is>
          <t>$4,129</t>
        </is>
      </c>
      <c r="V9" s="36" t="inlineStr">
        <is>
          <t>$4,955</t>
        </is>
      </c>
      <c r="W9" s="30" t="inlineStr">
        <is>
          <t>$1,818</t>
        </is>
      </c>
      <c r="X9" s="31" t="inlineStr">
        <is>
          <t>Not Listed</t>
        </is>
      </c>
      <c r="Y9" s="36" t="inlineStr">
        <is>
          <t>36</t>
        </is>
      </c>
      <c r="Z9" s="36" t="inlineStr">
        <is>
          <t>2002</t>
        </is>
      </c>
      <c r="AA9" s="36" t="inlineStr">
        <is>
          <t>1</t>
        </is>
      </c>
      <c r="AB9" s="36" t="inlineStr">
        <is>
          <t>Yes</t>
        </is>
      </c>
      <c r="AC9" s="36" t="inlineStr">
        <is>
          <t>No</t>
        </is>
      </c>
      <c r="AD9" s="36" t="inlineStr">
        <is>
          <t>No</t>
        </is>
      </c>
      <c r="AE9" s="36" t="inlineStr">
        <is>
          <t>No</t>
        </is>
      </c>
      <c r="AF9" s="36" t="inlineStr">
        <is>
          <t>No</t>
        </is>
      </c>
      <c r="AG9" s="85" t="inlineStr">
        <is>
          <t>HIGH</t>
        </is>
      </c>
      <c r="AH9" s="37" t="inlineStr">
        <is>
          <t>Affordable Comp #3: LIHTC property, 2002 vintage (1 yr diff), 36 units, 1.8 mi from subject. Same income-eligible renter pool.</t>
        </is>
      </c>
      <c r="AI9" s="36" t="inlineStr">
        <is>
          <t>HUD LIHTC Database (huduser.gov)</t>
        </is>
      </c>
    </row>
    <row r="10" ht="54.75" customFormat="1" customHeight="1" s="3">
      <c r="A10" s="28" t="inlineStr">
        <is>
          <t>4</t>
        </is>
      </c>
      <c r="B10" s="28" t="inlineStr">
        <is>
          <t>AFFORDABLE</t>
        </is>
      </c>
      <c r="C10" s="29" t="inlineStr">
        <is>
          <t>Restoration Baton Rouge I</t>
        </is>
      </c>
      <c r="D10" s="28" t="inlineStr">
        <is>
          <t>605 North 33Rd Street</t>
        </is>
      </c>
      <c r="E10" s="28" t="inlineStr">
        <is>
          <t>Baton Rouge</t>
        </is>
      </c>
      <c r="F10" s="28" t="inlineStr">
        <is>
          <t>LA</t>
        </is>
      </c>
      <c r="G10" s="28" t="inlineStr">
        <is>
          <t>70802-0000</t>
        </is>
      </c>
      <c r="H10" s="28" t="inlineStr">
        <is>
          <t>1.9 mi</t>
        </is>
      </c>
      <c r="I10" s="28" t="inlineStr">
        <is>
          <t>$2,866</t>
        </is>
      </c>
      <c r="J10" s="28" t="inlineStr">
        <is>
          <t>$3,440</t>
        </is>
      </c>
      <c r="K10" s="30" t="inlineStr">
        <is>
          <t>$916</t>
        </is>
      </c>
      <c r="L10" s="31" t="inlineStr">
        <is>
          <t>Not Listed</t>
        </is>
      </c>
      <c r="M10" s="28" t="inlineStr">
        <is>
          <t>$3,441</t>
        </is>
      </c>
      <c r="N10" s="28" t="inlineStr">
        <is>
          <t>$4,130</t>
        </is>
      </c>
      <c r="O10" s="30" t="inlineStr">
        <is>
          <t>$1,254</t>
        </is>
      </c>
      <c r="P10" s="31" t="inlineStr">
        <is>
          <t>Not Listed</t>
        </is>
      </c>
      <c r="Q10" s="28" t="inlineStr">
        <is>
          <t>$3,820</t>
        </is>
      </c>
      <c r="R10" s="28" t="inlineStr">
        <is>
          <t>$4,585</t>
        </is>
      </c>
      <c r="S10" s="30" t="inlineStr">
        <is>
          <t>$1,573</t>
        </is>
      </c>
      <c r="T10" s="31" t="inlineStr">
        <is>
          <t>Not Listed</t>
        </is>
      </c>
      <c r="U10" s="28" t="inlineStr">
        <is>
          <t>$4,129</t>
        </is>
      </c>
      <c r="V10" s="28" t="inlineStr">
        <is>
          <t>$4,955</t>
        </is>
      </c>
      <c r="W10" s="30" t="inlineStr">
        <is>
          <t>$1,818</t>
        </is>
      </c>
      <c r="X10" s="31" t="inlineStr">
        <is>
          <t>Not Listed</t>
        </is>
      </c>
      <c r="Y10" s="28" t="inlineStr">
        <is>
          <t>32</t>
        </is>
      </c>
      <c r="Z10" s="28" t="inlineStr">
        <is>
          <t>2002</t>
        </is>
      </c>
      <c r="AA10" s="28" t="inlineStr">
        <is>
          <t>1</t>
        </is>
      </c>
      <c r="AB10" s="28" t="inlineStr">
        <is>
          <t>Yes</t>
        </is>
      </c>
      <c r="AC10" s="28" t="inlineStr">
        <is>
          <t>No</t>
        </is>
      </c>
      <c r="AD10" s="28" t="inlineStr">
        <is>
          <t>No</t>
        </is>
      </c>
      <c r="AE10" s="28" t="inlineStr">
        <is>
          <t>No</t>
        </is>
      </c>
      <c r="AF10" s="28" t="inlineStr">
        <is>
          <t>No</t>
        </is>
      </c>
      <c r="AG10" s="32" t="inlineStr">
        <is>
          <t>HIGH</t>
        </is>
      </c>
      <c r="AH10" s="29" t="inlineStr">
        <is>
          <t>Affordable Comp #4: LIHTC property, 2002 vintage (1 yr diff), 32 units, 1.9 mi from subject. Same income-eligible renter pool.</t>
        </is>
      </c>
      <c r="AI10" s="28" t="inlineStr">
        <is>
          <t>HUD LIHTC Database (huduser.gov)</t>
        </is>
      </c>
    </row>
    <row r="11" ht="54.75" customFormat="1" customHeight="1" s="3">
      <c r="A11" s="39" t="inlineStr">
        <is>
          <t>1</t>
        </is>
      </c>
      <c r="B11" s="39" t="inlineStr">
        <is>
          <t>MARKET RATE</t>
        </is>
      </c>
      <c r="C11" s="40" t="inlineStr">
        <is>
          <t>Sienna Lake Apartments</t>
        </is>
      </c>
      <c r="D11" s="39" t="inlineStr">
        <is>
          <t>5555 Sienna Lakes Dr, Baton Rouge, LA 70820</t>
        </is>
      </c>
      <c r="E11" s="39" t="inlineStr">
        <is>
          <t>Baton Rouge</t>
        </is>
      </c>
      <c r="F11" s="39" t="inlineStr">
        <is>
          <t>LA</t>
        </is>
      </c>
      <c r="G11" s="39" t="n"/>
      <c r="H11" s="39" t="inlineStr">
        <is>
          <t>4.8 mi</t>
        </is>
      </c>
      <c r="I11" s="39" t="inlineStr">
        <is>
          <t>N/A (Market Rate)</t>
        </is>
      </c>
      <c r="J11" s="39" t="inlineStr">
        <is>
          <t>N/A (Market Rate)</t>
        </is>
      </c>
      <c r="K11" s="30" t="inlineStr">
        <is>
          <t>$916</t>
        </is>
      </c>
      <c r="L11" s="31" t="inlineStr">
        <is>
          <t>$925</t>
        </is>
      </c>
      <c r="M11" s="39" t="inlineStr">
        <is>
          <t>N/A (Market Rate)</t>
        </is>
      </c>
      <c r="N11" s="39" t="inlineStr">
        <is>
          <t>N/A (Market Rate)</t>
        </is>
      </c>
      <c r="O11" s="30" t="inlineStr">
        <is>
          <t>$1,254</t>
        </is>
      </c>
      <c r="P11" s="31" t="inlineStr">
        <is>
          <t>$1,175</t>
        </is>
      </c>
      <c r="Q11" s="39" t="inlineStr">
        <is>
          <t>N/A (Market Rate)</t>
        </is>
      </c>
      <c r="R11" s="39" t="inlineStr">
        <is>
          <t>N/A (Market Rate)</t>
        </is>
      </c>
      <c r="S11" s="30" t="inlineStr">
        <is>
          <t>$1,573</t>
        </is>
      </c>
      <c r="T11" s="31" t="inlineStr">
        <is>
          <t>$1,450</t>
        </is>
      </c>
      <c r="U11" s="39" t="inlineStr">
        <is>
          <t>N/A (Market Rate)</t>
        </is>
      </c>
      <c r="V11" s="39" t="inlineStr">
        <is>
          <t>N/A (Market Rate)</t>
        </is>
      </c>
      <c r="W11" s="30" t="inlineStr">
        <is>
          <t>$1,818</t>
        </is>
      </c>
      <c r="X11" s="31" t="inlineStr">
        <is>
          <t>Not Listed</t>
        </is>
      </c>
      <c r="Y11" s="39" t="inlineStr">
        <is>
          <t>240</t>
        </is>
      </c>
      <c r="Z11" s="39" t="inlineStr">
        <is>
          <t>2001</t>
        </is>
      </c>
      <c r="AA11" s="39" t="inlineStr">
        <is>
          <t>0</t>
        </is>
      </c>
      <c r="AB11" s="39" t="inlineStr">
        <is>
          <t>Varies</t>
        </is>
      </c>
      <c r="AC11" s="39" t="inlineStr">
        <is>
          <t>Varies</t>
        </is>
      </c>
      <c r="AD11" s="39" t="inlineStr">
        <is>
          <t>Varies</t>
        </is>
      </c>
      <c r="AE11" s="39" t="inlineStr">
        <is>
          <t>Varies</t>
        </is>
      </c>
      <c r="AF11" s="39" t="inlineStr">
        <is>
          <t>Varies</t>
        </is>
      </c>
      <c r="AG11" s="41" t="inlineStr">
        <is>
          <t>HIGH</t>
        </is>
      </c>
      <c r="AH11" s="40" t="inlineStr">
        <is>
          <t>Market Rate Comp #1: No income restrictions, 2001 vintage (0 yr diff), 240 units, 4.8 mi from subject. Shows market-rate rents vs. affordable housing discount.</t>
        </is>
      </c>
      <c r="AI11" s="39" t="inlineStr">
        <is>
          <t>https://www.rentcafe.com/apartments-for-rent/us/la/baton-rouge/sienna-lake/</t>
        </is>
      </c>
    </row>
    <row r="12" ht="54.75" customFormat="1" customHeight="1" s="3">
      <c r="A12" s="42" t="inlineStr">
        <is>
          <t>2</t>
        </is>
      </c>
      <c r="B12" s="42" t="inlineStr">
        <is>
          <t>MARKET RATE</t>
        </is>
      </c>
      <c r="C12" s="43" t="inlineStr">
        <is>
          <t>Willow Creek Apartments</t>
        </is>
      </c>
      <c r="D12" s="42" t="inlineStr">
        <is>
          <t>9800 Airline Hwy, Baton Rouge, LA 70816</t>
        </is>
      </c>
      <c r="E12" s="42" t="inlineStr">
        <is>
          <t>Baton Rouge</t>
        </is>
      </c>
      <c r="F12" s="42" t="inlineStr">
        <is>
          <t>LA</t>
        </is>
      </c>
      <c r="G12" s="42" t="n"/>
      <c r="H12" s="42" t="inlineStr">
        <is>
          <t>6.5 mi</t>
        </is>
      </c>
      <c r="I12" s="42" t="inlineStr">
        <is>
          <t>N/A (Market Rate)</t>
        </is>
      </c>
      <c r="J12" s="42" t="inlineStr">
        <is>
          <t>N/A (Market Rate)</t>
        </is>
      </c>
      <c r="K12" s="30" t="inlineStr">
        <is>
          <t>$916</t>
        </is>
      </c>
      <c r="L12" s="31" t="inlineStr">
        <is>
          <t>$895</t>
        </is>
      </c>
      <c r="M12" s="42" t="inlineStr">
        <is>
          <t>N/A (Market Rate)</t>
        </is>
      </c>
      <c r="N12" s="42" t="inlineStr">
        <is>
          <t>N/A (Market Rate)</t>
        </is>
      </c>
      <c r="O12" s="30" t="inlineStr">
        <is>
          <t>$1,254</t>
        </is>
      </c>
      <c r="P12" s="31" t="inlineStr">
        <is>
          <t>$1,125</t>
        </is>
      </c>
      <c r="Q12" s="42" t="inlineStr">
        <is>
          <t>N/A (Market Rate)</t>
        </is>
      </c>
      <c r="R12" s="42" t="inlineStr">
        <is>
          <t>N/A (Market Rate)</t>
        </is>
      </c>
      <c r="S12" s="30" t="inlineStr">
        <is>
          <t>$1,573</t>
        </is>
      </c>
      <c r="T12" s="31" t="inlineStr">
        <is>
          <t>$1,400</t>
        </is>
      </c>
      <c r="U12" s="42" t="inlineStr">
        <is>
          <t>N/A (Market Rate)</t>
        </is>
      </c>
      <c r="V12" s="42" t="inlineStr">
        <is>
          <t>N/A (Market Rate)</t>
        </is>
      </c>
      <c r="W12" s="30" t="inlineStr">
        <is>
          <t>$1,818</t>
        </is>
      </c>
      <c r="X12" s="31" t="inlineStr">
        <is>
          <t>Not Listed</t>
        </is>
      </c>
      <c r="Y12" s="42" t="inlineStr">
        <is>
          <t>180</t>
        </is>
      </c>
      <c r="Z12" s="42" t="inlineStr">
        <is>
          <t>1999</t>
        </is>
      </c>
      <c r="AA12" s="42" t="inlineStr">
        <is>
          <t>2</t>
        </is>
      </c>
      <c r="AB12" s="42" t="inlineStr">
        <is>
          <t>Varies</t>
        </is>
      </c>
      <c r="AC12" s="42" t="inlineStr">
        <is>
          <t>Varies</t>
        </is>
      </c>
      <c r="AD12" s="42" t="inlineStr">
        <is>
          <t>Varies</t>
        </is>
      </c>
      <c r="AE12" s="42" t="inlineStr">
        <is>
          <t>Varies</t>
        </is>
      </c>
      <c r="AF12" s="42" t="inlineStr">
        <is>
          <t>Varies</t>
        </is>
      </c>
      <c r="AG12" s="44" t="inlineStr">
        <is>
          <t>HIGH</t>
        </is>
      </c>
      <c r="AH12" s="43" t="inlineStr">
        <is>
          <t>Market Rate Comp #2: No income restrictions, 1999 vintage (2 yr diff), 180 units, 6.5 mi from subject. Shows market-rate rents vs. affordable housing discount.</t>
        </is>
      </c>
      <c r="AI12" s="42" t="inlineStr">
        <is>
          <t>https://www.rentcafe.com/apartments-for-rent/us/la/baton-rouge/</t>
        </is>
      </c>
    </row>
    <row r="13" ht="54.75" customFormat="1" customHeight="1" s="3">
      <c r="A13" s="45" t="inlineStr">
        <is>
          <t>3</t>
        </is>
      </c>
      <c r="B13" s="45" t="inlineStr">
        <is>
          <t>MARKET RATE</t>
        </is>
      </c>
      <c r="C13" s="46" t="inlineStr">
        <is>
          <t>The Preserve At Harveston</t>
        </is>
      </c>
      <c r="D13" s="45" t="inlineStr">
        <is>
          <t>18000 Harveston Dr, Baton Rouge, LA 70816</t>
        </is>
      </c>
      <c r="E13" s="45" t="inlineStr">
        <is>
          <t>Baton Rouge</t>
        </is>
      </c>
      <c r="F13" s="45" t="inlineStr">
        <is>
          <t>LA</t>
        </is>
      </c>
      <c r="G13" s="45" t="n"/>
      <c r="H13" s="45" t="inlineStr">
        <is>
          <t>8.2 mi</t>
        </is>
      </c>
      <c r="I13" s="45" t="inlineStr">
        <is>
          <t>N/A (Market Rate)</t>
        </is>
      </c>
      <c r="J13" s="45" t="inlineStr">
        <is>
          <t>N/A (Market Rate)</t>
        </is>
      </c>
      <c r="K13" s="30" t="inlineStr">
        <is>
          <t>$916</t>
        </is>
      </c>
      <c r="L13" s="31" t="inlineStr">
        <is>
          <t>$950</t>
        </is>
      </c>
      <c r="M13" s="45" t="inlineStr">
        <is>
          <t>N/A (Market Rate)</t>
        </is>
      </c>
      <c r="N13" s="45" t="inlineStr">
        <is>
          <t>N/A (Market Rate)</t>
        </is>
      </c>
      <c r="O13" s="30" t="inlineStr">
        <is>
          <t>$1,254</t>
        </is>
      </c>
      <c r="P13" s="31" t="inlineStr">
        <is>
          <t>$1,200</t>
        </is>
      </c>
      <c r="Q13" s="45" t="inlineStr">
        <is>
          <t>N/A (Market Rate)</t>
        </is>
      </c>
      <c r="R13" s="45" t="inlineStr">
        <is>
          <t>N/A (Market Rate)</t>
        </is>
      </c>
      <c r="S13" s="30" t="inlineStr">
        <is>
          <t>$1,573</t>
        </is>
      </c>
      <c r="T13" s="31" t="inlineStr">
        <is>
          <t>$1,475</t>
        </is>
      </c>
      <c r="U13" s="45" t="inlineStr">
        <is>
          <t>N/A (Market Rate)</t>
        </is>
      </c>
      <c r="V13" s="45" t="inlineStr">
        <is>
          <t>N/A (Market Rate)</t>
        </is>
      </c>
      <c r="W13" s="30" t="inlineStr">
        <is>
          <t>$1,818</t>
        </is>
      </c>
      <c r="X13" s="31" t="inlineStr">
        <is>
          <t>Not Listed</t>
        </is>
      </c>
      <c r="Y13" s="45" t="inlineStr">
        <is>
          <t>200</t>
        </is>
      </c>
      <c r="Z13" s="45" t="inlineStr">
        <is>
          <t>2002</t>
        </is>
      </c>
      <c r="AA13" s="45" t="inlineStr">
        <is>
          <t>1</t>
        </is>
      </c>
      <c r="AB13" s="45" t="inlineStr">
        <is>
          <t>Varies</t>
        </is>
      </c>
      <c r="AC13" s="45" t="inlineStr">
        <is>
          <t>Varies</t>
        </is>
      </c>
      <c r="AD13" s="45" t="inlineStr">
        <is>
          <t>Varies</t>
        </is>
      </c>
      <c r="AE13" s="45" t="inlineStr">
        <is>
          <t>Varies</t>
        </is>
      </c>
      <c r="AF13" s="45" t="inlineStr">
        <is>
          <t>Varies</t>
        </is>
      </c>
      <c r="AG13" s="47" t="inlineStr">
        <is>
          <t>HIGH</t>
        </is>
      </c>
      <c r="AH13" s="46" t="inlineStr">
        <is>
          <t>Market Rate Comp #3: No income restrictions, 2002 vintage (1 yr diff), 200 units, 8.2 mi from subject. Shows market-rate rents vs. affordable housing discount.</t>
        </is>
      </c>
      <c r="AI13" s="45" t="inlineStr">
        <is>
          <t>https://www.rentcafe.com/apartments-for-rent/us/la/baton-rouge/the-preserve-at-harveston/</t>
        </is>
      </c>
    </row>
    <row r="14" ht="54.75" customFormat="1" customHeight="1" s="3">
      <c r="A14" s="39" t="inlineStr">
        <is>
          <t>4</t>
        </is>
      </c>
      <c r="B14" s="39" t="inlineStr">
        <is>
          <t>MARKET RATE</t>
        </is>
      </c>
      <c r="C14" s="40" t="inlineStr">
        <is>
          <t>Copper Mill Apartments</t>
        </is>
      </c>
      <c r="D14" s="39" t="inlineStr">
        <is>
          <t>10000 Copper Mill Dr, Baton Rouge, LA 70818</t>
        </is>
      </c>
      <c r="E14" s="39" t="inlineStr">
        <is>
          <t>Baton Rouge</t>
        </is>
      </c>
      <c r="F14" s="39" t="inlineStr">
        <is>
          <t>LA</t>
        </is>
      </c>
      <c r="G14" s="39" t="n"/>
      <c r="H14" s="39" t="inlineStr">
        <is>
          <t>9.8 mi</t>
        </is>
      </c>
      <c r="I14" s="39" t="inlineStr">
        <is>
          <t>N/A (Market Rate)</t>
        </is>
      </c>
      <c r="J14" s="39" t="inlineStr">
        <is>
          <t>N/A (Market Rate)</t>
        </is>
      </c>
      <c r="K14" s="30" t="inlineStr">
        <is>
          <t>$916</t>
        </is>
      </c>
      <c r="L14" s="31" t="inlineStr">
        <is>
          <t>$925</t>
        </is>
      </c>
      <c r="M14" s="39" t="inlineStr">
        <is>
          <t>N/A (Market Rate)</t>
        </is>
      </c>
      <c r="N14" s="39" t="inlineStr">
        <is>
          <t>N/A (Market Rate)</t>
        </is>
      </c>
      <c r="O14" s="30" t="inlineStr">
        <is>
          <t>$1,254</t>
        </is>
      </c>
      <c r="P14" s="31" t="inlineStr">
        <is>
          <t>$1,150</t>
        </is>
      </c>
      <c r="Q14" s="39" t="inlineStr">
        <is>
          <t>N/A (Market Rate)</t>
        </is>
      </c>
      <c r="R14" s="39" t="inlineStr">
        <is>
          <t>N/A (Market Rate)</t>
        </is>
      </c>
      <c r="S14" s="30" t="inlineStr">
        <is>
          <t>$1,573</t>
        </is>
      </c>
      <c r="T14" s="31" t="inlineStr">
        <is>
          <t>$1,425</t>
        </is>
      </c>
      <c r="U14" s="39" t="inlineStr">
        <is>
          <t>N/A (Market Rate)</t>
        </is>
      </c>
      <c r="V14" s="39" t="inlineStr">
        <is>
          <t>N/A (Market Rate)</t>
        </is>
      </c>
      <c r="W14" s="30" t="inlineStr">
        <is>
          <t>$1,818</t>
        </is>
      </c>
      <c r="X14" s="31" t="inlineStr">
        <is>
          <t>Not Listed</t>
        </is>
      </c>
      <c r="Y14" s="39" t="inlineStr">
        <is>
          <t>160</t>
        </is>
      </c>
      <c r="Z14" s="39" t="inlineStr">
        <is>
          <t>2000</t>
        </is>
      </c>
      <c r="AA14" s="39" t="inlineStr">
        <is>
          <t>1</t>
        </is>
      </c>
      <c r="AB14" s="39" t="inlineStr">
        <is>
          <t>Varies</t>
        </is>
      </c>
      <c r="AC14" s="39" t="inlineStr">
        <is>
          <t>Varies</t>
        </is>
      </c>
      <c r="AD14" s="39" t="inlineStr">
        <is>
          <t>Varies</t>
        </is>
      </c>
      <c r="AE14" s="39" t="inlineStr">
        <is>
          <t>Varies</t>
        </is>
      </c>
      <c r="AF14" s="39" t="inlineStr">
        <is>
          <t>Varies</t>
        </is>
      </c>
      <c r="AG14" s="41" t="inlineStr">
        <is>
          <t>HIGH</t>
        </is>
      </c>
      <c r="AH14" s="40" t="inlineStr">
        <is>
          <t>Market Rate Comp #4: No income restrictions, 2000 vintage (1 yr diff), 160 units, 9.8 mi from subject. Shows market-rate rents vs. affordable housing discount.</t>
        </is>
      </c>
      <c r="AI14" s="39" t="inlineStr">
        <is>
          <t>https://www.rentcafe.com/apartments-for-rent/us/la/baton-rouge/copper-mill/</t>
        </is>
      </c>
    </row>
    <row r="15" ht="54.75" customFormat="1" customHeight="1" s="3">
      <c r="A15" s="48" t="inlineStr">
        <is>
          <t>—</t>
        </is>
      </c>
      <c r="B15" s="48" t="inlineStr">
        <is>
          <t>BENCHMARK</t>
        </is>
      </c>
      <c r="C15" s="49" t="inlineStr">
        <is>
          <t>FY2026 FMR — Baton Rouge MSA</t>
        </is>
      </c>
      <c r="D15" s="48" t="inlineStr">
        <is>
          <t>N/A</t>
        </is>
      </c>
      <c r="E15" s="48" t="inlineStr">
        <is>
          <t>Baton Rouge</t>
        </is>
      </c>
      <c r="F15" s="48" t="inlineStr">
        <is>
          <t>LA</t>
        </is>
      </c>
      <c r="G15" s="48" t="inlineStr">
        <is>
          <t>N/A</t>
        </is>
      </c>
      <c r="H15" s="48" t="inlineStr">
        <is>
          <t>N/A</t>
        </is>
      </c>
      <c r="I15" s="48" t="inlineStr">
        <is>
          <t>$916</t>
        </is>
      </c>
      <c r="J15" s="48" t="inlineStr">
        <is>
          <t>$916</t>
        </is>
      </c>
      <c r="K15" s="30" t="inlineStr">
        <is>
          <t>$916</t>
        </is>
      </c>
      <c r="L15" s="31" t="inlineStr">
        <is>
          <t>N/A</t>
        </is>
      </c>
      <c r="M15" s="48" t="inlineStr">
        <is>
          <t>$1,254</t>
        </is>
      </c>
      <c r="N15" s="48" t="inlineStr">
        <is>
          <t>$1,254</t>
        </is>
      </c>
      <c r="O15" s="30" t="inlineStr">
        <is>
          <t>$1,254</t>
        </is>
      </c>
      <c r="P15" s="31" t="inlineStr">
        <is>
          <t>N/A</t>
        </is>
      </c>
      <c r="Q15" s="48" t="inlineStr">
        <is>
          <t>$1,573</t>
        </is>
      </c>
      <c r="R15" s="48" t="inlineStr">
        <is>
          <t>$1,573</t>
        </is>
      </c>
      <c r="S15" s="30" t="inlineStr">
        <is>
          <t>$1,573</t>
        </is>
      </c>
      <c r="T15" s="31" t="inlineStr">
        <is>
          <t>N/A</t>
        </is>
      </c>
      <c r="U15" s="48" t="inlineStr">
        <is>
          <t>$1,818</t>
        </is>
      </c>
      <c r="V15" s="48" t="inlineStr">
        <is>
          <t>$1,818</t>
        </is>
      </c>
      <c r="W15" s="30" t="inlineStr">
        <is>
          <t>$1,818</t>
        </is>
      </c>
      <c r="X15" s="31" t="inlineStr">
        <is>
          <t>N/A</t>
        </is>
      </c>
      <c r="Y15" s="48" t="inlineStr">
        <is>
          <t>N/A</t>
        </is>
      </c>
      <c r="Z15" s="48" t="inlineStr">
        <is>
          <t>N/A</t>
        </is>
      </c>
      <c r="AA15" s="48" t="inlineStr">
        <is>
          <t>N/A</t>
        </is>
      </c>
      <c r="AB15" s="48" t="inlineStr">
        <is>
          <t>N/A</t>
        </is>
      </c>
      <c r="AC15" s="48" t="inlineStr">
        <is>
          <t>N/A</t>
        </is>
      </c>
      <c r="AD15" s="48" t="inlineStr">
        <is>
          <t>N/A</t>
        </is>
      </c>
      <c r="AE15" s="48" t="inlineStr">
        <is>
          <t>N/A</t>
        </is>
      </c>
      <c r="AF15" s="48" t="inlineStr">
        <is>
          <t>N/A</t>
        </is>
      </c>
      <c r="AG15" s="50" t="inlineStr">
        <is>
          <t>BENCHMARK</t>
        </is>
      </c>
      <c r="AH15" s="49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5" s="48" t="inlineStr">
        <is>
          <t>HUD FMR Database (huduser.gov)</t>
        </is>
      </c>
    </row>
    <row r="16" ht="54.75" customFormat="1" customHeight="1" s="3">
      <c r="A16" s="48" t="inlineStr">
        <is>
          <t>—</t>
        </is>
      </c>
      <c r="B16" s="48" t="inlineStr">
        <is>
          <t>BENCHMARK</t>
        </is>
      </c>
      <c r="C16" s="49" t="inlineStr">
        <is>
          <t>Metro Market Avg — Baton Rouge</t>
        </is>
      </c>
      <c r="D16" s="48" t="inlineStr">
        <is>
          <t>N/A</t>
        </is>
      </c>
      <c r="E16" s="48" t="inlineStr">
        <is>
          <t>Baton Rouge</t>
        </is>
      </c>
      <c r="F16" s="48" t="inlineStr">
        <is>
          <t>LA</t>
        </is>
      </c>
      <c r="G16" s="48" t="inlineStr">
        <is>
          <t>N/A</t>
        </is>
      </c>
      <c r="H16" s="48" t="inlineStr">
        <is>
          <t>N/A</t>
        </is>
      </c>
      <c r="I16" s="48" t="inlineStr">
        <is>
          <t>$1,007</t>
        </is>
      </c>
      <c r="J16" s="48" t="inlineStr">
        <is>
          <t>$1,007</t>
        </is>
      </c>
      <c r="K16" s="30" t="inlineStr">
        <is>
          <t>$1,007</t>
        </is>
      </c>
      <c r="L16" s="31" t="inlineStr">
        <is>
          <t>N/A</t>
        </is>
      </c>
      <c r="M16" s="48" t="inlineStr">
        <is>
          <t>$1,379</t>
        </is>
      </c>
      <c r="N16" s="48" t="inlineStr">
        <is>
          <t>$1,379</t>
        </is>
      </c>
      <c r="O16" s="30" t="inlineStr">
        <is>
          <t>$1,379</t>
        </is>
      </c>
      <c r="P16" s="31" t="inlineStr">
        <is>
          <t>N/A</t>
        </is>
      </c>
      <c r="Q16" s="48" t="inlineStr">
        <is>
          <t>$1,730</t>
        </is>
      </c>
      <c r="R16" s="48" t="inlineStr">
        <is>
          <t>$1,730</t>
        </is>
      </c>
      <c r="S16" s="30" t="inlineStr">
        <is>
          <t>$1,730</t>
        </is>
      </c>
      <c r="T16" s="31" t="inlineStr">
        <is>
          <t>N/A</t>
        </is>
      </c>
      <c r="U16" s="48" t="inlineStr">
        <is>
          <t>$1,999</t>
        </is>
      </c>
      <c r="V16" s="48" t="inlineStr">
        <is>
          <t>$1,999</t>
        </is>
      </c>
      <c r="W16" s="30" t="inlineStr">
        <is>
          <t>$1,999</t>
        </is>
      </c>
      <c r="X16" s="31" t="inlineStr">
        <is>
          <t>N/A</t>
        </is>
      </c>
      <c r="Y16" s="48" t="inlineStr">
        <is>
          <t>N/A</t>
        </is>
      </c>
      <c r="Z16" s="48" t="inlineStr">
        <is>
          <t>N/A</t>
        </is>
      </c>
      <c r="AA16" s="48" t="inlineStr">
        <is>
          <t>N/A</t>
        </is>
      </c>
      <c r="AB16" s="48" t="inlineStr">
        <is>
          <t>N/A</t>
        </is>
      </c>
      <c r="AC16" s="48" t="inlineStr">
        <is>
          <t>N/A</t>
        </is>
      </c>
      <c r="AD16" s="48" t="inlineStr">
        <is>
          <t>N/A</t>
        </is>
      </c>
      <c r="AE16" s="48" t="inlineStr">
        <is>
          <t>N/A</t>
        </is>
      </c>
      <c r="AF16" s="48" t="inlineStr">
        <is>
          <t>N/A</t>
        </is>
      </c>
      <c r="AG16" s="50" t="inlineStr">
        <is>
          <t>BENCHMARK</t>
        </is>
      </c>
      <c r="AH16" s="49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6" s="48" t="inlineStr">
        <is>
          <t>HUD FMR + Market Estimate</t>
        </is>
      </c>
    </row>
    <row r="17" ht="8.25" customFormat="1" customHeight="1" s="3"/>
    <row r="18" ht="27.75" customFormat="1" customHeight="1" s="3">
      <c r="A18" s="51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Height="1" s="95">
      <c r="A21" s="61" t="inlineStr">
        <is>
          <t>PMTS — Vouchers / FMR / UAP / NET FMR</t>
        </is>
      </c>
      <c r="B21" s="101" t="n"/>
      <c r="C21" s="101" t="n"/>
      <c r="D21" s="101" t="n"/>
      <c r="E21" s="101" t="n"/>
      <c r="F21" s="102" t="n"/>
    </row>
    <row r="22" ht="15" customHeight="1" s="95">
      <c r="A22" s="64" t="inlineStr">
        <is>
          <t>BD</t>
        </is>
      </c>
      <c r="B22" s="65" t="inlineStr">
        <is>
          <t>MKT</t>
        </is>
      </c>
      <c r="C22" s="66" t="inlineStr">
        <is>
          <t>VCH</t>
        </is>
      </c>
      <c r="D22" s="67" t="inlineStr">
        <is>
          <t>FMR</t>
        </is>
      </c>
      <c r="E22" s="68" t="inlineStr">
        <is>
          <t>UAP</t>
        </is>
      </c>
      <c r="F22" s="69" t="inlineStr">
        <is>
          <t>NET</t>
        </is>
      </c>
    </row>
    <row r="23" ht="15" customHeight="1" s="95">
      <c r="A23" s="70" t="inlineStr">
        <is>
          <t>1BD</t>
        </is>
      </c>
      <c r="B23" s="71" t="n">
        <v>0</v>
      </c>
      <c r="C23" s="71" t="n">
        <v>900</v>
      </c>
      <c r="D23" s="71" t="n">
        <v>1020</v>
      </c>
      <c r="E23" s="72" t="n">
        <v>77</v>
      </c>
      <c r="F23" s="73" t="n">
        <v>943</v>
      </c>
    </row>
    <row r="24" ht="15" customHeight="1" s="95">
      <c r="A24" s="74" t="inlineStr">
        <is>
          <t>2BD</t>
        </is>
      </c>
      <c r="B24" s="75" t="n">
        <v>0</v>
      </c>
      <c r="C24" s="75" t="n">
        <v>1107</v>
      </c>
      <c r="D24" s="75" t="n">
        <v>1150</v>
      </c>
      <c r="E24" s="72" t="n">
        <v>102</v>
      </c>
      <c r="F24" s="73" t="n">
        <v>1048</v>
      </c>
    </row>
    <row r="25" ht="15" customHeight="1" s="95">
      <c r="A25" s="70" t="inlineStr">
        <is>
          <t>3BD</t>
        </is>
      </c>
      <c r="B25" s="71" t="n">
        <v>0</v>
      </c>
      <c r="C25" s="71" t="n">
        <v>1300</v>
      </c>
      <c r="D25" s="71" t="n">
        <v>1440</v>
      </c>
      <c r="E25" s="72" t="n">
        <v>121</v>
      </c>
      <c r="F25" s="73" t="n">
        <v>1319</v>
      </c>
    </row>
    <row r="26" ht="15" customHeight="1" s="95">
      <c r="A26" s="74" t="inlineStr">
        <is>
          <t>4BD</t>
        </is>
      </c>
      <c r="B26" s="75" t="n">
        <v>0</v>
      </c>
      <c r="C26" s="75" t="n">
        <v>1572</v>
      </c>
      <c r="D26" s="75" t="n">
        <v>1920</v>
      </c>
      <c r="E26" s="72" t="n">
        <v>149</v>
      </c>
      <c r="F26" s="73" t="n">
        <v>1771</v>
      </c>
    </row>
    <row r="29" ht="15" customHeight="1" s="95">
      <c r="A29" s="61" t="inlineStr">
        <is>
          <t>LIHTC, UAP, NET</t>
        </is>
      </c>
      <c r="B29" s="101" t="n"/>
      <c r="C29" s="101" t="n"/>
      <c r="D29" s="101" t="n"/>
      <c r="E29" s="102" t="n"/>
    </row>
    <row r="30" ht="15" customHeight="1" s="95">
      <c r="A30" s="64" t="n"/>
      <c r="B30" s="65" t="inlineStr">
        <is>
          <t>LIHTC/MKT</t>
        </is>
      </c>
      <c r="C30" s="67" t="inlineStr">
        <is>
          <t>60%</t>
        </is>
      </c>
      <c r="D30" s="68" t="inlineStr">
        <is>
          <t>UAP</t>
        </is>
      </c>
      <c r="E30" s="69" t="inlineStr">
        <is>
          <t>NET</t>
        </is>
      </c>
    </row>
    <row r="31" ht="15" customHeight="1" s="95">
      <c r="A31" s="70" t="inlineStr">
        <is>
          <t>1BD</t>
        </is>
      </c>
      <c r="B31" s="71" t="n">
        <v>1032</v>
      </c>
      <c r="C31" s="71" t="n">
        <v>874</v>
      </c>
      <c r="D31" s="72" t="n">
        <v>77</v>
      </c>
      <c r="E31" s="73" t="n">
        <v>797</v>
      </c>
    </row>
    <row r="32" ht="15" customHeight="1" s="95">
      <c r="A32" s="74" t="inlineStr">
        <is>
          <t>2BD</t>
        </is>
      </c>
      <c r="B32" s="75" t="n">
        <v>1239</v>
      </c>
      <c r="C32" s="75" t="n">
        <v>1039</v>
      </c>
      <c r="D32" s="72" t="n">
        <v>102</v>
      </c>
      <c r="E32" s="73" t="n">
        <v>937</v>
      </c>
    </row>
    <row r="33" ht="15" customHeight="1" s="95">
      <c r="A33" s="70" t="inlineStr">
        <is>
          <t>3BD</t>
        </is>
      </c>
      <c r="B33" s="71" t="n">
        <v>1431</v>
      </c>
      <c r="C33" s="71" t="n">
        <v>1194</v>
      </c>
      <c r="D33" s="72" t="n">
        <v>121</v>
      </c>
      <c r="E33" s="73" t="n">
        <v>1073</v>
      </c>
    </row>
    <row r="34" ht="15" customHeight="1" s="95">
      <c r="A34" s="74" t="inlineStr">
        <is>
          <t>4BD</t>
        </is>
      </c>
      <c r="B34" s="75" t="n">
        <v>1596</v>
      </c>
      <c r="C34" s="75" t="n">
        <v>1321</v>
      </c>
      <c r="D34" s="72" t="n">
        <v>149</v>
      </c>
      <c r="E34" s="73" t="n">
        <v>1172</v>
      </c>
    </row>
    <row r="37" ht="15" customHeight="1" s="95">
      <c r="A37" s="61" t="inlineStr">
        <is>
          <t>HAP, CoStar, NET</t>
        </is>
      </c>
      <c r="B37" s="101" t="n"/>
      <c r="C37" s="102" t="n"/>
    </row>
    <row r="38" ht="15" customHeight="1" s="95">
      <c r="A38" s="64" t="n"/>
      <c r="B38" s="68" t="inlineStr">
        <is>
          <t>HAP</t>
        </is>
      </c>
      <c r="C38" s="65" t="inlineStr">
        <is>
          <t>CoStar</t>
        </is>
      </c>
    </row>
    <row r="39" ht="15" customHeight="1" s="95">
      <c r="A39" s="70" t="inlineStr">
        <is>
          <t>1BD</t>
        </is>
      </c>
      <c r="B39" s="103" t="n">
        <v>0</v>
      </c>
      <c r="C39" s="104" t="n">
        <v>1142</v>
      </c>
    </row>
    <row r="40" ht="15" customHeight="1" s="95">
      <c r="A40" s="74" t="inlineStr">
        <is>
          <t>2BD</t>
        </is>
      </c>
      <c r="B40" s="103" t="n">
        <v>0</v>
      </c>
      <c r="C40" s="104" t="n">
        <v>1377</v>
      </c>
    </row>
    <row r="41" ht="15" customHeight="1" s="95">
      <c r="A41" s="70" t="inlineStr">
        <is>
          <t>3BD</t>
        </is>
      </c>
      <c r="B41" s="103" t="n">
        <v>0</v>
      </c>
      <c r="C41" s="104" t="n">
        <v>1458</v>
      </c>
    </row>
    <row r="42" ht="15" customHeight="1" s="95">
      <c r="A42" s="74" t="inlineStr">
        <is>
          <t>4BD</t>
        </is>
      </c>
      <c r="B42" s="103" t="n">
        <v>0</v>
      </c>
      <c r="C42" s="104" t="n">
        <v>1486</v>
      </c>
    </row>
  </sheetData>
  <mergeCells count="7">
    <mergeCell ref="A2:AI2"/>
    <mergeCell ref="A29:E29"/>
    <mergeCell ref="A37:C37"/>
    <mergeCell ref="A18:AI18"/>
    <mergeCell ref="A3:AI3"/>
    <mergeCell ref="A4:AI4"/>
    <mergeCell ref="A21:F21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I42"/>
  <sheetViews>
    <sheetView topLeftCell="A1" workbookViewId="0">
      <pane ySplit="1" topLeftCell="A5" activePane="bottomLeft" state="frozen"/>
      <selection pane="bottomLeft" activeCell="A1" sqref="A1:AI1"/>
    </sheetView>
  </sheetViews>
  <sheetFormatPr baseColWidth="8" defaultColWidth="9.140625" defaultRowHeight="15" customHeight="1"/>
  <cols>
    <col width="8.00390625" customWidth="1" style="3" min="1" max="1"/>
    <col width="14.00390625" customWidth="1" style="3" min="2" max="2"/>
    <col width="28.00390625" customWidth="1" style="3" min="3" max="3"/>
    <col width="22.00390625" customWidth="1" style="3" min="4" max="4"/>
    <col width="16.00390625" customWidth="1" style="3" min="5" max="5"/>
    <col width="10.00390625" customWidth="1" style="3" min="6" max="6"/>
    <col width="8.00390625" customWidth="1" style="3" min="7" max="7"/>
    <col width="11.00390625" customWidth="1" style="3" min="8" max="8"/>
    <col width="10.00390625" customWidth="1" style="3" min="9" max="11"/>
    <col width="12.00390625" customWidth="1" style="3" min="12" max="12"/>
    <col width="10.00390625" customWidth="1" style="3" min="13" max="15"/>
    <col width="12.00390625" customWidth="1" style="3" min="16" max="16"/>
    <col width="10.00390625" customWidth="1" style="3" min="17" max="19"/>
    <col width="12.00390625" customWidth="1" style="3" min="20" max="20"/>
    <col width="10.00390625" customWidth="1" style="3" min="21" max="23"/>
    <col width="12.00390625" customWidth="1" style="3" min="24" max="24"/>
    <col width="8.00390625" customWidth="1" style="3" min="25" max="25"/>
    <col width="10.00390625" customWidth="1" style="3" min="26" max="26"/>
    <col width="7.00390625" customWidth="1" style="3" min="27" max="27"/>
    <col width="12.00390625" customWidth="1" style="3" min="28" max="29"/>
    <col width="8.00390625" customWidth="1" style="3" min="30" max="31"/>
    <col width="10.00390625" customWidth="1" style="3" min="32" max="32"/>
    <col width="16.00390625" customWidth="1" style="3" min="33" max="33"/>
    <col width="45.00390625" customWidth="1" style="3" min="34" max="34"/>
    <col width="28.00390625" customWidth="1" style="3" min="35" max="35"/>
  </cols>
  <sheetData>
    <row r="1" ht="15" customHeight="1" s="95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</row>
    <row r="2" ht="24" customFormat="1" customHeight="1" s="3">
      <c r="A2" s="17" t="inlineStr">
        <is>
          <t>COMPETITIVE RENT ANALYSIS — PIRATES BEND | GREEN = Affordable Comps | BLUE = Market Rate Comps</t>
        </is>
      </c>
    </row>
    <row r="3" ht="20.25" customFormat="1" customHeight="1" s="3">
      <c r="A3" s="18" t="inlineStr">
        <is>
          <t>SUBJECT: Pirates Bend | 8165 Plank Road, Baton Rouge, LA 70811 | 48 units | Program: Section 8/HUD | Bedroom Mix: 1BR / 2BR / 3BR / 4BR | County AMI: $91,700 | FMR Area: Baton Rouge MSA</t>
        </is>
      </c>
    </row>
    <row r="4" ht="90" customFormat="1" customHeight="1" s="3">
      <c r="A4" s="19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5" ht="30" customFormat="1" customHeight="1" s="3">
      <c r="A5" s="20" t="inlineStr">
        <is>
          <t>Rank</t>
        </is>
      </c>
      <c r="B5" s="20" t="inlineStr">
        <is>
          <t>Type</t>
        </is>
      </c>
      <c r="C5" s="20" t="inlineStr">
        <is>
          <t>Property Name</t>
        </is>
      </c>
      <c r="D5" s="20" t="inlineStr">
        <is>
          <t>Address</t>
        </is>
      </c>
      <c r="E5" s="20" t="inlineStr">
        <is>
          <t>City</t>
        </is>
      </c>
      <c r="F5" s="20" t="inlineStr">
        <is>
          <t>State</t>
        </is>
      </c>
      <c r="G5" s="20" t="inlineStr">
        <is>
          <t>ZIP</t>
        </is>
      </c>
      <c r="H5" s="20" t="inlineStr">
        <is>
          <t>Distance (mi)</t>
        </is>
      </c>
      <c r="I5" s="20" t="inlineStr">
        <is>
          <t>1BR Low ($)</t>
        </is>
      </c>
      <c r="J5" s="20" t="inlineStr">
        <is>
          <t>1BR Mid ($)</t>
        </is>
      </c>
      <c r="K5" s="21" t="inlineStr">
        <is>
          <t>1BR FMR ($)</t>
        </is>
      </c>
      <c r="L5" s="22" t="inlineStr">
        <is>
          <t>1BR Actual ($)</t>
        </is>
      </c>
      <c r="M5" s="20" t="inlineStr">
        <is>
          <t>2BR Low ($)</t>
        </is>
      </c>
      <c r="N5" s="20" t="inlineStr">
        <is>
          <t>2BR Mid ($)</t>
        </is>
      </c>
      <c r="O5" s="21" t="inlineStr">
        <is>
          <t>2BR FMR ($)</t>
        </is>
      </c>
      <c r="P5" s="22" t="inlineStr">
        <is>
          <t>2BR Actual ($)</t>
        </is>
      </c>
      <c r="Q5" s="20" t="inlineStr">
        <is>
          <t>3BR Low ($)</t>
        </is>
      </c>
      <c r="R5" s="20" t="inlineStr">
        <is>
          <t>3BR Mid ($)</t>
        </is>
      </c>
      <c r="S5" s="21" t="inlineStr">
        <is>
          <t>3BR FMR ($)</t>
        </is>
      </c>
      <c r="T5" s="22" t="inlineStr">
        <is>
          <t>3BR Actual ($)</t>
        </is>
      </c>
      <c r="U5" s="20" t="inlineStr">
        <is>
          <t>4BR Low ($)</t>
        </is>
      </c>
      <c r="V5" s="20" t="inlineStr">
        <is>
          <t>4BR Mid ($)</t>
        </is>
      </c>
      <c r="W5" s="21" t="inlineStr">
        <is>
          <t>4BR FMR ($)</t>
        </is>
      </c>
      <c r="X5" s="22" t="inlineStr">
        <is>
          <t>4BR Actual ($)</t>
        </is>
      </c>
      <c r="Y5" s="20" t="inlineStr">
        <is>
          <t># Units</t>
        </is>
      </c>
      <c r="Z5" s="20" t="inlineStr">
        <is>
          <t>Year Built</t>
        </is>
      </c>
      <c r="AA5" s="20" t="inlineStr">
        <is>
          <t>Yr Diff</t>
        </is>
      </c>
      <c r="AB5" s="20" t="inlineStr">
        <is>
          <t>Utilities Incl.</t>
        </is>
      </c>
      <c r="AC5" s="20" t="inlineStr">
        <is>
          <t>Pet Friendly</t>
        </is>
      </c>
      <c r="AD5" s="20" t="inlineStr">
        <is>
          <t>Gated</t>
        </is>
      </c>
      <c r="AE5" s="20" t="inlineStr">
        <is>
          <t>Pool</t>
        </is>
      </c>
      <c r="AF5" s="20" t="inlineStr">
        <is>
          <t>W/D In-Unit</t>
        </is>
      </c>
      <c r="AG5" s="20" t="inlineStr">
        <is>
          <t>Competition Level</t>
        </is>
      </c>
      <c r="AH5" s="20" t="inlineStr">
        <is>
          <t>Why Competitive</t>
        </is>
      </c>
      <c r="AI5" s="20" t="inlineStr">
        <is>
          <t>Data Source</t>
        </is>
      </c>
    </row>
    <row r="6" ht="54.75" customFormat="1" customHeight="1" s="3">
      <c r="A6" s="23" t="inlineStr">
        <is>
          <t>—</t>
        </is>
      </c>
      <c r="B6" s="23" t="inlineStr">
        <is>
          <t>SUBJECT</t>
        </is>
      </c>
      <c r="C6" s="24" t="inlineStr">
        <is>
          <t>Pirates Bend (SUBJECT)</t>
        </is>
      </c>
      <c r="D6" s="23" t="inlineStr">
        <is>
          <t>8165 Plank Road</t>
        </is>
      </c>
      <c r="E6" s="23" t="inlineStr">
        <is>
          <t>Baton Rouge</t>
        </is>
      </c>
      <c r="F6" s="23" t="inlineStr">
        <is>
          <t>LA</t>
        </is>
      </c>
      <c r="G6" s="23" t="inlineStr">
        <is>
          <t>70811</t>
        </is>
      </c>
      <c r="H6" s="23" t="inlineStr">
        <is>
          <t>0.0 mi</t>
        </is>
      </c>
      <c r="I6" s="23" t="inlineStr">
        <is>
          <t>$2,866</t>
        </is>
      </c>
      <c r="J6" s="23" t="inlineStr">
        <is>
          <t>$3,440</t>
        </is>
      </c>
      <c r="K6" s="25" t="inlineStr">
        <is>
          <t>$916</t>
        </is>
      </c>
      <c r="L6" s="26" t="inlineStr">
        <is>
          <t>N/A</t>
        </is>
      </c>
      <c r="M6" s="23" t="inlineStr">
        <is>
          <t>$3,441</t>
        </is>
      </c>
      <c r="N6" s="23" t="inlineStr">
        <is>
          <t>$4,130</t>
        </is>
      </c>
      <c r="O6" s="25" t="inlineStr">
        <is>
          <t>$1,254</t>
        </is>
      </c>
      <c r="P6" s="26" t="inlineStr">
        <is>
          <t>N/A</t>
        </is>
      </c>
      <c r="Q6" s="23" t="inlineStr">
        <is>
          <t>$3,820</t>
        </is>
      </c>
      <c r="R6" s="23" t="inlineStr">
        <is>
          <t>$4,585</t>
        </is>
      </c>
      <c r="S6" s="25" t="inlineStr">
        <is>
          <t>$1,573</t>
        </is>
      </c>
      <c r="T6" s="26" t="inlineStr">
        <is>
          <t>N/A</t>
        </is>
      </c>
      <c r="U6" s="23" t="inlineStr">
        <is>
          <t>$4,129</t>
        </is>
      </c>
      <c r="V6" s="23" t="inlineStr">
        <is>
          <t>$4,955</t>
        </is>
      </c>
      <c r="W6" s="25" t="inlineStr">
        <is>
          <t>$1,818</t>
        </is>
      </c>
      <c r="X6" s="26" t="inlineStr">
        <is>
          <t>N/A</t>
        </is>
      </c>
      <c r="Y6" s="23" t="inlineStr">
        <is>
          <t>48</t>
        </is>
      </c>
      <c r="Z6" s="23" t="inlineStr">
        <is>
          <t>2001</t>
        </is>
      </c>
      <c r="AA6" s="23" t="inlineStr">
        <is>
          <t>0</t>
        </is>
      </c>
      <c r="AB6" s="23" t="inlineStr">
        <is>
          <t>Partial</t>
        </is>
      </c>
      <c r="AC6" s="23" t="inlineStr">
        <is>
          <t>No</t>
        </is>
      </c>
      <c r="AD6" s="23" t="inlineStr">
        <is>
          <t>No</t>
        </is>
      </c>
      <c r="AE6" s="23" t="inlineStr">
        <is>
          <t>No</t>
        </is>
      </c>
      <c r="AF6" s="23" t="inlineStr">
        <is>
          <t>No</t>
        </is>
      </c>
      <c r="AG6" s="27" t="inlineStr">
        <is>
          <t>SUBJECT</t>
        </is>
      </c>
      <c r="AH6" s="24" t="inlineStr">
        <is>
          <t>48 units | Section 8/HUD property. Year built: 2001. Subject property for market context.</t>
        </is>
      </c>
      <c r="AI6" s="23" t="inlineStr">
        <is>
          <t>Apartment Corp Records</t>
        </is>
      </c>
    </row>
    <row r="7" ht="54.75" customFormat="1" customHeight="1" s="3">
      <c r="A7" s="28" t="inlineStr">
        <is>
          <t>1</t>
        </is>
      </c>
      <c r="B7" s="28" t="inlineStr">
        <is>
          <t>AFFORDABLE</t>
        </is>
      </c>
      <c r="C7" s="29" t="inlineStr">
        <is>
          <t>Pelican Bay Iii</t>
        </is>
      </c>
      <c r="D7" s="28" t="inlineStr">
        <is>
          <t>2121 N. Lobdell Blvd.</t>
        </is>
      </c>
      <c r="E7" s="28" t="inlineStr">
        <is>
          <t>Baton Rouge</t>
        </is>
      </c>
      <c r="F7" s="28" t="inlineStr">
        <is>
          <t>LA</t>
        </is>
      </c>
      <c r="G7" s="28" t="inlineStr">
        <is>
          <t>70806-0000</t>
        </is>
      </c>
      <c r="H7" s="28" t="inlineStr">
        <is>
          <t>4.1 mi</t>
        </is>
      </c>
      <c r="I7" s="28" t="inlineStr">
        <is>
          <t>$2,866</t>
        </is>
      </c>
      <c r="J7" s="28" t="inlineStr">
        <is>
          <t>$3,440</t>
        </is>
      </c>
      <c r="K7" s="30" t="inlineStr">
        <is>
          <t>$916</t>
        </is>
      </c>
      <c r="L7" s="31" t="inlineStr">
        <is>
          <t>Not Listed</t>
        </is>
      </c>
      <c r="M7" s="28" t="inlineStr">
        <is>
          <t>$3,441</t>
        </is>
      </c>
      <c r="N7" s="28" t="inlineStr">
        <is>
          <t>$4,130</t>
        </is>
      </c>
      <c r="O7" s="30" t="inlineStr">
        <is>
          <t>$1,254</t>
        </is>
      </c>
      <c r="P7" s="31" t="inlineStr">
        <is>
          <t>Not Listed</t>
        </is>
      </c>
      <c r="Q7" s="28" t="inlineStr">
        <is>
          <t>$3,820</t>
        </is>
      </c>
      <c r="R7" s="28" t="inlineStr">
        <is>
          <t>$4,585</t>
        </is>
      </c>
      <c r="S7" s="30" t="inlineStr">
        <is>
          <t>$1,573</t>
        </is>
      </c>
      <c r="T7" s="31" t="inlineStr">
        <is>
          <t>Not Listed</t>
        </is>
      </c>
      <c r="U7" s="28" t="inlineStr">
        <is>
          <t>$4,129</t>
        </is>
      </c>
      <c r="V7" s="28" t="inlineStr">
        <is>
          <t>$4,955</t>
        </is>
      </c>
      <c r="W7" s="30" t="inlineStr">
        <is>
          <t>$1,818</t>
        </is>
      </c>
      <c r="X7" s="31" t="inlineStr">
        <is>
          <t>Not Listed</t>
        </is>
      </c>
      <c r="Y7" s="28" t="inlineStr">
        <is>
          <t>48</t>
        </is>
      </c>
      <c r="Z7" s="28" t="inlineStr">
        <is>
          <t>2001</t>
        </is>
      </c>
      <c r="AA7" s="28" t="inlineStr">
        <is>
          <t>0</t>
        </is>
      </c>
      <c r="AB7" s="28" t="inlineStr">
        <is>
          <t>Yes</t>
        </is>
      </c>
      <c r="AC7" s="28" t="inlineStr">
        <is>
          <t>No</t>
        </is>
      </c>
      <c r="AD7" s="28" t="inlineStr">
        <is>
          <t>No</t>
        </is>
      </c>
      <c r="AE7" s="28" t="inlineStr">
        <is>
          <t>No</t>
        </is>
      </c>
      <c r="AF7" s="28" t="inlineStr">
        <is>
          <t>No</t>
        </is>
      </c>
      <c r="AG7" s="32" t="inlineStr">
        <is>
          <t>HIGH</t>
        </is>
      </c>
      <c r="AH7" s="29" t="inlineStr">
        <is>
          <t>Affordable Comp #1: LIHTC property, 2001 vintage (0 yr diff), 48 units, 4.1 mi from subject. Same income-eligible renter pool.</t>
        </is>
      </c>
      <c r="AI7" s="28" t="inlineStr">
        <is>
          <t>HUD LIHTC Database (huduser.gov)</t>
        </is>
      </c>
    </row>
    <row r="8" ht="54.75" customFormat="1" customHeight="1" s="3">
      <c r="A8" s="33" t="inlineStr">
        <is>
          <t>2</t>
        </is>
      </c>
      <c r="B8" s="33" t="inlineStr">
        <is>
          <t>AFFORDABLE</t>
        </is>
      </c>
      <c r="C8" s="34" t="inlineStr">
        <is>
          <t>Mt. Zion Homess</t>
        </is>
      </c>
      <c r="D8" s="33" t="inlineStr">
        <is>
          <t>802 N. 22Nd St., Gracie St, N. 29Th St.</t>
        </is>
      </c>
      <c r="E8" s="33" t="inlineStr">
        <is>
          <t>Baton Rouge</t>
        </is>
      </c>
      <c r="F8" s="33" t="inlineStr">
        <is>
          <t>LA</t>
        </is>
      </c>
      <c r="G8" s="33" t="inlineStr">
        <is>
          <t>70802-0000</t>
        </is>
      </c>
      <c r="H8" s="33" t="inlineStr">
        <is>
          <t>1.3 mi</t>
        </is>
      </c>
      <c r="I8" s="33" t="inlineStr">
        <is>
          <t>$2,866</t>
        </is>
      </c>
      <c r="J8" s="33" t="inlineStr">
        <is>
          <t>$3,440</t>
        </is>
      </c>
      <c r="K8" s="30" t="inlineStr">
        <is>
          <t>$916</t>
        </is>
      </c>
      <c r="L8" s="31" t="inlineStr">
        <is>
          <t>Not Listed</t>
        </is>
      </c>
      <c r="M8" s="33" t="inlineStr">
        <is>
          <t>$3,441</t>
        </is>
      </c>
      <c r="N8" s="33" t="inlineStr">
        <is>
          <t>$4,130</t>
        </is>
      </c>
      <c r="O8" s="30" t="inlineStr">
        <is>
          <t>$1,254</t>
        </is>
      </c>
      <c r="P8" s="31" t="inlineStr">
        <is>
          <t>Not Listed</t>
        </is>
      </c>
      <c r="Q8" s="33" t="inlineStr">
        <is>
          <t>$3,820</t>
        </is>
      </c>
      <c r="R8" s="33" t="inlineStr">
        <is>
          <t>$4,585</t>
        </is>
      </c>
      <c r="S8" s="30" t="inlineStr">
        <is>
          <t>$1,573</t>
        </is>
      </c>
      <c r="T8" s="31" t="inlineStr">
        <is>
          <t>Not Listed</t>
        </is>
      </c>
      <c r="U8" s="33" t="inlineStr">
        <is>
          <t>$4,129</t>
        </is>
      </c>
      <c r="V8" s="33" t="inlineStr">
        <is>
          <t>$4,955</t>
        </is>
      </c>
      <c r="W8" s="30" t="inlineStr">
        <is>
          <t>$1,818</t>
        </is>
      </c>
      <c r="X8" s="31" t="inlineStr">
        <is>
          <t>Not Listed</t>
        </is>
      </c>
      <c r="Y8" s="33" t="inlineStr">
        <is>
          <t>31</t>
        </is>
      </c>
      <c r="Z8" s="33" t="inlineStr">
        <is>
          <t>2001</t>
        </is>
      </c>
      <c r="AA8" s="33" t="inlineStr">
        <is>
          <t>0</t>
        </is>
      </c>
      <c r="AB8" s="33" t="inlineStr">
        <is>
          <t>Yes</t>
        </is>
      </c>
      <c r="AC8" s="33" t="inlineStr">
        <is>
          <t>No</t>
        </is>
      </c>
      <c r="AD8" s="33" t="inlineStr">
        <is>
          <t>No</t>
        </is>
      </c>
      <c r="AE8" s="33" t="inlineStr">
        <is>
          <t>No</t>
        </is>
      </c>
      <c r="AF8" s="33" t="inlineStr">
        <is>
          <t>No</t>
        </is>
      </c>
      <c r="AG8" s="35" t="inlineStr">
        <is>
          <t>HIGH</t>
        </is>
      </c>
      <c r="AH8" s="34" t="inlineStr">
        <is>
          <t>Affordable Comp #2: LIHTC property, 2001 vintage (0 yr diff), 31 units, 1.3 mi from subject. Same income-eligible renter pool.</t>
        </is>
      </c>
      <c r="AI8" s="33" t="inlineStr">
        <is>
          <t>HUD LIHTC Database (huduser.gov)</t>
        </is>
      </c>
    </row>
    <row r="9" ht="54.75" customFormat="1" customHeight="1" s="3">
      <c r="A9" s="36" t="inlineStr">
        <is>
          <t>3</t>
        </is>
      </c>
      <c r="B9" s="36" t="inlineStr">
        <is>
          <t>AFFORDABLE</t>
        </is>
      </c>
      <c r="C9" s="37" t="inlineStr">
        <is>
          <t>Restoration Baton Rouge Ii</t>
        </is>
      </c>
      <c r="D9" s="36" t="inlineStr">
        <is>
          <t>2906 Government Street</t>
        </is>
      </c>
      <c r="E9" s="36" t="inlineStr">
        <is>
          <t>Baton Rouge</t>
        </is>
      </c>
      <c r="F9" s="36" t="inlineStr">
        <is>
          <t>LA</t>
        </is>
      </c>
      <c r="G9" s="36" t="inlineStr">
        <is>
          <t>70806-0000</t>
        </is>
      </c>
      <c r="H9" s="36" t="inlineStr">
        <is>
          <t>1.8 mi</t>
        </is>
      </c>
      <c r="I9" s="36" t="inlineStr">
        <is>
          <t>$2,866</t>
        </is>
      </c>
      <c r="J9" s="36" t="inlineStr">
        <is>
          <t>$3,440</t>
        </is>
      </c>
      <c r="K9" s="30" t="inlineStr">
        <is>
          <t>$916</t>
        </is>
      </c>
      <c r="L9" s="31" t="inlineStr">
        <is>
          <t>Not Listed</t>
        </is>
      </c>
      <c r="M9" s="36" t="inlineStr">
        <is>
          <t>$3,441</t>
        </is>
      </c>
      <c r="N9" s="36" t="inlineStr">
        <is>
          <t>$4,130</t>
        </is>
      </c>
      <c r="O9" s="30" t="inlineStr">
        <is>
          <t>$1,254</t>
        </is>
      </c>
      <c r="P9" s="31" t="inlineStr">
        <is>
          <t>Not Listed</t>
        </is>
      </c>
      <c r="Q9" s="36" t="inlineStr">
        <is>
          <t>$3,820</t>
        </is>
      </c>
      <c r="R9" s="36" t="inlineStr">
        <is>
          <t>$4,585</t>
        </is>
      </c>
      <c r="S9" s="30" t="inlineStr">
        <is>
          <t>$1,573</t>
        </is>
      </c>
      <c r="T9" s="31" t="inlineStr">
        <is>
          <t>Not Listed</t>
        </is>
      </c>
      <c r="U9" s="36" t="inlineStr">
        <is>
          <t>$4,129</t>
        </is>
      </c>
      <c r="V9" s="36" t="inlineStr">
        <is>
          <t>$4,955</t>
        </is>
      </c>
      <c r="W9" s="30" t="inlineStr">
        <is>
          <t>$1,818</t>
        </is>
      </c>
      <c r="X9" s="31" t="inlineStr">
        <is>
          <t>Not Listed</t>
        </is>
      </c>
      <c r="Y9" s="36" t="inlineStr">
        <is>
          <t>36</t>
        </is>
      </c>
      <c r="Z9" s="36" t="inlineStr">
        <is>
          <t>2002</t>
        </is>
      </c>
      <c r="AA9" s="36" t="inlineStr">
        <is>
          <t>1</t>
        </is>
      </c>
      <c r="AB9" s="36" t="inlineStr">
        <is>
          <t>Yes</t>
        </is>
      </c>
      <c r="AC9" s="36" t="inlineStr">
        <is>
          <t>No</t>
        </is>
      </c>
      <c r="AD9" s="36" t="inlineStr">
        <is>
          <t>No</t>
        </is>
      </c>
      <c r="AE9" s="36" t="inlineStr">
        <is>
          <t>No</t>
        </is>
      </c>
      <c r="AF9" s="36" t="inlineStr">
        <is>
          <t>No</t>
        </is>
      </c>
      <c r="AG9" s="85" t="inlineStr">
        <is>
          <t>HIGH</t>
        </is>
      </c>
      <c r="AH9" s="37" t="inlineStr">
        <is>
          <t>Affordable Comp #3: LIHTC property, 2002 vintage (1 yr diff), 36 units, 1.8 mi from subject. Same income-eligible renter pool.</t>
        </is>
      </c>
      <c r="AI9" s="36" t="inlineStr">
        <is>
          <t>HUD LIHTC Database (huduser.gov)</t>
        </is>
      </c>
    </row>
    <row r="10" ht="54.75" customFormat="1" customHeight="1" s="3">
      <c r="A10" s="28" t="inlineStr">
        <is>
          <t>4</t>
        </is>
      </c>
      <c r="B10" s="28" t="inlineStr">
        <is>
          <t>AFFORDABLE</t>
        </is>
      </c>
      <c r="C10" s="29" t="inlineStr">
        <is>
          <t>Restoration Baton Rouge I</t>
        </is>
      </c>
      <c r="D10" s="28" t="inlineStr">
        <is>
          <t>605 North 33Rd Street</t>
        </is>
      </c>
      <c r="E10" s="28" t="inlineStr">
        <is>
          <t>Baton Rouge</t>
        </is>
      </c>
      <c r="F10" s="28" t="inlineStr">
        <is>
          <t>LA</t>
        </is>
      </c>
      <c r="G10" s="28" t="inlineStr">
        <is>
          <t>70802-0000</t>
        </is>
      </c>
      <c r="H10" s="28" t="inlineStr">
        <is>
          <t>1.9 mi</t>
        </is>
      </c>
      <c r="I10" s="28" t="inlineStr">
        <is>
          <t>$2,866</t>
        </is>
      </c>
      <c r="J10" s="28" t="inlineStr">
        <is>
          <t>$3,440</t>
        </is>
      </c>
      <c r="K10" s="30" t="inlineStr">
        <is>
          <t>$916</t>
        </is>
      </c>
      <c r="L10" s="31" t="inlineStr">
        <is>
          <t>Not Listed</t>
        </is>
      </c>
      <c r="M10" s="28" t="inlineStr">
        <is>
          <t>$3,441</t>
        </is>
      </c>
      <c r="N10" s="28" t="inlineStr">
        <is>
          <t>$4,130</t>
        </is>
      </c>
      <c r="O10" s="30" t="inlineStr">
        <is>
          <t>$1,254</t>
        </is>
      </c>
      <c r="P10" s="31" t="inlineStr">
        <is>
          <t>Not Listed</t>
        </is>
      </c>
      <c r="Q10" s="28" t="inlineStr">
        <is>
          <t>$3,820</t>
        </is>
      </c>
      <c r="R10" s="28" t="inlineStr">
        <is>
          <t>$4,585</t>
        </is>
      </c>
      <c r="S10" s="30" t="inlineStr">
        <is>
          <t>$1,573</t>
        </is>
      </c>
      <c r="T10" s="31" t="inlineStr">
        <is>
          <t>Not Listed</t>
        </is>
      </c>
      <c r="U10" s="28" t="inlineStr">
        <is>
          <t>$4,129</t>
        </is>
      </c>
      <c r="V10" s="28" t="inlineStr">
        <is>
          <t>$4,955</t>
        </is>
      </c>
      <c r="W10" s="30" t="inlineStr">
        <is>
          <t>$1,818</t>
        </is>
      </c>
      <c r="X10" s="31" t="inlineStr">
        <is>
          <t>Not Listed</t>
        </is>
      </c>
      <c r="Y10" s="28" t="inlineStr">
        <is>
          <t>32</t>
        </is>
      </c>
      <c r="Z10" s="28" t="inlineStr">
        <is>
          <t>2002</t>
        </is>
      </c>
      <c r="AA10" s="28" t="inlineStr">
        <is>
          <t>1</t>
        </is>
      </c>
      <c r="AB10" s="28" t="inlineStr">
        <is>
          <t>Yes</t>
        </is>
      </c>
      <c r="AC10" s="28" t="inlineStr">
        <is>
          <t>No</t>
        </is>
      </c>
      <c r="AD10" s="28" t="inlineStr">
        <is>
          <t>No</t>
        </is>
      </c>
      <c r="AE10" s="28" t="inlineStr">
        <is>
          <t>No</t>
        </is>
      </c>
      <c r="AF10" s="28" t="inlineStr">
        <is>
          <t>No</t>
        </is>
      </c>
      <c r="AG10" s="32" t="inlineStr">
        <is>
          <t>HIGH</t>
        </is>
      </c>
      <c r="AH10" s="29" t="inlineStr">
        <is>
          <t>Affordable Comp #4: LIHTC property, 2002 vintage (1 yr diff), 32 units, 1.9 mi from subject. Same income-eligible renter pool.</t>
        </is>
      </c>
      <c r="AI10" s="28" t="inlineStr">
        <is>
          <t>HUD LIHTC Database (huduser.gov)</t>
        </is>
      </c>
    </row>
    <row r="11" ht="54.75" customFormat="1" customHeight="1" s="3">
      <c r="A11" s="39" t="inlineStr">
        <is>
          <t>1</t>
        </is>
      </c>
      <c r="B11" s="39" t="inlineStr">
        <is>
          <t>MARKET RATE</t>
        </is>
      </c>
      <c r="C11" s="40" t="inlineStr">
        <is>
          <t>Sienna Lake Apartments</t>
        </is>
      </c>
      <c r="D11" s="39" t="inlineStr">
        <is>
          <t>5555 Sienna Lakes Dr, Baton Rouge, LA 70820</t>
        </is>
      </c>
      <c r="E11" s="39" t="inlineStr">
        <is>
          <t>Baton Rouge</t>
        </is>
      </c>
      <c r="F11" s="39" t="inlineStr">
        <is>
          <t>LA</t>
        </is>
      </c>
      <c r="G11" s="39" t="n"/>
      <c r="H11" s="39" t="inlineStr">
        <is>
          <t>5.0 mi</t>
        </is>
      </c>
      <c r="I11" s="39" t="inlineStr">
        <is>
          <t>N/A (Market Rate)</t>
        </is>
      </c>
      <c r="J11" s="39" t="inlineStr">
        <is>
          <t>N/A (Market Rate)</t>
        </is>
      </c>
      <c r="K11" s="30" t="inlineStr">
        <is>
          <t>$916</t>
        </is>
      </c>
      <c r="L11" s="31" t="inlineStr">
        <is>
          <t>$925</t>
        </is>
      </c>
      <c r="M11" s="39" t="inlineStr">
        <is>
          <t>N/A (Market Rate)</t>
        </is>
      </c>
      <c r="N11" s="39" t="inlineStr">
        <is>
          <t>N/A (Market Rate)</t>
        </is>
      </c>
      <c r="O11" s="30" t="inlineStr">
        <is>
          <t>$1,254</t>
        </is>
      </c>
      <c r="P11" s="31" t="inlineStr">
        <is>
          <t>$1,175</t>
        </is>
      </c>
      <c r="Q11" s="39" t="inlineStr">
        <is>
          <t>N/A (Market Rate)</t>
        </is>
      </c>
      <c r="R11" s="39" t="inlineStr">
        <is>
          <t>N/A (Market Rate)</t>
        </is>
      </c>
      <c r="S11" s="30" t="inlineStr">
        <is>
          <t>$1,573</t>
        </is>
      </c>
      <c r="T11" s="31" t="inlineStr">
        <is>
          <t>$1,450</t>
        </is>
      </c>
      <c r="U11" s="39" t="inlineStr">
        <is>
          <t>N/A (Market Rate)</t>
        </is>
      </c>
      <c r="V11" s="39" t="inlineStr">
        <is>
          <t>N/A (Market Rate)</t>
        </is>
      </c>
      <c r="W11" s="30" t="inlineStr">
        <is>
          <t>$1,818</t>
        </is>
      </c>
      <c r="X11" s="31" t="inlineStr">
        <is>
          <t>Not Listed</t>
        </is>
      </c>
      <c r="Y11" s="39" t="inlineStr">
        <is>
          <t>240</t>
        </is>
      </c>
      <c r="Z11" s="39" t="inlineStr">
        <is>
          <t>2001</t>
        </is>
      </c>
      <c r="AA11" s="39" t="inlineStr">
        <is>
          <t>0</t>
        </is>
      </c>
      <c r="AB11" s="39" t="inlineStr">
        <is>
          <t>Varies</t>
        </is>
      </c>
      <c r="AC11" s="39" t="inlineStr">
        <is>
          <t>Varies</t>
        </is>
      </c>
      <c r="AD11" s="39" t="inlineStr">
        <is>
          <t>Varies</t>
        </is>
      </c>
      <c r="AE11" s="39" t="inlineStr">
        <is>
          <t>Varies</t>
        </is>
      </c>
      <c r="AF11" s="39" t="inlineStr">
        <is>
          <t>Varies</t>
        </is>
      </c>
      <c r="AG11" s="41" t="inlineStr">
        <is>
          <t>HIGH</t>
        </is>
      </c>
      <c r="AH11" s="40" t="inlineStr">
        <is>
          <t>Market Rate Comp #1: No income restrictions, 2001 vintage (0 yr diff), 240 units, 5.0 mi from subject. Shows market-rate rents vs. affordable housing discount.</t>
        </is>
      </c>
      <c r="AI11" s="39" t="inlineStr">
        <is>
          <t>https://www.rentcafe.com/apartments-for-rent/us/la/baton-rouge/sienna-lake/</t>
        </is>
      </c>
    </row>
    <row r="12" ht="54.75" customFormat="1" customHeight="1" s="3">
      <c r="A12" s="42" t="inlineStr">
        <is>
          <t>2</t>
        </is>
      </c>
      <c r="B12" s="42" t="inlineStr">
        <is>
          <t>MARKET RATE</t>
        </is>
      </c>
      <c r="C12" s="43" t="inlineStr">
        <is>
          <t>Willow Creek Apartments</t>
        </is>
      </c>
      <c r="D12" s="42" t="inlineStr">
        <is>
          <t>9800 Airline Hwy, Baton Rouge, LA 70816</t>
        </is>
      </c>
      <c r="E12" s="42" t="inlineStr">
        <is>
          <t>Baton Rouge</t>
        </is>
      </c>
      <c r="F12" s="42" t="inlineStr">
        <is>
          <t>LA</t>
        </is>
      </c>
      <c r="G12" s="42" t="n"/>
      <c r="H12" s="42" t="inlineStr">
        <is>
          <t>7.0 mi</t>
        </is>
      </c>
      <c r="I12" s="42" t="inlineStr">
        <is>
          <t>N/A (Market Rate)</t>
        </is>
      </c>
      <c r="J12" s="42" t="inlineStr">
        <is>
          <t>N/A (Market Rate)</t>
        </is>
      </c>
      <c r="K12" s="30" t="inlineStr">
        <is>
          <t>$916</t>
        </is>
      </c>
      <c r="L12" s="31" t="inlineStr">
        <is>
          <t>$895</t>
        </is>
      </c>
      <c r="M12" s="42" t="inlineStr">
        <is>
          <t>N/A (Market Rate)</t>
        </is>
      </c>
      <c r="N12" s="42" t="inlineStr">
        <is>
          <t>N/A (Market Rate)</t>
        </is>
      </c>
      <c r="O12" s="30" t="inlineStr">
        <is>
          <t>$1,254</t>
        </is>
      </c>
      <c r="P12" s="31" t="inlineStr">
        <is>
          <t>$1,125</t>
        </is>
      </c>
      <c r="Q12" s="42" t="inlineStr">
        <is>
          <t>N/A (Market Rate)</t>
        </is>
      </c>
      <c r="R12" s="42" t="inlineStr">
        <is>
          <t>N/A (Market Rate)</t>
        </is>
      </c>
      <c r="S12" s="30" t="inlineStr">
        <is>
          <t>$1,573</t>
        </is>
      </c>
      <c r="T12" s="31" t="inlineStr">
        <is>
          <t>$1,400</t>
        </is>
      </c>
      <c r="U12" s="42" t="inlineStr">
        <is>
          <t>N/A (Market Rate)</t>
        </is>
      </c>
      <c r="V12" s="42" t="inlineStr">
        <is>
          <t>N/A (Market Rate)</t>
        </is>
      </c>
      <c r="W12" s="30" t="inlineStr">
        <is>
          <t>$1,818</t>
        </is>
      </c>
      <c r="X12" s="31" t="inlineStr">
        <is>
          <t>Not Listed</t>
        </is>
      </c>
      <c r="Y12" s="42" t="inlineStr">
        <is>
          <t>180</t>
        </is>
      </c>
      <c r="Z12" s="42" t="inlineStr">
        <is>
          <t>1999</t>
        </is>
      </c>
      <c r="AA12" s="42" t="inlineStr">
        <is>
          <t>2</t>
        </is>
      </c>
      <c r="AB12" s="42" t="inlineStr">
        <is>
          <t>Varies</t>
        </is>
      </c>
      <c r="AC12" s="42" t="inlineStr">
        <is>
          <t>Varies</t>
        </is>
      </c>
      <c r="AD12" s="42" t="inlineStr">
        <is>
          <t>Varies</t>
        </is>
      </c>
      <c r="AE12" s="42" t="inlineStr">
        <is>
          <t>Varies</t>
        </is>
      </c>
      <c r="AF12" s="42" t="inlineStr">
        <is>
          <t>Varies</t>
        </is>
      </c>
      <c r="AG12" s="44" t="inlineStr">
        <is>
          <t>HIGH</t>
        </is>
      </c>
      <c r="AH12" s="43" t="inlineStr">
        <is>
          <t>Market Rate Comp #2: No income restrictions, 1999 vintage (2 yr diff), 180 units, 7.0 mi from subject. Shows market-rate rents vs. affordable housing discount.</t>
        </is>
      </c>
      <c r="AI12" s="42" t="inlineStr">
        <is>
          <t>https://www.rentcafe.com/apartments-for-rent/us/la/baton-rouge/</t>
        </is>
      </c>
    </row>
    <row r="13" ht="54.75" customFormat="1" customHeight="1" s="3">
      <c r="A13" s="45" t="inlineStr">
        <is>
          <t>3</t>
        </is>
      </c>
      <c r="B13" s="45" t="inlineStr">
        <is>
          <t>MARKET RATE</t>
        </is>
      </c>
      <c r="C13" s="46" t="inlineStr">
        <is>
          <t>The Preserve At Harveston</t>
        </is>
      </c>
      <c r="D13" s="45" t="inlineStr">
        <is>
          <t>18000 Harveston Dr, Baton Rouge, LA 70816</t>
        </is>
      </c>
      <c r="E13" s="45" t="inlineStr">
        <is>
          <t>Baton Rouge</t>
        </is>
      </c>
      <c r="F13" s="45" t="inlineStr">
        <is>
          <t>LA</t>
        </is>
      </c>
      <c r="G13" s="45" t="n"/>
      <c r="H13" s="45" t="inlineStr">
        <is>
          <t>8.8 mi</t>
        </is>
      </c>
      <c r="I13" s="45" t="inlineStr">
        <is>
          <t>N/A (Market Rate)</t>
        </is>
      </c>
      <c r="J13" s="45" t="inlineStr">
        <is>
          <t>N/A (Market Rate)</t>
        </is>
      </c>
      <c r="K13" s="30" t="inlineStr">
        <is>
          <t>$916</t>
        </is>
      </c>
      <c r="L13" s="31" t="inlineStr">
        <is>
          <t>$950</t>
        </is>
      </c>
      <c r="M13" s="45" t="inlineStr">
        <is>
          <t>N/A (Market Rate)</t>
        </is>
      </c>
      <c r="N13" s="45" t="inlineStr">
        <is>
          <t>N/A (Market Rate)</t>
        </is>
      </c>
      <c r="O13" s="30" t="inlineStr">
        <is>
          <t>$1,254</t>
        </is>
      </c>
      <c r="P13" s="31" t="inlineStr">
        <is>
          <t>$1,200</t>
        </is>
      </c>
      <c r="Q13" s="45" t="inlineStr">
        <is>
          <t>N/A (Market Rate)</t>
        </is>
      </c>
      <c r="R13" s="45" t="inlineStr">
        <is>
          <t>N/A (Market Rate)</t>
        </is>
      </c>
      <c r="S13" s="30" t="inlineStr">
        <is>
          <t>$1,573</t>
        </is>
      </c>
      <c r="T13" s="31" t="inlineStr">
        <is>
          <t>$1,475</t>
        </is>
      </c>
      <c r="U13" s="45" t="inlineStr">
        <is>
          <t>N/A (Market Rate)</t>
        </is>
      </c>
      <c r="V13" s="45" t="inlineStr">
        <is>
          <t>N/A (Market Rate)</t>
        </is>
      </c>
      <c r="W13" s="30" t="inlineStr">
        <is>
          <t>$1,818</t>
        </is>
      </c>
      <c r="X13" s="31" t="inlineStr">
        <is>
          <t>Not Listed</t>
        </is>
      </c>
      <c r="Y13" s="45" t="inlineStr">
        <is>
          <t>200</t>
        </is>
      </c>
      <c r="Z13" s="45" t="inlineStr">
        <is>
          <t>2002</t>
        </is>
      </c>
      <c r="AA13" s="45" t="inlineStr">
        <is>
          <t>1</t>
        </is>
      </c>
      <c r="AB13" s="45" t="inlineStr">
        <is>
          <t>Varies</t>
        </is>
      </c>
      <c r="AC13" s="45" t="inlineStr">
        <is>
          <t>Varies</t>
        </is>
      </c>
      <c r="AD13" s="45" t="inlineStr">
        <is>
          <t>Varies</t>
        </is>
      </c>
      <c r="AE13" s="45" t="inlineStr">
        <is>
          <t>Varies</t>
        </is>
      </c>
      <c r="AF13" s="45" t="inlineStr">
        <is>
          <t>Varies</t>
        </is>
      </c>
      <c r="AG13" s="47" t="inlineStr">
        <is>
          <t>HIGH</t>
        </is>
      </c>
      <c r="AH13" s="46" t="inlineStr">
        <is>
          <t>Market Rate Comp #3: No income restrictions, 2002 vintage (1 yr diff), 200 units, 8.8 mi from subject. Shows market-rate rents vs. affordable housing discount.</t>
        </is>
      </c>
      <c r="AI13" s="45" t="inlineStr">
        <is>
          <t>https://www.rentcafe.com/apartments-for-rent/us/la/baton-rouge/the-preserve-at-harveston/</t>
        </is>
      </c>
    </row>
    <row r="14" ht="54.75" customFormat="1" customHeight="1" s="3">
      <c r="A14" s="39" t="inlineStr">
        <is>
          <t>4</t>
        </is>
      </c>
      <c r="B14" s="39" t="inlineStr">
        <is>
          <t>MARKET RATE</t>
        </is>
      </c>
      <c r="C14" s="40" t="inlineStr">
        <is>
          <t>Copper Mill Apartments</t>
        </is>
      </c>
      <c r="D14" s="39" t="inlineStr">
        <is>
          <t>10000 Copper Mill Dr, Baton Rouge, LA 70818</t>
        </is>
      </c>
      <c r="E14" s="39" t="inlineStr">
        <is>
          <t>Baton Rouge</t>
        </is>
      </c>
      <c r="F14" s="39" t="inlineStr">
        <is>
          <t>LA</t>
        </is>
      </c>
      <c r="G14" s="39" t="n"/>
      <c r="H14" s="39" t="inlineStr">
        <is>
          <t>10.2 mi</t>
        </is>
      </c>
      <c r="I14" s="39" t="inlineStr">
        <is>
          <t>N/A (Market Rate)</t>
        </is>
      </c>
      <c r="J14" s="39" t="inlineStr">
        <is>
          <t>N/A (Market Rate)</t>
        </is>
      </c>
      <c r="K14" s="30" t="inlineStr">
        <is>
          <t>$916</t>
        </is>
      </c>
      <c r="L14" s="31" t="inlineStr">
        <is>
          <t>$925</t>
        </is>
      </c>
      <c r="M14" s="39" t="inlineStr">
        <is>
          <t>N/A (Market Rate)</t>
        </is>
      </c>
      <c r="N14" s="39" t="inlineStr">
        <is>
          <t>N/A (Market Rate)</t>
        </is>
      </c>
      <c r="O14" s="30" t="inlineStr">
        <is>
          <t>$1,254</t>
        </is>
      </c>
      <c r="P14" s="31" t="inlineStr">
        <is>
          <t>$1,150</t>
        </is>
      </c>
      <c r="Q14" s="39" t="inlineStr">
        <is>
          <t>N/A (Market Rate)</t>
        </is>
      </c>
      <c r="R14" s="39" t="inlineStr">
        <is>
          <t>N/A (Market Rate)</t>
        </is>
      </c>
      <c r="S14" s="30" t="inlineStr">
        <is>
          <t>$1,573</t>
        </is>
      </c>
      <c r="T14" s="31" t="inlineStr">
        <is>
          <t>$1,425</t>
        </is>
      </c>
      <c r="U14" s="39" t="inlineStr">
        <is>
          <t>N/A (Market Rate)</t>
        </is>
      </c>
      <c r="V14" s="39" t="inlineStr">
        <is>
          <t>N/A (Market Rate)</t>
        </is>
      </c>
      <c r="W14" s="30" t="inlineStr">
        <is>
          <t>$1,818</t>
        </is>
      </c>
      <c r="X14" s="31" t="inlineStr">
        <is>
          <t>Not Listed</t>
        </is>
      </c>
      <c r="Y14" s="39" t="inlineStr">
        <is>
          <t>160</t>
        </is>
      </c>
      <c r="Z14" s="39" t="inlineStr">
        <is>
          <t>2000</t>
        </is>
      </c>
      <c r="AA14" s="39" t="inlineStr">
        <is>
          <t>1</t>
        </is>
      </c>
      <c r="AB14" s="39" t="inlineStr">
        <is>
          <t>Varies</t>
        </is>
      </c>
      <c r="AC14" s="39" t="inlineStr">
        <is>
          <t>Varies</t>
        </is>
      </c>
      <c r="AD14" s="39" t="inlineStr">
        <is>
          <t>Varies</t>
        </is>
      </c>
      <c r="AE14" s="39" t="inlineStr">
        <is>
          <t>Varies</t>
        </is>
      </c>
      <c r="AF14" s="39" t="inlineStr">
        <is>
          <t>Varies</t>
        </is>
      </c>
      <c r="AG14" s="41" t="inlineStr">
        <is>
          <t>HIGH</t>
        </is>
      </c>
      <c r="AH14" s="40" t="inlineStr">
        <is>
          <t>Market Rate Comp #4: No income restrictions, 2000 vintage (1 yr diff), 160 units, 10.2 mi from subject. Shows market-rate rents vs. affordable housing discount.</t>
        </is>
      </c>
      <c r="AI14" s="39" t="inlineStr">
        <is>
          <t>https://www.rentcafe.com/apartments-for-rent/us/la/baton-rouge/copper-mill/</t>
        </is>
      </c>
    </row>
    <row r="15" ht="54.75" customFormat="1" customHeight="1" s="3">
      <c r="A15" s="48" t="inlineStr">
        <is>
          <t>—</t>
        </is>
      </c>
      <c r="B15" s="48" t="inlineStr">
        <is>
          <t>BENCHMARK</t>
        </is>
      </c>
      <c r="C15" s="49" t="inlineStr">
        <is>
          <t>FY2026 FMR — Baton Rouge MSA</t>
        </is>
      </c>
      <c r="D15" s="48" t="inlineStr">
        <is>
          <t>N/A</t>
        </is>
      </c>
      <c r="E15" s="48" t="inlineStr">
        <is>
          <t>Baton Rouge</t>
        </is>
      </c>
      <c r="F15" s="48" t="inlineStr">
        <is>
          <t>LA</t>
        </is>
      </c>
      <c r="G15" s="48" t="inlineStr">
        <is>
          <t>N/A</t>
        </is>
      </c>
      <c r="H15" s="48" t="inlineStr">
        <is>
          <t>N/A</t>
        </is>
      </c>
      <c r="I15" s="48" t="inlineStr">
        <is>
          <t>$916</t>
        </is>
      </c>
      <c r="J15" s="48" t="inlineStr">
        <is>
          <t>$916</t>
        </is>
      </c>
      <c r="K15" s="30" t="inlineStr">
        <is>
          <t>$916</t>
        </is>
      </c>
      <c r="L15" s="31" t="inlineStr">
        <is>
          <t>N/A</t>
        </is>
      </c>
      <c r="M15" s="48" t="inlineStr">
        <is>
          <t>$1,254</t>
        </is>
      </c>
      <c r="N15" s="48" t="inlineStr">
        <is>
          <t>$1,254</t>
        </is>
      </c>
      <c r="O15" s="30" t="inlineStr">
        <is>
          <t>$1,254</t>
        </is>
      </c>
      <c r="P15" s="31" t="inlineStr">
        <is>
          <t>N/A</t>
        </is>
      </c>
      <c r="Q15" s="48" t="inlineStr">
        <is>
          <t>$1,573</t>
        </is>
      </c>
      <c r="R15" s="48" t="inlineStr">
        <is>
          <t>$1,573</t>
        </is>
      </c>
      <c r="S15" s="30" t="inlineStr">
        <is>
          <t>$1,573</t>
        </is>
      </c>
      <c r="T15" s="31" t="inlineStr">
        <is>
          <t>N/A</t>
        </is>
      </c>
      <c r="U15" s="48" t="inlineStr">
        <is>
          <t>$1,818</t>
        </is>
      </c>
      <c r="V15" s="48" t="inlineStr">
        <is>
          <t>$1,818</t>
        </is>
      </c>
      <c r="W15" s="30" t="inlineStr">
        <is>
          <t>$1,818</t>
        </is>
      </c>
      <c r="X15" s="31" t="inlineStr">
        <is>
          <t>N/A</t>
        </is>
      </c>
      <c r="Y15" s="48" t="inlineStr">
        <is>
          <t>N/A</t>
        </is>
      </c>
      <c r="Z15" s="48" t="inlineStr">
        <is>
          <t>N/A</t>
        </is>
      </c>
      <c r="AA15" s="48" t="inlineStr">
        <is>
          <t>N/A</t>
        </is>
      </c>
      <c r="AB15" s="48" t="inlineStr">
        <is>
          <t>N/A</t>
        </is>
      </c>
      <c r="AC15" s="48" t="inlineStr">
        <is>
          <t>N/A</t>
        </is>
      </c>
      <c r="AD15" s="48" t="inlineStr">
        <is>
          <t>N/A</t>
        </is>
      </c>
      <c r="AE15" s="48" t="inlineStr">
        <is>
          <t>N/A</t>
        </is>
      </c>
      <c r="AF15" s="48" t="inlineStr">
        <is>
          <t>N/A</t>
        </is>
      </c>
      <c r="AG15" s="50" t="inlineStr">
        <is>
          <t>BENCHMARK</t>
        </is>
      </c>
      <c r="AH15" s="49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5" s="48" t="inlineStr">
        <is>
          <t>HUD FMR Database (huduser.gov)</t>
        </is>
      </c>
    </row>
    <row r="16" ht="54.75" customFormat="1" customHeight="1" s="3">
      <c r="A16" s="48" t="inlineStr">
        <is>
          <t>—</t>
        </is>
      </c>
      <c r="B16" s="48" t="inlineStr">
        <is>
          <t>BENCHMARK</t>
        </is>
      </c>
      <c r="C16" s="49" t="inlineStr">
        <is>
          <t>Metro Market Avg — Baton Rouge</t>
        </is>
      </c>
      <c r="D16" s="48" t="inlineStr">
        <is>
          <t>N/A</t>
        </is>
      </c>
      <c r="E16" s="48" t="inlineStr">
        <is>
          <t>Baton Rouge</t>
        </is>
      </c>
      <c r="F16" s="48" t="inlineStr">
        <is>
          <t>LA</t>
        </is>
      </c>
      <c r="G16" s="48" t="inlineStr">
        <is>
          <t>N/A</t>
        </is>
      </c>
      <c r="H16" s="48" t="inlineStr">
        <is>
          <t>N/A</t>
        </is>
      </c>
      <c r="I16" s="48" t="inlineStr">
        <is>
          <t>$1,007</t>
        </is>
      </c>
      <c r="J16" s="48" t="inlineStr">
        <is>
          <t>$1,007</t>
        </is>
      </c>
      <c r="K16" s="30" t="inlineStr">
        <is>
          <t>$1,007</t>
        </is>
      </c>
      <c r="L16" s="31" t="inlineStr">
        <is>
          <t>N/A</t>
        </is>
      </c>
      <c r="M16" s="48" t="inlineStr">
        <is>
          <t>$1,379</t>
        </is>
      </c>
      <c r="N16" s="48" t="inlineStr">
        <is>
          <t>$1,379</t>
        </is>
      </c>
      <c r="O16" s="30" t="inlineStr">
        <is>
          <t>$1,379</t>
        </is>
      </c>
      <c r="P16" s="31" t="inlineStr">
        <is>
          <t>N/A</t>
        </is>
      </c>
      <c r="Q16" s="48" t="inlineStr">
        <is>
          <t>$1,730</t>
        </is>
      </c>
      <c r="R16" s="48" t="inlineStr">
        <is>
          <t>$1,730</t>
        </is>
      </c>
      <c r="S16" s="30" t="inlineStr">
        <is>
          <t>$1,730</t>
        </is>
      </c>
      <c r="T16" s="31" t="inlineStr">
        <is>
          <t>N/A</t>
        </is>
      </c>
      <c r="U16" s="48" t="inlineStr">
        <is>
          <t>$1,999</t>
        </is>
      </c>
      <c r="V16" s="48" t="inlineStr">
        <is>
          <t>$1,999</t>
        </is>
      </c>
      <c r="W16" s="30" t="inlineStr">
        <is>
          <t>$1,999</t>
        </is>
      </c>
      <c r="X16" s="31" t="inlineStr">
        <is>
          <t>N/A</t>
        </is>
      </c>
      <c r="Y16" s="48" t="inlineStr">
        <is>
          <t>N/A</t>
        </is>
      </c>
      <c r="Z16" s="48" t="inlineStr">
        <is>
          <t>N/A</t>
        </is>
      </c>
      <c r="AA16" s="48" t="inlineStr">
        <is>
          <t>N/A</t>
        </is>
      </c>
      <c r="AB16" s="48" t="inlineStr">
        <is>
          <t>N/A</t>
        </is>
      </c>
      <c r="AC16" s="48" t="inlineStr">
        <is>
          <t>N/A</t>
        </is>
      </c>
      <c r="AD16" s="48" t="inlineStr">
        <is>
          <t>N/A</t>
        </is>
      </c>
      <c r="AE16" s="48" t="inlineStr">
        <is>
          <t>N/A</t>
        </is>
      </c>
      <c r="AF16" s="48" t="inlineStr">
        <is>
          <t>N/A</t>
        </is>
      </c>
      <c r="AG16" s="50" t="inlineStr">
        <is>
          <t>BENCHMARK</t>
        </is>
      </c>
      <c r="AH16" s="49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6" s="48" t="inlineStr">
        <is>
          <t>HUD FMR + Market Estimate</t>
        </is>
      </c>
    </row>
    <row r="17" ht="8.25" customFormat="1" customHeight="1" s="3"/>
    <row r="18" ht="27.75" customFormat="1" customHeight="1" s="3">
      <c r="A18" s="51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Height="1" s="95">
      <c r="A21" s="61" t="inlineStr">
        <is>
          <t>PMTS — Vouchers / FMR / UAP / NET FMR</t>
        </is>
      </c>
      <c r="B21" s="101" t="n"/>
      <c r="C21" s="101" t="n"/>
      <c r="D21" s="101" t="n"/>
      <c r="E21" s="101" t="n"/>
      <c r="F21" s="102" t="n"/>
    </row>
    <row r="22" ht="15" customHeight="1" s="95">
      <c r="A22" s="64" t="inlineStr">
        <is>
          <t>BD</t>
        </is>
      </c>
      <c r="B22" s="65" t="inlineStr">
        <is>
          <t>MKT</t>
        </is>
      </c>
      <c r="C22" s="66" t="inlineStr">
        <is>
          <t>VCH</t>
        </is>
      </c>
      <c r="D22" s="67" t="inlineStr">
        <is>
          <t>FMR</t>
        </is>
      </c>
      <c r="E22" s="68" t="inlineStr">
        <is>
          <t>UAP</t>
        </is>
      </c>
      <c r="F22" s="69" t="inlineStr">
        <is>
          <t>NET</t>
        </is>
      </c>
    </row>
    <row r="23" ht="15" customHeight="1" s="95">
      <c r="A23" s="70" t="inlineStr">
        <is>
          <t>1BD</t>
        </is>
      </c>
      <c r="B23" s="71" t="n">
        <v>0</v>
      </c>
      <c r="C23" s="71" t="n">
        <v>900</v>
      </c>
      <c r="D23" s="71" t="n">
        <v>1020</v>
      </c>
      <c r="E23" s="72" t="n">
        <v>77</v>
      </c>
      <c r="F23" s="73" t="n">
        <v>943</v>
      </c>
    </row>
    <row r="24" ht="15" customHeight="1" s="95">
      <c r="A24" s="74" t="inlineStr">
        <is>
          <t>2BD</t>
        </is>
      </c>
      <c r="B24" s="75" t="n">
        <v>0</v>
      </c>
      <c r="C24" s="75" t="n">
        <v>1107</v>
      </c>
      <c r="D24" s="75" t="n">
        <v>1150</v>
      </c>
      <c r="E24" s="72" t="n">
        <v>102</v>
      </c>
      <c r="F24" s="73" t="n">
        <v>1048</v>
      </c>
    </row>
    <row r="25" ht="15" customHeight="1" s="95">
      <c r="A25" s="70" t="inlineStr">
        <is>
          <t>3BD</t>
        </is>
      </c>
      <c r="B25" s="71" t="n">
        <v>0</v>
      </c>
      <c r="C25" s="71" t="n">
        <v>1300</v>
      </c>
      <c r="D25" s="71" t="n">
        <v>1440</v>
      </c>
      <c r="E25" s="72" t="n">
        <v>121</v>
      </c>
      <c r="F25" s="73" t="n">
        <v>1319</v>
      </c>
    </row>
    <row r="26" ht="15" customHeight="1" s="95">
      <c r="A26" s="74" t="inlineStr">
        <is>
          <t>4BD</t>
        </is>
      </c>
      <c r="B26" s="75" t="n">
        <v>0</v>
      </c>
      <c r="C26" s="75" t="n">
        <v>1572</v>
      </c>
      <c r="D26" s="75" t="n">
        <v>1920</v>
      </c>
      <c r="E26" s="72" t="n">
        <v>149</v>
      </c>
      <c r="F26" s="73" t="n">
        <v>1771</v>
      </c>
    </row>
    <row r="29" ht="15" customHeight="1" s="95">
      <c r="A29" s="61" t="inlineStr">
        <is>
          <t>LIHTC, UAP, NET</t>
        </is>
      </c>
      <c r="B29" s="101" t="n"/>
      <c r="C29" s="101" t="n"/>
      <c r="D29" s="101" t="n"/>
      <c r="E29" s="102" t="n"/>
    </row>
    <row r="30" ht="15" customHeight="1" s="95">
      <c r="A30" s="64" t="n"/>
      <c r="B30" s="65" t="inlineStr">
        <is>
          <t>LIHTC/MKT</t>
        </is>
      </c>
      <c r="C30" s="67" t="inlineStr">
        <is>
          <t>60%</t>
        </is>
      </c>
      <c r="D30" s="68" t="inlineStr">
        <is>
          <t>UAP</t>
        </is>
      </c>
      <c r="E30" s="69" t="inlineStr">
        <is>
          <t>NET</t>
        </is>
      </c>
    </row>
    <row r="31" ht="15" customHeight="1" s="95">
      <c r="A31" s="70" t="inlineStr">
        <is>
          <t>1BD</t>
        </is>
      </c>
      <c r="B31" s="71" t="n">
        <v>1032</v>
      </c>
      <c r="C31" s="71" t="n">
        <v>874</v>
      </c>
      <c r="D31" s="72" t="n">
        <v>77</v>
      </c>
      <c r="E31" s="73" t="n">
        <v>797</v>
      </c>
    </row>
    <row r="32" ht="15" customHeight="1" s="95">
      <c r="A32" s="74" t="inlineStr">
        <is>
          <t>2BD</t>
        </is>
      </c>
      <c r="B32" s="75" t="n">
        <v>1239</v>
      </c>
      <c r="C32" s="75" t="n">
        <v>1039</v>
      </c>
      <c r="D32" s="72" t="n">
        <v>102</v>
      </c>
      <c r="E32" s="73" t="n">
        <v>937</v>
      </c>
    </row>
    <row r="33" ht="15" customHeight="1" s="95">
      <c r="A33" s="70" t="inlineStr">
        <is>
          <t>3BD</t>
        </is>
      </c>
      <c r="B33" s="71" t="n">
        <v>1431</v>
      </c>
      <c r="C33" s="71" t="n">
        <v>1194</v>
      </c>
      <c r="D33" s="72" t="n">
        <v>121</v>
      </c>
      <c r="E33" s="73" t="n">
        <v>1073</v>
      </c>
    </row>
    <row r="34" ht="15" customHeight="1" s="95">
      <c r="A34" s="74" t="inlineStr">
        <is>
          <t>4BD</t>
        </is>
      </c>
      <c r="B34" s="75" t="n">
        <v>1596</v>
      </c>
      <c r="C34" s="75" t="n">
        <v>1321</v>
      </c>
      <c r="D34" s="72" t="n">
        <v>149</v>
      </c>
      <c r="E34" s="73" t="n">
        <v>1172</v>
      </c>
    </row>
    <row r="37" ht="15" customHeight="1" s="95">
      <c r="A37" s="61" t="inlineStr">
        <is>
          <t>HAP, CoStar, NET</t>
        </is>
      </c>
      <c r="B37" s="101" t="n"/>
      <c r="C37" s="102" t="n"/>
    </row>
    <row r="38" ht="15" customHeight="1" s="95">
      <c r="A38" s="64" t="n"/>
      <c r="B38" s="68" t="inlineStr">
        <is>
          <t>HAP</t>
        </is>
      </c>
      <c r="C38" s="65" t="inlineStr">
        <is>
          <t>CoStar</t>
        </is>
      </c>
    </row>
    <row r="39" ht="15" customHeight="1" s="95">
      <c r="A39" s="70" t="inlineStr">
        <is>
          <t>1BD</t>
        </is>
      </c>
      <c r="B39" s="103" t="n">
        <v>0</v>
      </c>
      <c r="C39" s="104" t="n">
        <v>1205</v>
      </c>
    </row>
    <row r="40" ht="15" customHeight="1" s="95">
      <c r="A40" s="74" t="inlineStr">
        <is>
          <t>2BD</t>
        </is>
      </c>
      <c r="B40" s="103" t="n">
        <v>0</v>
      </c>
      <c r="C40" s="104" t="n">
        <v>1461</v>
      </c>
    </row>
    <row r="41" ht="15" customHeight="1" s="95">
      <c r="A41" s="70" t="inlineStr">
        <is>
          <t>3BD</t>
        </is>
      </c>
      <c r="B41" s="103" t="n">
        <v>0</v>
      </c>
      <c r="C41" s="104" t="n">
        <v>1579</v>
      </c>
    </row>
    <row r="42" ht="15" customHeight="1" s="95">
      <c r="A42" s="74" t="inlineStr">
        <is>
          <t>4BD</t>
        </is>
      </c>
      <c r="B42" s="103" t="n">
        <v>0</v>
      </c>
      <c r="C42" s="104" t="n">
        <v>1599</v>
      </c>
    </row>
  </sheetData>
  <mergeCells count="7">
    <mergeCell ref="A2:AI2"/>
    <mergeCell ref="A29:E29"/>
    <mergeCell ref="A37:C37"/>
    <mergeCell ref="A18:AI18"/>
    <mergeCell ref="A3:AI3"/>
    <mergeCell ref="A4:AI4"/>
    <mergeCell ref="A21:F21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32"/>
  <sheetViews>
    <sheetView topLeftCell="A1" workbookViewId="0">
      <pane ySplit="1" topLeftCell="A5" activePane="bottomLeft" state="frozen"/>
      <selection pane="bottomLeft" activeCell="A1" sqref="A1:AE1"/>
    </sheetView>
  </sheetViews>
  <sheetFormatPr baseColWidth="8" defaultColWidth="9.140625" defaultRowHeight="15" customHeight="1"/>
  <cols>
    <col width="8.00390625" customWidth="1" style="3" min="1" max="1"/>
    <col width="14.00390625" customWidth="1" style="3" min="2" max="2"/>
    <col width="28.00390625" customWidth="1" style="3" min="3" max="3"/>
    <col width="22.00390625" customWidth="1" style="3" min="4" max="4"/>
    <col width="16.00390625" customWidth="1" style="3" min="5" max="5"/>
    <col width="10.00390625" customWidth="1" style="3" min="6" max="6"/>
    <col width="8.00390625" customWidth="1" style="3" min="7" max="7"/>
    <col width="11.00390625" customWidth="1" style="3" min="8" max="8"/>
    <col width="10.00390625" customWidth="1" style="3" min="9" max="11"/>
    <col width="12.00390625" customWidth="1" style="3" min="12" max="12"/>
    <col width="10.00390625" customWidth="1" style="3" min="13" max="15"/>
    <col width="12.00390625" customWidth="1" style="3" min="16" max="16"/>
    <col width="10.00390625" customWidth="1" style="3" min="17" max="19"/>
    <col width="12.00390625" customWidth="1" style="3" min="20" max="20"/>
    <col width="8.00390625" customWidth="1" style="3" min="21" max="21"/>
    <col width="10.00390625" customWidth="1" style="3" min="22" max="22"/>
    <col width="7.00390625" customWidth="1" style="3" min="23" max="23"/>
    <col width="12.00390625" customWidth="1" style="3" min="24" max="25"/>
    <col width="8.00390625" customWidth="1" style="3" min="26" max="27"/>
    <col width="10.00390625" customWidth="1" style="3" min="28" max="28"/>
    <col width="16.00390625" customWidth="1" style="3" min="29" max="29"/>
    <col width="45.00390625" customWidth="1" style="3" min="30" max="30"/>
    <col width="28.00390625" customWidth="1" style="3" min="31" max="31"/>
  </cols>
  <sheetData>
    <row r="1" ht="15" customHeight="1" s="95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</row>
    <row r="2" ht="24" customFormat="1" customHeight="1" s="3">
      <c r="A2" s="17" t="inlineStr">
        <is>
          <t>COMPETITIVE RENT ANALYSIS — ANAHEIM | GREEN = Affordable Comps | BLUE = Market Rate Comps</t>
        </is>
      </c>
    </row>
    <row r="3" ht="20.25" customFormat="1" customHeight="1" s="3">
      <c r="A3" s="18" t="inlineStr">
        <is>
          <t>SUBJECT: Anaheim | Anaheim, Anaheim, CA 92801 | 80 units | Program: Section 8/HUD | Bedroom Mix: 2BR / 3BR / 4BR | County AMI: $136,600 | FMR Area: Orange County, CA</t>
        </is>
      </c>
    </row>
    <row r="4" ht="90" customFormat="1" customHeight="1" s="3">
      <c r="A4" s="19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5" ht="30" customFormat="1" customHeight="1" s="3">
      <c r="A5" s="20" t="inlineStr">
        <is>
          <t>Rank</t>
        </is>
      </c>
      <c r="B5" s="20" t="inlineStr">
        <is>
          <t>Type</t>
        </is>
      </c>
      <c r="C5" s="20" t="inlineStr">
        <is>
          <t>Property Name</t>
        </is>
      </c>
      <c r="D5" s="20" t="inlineStr">
        <is>
          <t>Address</t>
        </is>
      </c>
      <c r="E5" s="20" t="inlineStr">
        <is>
          <t>City</t>
        </is>
      </c>
      <c r="F5" s="20" t="inlineStr">
        <is>
          <t>State</t>
        </is>
      </c>
      <c r="G5" s="20" t="inlineStr">
        <is>
          <t>ZIP</t>
        </is>
      </c>
      <c r="H5" s="20" t="inlineStr">
        <is>
          <t>Distance (mi)</t>
        </is>
      </c>
      <c r="I5" s="20" t="inlineStr">
        <is>
          <t>2BR Low ($)</t>
        </is>
      </c>
      <c r="J5" s="20" t="inlineStr">
        <is>
          <t>2BR Mid ($)</t>
        </is>
      </c>
      <c r="K5" s="21" t="inlineStr">
        <is>
          <t>2BR FMR ($)</t>
        </is>
      </c>
      <c r="L5" s="22" t="inlineStr">
        <is>
          <t>2BR Actual ($)</t>
        </is>
      </c>
      <c r="M5" s="20" t="inlineStr">
        <is>
          <t>3BR Low ($)</t>
        </is>
      </c>
      <c r="N5" s="20" t="inlineStr">
        <is>
          <t>3BR Mid ($)</t>
        </is>
      </c>
      <c r="O5" s="21" t="inlineStr">
        <is>
          <t>3BR FMR ($)</t>
        </is>
      </c>
      <c r="P5" s="22" t="inlineStr">
        <is>
          <t>3BR Actual ($)</t>
        </is>
      </c>
      <c r="Q5" s="20" t="inlineStr">
        <is>
          <t>4BR Low ($)</t>
        </is>
      </c>
      <c r="R5" s="20" t="inlineStr">
        <is>
          <t>4BR Mid ($)</t>
        </is>
      </c>
      <c r="S5" s="21" t="inlineStr">
        <is>
          <t>4BR FMR ($)</t>
        </is>
      </c>
      <c r="T5" s="22" t="inlineStr">
        <is>
          <t>4BR Actual ($)</t>
        </is>
      </c>
      <c r="U5" s="20" t="inlineStr">
        <is>
          <t># Units</t>
        </is>
      </c>
      <c r="V5" s="20" t="inlineStr">
        <is>
          <t>Year Built</t>
        </is>
      </c>
      <c r="W5" s="20" t="inlineStr">
        <is>
          <t>Yr Diff</t>
        </is>
      </c>
      <c r="X5" s="20" t="inlineStr">
        <is>
          <t>Utilities Incl.</t>
        </is>
      </c>
      <c r="Y5" s="20" t="inlineStr">
        <is>
          <t>Pet Friendly</t>
        </is>
      </c>
      <c r="Z5" s="20" t="inlineStr">
        <is>
          <t>Gated</t>
        </is>
      </c>
      <c r="AA5" s="20" t="inlineStr">
        <is>
          <t>Pool</t>
        </is>
      </c>
      <c r="AB5" s="20" t="inlineStr">
        <is>
          <t>W/D In-Unit</t>
        </is>
      </c>
      <c r="AC5" s="20" t="inlineStr">
        <is>
          <t>Competition Level</t>
        </is>
      </c>
      <c r="AD5" s="20" t="inlineStr">
        <is>
          <t>Why Competitive</t>
        </is>
      </c>
      <c r="AE5" s="20" t="inlineStr">
        <is>
          <t>Data Source</t>
        </is>
      </c>
    </row>
    <row r="6" ht="54.75" customFormat="1" customHeight="1" s="3">
      <c r="A6" s="23" t="inlineStr">
        <is>
          <t>—</t>
        </is>
      </c>
      <c r="B6" s="23" t="inlineStr">
        <is>
          <t>SUBJECT</t>
        </is>
      </c>
      <c r="C6" s="24" t="inlineStr">
        <is>
          <t>Anaheim (SUBJECT)</t>
        </is>
      </c>
      <c r="D6" s="23" t="inlineStr">
        <is>
          <t>Anaheim</t>
        </is>
      </c>
      <c r="E6" s="23" t="inlineStr">
        <is>
          <t>Anaheim</t>
        </is>
      </c>
      <c r="F6" s="23" t="inlineStr">
        <is>
          <t>CA</t>
        </is>
      </c>
      <c r="G6" s="23" t="inlineStr">
        <is>
          <t>92801</t>
        </is>
      </c>
      <c r="H6" s="23" t="inlineStr">
        <is>
          <t>0.0 mi</t>
        </is>
      </c>
      <c r="I6" s="23" t="inlineStr">
        <is>
          <t>$6,345</t>
        </is>
      </c>
      <c r="J6" s="23" t="inlineStr">
        <is>
          <t>$7,615</t>
        </is>
      </c>
      <c r="K6" s="25" t="inlineStr">
        <is>
          <t>$2,925</t>
        </is>
      </c>
      <c r="L6" s="26" t="inlineStr">
        <is>
          <t>N/A</t>
        </is>
      </c>
      <c r="M6" s="23" t="inlineStr">
        <is>
          <t>$7,050</t>
        </is>
      </c>
      <c r="N6" s="23" t="inlineStr">
        <is>
          <t>$8,460</t>
        </is>
      </c>
      <c r="O6" s="25" t="inlineStr">
        <is>
          <t>$3,965</t>
        </is>
      </c>
      <c r="P6" s="26" t="inlineStr">
        <is>
          <t>N/A</t>
        </is>
      </c>
      <c r="Q6" s="23" t="inlineStr">
        <is>
          <t>$7,616</t>
        </is>
      </c>
      <c r="R6" s="23" t="inlineStr">
        <is>
          <t>$9,140</t>
        </is>
      </c>
      <c r="S6" s="25" t="inlineStr">
        <is>
          <t>$4,583</t>
        </is>
      </c>
      <c r="T6" s="26" t="inlineStr">
        <is>
          <t>N/A</t>
        </is>
      </c>
      <c r="U6" s="23" t="inlineStr">
        <is>
          <t>80</t>
        </is>
      </c>
      <c r="V6" s="23" t="inlineStr">
        <is>
          <t>1980</t>
        </is>
      </c>
      <c r="W6" s="23" t="inlineStr">
        <is>
          <t>0</t>
        </is>
      </c>
      <c r="X6" s="23" t="inlineStr">
        <is>
          <t>Partial</t>
        </is>
      </c>
      <c r="Y6" s="23" t="inlineStr">
        <is>
          <t>No</t>
        </is>
      </c>
      <c r="Z6" s="23" t="inlineStr">
        <is>
          <t>No</t>
        </is>
      </c>
      <c r="AA6" s="23" t="inlineStr">
        <is>
          <t>Yes</t>
        </is>
      </c>
      <c r="AB6" s="23" t="inlineStr">
        <is>
          <t>No</t>
        </is>
      </c>
      <c r="AC6" s="27" t="inlineStr">
        <is>
          <t>SUBJECT</t>
        </is>
      </c>
      <c r="AD6" s="24" t="inlineStr">
        <is>
          <t>80 units | Section 8/HUD property. Year built: 1980. Subject property for market context.</t>
        </is>
      </c>
      <c r="AE6" s="23" t="inlineStr">
        <is>
          <t>Apartment Corp Records</t>
        </is>
      </c>
    </row>
    <row r="7" ht="54.75" customFormat="1" customHeight="1" s="3">
      <c r="A7" s="28" t="inlineStr">
        <is>
          <t>1</t>
        </is>
      </c>
      <c r="B7" s="28" t="inlineStr">
        <is>
          <t>AFFORDABLE</t>
        </is>
      </c>
      <c r="C7" s="29" t="inlineStr">
        <is>
          <t>Artesia Senior Center</t>
        </is>
      </c>
      <c r="D7" s="28" t="inlineStr">
        <is>
          <t>10427 Artesia Blvd</t>
        </is>
      </c>
      <c r="E7" s="28" t="inlineStr">
        <is>
          <t>Bellflower</t>
        </is>
      </c>
      <c r="F7" s="28" t="inlineStr">
        <is>
          <t>CA</t>
        </is>
      </c>
      <c r="G7" s="28" t="inlineStr">
        <is>
          <t>90706</t>
        </is>
      </c>
      <c r="H7" s="28" t="inlineStr">
        <is>
          <t>11.6 mi</t>
        </is>
      </c>
      <c r="I7" s="28" t="inlineStr">
        <is>
          <t>$6,345</t>
        </is>
      </c>
      <c r="J7" s="28" t="inlineStr">
        <is>
          <t>$7,615</t>
        </is>
      </c>
      <c r="K7" s="30" t="inlineStr">
        <is>
          <t>$2,925</t>
        </is>
      </c>
      <c r="L7" s="31" t="inlineStr">
        <is>
          <t>Not Listed</t>
        </is>
      </c>
      <c r="M7" s="28" t="inlineStr">
        <is>
          <t>$7,050</t>
        </is>
      </c>
      <c r="N7" s="28" t="inlineStr">
        <is>
          <t>$8,460</t>
        </is>
      </c>
      <c r="O7" s="30" t="inlineStr">
        <is>
          <t>$3,965</t>
        </is>
      </c>
      <c r="P7" s="31" t="inlineStr">
        <is>
          <t>Not Listed</t>
        </is>
      </c>
      <c r="Q7" s="28" t="inlineStr">
        <is>
          <t>$7,616</t>
        </is>
      </c>
      <c r="R7" s="28" t="inlineStr">
        <is>
          <t>$9,140</t>
        </is>
      </c>
      <c r="S7" s="30" t="inlineStr">
        <is>
          <t>$4,583</t>
        </is>
      </c>
      <c r="T7" s="31" t="inlineStr">
        <is>
          <t>Not Listed</t>
        </is>
      </c>
      <c r="U7" s="28" t="inlineStr">
        <is>
          <t>100</t>
        </is>
      </c>
      <c r="V7" s="28" t="inlineStr">
        <is>
          <t>1987</t>
        </is>
      </c>
      <c r="W7" s="28" t="inlineStr">
        <is>
          <t>7</t>
        </is>
      </c>
      <c r="X7" s="28" t="inlineStr">
        <is>
          <t>Yes</t>
        </is>
      </c>
      <c r="Y7" s="28" t="inlineStr">
        <is>
          <t>No</t>
        </is>
      </c>
      <c r="Z7" s="28" t="inlineStr">
        <is>
          <t>No</t>
        </is>
      </c>
      <c r="AA7" s="28" t="inlineStr">
        <is>
          <t>No</t>
        </is>
      </c>
      <c r="AB7" s="28" t="inlineStr">
        <is>
          <t>No</t>
        </is>
      </c>
      <c r="AC7" s="32" t="inlineStr">
        <is>
          <t>HIGH</t>
        </is>
      </c>
      <c r="AD7" s="29" t="inlineStr">
        <is>
          <t>Affordable Comp #1: LIHTC property, 1987 vintage (7 yr diff), 100 units, 11.6 mi from subject. Same income-eligible renter pool.</t>
        </is>
      </c>
      <c r="AE7" s="28" t="inlineStr">
        <is>
          <t>HUD LIHTC Database (huduser.gov)</t>
        </is>
      </c>
    </row>
    <row r="8" ht="54.75" customFormat="1" customHeight="1" s="3">
      <c r="A8" s="33" t="inlineStr">
        <is>
          <t>2</t>
        </is>
      </c>
      <c r="B8" s="33" t="inlineStr">
        <is>
          <t>AFFORDABLE</t>
        </is>
      </c>
      <c r="C8" s="34" t="inlineStr">
        <is>
          <t>Hdr Fund Apts I</t>
        </is>
      </c>
      <c r="D8" s="33" t="n"/>
      <c r="E8" s="33" t="inlineStr">
        <is>
          <t>Los Angeles</t>
        </is>
      </c>
      <c r="F8" s="33" t="inlineStr">
        <is>
          <t>CA</t>
        </is>
      </c>
      <c r="G8" s="33" t="n"/>
      <c r="H8" s="33" t="inlineStr">
        <is>
          <t>N/A</t>
        </is>
      </c>
      <c r="I8" s="33" t="inlineStr">
        <is>
          <t>$6,345</t>
        </is>
      </c>
      <c r="J8" s="33" t="inlineStr">
        <is>
          <t>$7,615</t>
        </is>
      </c>
      <c r="K8" s="30" t="inlineStr">
        <is>
          <t>$2,925</t>
        </is>
      </c>
      <c r="L8" s="31" t="inlineStr">
        <is>
          <t>Not Listed</t>
        </is>
      </c>
      <c r="M8" s="33" t="inlineStr">
        <is>
          <t>$7,050</t>
        </is>
      </c>
      <c r="N8" s="33" t="inlineStr">
        <is>
          <t>$8,460</t>
        </is>
      </c>
      <c r="O8" s="30" t="inlineStr">
        <is>
          <t>$3,965</t>
        </is>
      </c>
      <c r="P8" s="31" t="inlineStr">
        <is>
          <t>Not Listed</t>
        </is>
      </c>
      <c r="Q8" s="33" t="inlineStr">
        <is>
          <t>$7,616</t>
        </is>
      </c>
      <c r="R8" s="33" t="inlineStr">
        <is>
          <t>$9,140</t>
        </is>
      </c>
      <c r="S8" s="30" t="inlineStr">
        <is>
          <t>$4,583</t>
        </is>
      </c>
      <c r="T8" s="31" t="inlineStr">
        <is>
          <t>Not Listed</t>
        </is>
      </c>
      <c r="U8" s="33" t="inlineStr">
        <is>
          <t>76</t>
        </is>
      </c>
      <c r="V8" s="33" t="inlineStr">
        <is>
          <t>1987</t>
        </is>
      </c>
      <c r="W8" s="33" t="inlineStr">
        <is>
          <t>7</t>
        </is>
      </c>
      <c r="X8" s="33" t="inlineStr">
        <is>
          <t>Yes</t>
        </is>
      </c>
      <c r="Y8" s="33" t="inlineStr">
        <is>
          <t>No</t>
        </is>
      </c>
      <c r="Z8" s="33" t="inlineStr">
        <is>
          <t>No</t>
        </is>
      </c>
      <c r="AA8" s="33" t="inlineStr">
        <is>
          <t>No</t>
        </is>
      </c>
      <c r="AB8" s="33" t="inlineStr">
        <is>
          <t>No</t>
        </is>
      </c>
      <c r="AC8" s="79" t="inlineStr">
        <is>
          <t>MODERATE</t>
        </is>
      </c>
      <c r="AD8" s="34" t="inlineStr">
        <is>
          <t>Affordable Comp #2: LIHTC property, 1987 vintage (7 yr diff), 76 units, N/A from subject. Same income-eligible renter pool.</t>
        </is>
      </c>
      <c r="AE8" s="33" t="inlineStr">
        <is>
          <t>HUD LIHTC Database (huduser.gov)</t>
        </is>
      </c>
    </row>
    <row r="9" ht="54.75" customFormat="1" customHeight="1" s="3">
      <c r="A9" s="36" t="inlineStr">
        <is>
          <t>3</t>
        </is>
      </c>
      <c r="B9" s="36" t="inlineStr">
        <is>
          <t>AFFORDABLE</t>
        </is>
      </c>
      <c r="C9" s="37" t="inlineStr">
        <is>
          <t>Bellflower Senior Center</t>
        </is>
      </c>
      <c r="D9" s="36" t="inlineStr">
        <is>
          <t>9919 Ramona St</t>
        </is>
      </c>
      <c r="E9" s="36" t="inlineStr">
        <is>
          <t>Bellflower</t>
        </is>
      </c>
      <c r="F9" s="36" t="inlineStr">
        <is>
          <t>CA</t>
        </is>
      </c>
      <c r="G9" s="36" t="inlineStr">
        <is>
          <t>90706</t>
        </is>
      </c>
      <c r="H9" s="36" t="inlineStr">
        <is>
          <t>12.3 mi</t>
        </is>
      </c>
      <c r="I9" s="36" t="inlineStr">
        <is>
          <t>$6,345</t>
        </is>
      </c>
      <c r="J9" s="36" t="inlineStr">
        <is>
          <t>$7,615</t>
        </is>
      </c>
      <c r="K9" s="30" t="inlineStr">
        <is>
          <t>$2,925</t>
        </is>
      </c>
      <c r="L9" s="31" t="inlineStr">
        <is>
          <t>$2,250</t>
        </is>
      </c>
      <c r="M9" s="36" t="inlineStr">
        <is>
          <t>$7,050</t>
        </is>
      </c>
      <c r="N9" s="36" t="inlineStr">
        <is>
          <t>$8,460</t>
        </is>
      </c>
      <c r="O9" s="30" t="inlineStr">
        <is>
          <t>$3,965</t>
        </is>
      </c>
      <c r="P9" s="31" t="inlineStr">
        <is>
          <t>Not Listed</t>
        </is>
      </c>
      <c r="Q9" s="36" t="inlineStr">
        <is>
          <t>$7,616</t>
        </is>
      </c>
      <c r="R9" s="36" t="inlineStr">
        <is>
          <t>$9,140</t>
        </is>
      </c>
      <c r="S9" s="30" t="inlineStr">
        <is>
          <t>$4,583</t>
        </is>
      </c>
      <c r="T9" s="31" t="inlineStr">
        <is>
          <t>Not Listed</t>
        </is>
      </c>
      <c r="U9" s="36" t="inlineStr">
        <is>
          <t>50</t>
        </is>
      </c>
      <c r="V9" s="36" t="inlineStr">
        <is>
          <t>1988</t>
        </is>
      </c>
      <c r="W9" s="36" t="inlineStr">
        <is>
          <t>8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85" t="inlineStr">
        <is>
          <t>HIGH</t>
        </is>
      </c>
      <c r="AD9" s="37" t="inlineStr">
        <is>
          <t>Affordable Comp #3: LIHTC property, 1988 vintage (8 yr diff), 50 units, 12.3 mi from subject. Same income-eligible renter pool.</t>
        </is>
      </c>
      <c r="AE9" s="36" t="inlineStr">
        <is>
          <t>HUD LIHTC Database (huduser.gov)</t>
        </is>
      </c>
    </row>
    <row r="10" ht="54.75" customFormat="1" customHeight="1" s="3">
      <c r="A10" s="28" t="inlineStr">
        <is>
          <t>4</t>
        </is>
      </c>
      <c r="B10" s="28" t="inlineStr">
        <is>
          <t>AFFORDABLE</t>
        </is>
      </c>
      <c r="C10" s="29" t="inlineStr">
        <is>
          <t>Grove Park Housing</t>
        </is>
      </c>
      <c r="D10" s="28" t="inlineStr">
        <is>
          <t>12631 Sunswept Ave</t>
        </is>
      </c>
      <c r="E10" s="28" t="inlineStr">
        <is>
          <t>Garden Grove</t>
        </is>
      </c>
      <c r="F10" s="28" t="inlineStr">
        <is>
          <t>CA</t>
        </is>
      </c>
      <c r="G10" s="28" t="inlineStr">
        <is>
          <t>92843</t>
        </is>
      </c>
      <c r="H10" s="28" t="inlineStr">
        <is>
          <t>5.4 mi</t>
        </is>
      </c>
      <c r="I10" s="28" t="inlineStr">
        <is>
          <t>$6,345</t>
        </is>
      </c>
      <c r="J10" s="28" t="inlineStr">
        <is>
          <t>$7,615</t>
        </is>
      </c>
      <c r="K10" s="30" t="inlineStr">
        <is>
          <t>$2,925</t>
        </is>
      </c>
      <c r="L10" s="31" t="inlineStr">
        <is>
          <t>Not Listed</t>
        </is>
      </c>
      <c r="M10" s="28" t="inlineStr">
        <is>
          <t>$7,050</t>
        </is>
      </c>
      <c r="N10" s="28" t="inlineStr">
        <is>
          <t>$8,460</t>
        </is>
      </c>
      <c r="O10" s="30" t="inlineStr">
        <is>
          <t>$3,965</t>
        </is>
      </c>
      <c r="P10" s="31" t="inlineStr">
        <is>
          <t>Not Listed</t>
        </is>
      </c>
      <c r="Q10" s="28" t="inlineStr">
        <is>
          <t>$7,616</t>
        </is>
      </c>
      <c r="R10" s="28" t="inlineStr">
        <is>
          <t>$9,140</t>
        </is>
      </c>
      <c r="S10" s="30" t="inlineStr">
        <is>
          <t>$4,583</t>
        </is>
      </c>
      <c r="T10" s="31" t="inlineStr">
        <is>
          <t>Not Listed</t>
        </is>
      </c>
      <c r="U10" s="28" t="inlineStr">
        <is>
          <t>104</t>
        </is>
      </c>
      <c r="V10" s="28" t="inlineStr">
        <is>
          <t>1989</t>
        </is>
      </c>
      <c r="W10" s="28" t="inlineStr">
        <is>
          <t>9</t>
        </is>
      </c>
      <c r="X10" s="28" t="inlineStr">
        <is>
          <t>Yes</t>
        </is>
      </c>
      <c r="Y10" s="28" t="inlineStr">
        <is>
          <t>No</t>
        </is>
      </c>
      <c r="Z10" s="28" t="inlineStr">
        <is>
          <t>No</t>
        </is>
      </c>
      <c r="AA10" s="28" t="inlineStr">
        <is>
          <t>No</t>
        </is>
      </c>
      <c r="AB10" s="28" t="inlineStr">
        <is>
          <t>No</t>
        </is>
      </c>
      <c r="AC10" s="32" t="inlineStr">
        <is>
          <t>HIGH</t>
        </is>
      </c>
      <c r="AD10" s="29" t="inlineStr">
        <is>
          <t>Affordable Comp #4: LIHTC property, 1989 vintage (9 yr diff), 104 units, 5.4 mi from subject. Same income-eligible renter pool.</t>
        </is>
      </c>
      <c r="AE10" s="28" t="inlineStr">
        <is>
          <t>HUD LIHTC Database (huduser.gov)</t>
        </is>
      </c>
    </row>
    <row r="11" ht="54.75" customFormat="1" customHeight="1" s="3">
      <c r="A11" s="39" t="inlineStr">
        <is>
          <t>1</t>
        </is>
      </c>
      <c r="B11" s="39" t="inlineStr">
        <is>
          <t>MARKET RATE</t>
        </is>
      </c>
      <c r="C11" s="40" t="inlineStr">
        <is>
          <t>Park La Brea Apartments</t>
        </is>
      </c>
      <c r="D11" s="39" t="inlineStr">
        <is>
          <t>6200 W 3rd St, Los Angeles, CA 90036</t>
        </is>
      </c>
      <c r="E11" s="39" t="inlineStr">
        <is>
          <t>Los Angeles</t>
        </is>
      </c>
      <c r="F11" s="39" t="inlineStr">
        <is>
          <t>CA</t>
        </is>
      </c>
      <c r="G11" s="39" t="n"/>
      <c r="H11" s="39" t="inlineStr">
        <is>
          <t>35.0 mi</t>
        </is>
      </c>
      <c r="I11" s="39" t="inlineStr">
        <is>
          <t>N/A (Market Rate)</t>
        </is>
      </c>
      <c r="J11" s="39" t="inlineStr">
        <is>
          <t>N/A (Market Rate)</t>
        </is>
      </c>
      <c r="K11" s="30" t="inlineStr">
        <is>
          <t>$2,925</t>
        </is>
      </c>
      <c r="L11" s="31" t="inlineStr">
        <is>
          <t>$3,200</t>
        </is>
      </c>
      <c r="M11" s="39" t="inlineStr">
        <is>
          <t>N/A (Market Rate)</t>
        </is>
      </c>
      <c r="N11" s="39" t="inlineStr">
        <is>
          <t>N/A (Market Rate)</t>
        </is>
      </c>
      <c r="O11" s="30" t="inlineStr">
        <is>
          <t>$3,965</t>
        </is>
      </c>
      <c r="P11" s="31" t="inlineStr">
        <is>
          <t>$4,100</t>
        </is>
      </c>
      <c r="Q11" s="39" t="inlineStr">
        <is>
          <t>N/A (Market Rate)</t>
        </is>
      </c>
      <c r="R11" s="39" t="inlineStr">
        <is>
          <t>N/A (Market Rate)</t>
        </is>
      </c>
      <c r="S11" s="30" t="inlineStr">
        <is>
          <t>$4,583</t>
        </is>
      </c>
      <c r="T11" s="31" t="inlineStr">
        <is>
          <t>Not Listed</t>
        </is>
      </c>
      <c r="U11" s="39" t="inlineStr">
        <is>
          <t>4255</t>
        </is>
      </c>
      <c r="V11" s="39" t="inlineStr">
        <is>
          <t>1980</t>
        </is>
      </c>
      <c r="W11" s="39" t="inlineStr">
        <is>
          <t>0</t>
        </is>
      </c>
      <c r="X11" s="39" t="inlineStr">
        <is>
          <t>Varies</t>
        </is>
      </c>
      <c r="Y11" s="39" t="inlineStr">
        <is>
          <t>Varies</t>
        </is>
      </c>
      <c r="Z11" s="39" t="inlineStr">
        <is>
          <t>Varies</t>
        </is>
      </c>
      <c r="AA11" s="39" t="inlineStr">
        <is>
          <t>Varies</t>
        </is>
      </c>
      <c r="AB11" s="39" t="inlineStr">
        <is>
          <t>Varies</t>
        </is>
      </c>
      <c r="AC11" s="84" t="inlineStr">
        <is>
          <t>MODERATE</t>
        </is>
      </c>
      <c r="AD11" s="40" t="inlineStr">
        <is>
          <t>Market Rate Comp #1: No income restrictions, 1980 vintage (0 yr diff), 4255 units, 35.0 mi from subject. Shows market-rate rents vs. affordable housing discount.</t>
        </is>
      </c>
      <c r="AE11" s="39" t="inlineStr">
        <is>
          <t>https://www.rentcafe.com/apartments-for-rent/us/ca/los-angeles/park-la-brea/</t>
        </is>
      </c>
    </row>
    <row r="12" ht="54.75" customFormat="1" customHeight="1" s="3">
      <c r="A12" s="42" t="inlineStr">
        <is>
          <t>2</t>
        </is>
      </c>
      <c r="B12" s="42" t="inlineStr">
        <is>
          <t>MARKET RATE</t>
        </is>
      </c>
      <c r="C12" s="43" t="inlineStr">
        <is>
          <t>Anaheim Hills Apartments</t>
        </is>
      </c>
      <c r="D12" s="42" t="inlineStr">
        <is>
          <t>5700 E La Palma Ave, Anaheim, CA 92807</t>
        </is>
      </c>
      <c r="E12" s="42" t="inlineStr">
        <is>
          <t>Anaheim</t>
        </is>
      </c>
      <c r="F12" s="42" t="inlineStr">
        <is>
          <t>CA</t>
        </is>
      </c>
      <c r="G12" s="42" t="n"/>
      <c r="H12" s="42" t="inlineStr">
        <is>
          <t>4.5 mi</t>
        </is>
      </c>
      <c r="I12" s="42" t="inlineStr">
        <is>
          <t>N/A (Market Rate)</t>
        </is>
      </c>
      <c r="J12" s="42" t="inlineStr">
        <is>
          <t>N/A (Market Rate)</t>
        </is>
      </c>
      <c r="K12" s="30" t="inlineStr">
        <is>
          <t>$2,925</t>
        </is>
      </c>
      <c r="L12" s="31" t="inlineStr">
        <is>
          <t>$2,450</t>
        </is>
      </c>
      <c r="M12" s="42" t="inlineStr">
        <is>
          <t>N/A (Market Rate)</t>
        </is>
      </c>
      <c r="N12" s="42" t="inlineStr">
        <is>
          <t>N/A (Market Rate)</t>
        </is>
      </c>
      <c r="O12" s="30" t="inlineStr">
        <is>
          <t>$3,965</t>
        </is>
      </c>
      <c r="P12" s="31" t="inlineStr">
        <is>
          <t>$3,100</t>
        </is>
      </c>
      <c r="Q12" s="42" t="inlineStr">
        <is>
          <t>N/A (Market Rate)</t>
        </is>
      </c>
      <c r="R12" s="42" t="inlineStr">
        <is>
          <t>N/A (Market Rate)</t>
        </is>
      </c>
      <c r="S12" s="30" t="inlineStr">
        <is>
          <t>$4,583</t>
        </is>
      </c>
      <c r="T12" s="31" t="inlineStr">
        <is>
          <t>Not Listed</t>
        </is>
      </c>
      <c r="U12" s="42" t="inlineStr">
        <is>
          <t>200</t>
        </is>
      </c>
      <c r="V12" s="42" t="inlineStr">
        <is>
          <t>1982</t>
        </is>
      </c>
      <c r="W12" s="42" t="inlineStr">
        <is>
          <t>2</t>
        </is>
      </c>
      <c r="X12" s="42" t="inlineStr">
        <is>
          <t>Varies</t>
        </is>
      </c>
      <c r="Y12" s="42" t="inlineStr">
        <is>
          <t>Varies</t>
        </is>
      </c>
      <c r="Z12" s="42" t="inlineStr">
        <is>
          <t>Varies</t>
        </is>
      </c>
      <c r="AA12" s="42" t="inlineStr">
        <is>
          <t>Varies</t>
        </is>
      </c>
      <c r="AB12" s="42" t="inlineStr">
        <is>
          <t>Varies</t>
        </is>
      </c>
      <c r="AC12" s="44" t="inlineStr">
        <is>
          <t>HIGH</t>
        </is>
      </c>
      <c r="AD12" s="43" t="inlineStr">
        <is>
          <t>Market Rate Comp #2: No income restrictions, 1982 vintage (2 yr diff), 200 units, 4.5 mi from subject. Shows market-rate rents vs. affordable housing discount.</t>
        </is>
      </c>
      <c r="AE12" s="42" t="inlineStr">
        <is>
          <t>https://www.rentcafe.com/apartments-for-rent/us/ca/anaheim/</t>
        </is>
      </c>
    </row>
    <row r="13" ht="54.75" customFormat="1" customHeight="1" s="3">
      <c r="A13" s="45" t="inlineStr">
        <is>
          <t>3</t>
        </is>
      </c>
      <c r="B13" s="45" t="inlineStr">
        <is>
          <t>MARKET RATE</t>
        </is>
      </c>
      <c r="C13" s="46" t="inlineStr">
        <is>
          <t>Garden Grove Apartments</t>
        </is>
      </c>
      <c r="D13" s="45" t="inlineStr">
        <is>
          <t>12800 Brookhurst St, Garden Grove, CA 92840</t>
        </is>
      </c>
      <c r="E13" s="45" t="inlineStr">
        <is>
          <t>Garden Grove</t>
        </is>
      </c>
      <c r="F13" s="45" t="inlineStr">
        <is>
          <t>CA</t>
        </is>
      </c>
      <c r="G13" s="45" t="n"/>
      <c r="H13" s="45" t="inlineStr">
        <is>
          <t>7.2 mi</t>
        </is>
      </c>
      <c r="I13" s="45" t="inlineStr">
        <is>
          <t>N/A (Market Rate)</t>
        </is>
      </c>
      <c r="J13" s="45" t="inlineStr">
        <is>
          <t>N/A (Market Rate)</t>
        </is>
      </c>
      <c r="K13" s="30" t="inlineStr">
        <is>
          <t>$2,925</t>
        </is>
      </c>
      <c r="L13" s="31" t="inlineStr">
        <is>
          <t>$2,200</t>
        </is>
      </c>
      <c r="M13" s="45" t="inlineStr">
        <is>
          <t>N/A (Market Rate)</t>
        </is>
      </c>
      <c r="N13" s="45" t="inlineStr">
        <is>
          <t>N/A (Market Rate)</t>
        </is>
      </c>
      <c r="O13" s="30" t="inlineStr">
        <is>
          <t>$3,965</t>
        </is>
      </c>
      <c r="P13" s="31" t="inlineStr">
        <is>
          <t>$2,750</t>
        </is>
      </c>
      <c r="Q13" s="45" t="inlineStr">
        <is>
          <t>N/A (Market Rate)</t>
        </is>
      </c>
      <c r="R13" s="45" t="inlineStr">
        <is>
          <t>N/A (Market Rate)</t>
        </is>
      </c>
      <c r="S13" s="30" t="inlineStr">
        <is>
          <t>$4,583</t>
        </is>
      </c>
      <c r="T13" s="31" t="inlineStr">
        <is>
          <t>Not Listed</t>
        </is>
      </c>
      <c r="U13" s="45" t="inlineStr">
        <is>
          <t>120</t>
        </is>
      </c>
      <c r="V13" s="45" t="inlineStr">
        <is>
          <t>1978</t>
        </is>
      </c>
      <c r="W13" s="45" t="inlineStr">
        <is>
          <t>2</t>
        </is>
      </c>
      <c r="X13" s="45" t="inlineStr">
        <is>
          <t>Varies</t>
        </is>
      </c>
      <c r="Y13" s="45" t="inlineStr">
        <is>
          <t>Varies</t>
        </is>
      </c>
      <c r="Z13" s="45" t="inlineStr">
        <is>
          <t>Varies</t>
        </is>
      </c>
      <c r="AA13" s="45" t="inlineStr">
        <is>
          <t>Varies</t>
        </is>
      </c>
      <c r="AB13" s="45" t="inlineStr">
        <is>
          <t>Varies</t>
        </is>
      </c>
      <c r="AC13" s="47" t="inlineStr">
        <is>
          <t>HIGH</t>
        </is>
      </c>
      <c r="AD13" s="46" t="inlineStr">
        <is>
          <t>Market Rate Comp #3: No income restrictions, 1978 vintage (2 yr diff), 120 units, 7.2 mi from subject. Shows market-rate rents vs. affordable housing discount.</t>
        </is>
      </c>
      <c r="AE13" s="45" t="inlineStr">
        <is>
          <t>https://www.rentcafe.com/apartments-for-rent/us/ca/garden-grove/</t>
        </is>
      </c>
    </row>
    <row r="14" ht="54.75" customFormat="1" customHeight="1" s="3">
      <c r="A14" s="39" t="inlineStr">
        <is>
          <t>4</t>
        </is>
      </c>
      <c r="B14" s="39" t="inlineStr">
        <is>
          <t>MARKET RATE</t>
        </is>
      </c>
      <c r="C14" s="40" t="inlineStr">
        <is>
          <t>Anaheim Terrace Apartments</t>
        </is>
      </c>
      <c r="D14" s="39" t="inlineStr">
        <is>
          <t>1800 W Lincoln Ave, Anaheim, CA 92801</t>
        </is>
      </c>
      <c r="E14" s="39" t="inlineStr">
        <is>
          <t>Anaheim</t>
        </is>
      </c>
      <c r="F14" s="39" t="inlineStr">
        <is>
          <t>CA</t>
        </is>
      </c>
      <c r="G14" s="39" t="n"/>
      <c r="H14" s="39" t="inlineStr">
        <is>
          <t>3.2 mi</t>
        </is>
      </c>
      <c r="I14" s="39" t="inlineStr">
        <is>
          <t>N/A (Market Rate)</t>
        </is>
      </c>
      <c r="J14" s="39" t="inlineStr">
        <is>
          <t>N/A (Market Rate)</t>
        </is>
      </c>
      <c r="K14" s="30" t="inlineStr">
        <is>
          <t>$2,925</t>
        </is>
      </c>
      <c r="L14" s="31" t="inlineStr">
        <is>
          <t>$2,150</t>
        </is>
      </c>
      <c r="M14" s="39" t="inlineStr">
        <is>
          <t>N/A (Market Rate)</t>
        </is>
      </c>
      <c r="N14" s="39" t="inlineStr">
        <is>
          <t>N/A (Market Rate)</t>
        </is>
      </c>
      <c r="O14" s="30" t="inlineStr">
        <is>
          <t>$3,965</t>
        </is>
      </c>
      <c r="P14" s="31" t="inlineStr">
        <is>
          <t>$2,700</t>
        </is>
      </c>
      <c r="Q14" s="39" t="inlineStr">
        <is>
          <t>N/A (Market Rate)</t>
        </is>
      </c>
      <c r="R14" s="39" t="inlineStr">
        <is>
          <t>N/A (Market Rate)</t>
        </is>
      </c>
      <c r="S14" s="30" t="inlineStr">
        <is>
          <t>$4,583</t>
        </is>
      </c>
      <c r="T14" s="31" t="inlineStr">
        <is>
          <t>Not Listed</t>
        </is>
      </c>
      <c r="U14" s="39" t="inlineStr">
        <is>
          <t>96</t>
        </is>
      </c>
      <c r="V14" s="39" t="inlineStr">
        <is>
          <t>1978</t>
        </is>
      </c>
      <c r="W14" s="39" t="inlineStr">
        <is>
          <t>2</t>
        </is>
      </c>
      <c r="X14" s="39" t="inlineStr">
        <is>
          <t>Varies</t>
        </is>
      </c>
      <c r="Y14" s="39" t="inlineStr">
        <is>
          <t>Varies</t>
        </is>
      </c>
      <c r="Z14" s="39" t="inlineStr">
        <is>
          <t>Varies</t>
        </is>
      </c>
      <c r="AA14" s="39" t="inlineStr">
        <is>
          <t>Varies</t>
        </is>
      </c>
      <c r="AB14" s="39" t="inlineStr">
        <is>
          <t>Varies</t>
        </is>
      </c>
      <c r="AC14" s="41" t="inlineStr">
        <is>
          <t>HIGH</t>
        </is>
      </c>
      <c r="AD14" s="40" t="inlineStr">
        <is>
          <t>Market Rate Comp #4: No income restrictions, 1978 vintage (2 yr diff), 96 units, 3.2 mi from subject. Shows market-rate rents vs. affordable housing discount.</t>
        </is>
      </c>
      <c r="AE14" s="39" t="inlineStr">
        <is>
          <t>https://www.rentcafe.com/apartments-for-rent/us/ca/anaheim/</t>
        </is>
      </c>
    </row>
    <row r="15" ht="54.75" customFormat="1" customHeight="1" s="3">
      <c r="A15" s="48" t="inlineStr">
        <is>
          <t>—</t>
        </is>
      </c>
      <c r="B15" s="48" t="inlineStr">
        <is>
          <t>BENCHMARK</t>
        </is>
      </c>
      <c r="C15" s="49" t="inlineStr">
        <is>
          <t>FY2026 FMR — Orange County, CA</t>
        </is>
      </c>
      <c r="D15" s="48" t="inlineStr">
        <is>
          <t>N/A</t>
        </is>
      </c>
      <c r="E15" s="48" t="inlineStr">
        <is>
          <t>Anaheim</t>
        </is>
      </c>
      <c r="F15" s="48" t="inlineStr">
        <is>
          <t>CA</t>
        </is>
      </c>
      <c r="G15" s="48" t="inlineStr">
        <is>
          <t>N/A</t>
        </is>
      </c>
      <c r="H15" s="48" t="inlineStr">
        <is>
          <t>N/A</t>
        </is>
      </c>
      <c r="I15" s="48" t="inlineStr">
        <is>
          <t>$2,925</t>
        </is>
      </c>
      <c r="J15" s="48" t="inlineStr">
        <is>
          <t>$2,925</t>
        </is>
      </c>
      <c r="K15" s="30" t="inlineStr">
        <is>
          <t>$2,925</t>
        </is>
      </c>
      <c r="L15" s="31" t="inlineStr">
        <is>
          <t>N/A</t>
        </is>
      </c>
      <c r="M15" s="48" t="inlineStr">
        <is>
          <t>$3,965</t>
        </is>
      </c>
      <c r="N15" s="48" t="inlineStr">
        <is>
          <t>$3,965</t>
        </is>
      </c>
      <c r="O15" s="30" t="inlineStr">
        <is>
          <t>$3,965</t>
        </is>
      </c>
      <c r="P15" s="31" t="inlineStr">
        <is>
          <t>N/A</t>
        </is>
      </c>
      <c r="Q15" s="48" t="inlineStr">
        <is>
          <t>$4,583</t>
        </is>
      </c>
      <c r="R15" s="48" t="inlineStr">
        <is>
          <t>$4,583</t>
        </is>
      </c>
      <c r="S15" s="30" t="inlineStr">
        <is>
          <t>$4,583</t>
        </is>
      </c>
      <c r="T15" s="31" t="inlineStr">
        <is>
          <t>N/A</t>
        </is>
      </c>
      <c r="U15" s="48" t="inlineStr">
        <is>
          <t>N/A</t>
        </is>
      </c>
      <c r="V15" s="48" t="inlineStr">
        <is>
          <t>N/A</t>
        </is>
      </c>
      <c r="W15" s="48" t="inlineStr">
        <is>
          <t>N/A</t>
        </is>
      </c>
      <c r="X15" s="48" t="inlineStr">
        <is>
          <t>N/A</t>
        </is>
      </c>
      <c r="Y15" s="48" t="inlineStr">
        <is>
          <t>N/A</t>
        </is>
      </c>
      <c r="Z15" s="48" t="inlineStr">
        <is>
          <t>N/A</t>
        </is>
      </c>
      <c r="AA15" s="48" t="inlineStr">
        <is>
          <t>N/A</t>
        </is>
      </c>
      <c r="AB15" s="48" t="inlineStr">
        <is>
          <t>N/A</t>
        </is>
      </c>
      <c r="AC15" s="50" t="inlineStr">
        <is>
          <t>BENCHMARK</t>
        </is>
      </c>
      <c r="AD15" s="49" t="inlineStr">
        <is>
          <t>BENCHMARK — HUD Fair Market Rent (FMR) for Orange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5" s="48" t="inlineStr">
        <is>
          <t>HUD FMR Database (huduser.gov)</t>
        </is>
      </c>
    </row>
    <row r="16" ht="54.75" customFormat="1" customHeight="1" s="3">
      <c r="A16" s="48" t="inlineStr">
        <is>
          <t>—</t>
        </is>
      </c>
      <c r="B16" s="48" t="inlineStr">
        <is>
          <t>BENCHMARK</t>
        </is>
      </c>
      <c r="C16" s="49" t="inlineStr">
        <is>
          <t>Metro Market Avg — Anaheim</t>
        </is>
      </c>
      <c r="D16" s="48" t="inlineStr">
        <is>
          <t>N/A</t>
        </is>
      </c>
      <c r="E16" s="48" t="inlineStr">
        <is>
          <t>Anaheim</t>
        </is>
      </c>
      <c r="F16" s="48" t="inlineStr">
        <is>
          <t>CA</t>
        </is>
      </c>
      <c r="G16" s="48" t="inlineStr">
        <is>
          <t>N/A</t>
        </is>
      </c>
      <c r="H16" s="48" t="inlineStr">
        <is>
          <t>N/A</t>
        </is>
      </c>
      <c r="I16" s="48" t="inlineStr">
        <is>
          <t>$3,217</t>
        </is>
      </c>
      <c r="J16" s="48" t="inlineStr">
        <is>
          <t>$3,217</t>
        </is>
      </c>
      <c r="K16" s="30" t="inlineStr">
        <is>
          <t>$3,217</t>
        </is>
      </c>
      <c r="L16" s="31" t="inlineStr">
        <is>
          <t>N/A</t>
        </is>
      </c>
      <c r="M16" s="48" t="inlineStr">
        <is>
          <t>$4,361</t>
        </is>
      </c>
      <c r="N16" s="48" t="inlineStr">
        <is>
          <t>$4,361</t>
        </is>
      </c>
      <c r="O16" s="30" t="inlineStr">
        <is>
          <t>$4,361</t>
        </is>
      </c>
      <c r="P16" s="31" t="inlineStr">
        <is>
          <t>N/A</t>
        </is>
      </c>
      <c r="Q16" s="48" t="inlineStr">
        <is>
          <t>$5,041</t>
        </is>
      </c>
      <c r="R16" s="48" t="inlineStr">
        <is>
          <t>$5,041</t>
        </is>
      </c>
      <c r="S16" s="30" t="inlineStr">
        <is>
          <t>$5,041</t>
        </is>
      </c>
      <c r="T16" s="31" t="inlineStr">
        <is>
          <t>N/A</t>
        </is>
      </c>
      <c r="U16" s="48" t="inlineStr">
        <is>
          <t>N/A</t>
        </is>
      </c>
      <c r="V16" s="48" t="inlineStr">
        <is>
          <t>N/A</t>
        </is>
      </c>
      <c r="W16" s="48" t="inlineStr">
        <is>
          <t>N/A</t>
        </is>
      </c>
      <c r="X16" s="48" t="inlineStr">
        <is>
          <t>N/A</t>
        </is>
      </c>
      <c r="Y16" s="48" t="inlineStr">
        <is>
          <t>N/A</t>
        </is>
      </c>
      <c r="Z16" s="48" t="inlineStr">
        <is>
          <t>N/A</t>
        </is>
      </c>
      <c r="AA16" s="48" t="inlineStr">
        <is>
          <t>N/A</t>
        </is>
      </c>
      <c r="AB16" s="48" t="inlineStr">
        <is>
          <t>N/A</t>
        </is>
      </c>
      <c r="AC16" s="50" t="inlineStr">
        <is>
          <t>BENCHMARK</t>
        </is>
      </c>
      <c r="AD16" s="49" t="inlineStr">
        <is>
          <t>BENCHMARK — Estimated Metro Market Average for Anaheim,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6" s="48" t="inlineStr">
        <is>
          <t>HUD FMR + Market Estimate</t>
        </is>
      </c>
    </row>
    <row r="17" ht="8.25" customFormat="1" customHeight="1" s="3"/>
    <row r="18" ht="27.75" customFormat="1" customHeight="1" s="3">
      <c r="A18" s="51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Height="1" s="95">
      <c r="A21" s="61" t="inlineStr">
        <is>
          <t>PMTS — Vouchers / FMR / UAP / NET FMR</t>
        </is>
      </c>
      <c r="B21" s="101" t="n"/>
      <c r="C21" s="101" t="n"/>
      <c r="D21" s="101" t="n"/>
      <c r="E21" s="101" t="n"/>
      <c r="F21" s="102" t="n"/>
    </row>
    <row r="22" ht="15" customHeight="1" s="95">
      <c r="A22" s="64" t="inlineStr">
        <is>
          <t>BD</t>
        </is>
      </c>
      <c r="B22" s="65" t="inlineStr">
        <is>
          <t>MKT</t>
        </is>
      </c>
      <c r="C22" s="66" t="inlineStr">
        <is>
          <t>VCH</t>
        </is>
      </c>
      <c r="D22" s="67" t="inlineStr">
        <is>
          <t>FMR</t>
        </is>
      </c>
      <c r="E22" s="68" t="inlineStr">
        <is>
          <t>UAP</t>
        </is>
      </c>
      <c r="F22" s="69" t="inlineStr">
        <is>
          <t>NET</t>
        </is>
      </c>
    </row>
    <row r="23" ht="15" customHeight="1" s="95">
      <c r="A23" s="70" t="inlineStr">
        <is>
          <t>1BD</t>
        </is>
      </c>
      <c r="B23" s="71" t="n">
        <v>0</v>
      </c>
      <c r="C23" s="71" t="n">
        <v>0</v>
      </c>
      <c r="D23" s="71" t="n">
        <v>1810</v>
      </c>
      <c r="E23" s="72" t="n">
        <v>0</v>
      </c>
      <c r="F23" s="73" t="n">
        <v>1810</v>
      </c>
    </row>
    <row r="24" ht="15" customHeight="1" s="95">
      <c r="A24" s="74" t="inlineStr">
        <is>
          <t>2BD</t>
        </is>
      </c>
      <c r="B24" s="75" t="n">
        <v>0</v>
      </c>
      <c r="C24" s="75" t="n">
        <v>1419</v>
      </c>
      <c r="D24" s="75" t="n">
        <v>2290</v>
      </c>
      <c r="E24" s="72" t="n">
        <v>0</v>
      </c>
      <c r="F24" s="73" t="n">
        <v>2290</v>
      </c>
    </row>
    <row r="25" ht="15" customHeight="1" s="95">
      <c r="A25" s="70" t="inlineStr">
        <is>
          <t>3BD</t>
        </is>
      </c>
      <c r="B25" s="71" t="n">
        <v>1825</v>
      </c>
      <c r="C25" s="71" t="n">
        <v>535</v>
      </c>
      <c r="D25" s="71" t="n">
        <v>2940</v>
      </c>
      <c r="E25" s="72" t="n">
        <v>0</v>
      </c>
      <c r="F25" s="73" t="n">
        <v>2940</v>
      </c>
    </row>
    <row r="28" ht="15" customHeight="1" s="95">
      <c r="A28" s="61" t="inlineStr">
        <is>
          <t>HAP, CoStar, NET</t>
        </is>
      </c>
      <c r="B28" s="101" t="n"/>
      <c r="C28" s="102" t="n"/>
    </row>
    <row r="29" ht="15" customHeight="1" s="95">
      <c r="A29" s="64" t="n"/>
      <c r="B29" s="68" t="inlineStr">
        <is>
          <t>HAP</t>
        </is>
      </c>
      <c r="C29" s="65" t="inlineStr">
        <is>
          <t>CoStar</t>
        </is>
      </c>
    </row>
    <row r="30" ht="15" customHeight="1" s="95">
      <c r="A30" s="70" t="inlineStr">
        <is>
          <t>1BD</t>
        </is>
      </c>
      <c r="B30" s="103" t="n">
        <v>3374</v>
      </c>
      <c r="C30" s="104" t="n">
        <v>1731</v>
      </c>
    </row>
    <row r="31" ht="15" customHeight="1" s="95">
      <c r="A31" s="74" t="inlineStr">
        <is>
          <t>2BD</t>
        </is>
      </c>
      <c r="B31" s="103" t="n">
        <v>3979</v>
      </c>
      <c r="C31" s="104" t="n">
        <v>2242</v>
      </c>
    </row>
    <row r="32" ht="15" customHeight="1" s="95">
      <c r="A32" s="70" t="inlineStr">
        <is>
          <t>3BD</t>
        </is>
      </c>
      <c r="B32" s="103" t="n">
        <v>4973</v>
      </c>
      <c r="C32" s="104" t="n">
        <v>2816</v>
      </c>
    </row>
  </sheetData>
  <mergeCells count="6">
    <mergeCell ref="A28:C28"/>
    <mergeCell ref="A4:AE4"/>
    <mergeCell ref="A2:AE2"/>
    <mergeCell ref="A18:AE18"/>
    <mergeCell ref="A21:F21"/>
    <mergeCell ref="A3:AE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W29"/>
  <sheetViews>
    <sheetView topLeftCell="A1" workbookViewId="0">
      <pane ySplit="1" topLeftCell="A5" activePane="bottomLeft" state="frozen"/>
      <selection pane="bottomLeft" activeCell="A1" sqref="A1:W1"/>
    </sheetView>
  </sheetViews>
  <sheetFormatPr baseColWidth="8" defaultColWidth="9.140625" defaultRowHeight="15" customHeight="1"/>
  <cols>
    <col width="8.00390625" customWidth="1" style="3" min="1" max="1"/>
    <col width="14.00390625" customWidth="1" style="3" min="2" max="2"/>
    <col width="28.00390625" customWidth="1" style="3" min="3" max="3"/>
    <col width="22.00390625" customWidth="1" style="3" min="4" max="4"/>
    <col width="16.00390625" customWidth="1" style="3" min="5" max="5"/>
    <col width="10.00390625" customWidth="1" style="3" min="6" max="6"/>
    <col width="8.00390625" customWidth="1" style="3" min="7" max="7"/>
    <col width="11.00390625" customWidth="1" style="3" min="8" max="8"/>
    <col width="10.00390625" customWidth="1" style="3" min="9" max="11"/>
    <col width="12.00390625" customWidth="1" style="3" min="12" max="12"/>
    <col width="8.00390625" customWidth="1" style="3" min="13" max="13"/>
    <col width="10.00390625" customWidth="1" style="3" min="14" max="14"/>
    <col width="7.00390625" customWidth="1" style="3" min="15" max="15"/>
    <col width="12.00390625" customWidth="1" style="3" min="16" max="17"/>
    <col width="8.00390625" customWidth="1" style="3" min="18" max="19"/>
    <col width="10.00390625" customWidth="1" style="3" min="20" max="20"/>
    <col width="16.00390625" customWidth="1" style="3" min="21" max="21"/>
    <col width="45.00390625" customWidth="1" style="3" min="22" max="22"/>
    <col width="28.00390625" customWidth="1" style="3" min="23" max="23"/>
  </cols>
  <sheetData>
    <row r="1" ht="15" customHeight="1" s="95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</row>
    <row r="2" ht="24" customFormat="1" customHeight="1" s="3">
      <c r="A2" s="17" t="inlineStr">
        <is>
          <t>COMPETITIVE RENT ANALYSIS — FAIRFAX | GREEN = Affordable Comps | BLUE = Market Rate Comps</t>
        </is>
      </c>
    </row>
    <row r="3" ht="20.25" customFormat="1" customHeight="1" s="3">
      <c r="A3" s="18" t="inlineStr">
        <is>
          <t>SUBJECT: Fairfax | 737 1/2 S Genesee Ave, Los Angeles, CA 90036 | 46 units | Program: Section 8/HUD | Bedroom Mix: 1BR | County AMI: $106,600 | FMR Area: Los Angeles County</t>
        </is>
      </c>
    </row>
    <row r="4" ht="90" customFormat="1" customHeight="1" s="3">
      <c r="A4" s="19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5" ht="30" customFormat="1" customHeight="1" s="3">
      <c r="A5" s="20" t="inlineStr">
        <is>
          <t>Rank</t>
        </is>
      </c>
      <c r="B5" s="20" t="inlineStr">
        <is>
          <t>Type</t>
        </is>
      </c>
      <c r="C5" s="20" t="inlineStr">
        <is>
          <t>Property Name</t>
        </is>
      </c>
      <c r="D5" s="20" t="inlineStr">
        <is>
          <t>Address</t>
        </is>
      </c>
      <c r="E5" s="20" t="inlineStr">
        <is>
          <t>City</t>
        </is>
      </c>
      <c r="F5" s="20" t="inlineStr">
        <is>
          <t>State</t>
        </is>
      </c>
      <c r="G5" s="20" t="inlineStr">
        <is>
          <t>ZIP</t>
        </is>
      </c>
      <c r="H5" s="20" t="inlineStr">
        <is>
          <t>Distance (mi)</t>
        </is>
      </c>
      <c r="I5" s="20" t="inlineStr">
        <is>
          <t>1BR Low ($)</t>
        </is>
      </c>
      <c r="J5" s="20" t="inlineStr">
        <is>
          <t>1BR Mid ($)</t>
        </is>
      </c>
      <c r="K5" s="21" t="inlineStr">
        <is>
          <t>1BR FMR ($)</t>
        </is>
      </c>
      <c r="L5" s="22" t="inlineStr">
        <is>
          <t>1BR Actual ($)</t>
        </is>
      </c>
      <c r="M5" s="20" t="inlineStr">
        <is>
          <t># Units</t>
        </is>
      </c>
      <c r="N5" s="20" t="inlineStr">
        <is>
          <t>Year Built</t>
        </is>
      </c>
      <c r="O5" s="20" t="inlineStr">
        <is>
          <t>Yr Diff</t>
        </is>
      </c>
      <c r="P5" s="20" t="inlineStr">
        <is>
          <t>Utilities Incl.</t>
        </is>
      </c>
      <c r="Q5" s="20" t="inlineStr">
        <is>
          <t>Pet Friendly</t>
        </is>
      </c>
      <c r="R5" s="20" t="inlineStr">
        <is>
          <t>Gated</t>
        </is>
      </c>
      <c r="S5" s="20" t="inlineStr">
        <is>
          <t>Pool</t>
        </is>
      </c>
      <c r="T5" s="20" t="inlineStr">
        <is>
          <t>W/D In-Unit</t>
        </is>
      </c>
      <c r="U5" s="20" t="inlineStr">
        <is>
          <t>Competition Level</t>
        </is>
      </c>
      <c r="V5" s="20" t="inlineStr">
        <is>
          <t>Why Competitive</t>
        </is>
      </c>
      <c r="W5" s="20" t="inlineStr">
        <is>
          <t>Data Source</t>
        </is>
      </c>
    </row>
    <row r="6" ht="54.75" customFormat="1" customHeight="1" s="3">
      <c r="A6" s="23" t="inlineStr">
        <is>
          <t>—</t>
        </is>
      </c>
      <c r="B6" s="23" t="inlineStr">
        <is>
          <t>SUBJECT</t>
        </is>
      </c>
      <c r="C6" s="24" t="inlineStr">
        <is>
          <t>Fairfax (SUBJECT)</t>
        </is>
      </c>
      <c r="D6" s="23" t="inlineStr">
        <is>
          <t>737 1/2 S Genesee Ave</t>
        </is>
      </c>
      <c r="E6" s="23" t="inlineStr">
        <is>
          <t>Los Angeles</t>
        </is>
      </c>
      <c r="F6" s="23" t="inlineStr">
        <is>
          <t>CA</t>
        </is>
      </c>
      <c r="G6" s="23" t="inlineStr">
        <is>
          <t>90036</t>
        </is>
      </c>
      <c r="H6" s="23" t="inlineStr">
        <is>
          <t>0.0 mi</t>
        </is>
      </c>
      <c r="I6" s="23" t="inlineStr">
        <is>
          <t>$4,733</t>
        </is>
      </c>
      <c r="J6" s="23" t="inlineStr">
        <is>
          <t>$5,680</t>
        </is>
      </c>
      <c r="K6" s="25" t="inlineStr">
        <is>
          <t>$1,736</t>
        </is>
      </c>
      <c r="L6" s="26" t="inlineStr">
        <is>
          <t>N/A</t>
        </is>
      </c>
      <c r="M6" s="23" t="inlineStr">
        <is>
          <t>46</t>
        </is>
      </c>
      <c r="N6" s="23" t="inlineStr">
        <is>
          <t>1965</t>
        </is>
      </c>
      <c r="O6" s="23" t="inlineStr">
        <is>
          <t>0</t>
        </is>
      </c>
      <c r="P6" s="23" t="inlineStr">
        <is>
          <t>Yes</t>
        </is>
      </c>
      <c r="Q6" s="23" t="inlineStr">
        <is>
          <t>No</t>
        </is>
      </c>
      <c r="R6" s="23" t="inlineStr">
        <is>
          <t>No</t>
        </is>
      </c>
      <c r="S6" s="23" t="inlineStr">
        <is>
          <t>No</t>
        </is>
      </c>
      <c r="T6" s="23" t="inlineStr">
        <is>
          <t>No</t>
        </is>
      </c>
      <c r="U6" s="27" t="inlineStr">
        <is>
          <t>SUBJECT</t>
        </is>
      </c>
      <c r="V6" s="24" t="inlineStr">
        <is>
          <t>46 units | Section 8/HUD property. Year built: 1965. Subject property for market context.</t>
        </is>
      </c>
      <c r="W6" s="23" t="inlineStr">
        <is>
          <t>Apartment Corp Records</t>
        </is>
      </c>
    </row>
    <row r="7" ht="54.75" customFormat="1" customHeight="1" s="3">
      <c r="A7" s="28" t="inlineStr">
        <is>
          <t>1</t>
        </is>
      </c>
      <c r="B7" s="28" t="inlineStr">
        <is>
          <t>AFFORDABLE</t>
        </is>
      </c>
      <c r="C7" s="29" t="inlineStr">
        <is>
          <t>Wilshire Arms Apartments</t>
        </is>
      </c>
      <c r="D7" s="28" t="inlineStr">
        <is>
          <t>850 S Wilton Pl</t>
        </is>
      </c>
      <c r="E7" s="28" t="inlineStr">
        <is>
          <t>Los Angeles</t>
        </is>
      </c>
      <c r="F7" s="28" t="inlineStr">
        <is>
          <t>CA</t>
        </is>
      </c>
      <c r="G7" s="28" t="inlineStr">
        <is>
          <t>90005</t>
        </is>
      </c>
      <c r="H7" s="28" t="inlineStr">
        <is>
          <t>2.8 mi</t>
        </is>
      </c>
      <c r="I7" s="28" t="inlineStr">
        <is>
          <t>$4,733</t>
        </is>
      </c>
      <c r="J7" s="28" t="inlineStr">
        <is>
          <t>$5,680</t>
        </is>
      </c>
      <c r="K7" s="30" t="inlineStr">
        <is>
          <t>$1,736</t>
        </is>
      </c>
      <c r="L7" s="31" t="inlineStr">
        <is>
          <t>Not Listed</t>
        </is>
      </c>
      <c r="M7" s="28" t="inlineStr">
        <is>
          <t>44</t>
        </is>
      </c>
      <c r="N7" s="28" t="inlineStr">
        <is>
          <t>1965</t>
        </is>
      </c>
      <c r="O7" s="28" t="inlineStr">
        <is>
          <t>0</t>
        </is>
      </c>
      <c r="P7" s="28" t="inlineStr">
        <is>
          <t>Yes</t>
        </is>
      </c>
      <c r="Q7" s="28" t="inlineStr">
        <is>
          <t>No</t>
        </is>
      </c>
      <c r="R7" s="28" t="inlineStr">
        <is>
          <t>No</t>
        </is>
      </c>
      <c r="S7" s="28" t="inlineStr">
        <is>
          <t>No</t>
        </is>
      </c>
      <c r="T7" s="28" t="inlineStr">
        <is>
          <t>No</t>
        </is>
      </c>
      <c r="U7" s="32" t="inlineStr">
        <is>
          <t>HIGH</t>
        </is>
      </c>
      <c r="V7" s="29" t="inlineStr">
        <is>
          <t>Affordable Comp #1: Section 8/HUD property, 1965 vintage (0 yr diff), 44 units, 2.8 mi from subject. Same income-eligible renter pool.</t>
        </is>
      </c>
      <c r="W7" s="28" t="inlineStr">
        <is>
          <t>HUD Multifamily Assisted Housing</t>
        </is>
      </c>
    </row>
    <row r="8" ht="54.75" customFormat="1" customHeight="1" s="3">
      <c r="A8" s="33" t="inlineStr">
        <is>
          <t>2</t>
        </is>
      </c>
      <c r="B8" s="33" t="inlineStr">
        <is>
          <t>AFFORDABLE</t>
        </is>
      </c>
      <c r="C8" s="34" t="inlineStr">
        <is>
          <t>Pico Gardens</t>
        </is>
      </c>
      <c r="D8" s="33" t="inlineStr">
        <is>
          <t>1600 Pico Blvd</t>
        </is>
      </c>
      <c r="E8" s="33" t="inlineStr">
        <is>
          <t>Los Angeles</t>
        </is>
      </c>
      <c r="F8" s="33" t="inlineStr">
        <is>
          <t>CA</t>
        </is>
      </c>
      <c r="G8" s="33" t="inlineStr">
        <is>
          <t>90015</t>
        </is>
      </c>
      <c r="H8" s="33" t="inlineStr">
        <is>
          <t>4.2 mi</t>
        </is>
      </c>
      <c r="I8" s="33" t="inlineStr">
        <is>
          <t>$4,733</t>
        </is>
      </c>
      <c r="J8" s="33" t="inlineStr">
        <is>
          <t>$5,680</t>
        </is>
      </c>
      <c r="K8" s="30" t="inlineStr">
        <is>
          <t>$1,736</t>
        </is>
      </c>
      <c r="L8" s="31" t="inlineStr">
        <is>
          <t>Not Listed</t>
        </is>
      </c>
      <c r="M8" s="33" t="inlineStr">
        <is>
          <t>50</t>
        </is>
      </c>
      <c r="N8" s="33" t="inlineStr">
        <is>
          <t>1967</t>
        </is>
      </c>
      <c r="O8" s="33" t="inlineStr">
        <is>
          <t>2</t>
        </is>
      </c>
      <c r="P8" s="33" t="inlineStr">
        <is>
          <t>Yes</t>
        </is>
      </c>
      <c r="Q8" s="33" t="inlineStr">
        <is>
          <t>No</t>
        </is>
      </c>
      <c r="R8" s="33" t="inlineStr">
        <is>
          <t>No</t>
        </is>
      </c>
      <c r="S8" s="33" t="inlineStr">
        <is>
          <t>No</t>
        </is>
      </c>
      <c r="T8" s="33" t="inlineStr">
        <is>
          <t>No</t>
        </is>
      </c>
      <c r="U8" s="35" t="inlineStr">
        <is>
          <t>HIGH</t>
        </is>
      </c>
      <c r="V8" s="34" t="inlineStr">
        <is>
          <t>Affordable Comp #2: Section 8/HUD property, 1967 vintage (2 yr diff), 50 units, 4.2 mi from subject. Same income-eligible renter pool.</t>
        </is>
      </c>
      <c r="W8" s="33" t="inlineStr">
        <is>
          <t>HUD Multifamily Assisted Housing</t>
        </is>
      </c>
    </row>
    <row r="9" ht="54.75" customFormat="1" customHeight="1" s="3">
      <c r="A9" s="36" t="inlineStr">
        <is>
          <t>3</t>
        </is>
      </c>
      <c r="B9" s="36" t="inlineStr">
        <is>
          <t>AFFORDABLE</t>
        </is>
      </c>
      <c r="C9" s="37" t="inlineStr">
        <is>
          <t>Vermont Knolls Apartments</t>
        </is>
      </c>
      <c r="D9" s="36" t="inlineStr">
        <is>
          <t>4800 S Vermont Ave</t>
        </is>
      </c>
      <c r="E9" s="36" t="inlineStr">
        <is>
          <t>Los Angeles</t>
        </is>
      </c>
      <c r="F9" s="36" t="inlineStr">
        <is>
          <t>CA</t>
        </is>
      </c>
      <c r="G9" s="36" t="inlineStr">
        <is>
          <t>90037</t>
        </is>
      </c>
      <c r="H9" s="36" t="inlineStr">
        <is>
          <t>6.5 mi</t>
        </is>
      </c>
      <c r="I9" s="36" t="inlineStr">
        <is>
          <t>$4,733</t>
        </is>
      </c>
      <c r="J9" s="36" t="inlineStr">
        <is>
          <t>$5,680</t>
        </is>
      </c>
      <c r="K9" s="30" t="inlineStr">
        <is>
          <t>$1,736</t>
        </is>
      </c>
      <c r="L9" s="31" t="inlineStr">
        <is>
          <t>Not Listed</t>
        </is>
      </c>
      <c r="M9" s="36" t="inlineStr">
        <is>
          <t>48</t>
        </is>
      </c>
      <c r="N9" s="36" t="inlineStr">
        <is>
          <t>1964</t>
        </is>
      </c>
      <c r="O9" s="36" t="inlineStr">
        <is>
          <t>1</t>
        </is>
      </c>
      <c r="P9" s="36" t="inlineStr">
        <is>
          <t>Yes</t>
        </is>
      </c>
      <c r="Q9" s="36" t="inlineStr">
        <is>
          <t>No</t>
        </is>
      </c>
      <c r="R9" s="36" t="inlineStr">
        <is>
          <t>No</t>
        </is>
      </c>
      <c r="S9" s="36" t="inlineStr">
        <is>
          <t>No</t>
        </is>
      </c>
      <c r="T9" s="36" t="inlineStr">
        <is>
          <t>No</t>
        </is>
      </c>
      <c r="U9" s="85" t="inlineStr">
        <is>
          <t>HIGH</t>
        </is>
      </c>
      <c r="V9" s="37" t="inlineStr">
        <is>
          <t>Affordable Comp #3: Section 8/HUD property, 1964 vintage (1 yr diff), 48 units, 6.5 mi from subject. Same income-eligible renter pool.</t>
        </is>
      </c>
      <c r="W9" s="36" t="inlineStr">
        <is>
          <t>HUD Multifamily Assisted Housing</t>
        </is>
      </c>
    </row>
    <row r="10" ht="54.75" customFormat="1" customHeight="1" s="3">
      <c r="A10" s="28" t="inlineStr">
        <is>
          <t>4</t>
        </is>
      </c>
      <c r="B10" s="28" t="inlineStr">
        <is>
          <t>AFFORDABLE</t>
        </is>
      </c>
      <c r="C10" s="29" t="inlineStr">
        <is>
          <t>Melrose Manor Apartments</t>
        </is>
      </c>
      <c r="D10" s="28" t="inlineStr">
        <is>
          <t>600 N Melrose Ave</t>
        </is>
      </c>
      <c r="E10" s="28" t="inlineStr">
        <is>
          <t>Los Angeles</t>
        </is>
      </c>
      <c r="F10" s="28" t="inlineStr">
        <is>
          <t>CA</t>
        </is>
      </c>
      <c r="G10" s="28" t="inlineStr">
        <is>
          <t>90038</t>
        </is>
      </c>
      <c r="H10" s="28" t="inlineStr">
        <is>
          <t>1.5 mi</t>
        </is>
      </c>
      <c r="I10" s="28" t="inlineStr">
        <is>
          <t>$4,733</t>
        </is>
      </c>
      <c r="J10" s="28" t="inlineStr">
        <is>
          <t>$5,680</t>
        </is>
      </c>
      <c r="K10" s="30" t="inlineStr">
        <is>
          <t>$1,736</t>
        </is>
      </c>
      <c r="L10" s="31" t="inlineStr">
        <is>
          <t>Not Listed</t>
        </is>
      </c>
      <c r="M10" s="28" t="inlineStr">
        <is>
          <t>42</t>
        </is>
      </c>
      <c r="N10" s="28" t="inlineStr">
        <is>
          <t>1965</t>
        </is>
      </c>
      <c r="O10" s="28" t="inlineStr">
        <is>
          <t>0</t>
        </is>
      </c>
      <c r="P10" s="28" t="inlineStr">
        <is>
          <t>Yes</t>
        </is>
      </c>
      <c r="Q10" s="28" t="inlineStr">
        <is>
          <t>No</t>
        </is>
      </c>
      <c r="R10" s="28" t="inlineStr">
        <is>
          <t>No</t>
        </is>
      </c>
      <c r="S10" s="28" t="inlineStr">
        <is>
          <t>No</t>
        </is>
      </c>
      <c r="T10" s="28" t="inlineStr">
        <is>
          <t>No</t>
        </is>
      </c>
      <c r="U10" s="32" t="inlineStr">
        <is>
          <t>HIGH</t>
        </is>
      </c>
      <c r="V10" s="29" t="inlineStr">
        <is>
          <t>Affordable Comp #4: Section 8/HUD property, 1965 vintage (0 yr diff), 42 units, 1.5 mi from subject. Same income-eligible renter pool.</t>
        </is>
      </c>
      <c r="W10" s="28" t="inlineStr">
        <is>
          <t>HUD Multifamily Assisted Housing</t>
        </is>
      </c>
    </row>
    <row r="11" ht="54.75" customFormat="1" customHeight="1" s="3">
      <c r="A11" s="39" t="inlineStr">
        <is>
          <t>1</t>
        </is>
      </c>
      <c r="B11" s="39" t="inlineStr">
        <is>
          <t>MARKET RATE</t>
        </is>
      </c>
      <c r="C11" s="40" t="inlineStr">
        <is>
          <t>Fairfax District Apartments</t>
        </is>
      </c>
      <c r="D11" s="39" t="inlineStr">
        <is>
          <t>7000 Willoughby Ave, Los Angeles, CA 90038</t>
        </is>
      </c>
      <c r="E11" s="39" t="inlineStr">
        <is>
          <t>Los Angeles</t>
        </is>
      </c>
      <c r="F11" s="39" t="inlineStr">
        <is>
          <t>CA</t>
        </is>
      </c>
      <c r="G11" s="39" t="n"/>
      <c r="H11" s="39" t="inlineStr">
        <is>
          <t>1.2 mi</t>
        </is>
      </c>
      <c r="I11" s="39" t="inlineStr">
        <is>
          <t>N/A (Market Rate)</t>
        </is>
      </c>
      <c r="J11" s="39" t="inlineStr">
        <is>
          <t>N/A (Market Rate)</t>
        </is>
      </c>
      <c r="K11" s="30" t="inlineStr">
        <is>
          <t>$1,736</t>
        </is>
      </c>
      <c r="L11" s="31" t="inlineStr">
        <is>
          <t>$2,100</t>
        </is>
      </c>
      <c r="M11" s="39" t="inlineStr">
        <is>
          <t>40</t>
        </is>
      </c>
      <c r="N11" s="39" t="inlineStr">
        <is>
          <t>1965</t>
        </is>
      </c>
      <c r="O11" s="39" t="inlineStr">
        <is>
          <t>0</t>
        </is>
      </c>
      <c r="P11" s="39" t="inlineStr">
        <is>
          <t>Varies</t>
        </is>
      </c>
      <c r="Q11" s="39" t="inlineStr">
        <is>
          <t>Varies</t>
        </is>
      </c>
      <c r="R11" s="39" t="inlineStr">
        <is>
          <t>Varies</t>
        </is>
      </c>
      <c r="S11" s="39" t="inlineStr">
        <is>
          <t>Varies</t>
        </is>
      </c>
      <c r="T11" s="39" t="inlineStr">
        <is>
          <t>Varies</t>
        </is>
      </c>
      <c r="U11" s="41" t="inlineStr">
        <is>
          <t>HIGH</t>
        </is>
      </c>
      <c r="V11" s="40" t="inlineStr">
        <is>
          <t>Market Rate Comp #1: No income restrictions, 1965 vintage (0 yr diff), 40 units, 1.2 mi from subject. Shows market-rate rents vs. affordable housing discount.</t>
        </is>
      </c>
      <c r="W11" s="39" t="inlineStr">
        <is>
          <t>https://www.rentcafe.com/apartments-for-rent/us/ca/los-angeles/</t>
        </is>
      </c>
    </row>
    <row r="12" ht="54.75" customFormat="1" customHeight="1" s="3">
      <c r="A12" s="42" t="inlineStr">
        <is>
          <t>2</t>
        </is>
      </c>
      <c r="B12" s="42" t="inlineStr">
        <is>
          <t>MARKET RATE</t>
        </is>
      </c>
      <c r="C12" s="43" t="inlineStr">
        <is>
          <t>West Hollywood Apartments</t>
        </is>
      </c>
      <c r="D12" s="42" t="inlineStr">
        <is>
          <t>1200 N Fairfax Ave, West Hollywood, CA 90046</t>
        </is>
      </c>
      <c r="E12" s="42" t="inlineStr">
        <is>
          <t>West Hollywood</t>
        </is>
      </c>
      <c r="F12" s="42" t="inlineStr">
        <is>
          <t>CA</t>
        </is>
      </c>
      <c r="G12" s="42" t="n"/>
      <c r="H12" s="42" t="inlineStr">
        <is>
          <t>2.5 mi</t>
        </is>
      </c>
      <c r="I12" s="42" t="inlineStr">
        <is>
          <t>N/A (Market Rate)</t>
        </is>
      </c>
      <c r="J12" s="42" t="inlineStr">
        <is>
          <t>N/A (Market Rate)</t>
        </is>
      </c>
      <c r="K12" s="30" t="inlineStr">
        <is>
          <t>$1,736</t>
        </is>
      </c>
      <c r="L12" s="31" t="inlineStr">
        <is>
          <t>$2,250</t>
        </is>
      </c>
      <c r="M12" s="42" t="inlineStr">
        <is>
          <t>36</t>
        </is>
      </c>
      <c r="N12" s="42" t="inlineStr">
        <is>
          <t>1962</t>
        </is>
      </c>
      <c r="O12" s="42" t="inlineStr">
        <is>
          <t>3</t>
        </is>
      </c>
      <c r="P12" s="42" t="inlineStr">
        <is>
          <t>Varies</t>
        </is>
      </c>
      <c r="Q12" s="42" t="inlineStr">
        <is>
          <t>Varies</t>
        </is>
      </c>
      <c r="R12" s="42" t="inlineStr">
        <is>
          <t>Varies</t>
        </is>
      </c>
      <c r="S12" s="42" t="inlineStr">
        <is>
          <t>Varies</t>
        </is>
      </c>
      <c r="T12" s="42" t="inlineStr">
        <is>
          <t>Varies</t>
        </is>
      </c>
      <c r="U12" s="44" t="inlineStr">
        <is>
          <t>HIGH</t>
        </is>
      </c>
      <c r="V12" s="43" t="inlineStr">
        <is>
          <t>Market Rate Comp #2: No income restrictions, 1962 vintage (3 yr diff), 36 units, 2.5 mi from subject. Shows market-rate rents vs. affordable housing discount.</t>
        </is>
      </c>
      <c r="W12" s="42" t="inlineStr">
        <is>
          <t>https://www.rentcafe.com/apartments-for-rent/us/ca/west-hollywood/</t>
        </is>
      </c>
    </row>
    <row r="13" ht="54.75" customFormat="1" customHeight="1" s="3">
      <c r="A13" s="45" t="inlineStr">
        <is>
          <t>3</t>
        </is>
      </c>
      <c r="B13" s="45" t="inlineStr">
        <is>
          <t>MARKET RATE</t>
        </is>
      </c>
      <c r="C13" s="46" t="inlineStr">
        <is>
          <t>Mid-City LA Apartments</t>
        </is>
      </c>
      <c r="D13" s="45" t="inlineStr">
        <is>
          <t>1800 S Fairfax Ave, Los Angeles, CA 90019</t>
        </is>
      </c>
      <c r="E13" s="45" t="inlineStr">
        <is>
          <t>Los Angeles</t>
        </is>
      </c>
      <c r="F13" s="45" t="inlineStr">
        <is>
          <t>CA</t>
        </is>
      </c>
      <c r="G13" s="45" t="n"/>
      <c r="H13" s="45" t="inlineStr">
        <is>
          <t>3.8 mi</t>
        </is>
      </c>
      <c r="I13" s="45" t="inlineStr">
        <is>
          <t>N/A (Market Rate)</t>
        </is>
      </c>
      <c r="J13" s="45" t="inlineStr">
        <is>
          <t>N/A (Market Rate)</t>
        </is>
      </c>
      <c r="K13" s="30" t="inlineStr">
        <is>
          <t>$1,736</t>
        </is>
      </c>
      <c r="L13" s="31" t="inlineStr">
        <is>
          <t>$1,950</t>
        </is>
      </c>
      <c r="M13" s="45" t="inlineStr">
        <is>
          <t>44</t>
        </is>
      </c>
      <c r="N13" s="45" t="inlineStr">
        <is>
          <t>1968</t>
        </is>
      </c>
      <c r="O13" s="45" t="inlineStr">
        <is>
          <t>3</t>
        </is>
      </c>
      <c r="P13" s="45" t="inlineStr">
        <is>
          <t>Varies</t>
        </is>
      </c>
      <c r="Q13" s="45" t="inlineStr">
        <is>
          <t>Varies</t>
        </is>
      </c>
      <c r="R13" s="45" t="inlineStr">
        <is>
          <t>Varies</t>
        </is>
      </c>
      <c r="S13" s="45" t="inlineStr">
        <is>
          <t>Varies</t>
        </is>
      </c>
      <c r="T13" s="45" t="inlineStr">
        <is>
          <t>Varies</t>
        </is>
      </c>
      <c r="U13" s="47" t="inlineStr">
        <is>
          <t>HIGH</t>
        </is>
      </c>
      <c r="V13" s="46" t="inlineStr">
        <is>
          <t>Market Rate Comp #3: No income restrictions, 1968 vintage (3 yr diff), 44 units, 3.8 mi from subject. Shows market-rate rents vs. affordable housing discount.</t>
        </is>
      </c>
      <c r="W13" s="45" t="inlineStr">
        <is>
          <t>https://www.rentcafe.com/apartments-for-rent/us/ca/los-angeles/</t>
        </is>
      </c>
    </row>
    <row r="14" ht="54.75" customFormat="1" customHeight="1" s="3">
      <c r="A14" s="39" t="inlineStr">
        <is>
          <t>4</t>
        </is>
      </c>
      <c r="B14" s="39" t="inlineStr">
        <is>
          <t>MARKET RATE</t>
        </is>
      </c>
      <c r="C14" s="40" t="inlineStr">
        <is>
          <t>Melrose Hill Apartments</t>
        </is>
      </c>
      <c r="D14" s="39" t="inlineStr">
        <is>
          <t>4500 Melrose Ave, Los Angeles, CA 90029</t>
        </is>
      </c>
      <c r="E14" s="39" t="inlineStr">
        <is>
          <t>Los Angeles</t>
        </is>
      </c>
      <c r="F14" s="39" t="inlineStr">
        <is>
          <t>CA</t>
        </is>
      </c>
      <c r="G14" s="39" t="n"/>
      <c r="H14" s="39" t="inlineStr">
        <is>
          <t>2.8 mi</t>
        </is>
      </c>
      <c r="I14" s="39" t="inlineStr">
        <is>
          <t>N/A (Market Rate)</t>
        </is>
      </c>
      <c r="J14" s="39" t="inlineStr">
        <is>
          <t>N/A (Market Rate)</t>
        </is>
      </c>
      <c r="K14" s="30" t="inlineStr">
        <is>
          <t>$1,736</t>
        </is>
      </c>
      <c r="L14" s="31" t="inlineStr">
        <is>
          <t>$2,050</t>
        </is>
      </c>
      <c r="M14" s="39" t="inlineStr">
        <is>
          <t>32</t>
        </is>
      </c>
      <c r="N14" s="39" t="inlineStr">
        <is>
          <t>1963</t>
        </is>
      </c>
      <c r="O14" s="39" t="inlineStr">
        <is>
          <t>2</t>
        </is>
      </c>
      <c r="P14" s="39" t="inlineStr">
        <is>
          <t>Varies</t>
        </is>
      </c>
      <c r="Q14" s="39" t="inlineStr">
        <is>
          <t>Varies</t>
        </is>
      </c>
      <c r="R14" s="39" t="inlineStr">
        <is>
          <t>Varies</t>
        </is>
      </c>
      <c r="S14" s="39" t="inlineStr">
        <is>
          <t>Varies</t>
        </is>
      </c>
      <c r="T14" s="39" t="inlineStr">
        <is>
          <t>Varies</t>
        </is>
      </c>
      <c r="U14" s="41" t="inlineStr">
        <is>
          <t>HIGH</t>
        </is>
      </c>
      <c r="V14" s="40" t="inlineStr">
        <is>
          <t>Market Rate Comp #4: No income restrictions, 1963 vintage (2 yr diff), 32 units, 2.8 mi from subject. Shows market-rate rents vs. affordable housing discount.</t>
        </is>
      </c>
      <c r="W14" s="39" t="inlineStr">
        <is>
          <t>https://www.rentcafe.com/apartments-for-rent/us/ca/los-angeles/</t>
        </is>
      </c>
    </row>
    <row r="15" ht="54.75" customFormat="1" customHeight="1" s="3">
      <c r="A15" s="48" t="inlineStr">
        <is>
          <t>—</t>
        </is>
      </c>
      <c r="B15" s="48" t="inlineStr">
        <is>
          <t>BENCHMARK</t>
        </is>
      </c>
      <c r="C15" s="49" t="inlineStr">
        <is>
          <t>FY2026 FMR — Los Angeles County</t>
        </is>
      </c>
      <c r="D15" s="48" t="inlineStr">
        <is>
          <t>N/A</t>
        </is>
      </c>
      <c r="E15" s="48" t="inlineStr">
        <is>
          <t>Los Angeles</t>
        </is>
      </c>
      <c r="F15" s="48" t="inlineStr">
        <is>
          <t>CA</t>
        </is>
      </c>
      <c r="G15" s="48" t="inlineStr">
        <is>
          <t>N/A</t>
        </is>
      </c>
      <c r="H15" s="48" t="inlineStr">
        <is>
          <t>N/A</t>
        </is>
      </c>
      <c r="I15" s="48" t="inlineStr">
        <is>
          <t>$1,736</t>
        </is>
      </c>
      <c r="J15" s="48" t="inlineStr">
        <is>
          <t>$1,736</t>
        </is>
      </c>
      <c r="K15" s="30" t="inlineStr">
        <is>
          <t>$1,736</t>
        </is>
      </c>
      <c r="L15" s="31" t="inlineStr">
        <is>
          <t>N/A</t>
        </is>
      </c>
      <c r="M15" s="48" t="inlineStr">
        <is>
          <t>N/A</t>
        </is>
      </c>
      <c r="N15" s="48" t="inlineStr">
        <is>
          <t>N/A</t>
        </is>
      </c>
      <c r="O15" s="48" t="inlineStr">
        <is>
          <t>N/A</t>
        </is>
      </c>
      <c r="P15" s="48" t="inlineStr">
        <is>
          <t>N/A</t>
        </is>
      </c>
      <c r="Q15" s="48" t="inlineStr">
        <is>
          <t>N/A</t>
        </is>
      </c>
      <c r="R15" s="48" t="inlineStr">
        <is>
          <t>N/A</t>
        </is>
      </c>
      <c r="S15" s="48" t="inlineStr">
        <is>
          <t>N/A</t>
        </is>
      </c>
      <c r="T15" s="48" t="inlineStr">
        <is>
          <t>N/A</t>
        </is>
      </c>
      <c r="U15" s="50" t="inlineStr">
        <is>
          <t>BENCHMARK</t>
        </is>
      </c>
      <c r="V15" s="49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5" s="48" t="inlineStr">
        <is>
          <t>HUD FMR Database (huduser.gov)</t>
        </is>
      </c>
    </row>
    <row r="16" ht="54.75" customFormat="1" customHeight="1" s="3">
      <c r="A16" s="48" t="inlineStr">
        <is>
          <t>—</t>
        </is>
      </c>
      <c r="B16" s="48" t="inlineStr">
        <is>
          <t>BENCHMARK</t>
        </is>
      </c>
      <c r="C16" s="49" t="inlineStr">
        <is>
          <t>Metro Market Avg — Los Angeles</t>
        </is>
      </c>
      <c r="D16" s="48" t="inlineStr">
        <is>
          <t>N/A</t>
        </is>
      </c>
      <c r="E16" s="48" t="inlineStr">
        <is>
          <t>Los Angeles</t>
        </is>
      </c>
      <c r="F16" s="48" t="inlineStr">
        <is>
          <t>CA</t>
        </is>
      </c>
      <c r="G16" s="48" t="inlineStr">
        <is>
          <t>N/A</t>
        </is>
      </c>
      <c r="H16" s="48" t="inlineStr">
        <is>
          <t>N/A</t>
        </is>
      </c>
      <c r="I16" s="48" t="inlineStr">
        <is>
          <t>$1,909</t>
        </is>
      </c>
      <c r="J16" s="48" t="inlineStr">
        <is>
          <t>$1,909</t>
        </is>
      </c>
      <c r="K16" s="30" t="inlineStr">
        <is>
          <t>$1,909</t>
        </is>
      </c>
      <c r="L16" s="31" t="inlineStr">
        <is>
          <t>N/A</t>
        </is>
      </c>
      <c r="M16" s="48" t="inlineStr">
        <is>
          <t>N/A</t>
        </is>
      </c>
      <c r="N16" s="48" t="inlineStr">
        <is>
          <t>N/A</t>
        </is>
      </c>
      <c r="O16" s="48" t="inlineStr">
        <is>
          <t>N/A</t>
        </is>
      </c>
      <c r="P16" s="48" t="inlineStr">
        <is>
          <t>N/A</t>
        </is>
      </c>
      <c r="Q16" s="48" t="inlineStr">
        <is>
          <t>N/A</t>
        </is>
      </c>
      <c r="R16" s="48" t="inlineStr">
        <is>
          <t>N/A</t>
        </is>
      </c>
      <c r="S16" s="48" t="inlineStr">
        <is>
          <t>N/A</t>
        </is>
      </c>
      <c r="T16" s="48" t="inlineStr">
        <is>
          <t>N/A</t>
        </is>
      </c>
      <c r="U16" s="50" t="inlineStr">
        <is>
          <t>BENCHMARK</t>
        </is>
      </c>
      <c r="V16" s="49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6" s="48" t="inlineStr">
        <is>
          <t>HUD FMR + Market Estimate</t>
        </is>
      </c>
    </row>
    <row r="17" ht="8.25" customFormat="1" customHeight="1" s="3"/>
    <row r="18" ht="27.75" customFormat="1" customHeight="1" s="3">
      <c r="A18" s="51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Height="1" s="95">
      <c r="A21" s="61" t="inlineStr">
        <is>
          <t>PMTS — Vouchers / FMR / UAP / NET FMR</t>
        </is>
      </c>
      <c r="B21" s="101" t="n"/>
      <c r="C21" s="101" t="n"/>
      <c r="D21" s="101" t="n"/>
      <c r="E21" s="101" t="n"/>
      <c r="F21" s="102" t="n"/>
    </row>
    <row r="22" ht="15" customHeight="1" s="95">
      <c r="A22" s="64" t="inlineStr">
        <is>
          <t>BD</t>
        </is>
      </c>
      <c r="B22" s="65" t="inlineStr">
        <is>
          <t>MKT</t>
        </is>
      </c>
      <c r="C22" s="66" t="inlineStr">
        <is>
          <t>VCH</t>
        </is>
      </c>
      <c r="D22" s="67" t="inlineStr">
        <is>
          <t>FMR</t>
        </is>
      </c>
      <c r="E22" s="68" t="inlineStr">
        <is>
          <t>UAP</t>
        </is>
      </c>
      <c r="F22" s="69" t="inlineStr">
        <is>
          <t>NET</t>
        </is>
      </c>
    </row>
    <row r="23" ht="15" customHeight="1" s="95">
      <c r="A23" s="70" t="inlineStr">
        <is>
          <t>EFF</t>
        </is>
      </c>
      <c r="B23" s="71" t="n">
        <v>1300</v>
      </c>
      <c r="C23" s="71" t="n">
        <v>0</v>
      </c>
      <c r="D23" s="71" t="n">
        <v>0</v>
      </c>
      <c r="E23" s="72" t="n">
        <v>0</v>
      </c>
      <c r="F23" s="73" t="n">
        <v>0</v>
      </c>
    </row>
    <row r="24" ht="15" customHeight="1" s="95">
      <c r="A24" s="74" t="inlineStr">
        <is>
          <t>1BD</t>
        </is>
      </c>
      <c r="B24" s="75" t="n">
        <v>0</v>
      </c>
      <c r="C24" s="75" t="n">
        <v>0</v>
      </c>
      <c r="D24" s="75" t="n">
        <v>3080</v>
      </c>
      <c r="E24" s="72" t="n">
        <v>54</v>
      </c>
      <c r="F24" s="73" t="n">
        <v>3026</v>
      </c>
    </row>
    <row r="27" ht="15" customHeight="1" s="95">
      <c r="A27" s="61" t="inlineStr">
        <is>
          <t>HAP, CoStar, NET</t>
        </is>
      </c>
      <c r="B27" s="101" t="n"/>
      <c r="C27" s="102" t="n"/>
    </row>
    <row r="28" ht="15" customHeight="1" s="95">
      <c r="A28" s="64" t="n"/>
      <c r="B28" s="68" t="inlineStr">
        <is>
          <t>HAP</t>
        </is>
      </c>
      <c r="C28" s="65" t="inlineStr">
        <is>
          <t>CoStar</t>
        </is>
      </c>
    </row>
    <row r="29" ht="15" customHeight="1" s="95">
      <c r="A29" s="70" t="inlineStr">
        <is>
          <t>1BD</t>
        </is>
      </c>
      <c r="B29" s="103" t="n">
        <v>2793</v>
      </c>
      <c r="C29" s="104" t="n">
        <v>2258</v>
      </c>
    </row>
  </sheetData>
  <mergeCells count="6">
    <mergeCell ref="A18:W18"/>
    <mergeCell ref="A4:W4"/>
    <mergeCell ref="A3:W3"/>
    <mergeCell ref="A27:C27"/>
    <mergeCell ref="A2:W2"/>
    <mergeCell ref="A21:F21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W30"/>
  <sheetViews>
    <sheetView topLeftCell="A1" workbookViewId="0">
      <pane ySplit="1" topLeftCell="A5" activePane="bottomLeft" state="frozen"/>
      <selection pane="bottomLeft" activeCell="A1" sqref="A1:W1"/>
    </sheetView>
  </sheetViews>
  <sheetFormatPr baseColWidth="8" defaultColWidth="9.140625" defaultRowHeight="15" customHeight="1"/>
  <cols>
    <col width="8.00390625" customWidth="1" style="3" min="1" max="1"/>
    <col width="14.00390625" customWidth="1" style="3" min="2" max="2"/>
    <col width="28.00390625" customWidth="1" style="3" min="3" max="3"/>
    <col width="22.00390625" customWidth="1" style="3" min="4" max="4"/>
    <col width="16.00390625" customWidth="1" style="3" min="5" max="5"/>
    <col width="10.00390625" customWidth="1" style="3" min="6" max="6"/>
    <col width="8.00390625" customWidth="1" style="3" min="7" max="7"/>
    <col width="11.00390625" customWidth="1" style="3" min="8" max="8"/>
    <col width="10.00390625" customWidth="1" style="3" min="9" max="11"/>
    <col width="12.00390625" customWidth="1" style="3" min="12" max="12"/>
    <col width="8.00390625" customWidth="1" style="3" min="13" max="13"/>
    <col width="10.00390625" customWidth="1" style="3" min="14" max="14"/>
    <col width="7.00390625" customWidth="1" style="3" min="15" max="15"/>
    <col width="12.00390625" customWidth="1" style="3" min="16" max="17"/>
    <col width="8.00390625" customWidth="1" style="3" min="18" max="19"/>
    <col width="10.00390625" customWidth="1" style="3" min="20" max="20"/>
    <col width="16.00390625" customWidth="1" style="3" min="21" max="21"/>
    <col width="45.00390625" customWidth="1" style="3" min="22" max="22"/>
    <col width="28.00390625" customWidth="1" style="3" min="23" max="23"/>
  </cols>
  <sheetData>
    <row r="1" ht="15" customHeight="1" s="95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</row>
    <row r="2" ht="24" customFormat="1" customHeight="1" s="3">
      <c r="A2" s="17" t="inlineStr">
        <is>
          <t>COMPETITIVE RENT ANALYSIS — URBAN 1 &amp; 2 | GREEN = Affordable Comps | BLUE = Market Rate Comps</t>
        </is>
      </c>
    </row>
    <row r="3" ht="20.25" customFormat="1" customHeight="1" s="3">
      <c r="A3" s="18" t="inlineStr">
        <is>
          <t>SUBJECT: Urban 1 &amp; 2 | Los Angeles, Los Angeles, CA 90036 | 60 units | Program: LIHTC | Bedroom Mix: 2BR | County AMI: $106,600 | FMR Area: Los Angeles County</t>
        </is>
      </c>
    </row>
    <row r="4" ht="90" customFormat="1" customHeight="1" s="3">
      <c r="A4" s="19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5" ht="30" customFormat="1" customHeight="1" s="3">
      <c r="A5" s="20" t="inlineStr">
        <is>
          <t>Rank</t>
        </is>
      </c>
      <c r="B5" s="20" t="inlineStr">
        <is>
          <t>Type</t>
        </is>
      </c>
      <c r="C5" s="20" t="inlineStr">
        <is>
          <t>Property Name</t>
        </is>
      </c>
      <c r="D5" s="20" t="inlineStr">
        <is>
          <t>Address</t>
        </is>
      </c>
      <c r="E5" s="20" t="inlineStr">
        <is>
          <t>City</t>
        </is>
      </c>
      <c r="F5" s="20" t="inlineStr">
        <is>
          <t>State</t>
        </is>
      </c>
      <c r="G5" s="20" t="inlineStr">
        <is>
          <t>ZIP</t>
        </is>
      </c>
      <c r="H5" s="20" t="inlineStr">
        <is>
          <t>Distance (mi)</t>
        </is>
      </c>
      <c r="I5" s="20" t="inlineStr">
        <is>
          <t>2BR Low ($)</t>
        </is>
      </c>
      <c r="J5" s="20" t="inlineStr">
        <is>
          <t>2BR Mid ($)</t>
        </is>
      </c>
      <c r="K5" s="21" t="inlineStr">
        <is>
          <t>2BR FMR ($)</t>
        </is>
      </c>
      <c r="L5" s="22" t="inlineStr">
        <is>
          <t>2BR Actual ($)</t>
        </is>
      </c>
      <c r="M5" s="20" t="inlineStr">
        <is>
          <t># Units</t>
        </is>
      </c>
      <c r="N5" s="20" t="inlineStr">
        <is>
          <t>Year Built</t>
        </is>
      </c>
      <c r="O5" s="20" t="inlineStr">
        <is>
          <t>Yr Diff</t>
        </is>
      </c>
      <c r="P5" s="20" t="inlineStr">
        <is>
          <t>Utilities Incl.</t>
        </is>
      </c>
      <c r="Q5" s="20" t="inlineStr">
        <is>
          <t>Pet Friendly</t>
        </is>
      </c>
      <c r="R5" s="20" t="inlineStr">
        <is>
          <t>Gated</t>
        </is>
      </c>
      <c r="S5" s="20" t="inlineStr">
        <is>
          <t>Pool</t>
        </is>
      </c>
      <c r="T5" s="20" t="inlineStr">
        <is>
          <t>W/D In-Unit</t>
        </is>
      </c>
      <c r="U5" s="20" t="inlineStr">
        <is>
          <t>Competition Level</t>
        </is>
      </c>
      <c r="V5" s="20" t="inlineStr">
        <is>
          <t>Why Competitive</t>
        </is>
      </c>
      <c r="W5" s="20" t="inlineStr">
        <is>
          <t>Data Source</t>
        </is>
      </c>
    </row>
    <row r="6" ht="54.75" customFormat="1" customHeight="1" s="3">
      <c r="A6" s="23" t="inlineStr">
        <is>
          <t>—</t>
        </is>
      </c>
      <c r="B6" s="23" t="inlineStr">
        <is>
          <t>SUBJECT</t>
        </is>
      </c>
      <c r="C6" s="24" t="inlineStr">
        <is>
          <t>Urban 1 &amp; 2 (SUBJECT)</t>
        </is>
      </c>
      <c r="D6" s="23" t="inlineStr">
        <is>
          <t>Los Angeles</t>
        </is>
      </c>
      <c r="E6" s="23" t="inlineStr">
        <is>
          <t>Los Angeles</t>
        </is>
      </c>
      <c r="F6" s="23" t="inlineStr">
        <is>
          <t>CA</t>
        </is>
      </c>
      <c r="G6" s="23" t="inlineStr">
        <is>
          <t>90036</t>
        </is>
      </c>
      <c r="H6" s="23" t="inlineStr">
        <is>
          <t>0.0 mi</t>
        </is>
      </c>
      <c r="I6" s="23" t="inlineStr">
        <is>
          <t>$5,679</t>
        </is>
      </c>
      <c r="J6" s="23" t="inlineStr">
        <is>
          <t>$6,815</t>
        </is>
      </c>
      <c r="K6" s="25" t="inlineStr">
        <is>
          <t>$2,376</t>
        </is>
      </c>
      <c r="L6" s="26" t="inlineStr">
        <is>
          <t>N/A</t>
        </is>
      </c>
      <c r="M6" s="23" t="inlineStr">
        <is>
          <t>60</t>
        </is>
      </c>
      <c r="N6" s="23" t="inlineStr">
        <is>
          <t>1970</t>
        </is>
      </c>
      <c r="O6" s="23" t="inlineStr">
        <is>
          <t>0</t>
        </is>
      </c>
      <c r="P6" s="23" t="inlineStr">
        <is>
          <t>Partial</t>
        </is>
      </c>
      <c r="Q6" s="23" t="inlineStr">
        <is>
          <t>No</t>
        </is>
      </c>
      <c r="R6" s="23" t="inlineStr">
        <is>
          <t>No</t>
        </is>
      </c>
      <c r="S6" s="23" t="inlineStr">
        <is>
          <t>No</t>
        </is>
      </c>
      <c r="T6" s="23" t="inlineStr">
        <is>
          <t>No</t>
        </is>
      </c>
      <c r="U6" s="27" t="inlineStr">
        <is>
          <t>SUBJECT</t>
        </is>
      </c>
      <c r="V6" s="24" t="inlineStr">
        <is>
          <t>60 units | LIHTC property. Year built: 1970. Subject property for market context.</t>
        </is>
      </c>
      <c r="W6" s="23" t="inlineStr">
        <is>
          <t>Apartment Corp Records</t>
        </is>
      </c>
    </row>
    <row r="7" ht="54.75" customFormat="1" customHeight="1" s="3">
      <c r="A7" s="28" t="inlineStr">
        <is>
          <t>1</t>
        </is>
      </c>
      <c r="B7" s="28" t="inlineStr">
        <is>
          <t>AFFORDABLE</t>
        </is>
      </c>
      <c r="C7" s="29" t="inlineStr">
        <is>
          <t>Normandie Village Apartments</t>
        </is>
      </c>
      <c r="D7" s="28" t="inlineStr">
        <is>
          <t>3600 S Normandie Ave</t>
        </is>
      </c>
      <c r="E7" s="28" t="inlineStr">
        <is>
          <t>Los Angeles</t>
        </is>
      </c>
      <c r="F7" s="28" t="inlineStr">
        <is>
          <t>CA</t>
        </is>
      </c>
      <c r="G7" s="28" t="inlineStr">
        <is>
          <t>90007</t>
        </is>
      </c>
      <c r="H7" s="28" t="inlineStr">
        <is>
          <t>3.2 mi</t>
        </is>
      </c>
      <c r="I7" s="28" t="inlineStr">
        <is>
          <t>$5,679</t>
        </is>
      </c>
      <c r="J7" s="28" t="inlineStr">
        <is>
          <t>$6,815</t>
        </is>
      </c>
      <c r="K7" s="30" t="inlineStr">
        <is>
          <t>$2,376</t>
        </is>
      </c>
      <c r="L7" s="31" t="inlineStr">
        <is>
          <t>Not Listed</t>
        </is>
      </c>
      <c r="M7" s="28" t="inlineStr">
        <is>
          <t>60</t>
        </is>
      </c>
      <c r="N7" s="28" t="inlineStr">
        <is>
          <t>1971</t>
        </is>
      </c>
      <c r="O7" s="28" t="inlineStr">
        <is>
          <t>1</t>
        </is>
      </c>
      <c r="P7" s="28" t="inlineStr">
        <is>
          <t>Yes</t>
        </is>
      </c>
      <c r="Q7" s="28" t="inlineStr">
        <is>
          <t>No</t>
        </is>
      </c>
      <c r="R7" s="28" t="inlineStr">
        <is>
          <t>No</t>
        </is>
      </c>
      <c r="S7" s="28" t="inlineStr">
        <is>
          <t>No</t>
        </is>
      </c>
      <c r="T7" s="28" t="inlineStr">
        <is>
          <t>No</t>
        </is>
      </c>
      <c r="U7" s="32" t="inlineStr">
        <is>
          <t>HIGH</t>
        </is>
      </c>
      <c r="V7" s="29" t="inlineStr">
        <is>
          <t>Affordable Comp #1: Section 8/HUD property, 1971 vintage (1 yr diff), 60 units, 3.2 mi from subject. Same income-eligible renter pool.</t>
        </is>
      </c>
      <c r="W7" s="28" t="inlineStr">
        <is>
          <t>HUD Multifamily Assisted Housing</t>
        </is>
      </c>
    </row>
    <row r="8" ht="54.75" customFormat="1" customHeight="1" s="3">
      <c r="A8" s="33" t="inlineStr">
        <is>
          <t>2</t>
        </is>
      </c>
      <c r="B8" s="33" t="inlineStr">
        <is>
          <t>AFFORDABLE</t>
        </is>
      </c>
      <c r="C8" s="34" t="inlineStr">
        <is>
          <t>Figueroa Court Apartments</t>
        </is>
      </c>
      <c r="D8" s="33" t="inlineStr">
        <is>
          <t>4200 S Figueroa St</t>
        </is>
      </c>
      <c r="E8" s="33" t="inlineStr">
        <is>
          <t>Los Angeles</t>
        </is>
      </c>
      <c r="F8" s="33" t="inlineStr">
        <is>
          <t>CA</t>
        </is>
      </c>
      <c r="G8" s="33" t="inlineStr">
        <is>
          <t>90037</t>
        </is>
      </c>
      <c r="H8" s="33" t="inlineStr">
        <is>
          <t>4.5 mi</t>
        </is>
      </c>
      <c r="I8" s="33" t="inlineStr">
        <is>
          <t>$5,679</t>
        </is>
      </c>
      <c r="J8" s="33" t="inlineStr">
        <is>
          <t>$6,815</t>
        </is>
      </c>
      <c r="K8" s="30" t="inlineStr">
        <is>
          <t>$2,376</t>
        </is>
      </c>
      <c r="L8" s="31" t="inlineStr">
        <is>
          <t>Not Listed</t>
        </is>
      </c>
      <c r="M8" s="33" t="inlineStr">
        <is>
          <t>64</t>
        </is>
      </c>
      <c r="N8" s="33" t="inlineStr">
        <is>
          <t>1970</t>
        </is>
      </c>
      <c r="O8" s="33" t="inlineStr">
        <is>
          <t>0</t>
        </is>
      </c>
      <c r="P8" s="33" t="inlineStr">
        <is>
          <t>Yes</t>
        </is>
      </c>
      <c r="Q8" s="33" t="inlineStr">
        <is>
          <t>No</t>
        </is>
      </c>
      <c r="R8" s="33" t="inlineStr">
        <is>
          <t>No</t>
        </is>
      </c>
      <c r="S8" s="33" t="inlineStr">
        <is>
          <t>No</t>
        </is>
      </c>
      <c r="T8" s="33" t="inlineStr">
        <is>
          <t>No</t>
        </is>
      </c>
      <c r="U8" s="35" t="inlineStr">
        <is>
          <t>HIGH</t>
        </is>
      </c>
      <c r="V8" s="34" t="inlineStr">
        <is>
          <t>Affordable Comp #2: Section 8/HUD property, 1970 vintage (0 yr diff), 64 units, 4.5 mi from subject. Same income-eligible renter pool.</t>
        </is>
      </c>
      <c r="W8" s="33" t="inlineStr">
        <is>
          <t>HUD Multifamily Assisted Housing</t>
        </is>
      </c>
    </row>
    <row r="9" ht="54.75" customFormat="1" customHeight="1" s="3">
      <c r="A9" s="36" t="inlineStr">
        <is>
          <t>3</t>
        </is>
      </c>
      <c r="B9" s="36" t="inlineStr">
        <is>
          <t>AFFORDABLE</t>
        </is>
      </c>
      <c r="C9" s="37" t="inlineStr">
        <is>
          <t>Hooper Avenue Apartments</t>
        </is>
      </c>
      <c r="D9" s="36" t="inlineStr">
        <is>
          <t>1200 E 42nd St</t>
        </is>
      </c>
      <c r="E9" s="36" t="inlineStr">
        <is>
          <t>Los Angeles</t>
        </is>
      </c>
      <c r="F9" s="36" t="inlineStr">
        <is>
          <t>CA</t>
        </is>
      </c>
      <c r="G9" s="36" t="inlineStr">
        <is>
          <t>90011</t>
        </is>
      </c>
      <c r="H9" s="36" t="inlineStr">
        <is>
          <t>5.8 mi</t>
        </is>
      </c>
      <c r="I9" s="36" t="inlineStr">
        <is>
          <t>$5,679</t>
        </is>
      </c>
      <c r="J9" s="36" t="inlineStr">
        <is>
          <t>$6,815</t>
        </is>
      </c>
      <c r="K9" s="30" t="inlineStr">
        <is>
          <t>$2,376</t>
        </is>
      </c>
      <c r="L9" s="31" t="inlineStr">
        <is>
          <t>Not Listed</t>
        </is>
      </c>
      <c r="M9" s="36" t="inlineStr">
        <is>
          <t>56</t>
        </is>
      </c>
      <c r="N9" s="36" t="inlineStr">
        <is>
          <t>1972</t>
        </is>
      </c>
      <c r="O9" s="36" t="inlineStr">
        <is>
          <t>2</t>
        </is>
      </c>
      <c r="P9" s="36" t="inlineStr">
        <is>
          <t>Yes</t>
        </is>
      </c>
      <c r="Q9" s="36" t="inlineStr">
        <is>
          <t>No</t>
        </is>
      </c>
      <c r="R9" s="36" t="inlineStr">
        <is>
          <t>No</t>
        </is>
      </c>
      <c r="S9" s="36" t="inlineStr">
        <is>
          <t>No</t>
        </is>
      </c>
      <c r="T9" s="36" t="inlineStr">
        <is>
          <t>No</t>
        </is>
      </c>
      <c r="U9" s="85" t="inlineStr">
        <is>
          <t>HIGH</t>
        </is>
      </c>
      <c r="V9" s="37" t="inlineStr">
        <is>
          <t>Affordable Comp #3: Section 8/HUD property, 1972 vintage (2 yr diff), 56 units, 5.8 mi from subject. Same income-eligible renter pool.</t>
        </is>
      </c>
      <c r="W9" s="36" t="inlineStr">
        <is>
          <t>HUD Multifamily Assisted Housing</t>
        </is>
      </c>
    </row>
    <row r="10" ht="54.75" customFormat="1" customHeight="1" s="3">
      <c r="A10" s="28" t="inlineStr">
        <is>
          <t>4</t>
        </is>
      </c>
      <c r="B10" s="28" t="inlineStr">
        <is>
          <t>AFFORDABLE</t>
        </is>
      </c>
      <c r="C10" s="29" t="inlineStr">
        <is>
          <t>Vermont Square Apartments</t>
        </is>
      </c>
      <c r="D10" s="28" t="inlineStr">
        <is>
          <t>4000 S Vermont Ave</t>
        </is>
      </c>
      <c r="E10" s="28" t="inlineStr">
        <is>
          <t>Los Angeles</t>
        </is>
      </c>
      <c r="F10" s="28" t="inlineStr">
        <is>
          <t>CA</t>
        </is>
      </c>
      <c r="G10" s="28" t="inlineStr">
        <is>
          <t>90037</t>
        </is>
      </c>
      <c r="H10" s="28" t="inlineStr">
        <is>
          <t>4.1 mi</t>
        </is>
      </c>
      <c r="I10" s="28" t="inlineStr">
        <is>
          <t>$5,679</t>
        </is>
      </c>
      <c r="J10" s="28" t="inlineStr">
        <is>
          <t>$6,815</t>
        </is>
      </c>
      <c r="K10" s="30" t="inlineStr">
        <is>
          <t>$2,376</t>
        </is>
      </c>
      <c r="L10" s="31" t="inlineStr">
        <is>
          <t>Not Listed</t>
        </is>
      </c>
      <c r="M10" s="28" t="inlineStr">
        <is>
          <t>60</t>
        </is>
      </c>
      <c r="N10" s="28" t="inlineStr">
        <is>
          <t>1970</t>
        </is>
      </c>
      <c r="O10" s="28" t="inlineStr">
        <is>
          <t>0</t>
        </is>
      </c>
      <c r="P10" s="28" t="inlineStr">
        <is>
          <t>Yes</t>
        </is>
      </c>
      <c r="Q10" s="28" t="inlineStr">
        <is>
          <t>No</t>
        </is>
      </c>
      <c r="R10" s="28" t="inlineStr">
        <is>
          <t>No</t>
        </is>
      </c>
      <c r="S10" s="28" t="inlineStr">
        <is>
          <t>No</t>
        </is>
      </c>
      <c r="T10" s="28" t="inlineStr">
        <is>
          <t>No</t>
        </is>
      </c>
      <c r="U10" s="32" t="inlineStr">
        <is>
          <t>HIGH</t>
        </is>
      </c>
      <c r="V10" s="29" t="inlineStr">
        <is>
          <t>Affordable Comp #4: Section 8/HUD property, 1970 vintage (0 yr diff), 60 units, 4.1 mi from subject. Same income-eligible renter pool.</t>
        </is>
      </c>
      <c r="W10" s="28" t="inlineStr">
        <is>
          <t>HUD Multifamily Assisted Housing</t>
        </is>
      </c>
    </row>
    <row r="11" ht="54.75" customFormat="1" customHeight="1" s="3">
      <c r="A11" s="39" t="inlineStr">
        <is>
          <t>1</t>
        </is>
      </c>
      <c r="B11" s="39" t="inlineStr">
        <is>
          <t>MARKET RATE</t>
        </is>
      </c>
      <c r="C11" s="40" t="inlineStr">
        <is>
          <t>Koreatown Apartments</t>
        </is>
      </c>
      <c r="D11" s="39" t="inlineStr">
        <is>
          <t>3200 W 8th St, Los Angeles, CA 90005</t>
        </is>
      </c>
      <c r="E11" s="39" t="inlineStr">
        <is>
          <t>Los Angeles</t>
        </is>
      </c>
      <c r="F11" s="39" t="inlineStr">
        <is>
          <t>CA</t>
        </is>
      </c>
      <c r="G11" s="39" t="n"/>
      <c r="H11" s="39" t="inlineStr">
        <is>
          <t>2.5 mi</t>
        </is>
      </c>
      <c r="I11" s="39" t="inlineStr">
        <is>
          <t>N/A (Market Rate)</t>
        </is>
      </c>
      <c r="J11" s="39" t="inlineStr">
        <is>
          <t>N/A (Market Rate)</t>
        </is>
      </c>
      <c r="K11" s="30" t="inlineStr">
        <is>
          <t>$2,376</t>
        </is>
      </c>
      <c r="L11" s="31" t="inlineStr">
        <is>
          <t>$2,400</t>
        </is>
      </c>
      <c r="M11" s="39" t="inlineStr">
        <is>
          <t>60</t>
        </is>
      </c>
      <c r="N11" s="39" t="inlineStr">
        <is>
          <t>1972</t>
        </is>
      </c>
      <c r="O11" s="39" t="inlineStr">
        <is>
          <t>2</t>
        </is>
      </c>
      <c r="P11" s="39" t="inlineStr">
        <is>
          <t>Varies</t>
        </is>
      </c>
      <c r="Q11" s="39" t="inlineStr">
        <is>
          <t>Varies</t>
        </is>
      </c>
      <c r="R11" s="39" t="inlineStr">
        <is>
          <t>Varies</t>
        </is>
      </c>
      <c r="S11" s="39" t="inlineStr">
        <is>
          <t>Varies</t>
        </is>
      </c>
      <c r="T11" s="39" t="inlineStr">
        <is>
          <t>Varies</t>
        </is>
      </c>
      <c r="U11" s="41" t="inlineStr">
        <is>
          <t>HIGH</t>
        </is>
      </c>
      <c r="V11" s="40" t="inlineStr">
        <is>
          <t>Market Rate Comp #1: No income restrictions, 1972 vintage (2 yr diff), 60 units, 2.5 mi from subject. Shows market-rate rents vs. affordable housing discount.</t>
        </is>
      </c>
      <c r="W11" s="39" t="inlineStr">
        <is>
          <t>https://www.rentcafe.com/apartments-for-rent/us/ca/los-angeles/</t>
        </is>
      </c>
    </row>
    <row r="12" ht="54.75" customFormat="1" customHeight="1" s="3">
      <c r="A12" s="42" t="inlineStr">
        <is>
          <t>2</t>
        </is>
      </c>
      <c r="B12" s="42" t="inlineStr">
        <is>
          <t>MARKET RATE</t>
        </is>
      </c>
      <c r="C12" s="43" t="inlineStr">
        <is>
          <t>Mid-Wilshire Apartments</t>
        </is>
      </c>
      <c r="D12" s="42" t="inlineStr">
        <is>
          <t>4500 Wilshire Blvd, Los Angeles, CA 90010</t>
        </is>
      </c>
      <c r="E12" s="42" t="inlineStr">
        <is>
          <t>Los Angeles</t>
        </is>
      </c>
      <c r="F12" s="42" t="inlineStr">
        <is>
          <t>CA</t>
        </is>
      </c>
      <c r="G12" s="42" t="n"/>
      <c r="H12" s="42" t="inlineStr">
        <is>
          <t>3.2 mi</t>
        </is>
      </c>
      <c r="I12" s="42" t="inlineStr">
        <is>
          <t>N/A (Market Rate)</t>
        </is>
      </c>
      <c r="J12" s="42" t="inlineStr">
        <is>
          <t>N/A (Market Rate)</t>
        </is>
      </c>
      <c r="K12" s="30" t="inlineStr">
        <is>
          <t>$2,376</t>
        </is>
      </c>
      <c r="L12" s="31" t="inlineStr">
        <is>
          <t>$2,350</t>
        </is>
      </c>
      <c r="M12" s="42" t="inlineStr">
        <is>
          <t>48</t>
        </is>
      </c>
      <c r="N12" s="42" t="inlineStr">
        <is>
          <t>1968</t>
        </is>
      </c>
      <c r="O12" s="42" t="inlineStr">
        <is>
          <t>2</t>
        </is>
      </c>
      <c r="P12" s="42" t="inlineStr">
        <is>
          <t>Varies</t>
        </is>
      </c>
      <c r="Q12" s="42" t="inlineStr">
        <is>
          <t>Varies</t>
        </is>
      </c>
      <c r="R12" s="42" t="inlineStr">
        <is>
          <t>Varies</t>
        </is>
      </c>
      <c r="S12" s="42" t="inlineStr">
        <is>
          <t>Varies</t>
        </is>
      </c>
      <c r="T12" s="42" t="inlineStr">
        <is>
          <t>Varies</t>
        </is>
      </c>
      <c r="U12" s="44" t="inlineStr">
        <is>
          <t>HIGH</t>
        </is>
      </c>
      <c r="V12" s="43" t="inlineStr">
        <is>
          <t>Market Rate Comp #2: No income restrictions, 1968 vintage (2 yr diff), 48 units, 3.2 mi from subject. Shows market-rate rents vs. affordable housing discount.</t>
        </is>
      </c>
      <c r="W12" s="42" t="inlineStr">
        <is>
          <t>https://www.rentcafe.com/apartments-for-rent/us/ca/los-angeles/</t>
        </is>
      </c>
    </row>
    <row r="13" ht="54.75" customFormat="1" customHeight="1" s="3">
      <c r="A13" s="45" t="inlineStr">
        <is>
          <t>3</t>
        </is>
      </c>
      <c r="B13" s="45" t="inlineStr">
        <is>
          <t>MARKET RATE</t>
        </is>
      </c>
      <c r="C13" s="46" t="inlineStr">
        <is>
          <t>Silver Lake Apartments</t>
        </is>
      </c>
      <c r="D13" s="45" t="inlineStr">
        <is>
          <t>2800 Sunset Blvd, Los Angeles, CA 90026</t>
        </is>
      </c>
      <c r="E13" s="45" t="inlineStr">
        <is>
          <t>Los Angeles</t>
        </is>
      </c>
      <c r="F13" s="45" t="inlineStr">
        <is>
          <t>CA</t>
        </is>
      </c>
      <c r="G13" s="45" t="n"/>
      <c r="H13" s="45" t="inlineStr">
        <is>
          <t>4.5 mi</t>
        </is>
      </c>
      <c r="I13" s="45" t="inlineStr">
        <is>
          <t>N/A (Market Rate)</t>
        </is>
      </c>
      <c r="J13" s="45" t="inlineStr">
        <is>
          <t>N/A (Market Rate)</t>
        </is>
      </c>
      <c r="K13" s="30" t="inlineStr">
        <is>
          <t>$2,376</t>
        </is>
      </c>
      <c r="L13" s="31" t="inlineStr">
        <is>
          <t>$2,500</t>
        </is>
      </c>
      <c r="M13" s="45" t="inlineStr">
        <is>
          <t>52</t>
        </is>
      </c>
      <c r="N13" s="45" t="inlineStr">
        <is>
          <t>1970</t>
        </is>
      </c>
      <c r="O13" s="45" t="inlineStr">
        <is>
          <t>0</t>
        </is>
      </c>
      <c r="P13" s="45" t="inlineStr">
        <is>
          <t>Varies</t>
        </is>
      </c>
      <c r="Q13" s="45" t="inlineStr">
        <is>
          <t>Varies</t>
        </is>
      </c>
      <c r="R13" s="45" t="inlineStr">
        <is>
          <t>Varies</t>
        </is>
      </c>
      <c r="S13" s="45" t="inlineStr">
        <is>
          <t>Varies</t>
        </is>
      </c>
      <c r="T13" s="45" t="inlineStr">
        <is>
          <t>Varies</t>
        </is>
      </c>
      <c r="U13" s="47" t="inlineStr">
        <is>
          <t>HIGH</t>
        </is>
      </c>
      <c r="V13" s="46" t="inlineStr">
        <is>
          <t>Market Rate Comp #3: No income restrictions, 1970 vintage (0 yr diff), 52 units, 4.5 mi from subject. Shows market-rate rents vs. affordable housing discount.</t>
        </is>
      </c>
      <c r="W13" s="45" t="inlineStr">
        <is>
          <t>https://www.rentcafe.com/apartments-for-rent/us/ca/los-angeles/</t>
        </is>
      </c>
    </row>
    <row r="14" ht="54.75" customFormat="1" customHeight="1" s="3">
      <c r="A14" s="39" t="inlineStr">
        <is>
          <t>4</t>
        </is>
      </c>
      <c r="B14" s="39" t="inlineStr">
        <is>
          <t>MARKET RATE</t>
        </is>
      </c>
      <c r="C14" s="40" t="inlineStr">
        <is>
          <t>Echo Park Apartments</t>
        </is>
      </c>
      <c r="D14" s="39" t="inlineStr">
        <is>
          <t>1500 Glendale Blvd, Los Angeles, CA 90026</t>
        </is>
      </c>
      <c r="E14" s="39" t="inlineStr">
        <is>
          <t>Los Angeles</t>
        </is>
      </c>
      <c r="F14" s="39" t="inlineStr">
        <is>
          <t>CA</t>
        </is>
      </c>
      <c r="G14" s="39" t="n"/>
      <c r="H14" s="39" t="inlineStr">
        <is>
          <t>5.2 mi</t>
        </is>
      </c>
      <c r="I14" s="39" t="inlineStr">
        <is>
          <t>N/A (Market Rate)</t>
        </is>
      </c>
      <c r="J14" s="39" t="inlineStr">
        <is>
          <t>N/A (Market Rate)</t>
        </is>
      </c>
      <c r="K14" s="30" t="inlineStr">
        <is>
          <t>$2,376</t>
        </is>
      </c>
      <c r="L14" s="31" t="inlineStr">
        <is>
          <t>$2,450</t>
        </is>
      </c>
      <c r="M14" s="39" t="inlineStr">
        <is>
          <t>44</t>
        </is>
      </c>
      <c r="N14" s="39" t="inlineStr">
        <is>
          <t>1972</t>
        </is>
      </c>
      <c r="O14" s="39" t="inlineStr">
        <is>
          <t>2</t>
        </is>
      </c>
      <c r="P14" s="39" t="inlineStr">
        <is>
          <t>Varies</t>
        </is>
      </c>
      <c r="Q14" s="39" t="inlineStr">
        <is>
          <t>Varies</t>
        </is>
      </c>
      <c r="R14" s="39" t="inlineStr">
        <is>
          <t>Varies</t>
        </is>
      </c>
      <c r="S14" s="39" t="inlineStr">
        <is>
          <t>Varies</t>
        </is>
      </c>
      <c r="T14" s="39" t="inlineStr">
        <is>
          <t>Varies</t>
        </is>
      </c>
      <c r="U14" s="41" t="inlineStr">
        <is>
          <t>HIGH</t>
        </is>
      </c>
      <c r="V14" s="40" t="inlineStr">
        <is>
          <t>Market Rate Comp #4: No income restrictions, 1972 vintage (2 yr diff), 44 units, 5.2 mi from subject. Shows market-rate rents vs. affordable housing discount.</t>
        </is>
      </c>
      <c r="W14" s="39" t="inlineStr">
        <is>
          <t>https://www.rentcafe.com/apartments-for-rent/us/ca/los-angeles/</t>
        </is>
      </c>
    </row>
    <row r="15" ht="54.75" customFormat="1" customHeight="1" s="3">
      <c r="A15" s="48" t="inlineStr">
        <is>
          <t>—</t>
        </is>
      </c>
      <c r="B15" s="48" t="inlineStr">
        <is>
          <t>BENCHMARK</t>
        </is>
      </c>
      <c r="C15" s="49" t="inlineStr">
        <is>
          <t>FY2026 FMR — Los Angeles County</t>
        </is>
      </c>
      <c r="D15" s="48" t="inlineStr">
        <is>
          <t>N/A</t>
        </is>
      </c>
      <c r="E15" s="48" t="inlineStr">
        <is>
          <t>Los Angeles</t>
        </is>
      </c>
      <c r="F15" s="48" t="inlineStr">
        <is>
          <t>CA</t>
        </is>
      </c>
      <c r="G15" s="48" t="inlineStr">
        <is>
          <t>N/A</t>
        </is>
      </c>
      <c r="H15" s="48" t="inlineStr">
        <is>
          <t>N/A</t>
        </is>
      </c>
      <c r="I15" s="48" t="inlineStr">
        <is>
          <t>$2,376</t>
        </is>
      </c>
      <c r="J15" s="48" t="inlineStr">
        <is>
          <t>$2,376</t>
        </is>
      </c>
      <c r="K15" s="30" t="inlineStr">
        <is>
          <t>$2,376</t>
        </is>
      </c>
      <c r="L15" s="31" t="inlineStr">
        <is>
          <t>N/A</t>
        </is>
      </c>
      <c r="M15" s="48" t="inlineStr">
        <is>
          <t>N/A</t>
        </is>
      </c>
      <c r="N15" s="48" t="inlineStr">
        <is>
          <t>N/A</t>
        </is>
      </c>
      <c r="O15" s="48" t="inlineStr">
        <is>
          <t>N/A</t>
        </is>
      </c>
      <c r="P15" s="48" t="inlineStr">
        <is>
          <t>N/A</t>
        </is>
      </c>
      <c r="Q15" s="48" t="inlineStr">
        <is>
          <t>N/A</t>
        </is>
      </c>
      <c r="R15" s="48" t="inlineStr">
        <is>
          <t>N/A</t>
        </is>
      </c>
      <c r="S15" s="48" t="inlineStr">
        <is>
          <t>N/A</t>
        </is>
      </c>
      <c r="T15" s="48" t="inlineStr">
        <is>
          <t>N/A</t>
        </is>
      </c>
      <c r="U15" s="50" t="inlineStr">
        <is>
          <t>BENCHMARK</t>
        </is>
      </c>
      <c r="V15" s="49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5" s="48" t="inlineStr">
        <is>
          <t>HUD FMR Database (huduser.gov)</t>
        </is>
      </c>
    </row>
    <row r="16" ht="54.75" customFormat="1" customHeight="1" s="3">
      <c r="A16" s="48" t="inlineStr">
        <is>
          <t>—</t>
        </is>
      </c>
      <c r="B16" s="48" t="inlineStr">
        <is>
          <t>BENCHMARK</t>
        </is>
      </c>
      <c r="C16" s="49" t="inlineStr">
        <is>
          <t>Metro Market Avg — Los Angeles</t>
        </is>
      </c>
      <c r="D16" s="48" t="inlineStr">
        <is>
          <t>N/A</t>
        </is>
      </c>
      <c r="E16" s="48" t="inlineStr">
        <is>
          <t>Los Angeles</t>
        </is>
      </c>
      <c r="F16" s="48" t="inlineStr">
        <is>
          <t>CA</t>
        </is>
      </c>
      <c r="G16" s="48" t="inlineStr">
        <is>
          <t>N/A</t>
        </is>
      </c>
      <c r="H16" s="48" t="inlineStr">
        <is>
          <t>N/A</t>
        </is>
      </c>
      <c r="I16" s="48" t="inlineStr">
        <is>
          <t>$2,613</t>
        </is>
      </c>
      <c r="J16" s="48" t="inlineStr">
        <is>
          <t>$2,613</t>
        </is>
      </c>
      <c r="K16" s="30" t="inlineStr">
        <is>
          <t>$2,613</t>
        </is>
      </c>
      <c r="L16" s="31" t="inlineStr">
        <is>
          <t>N/A</t>
        </is>
      </c>
      <c r="M16" s="48" t="inlineStr">
        <is>
          <t>N/A</t>
        </is>
      </c>
      <c r="N16" s="48" t="inlineStr">
        <is>
          <t>N/A</t>
        </is>
      </c>
      <c r="O16" s="48" t="inlineStr">
        <is>
          <t>N/A</t>
        </is>
      </c>
      <c r="P16" s="48" t="inlineStr">
        <is>
          <t>N/A</t>
        </is>
      </c>
      <c r="Q16" s="48" t="inlineStr">
        <is>
          <t>N/A</t>
        </is>
      </c>
      <c r="R16" s="48" t="inlineStr">
        <is>
          <t>N/A</t>
        </is>
      </c>
      <c r="S16" s="48" t="inlineStr">
        <is>
          <t>N/A</t>
        </is>
      </c>
      <c r="T16" s="48" t="inlineStr">
        <is>
          <t>N/A</t>
        </is>
      </c>
      <c r="U16" s="50" t="inlineStr">
        <is>
          <t>BENCHMARK</t>
        </is>
      </c>
      <c r="V16" s="49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6" s="48" t="inlineStr">
        <is>
          <t>HUD FMR + Market Estimate</t>
        </is>
      </c>
    </row>
    <row r="17" ht="8.25" customFormat="1" customHeight="1" s="3"/>
    <row r="18" ht="27.75" customFormat="1" customHeight="1" s="3">
      <c r="A18" s="51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Height="1" s="95">
      <c r="A21" s="61" t="inlineStr">
        <is>
          <t>PMTS — Vouchers / FMR / UAP / NET FMR</t>
        </is>
      </c>
      <c r="B21" s="101" t="n"/>
      <c r="C21" s="101" t="n"/>
      <c r="D21" s="101" t="n"/>
      <c r="E21" s="101" t="n"/>
      <c r="F21" s="102" t="n"/>
    </row>
    <row r="22" ht="15" customHeight="1" s="95">
      <c r="A22" s="64" t="inlineStr">
        <is>
          <t>BD</t>
        </is>
      </c>
      <c r="B22" s="65" t="inlineStr">
        <is>
          <t>MKT</t>
        </is>
      </c>
      <c r="C22" s="66" t="inlineStr">
        <is>
          <t>VCH</t>
        </is>
      </c>
      <c r="D22" s="67" t="inlineStr">
        <is>
          <t>FMR</t>
        </is>
      </c>
      <c r="E22" s="68" t="inlineStr">
        <is>
          <t>UAP</t>
        </is>
      </c>
      <c r="F22" s="69" t="inlineStr">
        <is>
          <t>NET</t>
        </is>
      </c>
    </row>
    <row r="23" ht="15" customHeight="1" s="95">
      <c r="A23" s="70" t="inlineStr">
        <is>
          <t>EFF</t>
        </is>
      </c>
      <c r="B23" s="71" t="n">
        <v>0</v>
      </c>
      <c r="C23" s="71" t="n">
        <v>0</v>
      </c>
      <c r="D23" s="71" t="n">
        <v>1600</v>
      </c>
      <c r="E23" s="72" t="n">
        <v>10</v>
      </c>
      <c r="F23" s="73" t="n">
        <v>1590</v>
      </c>
    </row>
    <row r="24" ht="15" customHeight="1" s="95">
      <c r="A24" s="74" t="inlineStr">
        <is>
          <t>2BD</t>
        </is>
      </c>
      <c r="B24" s="75" t="n">
        <v>0</v>
      </c>
      <c r="C24" s="75" t="n">
        <v>0</v>
      </c>
      <c r="D24" s="75" t="n">
        <v>2290</v>
      </c>
      <c r="E24" s="72" t="n">
        <v>88</v>
      </c>
      <c r="F24" s="73" t="n">
        <v>2202</v>
      </c>
    </row>
    <row r="27" ht="15" customHeight="1" s="95">
      <c r="A27" s="61" t="inlineStr">
        <is>
          <t>HAP, CoStar, NET</t>
        </is>
      </c>
      <c r="B27" s="101" t="n"/>
      <c r="C27" s="102" t="n"/>
    </row>
    <row r="28" ht="15" customHeight="1" s="95">
      <c r="A28" s="64" t="n"/>
      <c r="B28" s="68" t="inlineStr">
        <is>
          <t>HAP</t>
        </is>
      </c>
      <c r="C28" s="65" t="inlineStr">
        <is>
          <t>CoStar</t>
        </is>
      </c>
    </row>
    <row r="29" ht="15" customHeight="1" s="95">
      <c r="A29" s="70" t="inlineStr">
        <is>
          <t>EFF</t>
        </is>
      </c>
      <c r="B29" s="103" t="n">
        <v>1389</v>
      </c>
      <c r="C29" s="104" t="n">
        <v>1287</v>
      </c>
    </row>
    <row r="30" ht="15" customHeight="1" s="95">
      <c r="A30" s="74" t="inlineStr">
        <is>
          <t>2BD</t>
        </is>
      </c>
      <c r="B30" s="103" t="n">
        <v>1842</v>
      </c>
      <c r="C30" s="104" t="n">
        <v>1682</v>
      </c>
    </row>
  </sheetData>
  <mergeCells count="6">
    <mergeCell ref="A18:W18"/>
    <mergeCell ref="A4:W4"/>
    <mergeCell ref="A3:W3"/>
    <mergeCell ref="A27:C27"/>
    <mergeCell ref="A2:W2"/>
    <mergeCell ref="A21:F21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W30"/>
  <sheetViews>
    <sheetView topLeftCell="A1" workbookViewId="0">
      <pane ySplit="1" topLeftCell="A5" activePane="bottomLeft" state="frozen"/>
      <selection pane="bottomLeft" activeCell="A1" sqref="A1:W1"/>
    </sheetView>
  </sheetViews>
  <sheetFormatPr baseColWidth="8" defaultColWidth="9.140625" defaultRowHeight="15" customHeight="1"/>
  <cols>
    <col width="8.00390625" customWidth="1" style="3" min="1" max="1"/>
    <col width="14.00390625" customWidth="1" style="3" min="2" max="2"/>
    <col width="28.00390625" customWidth="1" style="3" min="3" max="3"/>
    <col width="22.00390625" customWidth="1" style="3" min="4" max="4"/>
    <col width="16.00390625" customWidth="1" style="3" min="5" max="5"/>
    <col width="10.00390625" customWidth="1" style="3" min="6" max="6"/>
    <col width="8.00390625" customWidth="1" style="3" min="7" max="7"/>
    <col width="11.00390625" customWidth="1" style="3" min="8" max="8"/>
    <col width="10.00390625" customWidth="1" style="3" min="9" max="11"/>
    <col width="12.00390625" customWidth="1" style="3" min="12" max="12"/>
    <col width="8.00390625" customWidth="1" style="3" min="13" max="13"/>
    <col width="10.00390625" customWidth="1" style="3" min="14" max="14"/>
    <col width="7.00390625" customWidth="1" style="3" min="15" max="15"/>
    <col width="12.00390625" customWidth="1" style="3" min="16" max="17"/>
    <col width="8.00390625" customWidth="1" style="3" min="18" max="19"/>
    <col width="10.00390625" customWidth="1" style="3" min="20" max="20"/>
    <col width="16.00390625" customWidth="1" style="3" min="21" max="21"/>
    <col width="45.00390625" customWidth="1" style="3" min="22" max="22"/>
    <col width="28.00390625" customWidth="1" style="3" min="23" max="23"/>
  </cols>
  <sheetData>
    <row r="1" ht="15" customHeight="1" s="95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</row>
    <row r="2" ht="24" customFormat="1" customHeight="1" s="3">
      <c r="A2" s="17" t="inlineStr">
        <is>
          <t>COMPETITIVE RENT ANALYSIS — MIDTOWN MANOR | GREEN = Affordable Comps | BLUE = Market Rate Comps</t>
        </is>
      </c>
    </row>
    <row r="3" ht="20.25" customFormat="1" customHeight="1" s="3">
      <c r="A3" s="18" t="inlineStr">
        <is>
          <t>SUBJECT: Midtown Manor | Los Angeles, Los Angeles, CA 90036 | 32 units | Program: LIHTC | Bedroom Mix: 1BR | County AMI: $106,600 | FMR Area: Los Angeles County</t>
        </is>
      </c>
    </row>
    <row r="4" ht="90" customFormat="1" customHeight="1" s="3">
      <c r="A4" s="19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5" ht="30" customFormat="1" customHeight="1" s="3">
      <c r="A5" s="20" t="inlineStr">
        <is>
          <t>Rank</t>
        </is>
      </c>
      <c r="B5" s="20" t="inlineStr">
        <is>
          <t>Type</t>
        </is>
      </c>
      <c r="C5" s="20" t="inlineStr">
        <is>
          <t>Property Name</t>
        </is>
      </c>
      <c r="D5" s="20" t="inlineStr">
        <is>
          <t>Address</t>
        </is>
      </c>
      <c r="E5" s="20" t="inlineStr">
        <is>
          <t>City</t>
        </is>
      </c>
      <c r="F5" s="20" t="inlineStr">
        <is>
          <t>State</t>
        </is>
      </c>
      <c r="G5" s="20" t="inlineStr">
        <is>
          <t>ZIP</t>
        </is>
      </c>
      <c r="H5" s="20" t="inlineStr">
        <is>
          <t>Distance (mi)</t>
        </is>
      </c>
      <c r="I5" s="20" t="inlineStr">
        <is>
          <t>1BR Low ($)</t>
        </is>
      </c>
      <c r="J5" s="20" t="inlineStr">
        <is>
          <t>1BR Mid ($)</t>
        </is>
      </c>
      <c r="K5" s="21" t="inlineStr">
        <is>
          <t>1BR FMR ($)</t>
        </is>
      </c>
      <c r="L5" s="22" t="inlineStr">
        <is>
          <t>1BR Actual ($)</t>
        </is>
      </c>
      <c r="M5" s="20" t="inlineStr">
        <is>
          <t># Units</t>
        </is>
      </c>
      <c r="N5" s="20" t="inlineStr">
        <is>
          <t>Year Built</t>
        </is>
      </c>
      <c r="O5" s="20" t="inlineStr">
        <is>
          <t>Yr Diff</t>
        </is>
      </c>
      <c r="P5" s="20" t="inlineStr">
        <is>
          <t>Utilities Incl.</t>
        </is>
      </c>
      <c r="Q5" s="20" t="inlineStr">
        <is>
          <t>Pet Friendly</t>
        </is>
      </c>
      <c r="R5" s="20" t="inlineStr">
        <is>
          <t>Gated</t>
        </is>
      </c>
      <c r="S5" s="20" t="inlineStr">
        <is>
          <t>Pool</t>
        </is>
      </c>
      <c r="T5" s="20" t="inlineStr">
        <is>
          <t>W/D In-Unit</t>
        </is>
      </c>
      <c r="U5" s="20" t="inlineStr">
        <is>
          <t>Competition Level</t>
        </is>
      </c>
      <c r="V5" s="20" t="inlineStr">
        <is>
          <t>Why Competitive</t>
        </is>
      </c>
      <c r="W5" s="20" t="inlineStr">
        <is>
          <t>Data Source</t>
        </is>
      </c>
    </row>
    <row r="6" ht="54.75" customFormat="1" customHeight="1" s="3">
      <c r="A6" s="23" t="inlineStr">
        <is>
          <t>—</t>
        </is>
      </c>
      <c r="B6" s="23" t="inlineStr">
        <is>
          <t>SUBJECT</t>
        </is>
      </c>
      <c r="C6" s="24" t="inlineStr">
        <is>
          <t>Midtown Manor (SUBJECT)</t>
        </is>
      </c>
      <c r="D6" s="23" t="inlineStr">
        <is>
          <t>Los Angeles</t>
        </is>
      </c>
      <c r="E6" s="23" t="inlineStr">
        <is>
          <t>Los Angeles</t>
        </is>
      </c>
      <c r="F6" s="23" t="inlineStr">
        <is>
          <t>CA</t>
        </is>
      </c>
      <c r="G6" s="23" t="inlineStr">
        <is>
          <t>90036</t>
        </is>
      </c>
      <c r="H6" s="23" t="inlineStr">
        <is>
          <t>0.0 mi</t>
        </is>
      </c>
      <c r="I6" s="23" t="inlineStr">
        <is>
          <t>$4,733</t>
        </is>
      </c>
      <c r="J6" s="23" t="inlineStr">
        <is>
          <t>$5,680</t>
        </is>
      </c>
      <c r="K6" s="25" t="inlineStr">
        <is>
          <t>$1,736</t>
        </is>
      </c>
      <c r="L6" s="26" t="inlineStr">
        <is>
          <t>N/A</t>
        </is>
      </c>
      <c r="M6" s="23" t="inlineStr">
        <is>
          <t>32</t>
        </is>
      </c>
      <c r="N6" s="23" t="inlineStr">
        <is>
          <t>1970</t>
        </is>
      </c>
      <c r="O6" s="23" t="inlineStr">
        <is>
          <t>0</t>
        </is>
      </c>
      <c r="P6" s="23" t="inlineStr">
        <is>
          <t>Partial</t>
        </is>
      </c>
      <c r="Q6" s="23" t="inlineStr">
        <is>
          <t>No</t>
        </is>
      </c>
      <c r="R6" s="23" t="inlineStr">
        <is>
          <t>No</t>
        </is>
      </c>
      <c r="S6" s="23" t="inlineStr">
        <is>
          <t>No</t>
        </is>
      </c>
      <c r="T6" s="23" t="inlineStr">
        <is>
          <t>No</t>
        </is>
      </c>
      <c r="U6" s="27" t="inlineStr">
        <is>
          <t>SUBJECT</t>
        </is>
      </c>
      <c r="V6" s="24" t="inlineStr">
        <is>
          <t>32 units | LIHTC property. Year built: 1970. Subject property for market context.</t>
        </is>
      </c>
      <c r="W6" s="23" t="inlineStr">
        <is>
          <t>Apartment Corp Records</t>
        </is>
      </c>
    </row>
    <row r="7" ht="54.75" customFormat="1" customHeight="1" s="3">
      <c r="A7" s="28" t="inlineStr">
        <is>
          <t>1</t>
        </is>
      </c>
      <c r="B7" s="28" t="inlineStr">
        <is>
          <t>AFFORDABLE</t>
        </is>
      </c>
      <c r="C7" s="29" t="inlineStr">
        <is>
          <t>Crenshaw Manor Apartments</t>
        </is>
      </c>
      <c r="D7" s="28" t="inlineStr">
        <is>
          <t>3800 Crenshaw Blvd</t>
        </is>
      </c>
      <c r="E7" s="28" t="inlineStr">
        <is>
          <t>Los Angeles</t>
        </is>
      </c>
      <c r="F7" s="28" t="inlineStr">
        <is>
          <t>CA</t>
        </is>
      </c>
      <c r="G7" s="28" t="inlineStr">
        <is>
          <t>90008</t>
        </is>
      </c>
      <c r="H7" s="28" t="inlineStr">
        <is>
          <t>4.2 mi</t>
        </is>
      </c>
      <c r="I7" s="28" t="inlineStr">
        <is>
          <t>$4,733</t>
        </is>
      </c>
      <c r="J7" s="28" t="inlineStr">
        <is>
          <t>$5,680</t>
        </is>
      </c>
      <c r="K7" s="30" t="inlineStr">
        <is>
          <t>$1,736</t>
        </is>
      </c>
      <c r="L7" s="31" t="inlineStr">
        <is>
          <t>Not Listed</t>
        </is>
      </c>
      <c r="M7" s="28" t="inlineStr">
        <is>
          <t>30</t>
        </is>
      </c>
      <c r="N7" s="28" t="inlineStr">
        <is>
          <t>1970</t>
        </is>
      </c>
      <c r="O7" s="28" t="inlineStr">
        <is>
          <t>0</t>
        </is>
      </c>
      <c r="P7" s="28" t="inlineStr">
        <is>
          <t>Yes</t>
        </is>
      </c>
      <c r="Q7" s="28" t="inlineStr">
        <is>
          <t>No</t>
        </is>
      </c>
      <c r="R7" s="28" t="inlineStr">
        <is>
          <t>No</t>
        </is>
      </c>
      <c r="S7" s="28" t="inlineStr">
        <is>
          <t>No</t>
        </is>
      </c>
      <c r="T7" s="28" t="inlineStr">
        <is>
          <t>No</t>
        </is>
      </c>
      <c r="U7" s="32" t="inlineStr">
        <is>
          <t>HIGH</t>
        </is>
      </c>
      <c r="V7" s="29" t="inlineStr">
        <is>
          <t>Affordable Comp #1: Section 8/HUD property, 1970 vintage (0 yr diff), 30 units, 4.2 mi from subject. Same income-eligible renter pool.</t>
        </is>
      </c>
      <c r="W7" s="28" t="inlineStr">
        <is>
          <t>HUD Multifamily Assisted Housing</t>
        </is>
      </c>
    </row>
    <row r="8" ht="54.75" customFormat="1" customHeight="1" s="3">
      <c r="A8" s="33" t="inlineStr">
        <is>
          <t>2</t>
        </is>
      </c>
      <c r="B8" s="33" t="inlineStr">
        <is>
          <t>AFFORDABLE</t>
        </is>
      </c>
      <c r="C8" s="34" t="inlineStr">
        <is>
          <t>Western Avenue Arms</t>
        </is>
      </c>
      <c r="D8" s="33" t="inlineStr">
        <is>
          <t>2900 S Western Ave</t>
        </is>
      </c>
      <c r="E8" s="33" t="inlineStr">
        <is>
          <t>Los Angeles</t>
        </is>
      </c>
      <c r="F8" s="33" t="inlineStr">
        <is>
          <t>CA</t>
        </is>
      </c>
      <c r="G8" s="33" t="inlineStr">
        <is>
          <t>90018</t>
        </is>
      </c>
      <c r="H8" s="33" t="inlineStr">
        <is>
          <t>3.8 mi</t>
        </is>
      </c>
      <c r="I8" s="33" t="inlineStr">
        <is>
          <t>$4,733</t>
        </is>
      </c>
      <c r="J8" s="33" t="inlineStr">
        <is>
          <t>$5,680</t>
        </is>
      </c>
      <c r="K8" s="30" t="inlineStr">
        <is>
          <t>$1,736</t>
        </is>
      </c>
      <c r="L8" s="31" t="inlineStr">
        <is>
          <t>Not Listed</t>
        </is>
      </c>
      <c r="M8" s="33" t="inlineStr">
        <is>
          <t>36</t>
        </is>
      </c>
      <c r="N8" s="33" t="inlineStr">
        <is>
          <t>1971</t>
        </is>
      </c>
      <c r="O8" s="33" t="inlineStr">
        <is>
          <t>1</t>
        </is>
      </c>
      <c r="P8" s="33" t="inlineStr">
        <is>
          <t>Yes</t>
        </is>
      </c>
      <c r="Q8" s="33" t="inlineStr">
        <is>
          <t>No</t>
        </is>
      </c>
      <c r="R8" s="33" t="inlineStr">
        <is>
          <t>No</t>
        </is>
      </c>
      <c r="S8" s="33" t="inlineStr">
        <is>
          <t>No</t>
        </is>
      </c>
      <c r="T8" s="33" t="inlineStr">
        <is>
          <t>No</t>
        </is>
      </c>
      <c r="U8" s="35" t="inlineStr">
        <is>
          <t>HIGH</t>
        </is>
      </c>
      <c r="V8" s="34" t="inlineStr">
        <is>
          <t>Affordable Comp #2: Section 8/HUD property, 1971 vintage (1 yr diff), 36 units, 3.8 mi from subject. Same income-eligible renter pool.</t>
        </is>
      </c>
      <c r="W8" s="33" t="inlineStr">
        <is>
          <t>HUD Multifamily Assisted Housing</t>
        </is>
      </c>
    </row>
    <row r="9" ht="54.75" customFormat="1" customHeight="1" s="3">
      <c r="A9" s="36" t="inlineStr">
        <is>
          <t>3</t>
        </is>
      </c>
      <c r="B9" s="36" t="inlineStr">
        <is>
          <t>AFFORDABLE</t>
        </is>
      </c>
      <c r="C9" s="37" t="inlineStr">
        <is>
          <t>Adams Boulevard Apartments</t>
        </is>
      </c>
      <c r="D9" s="36" t="inlineStr">
        <is>
          <t>3200 W Adams Blvd</t>
        </is>
      </c>
      <c r="E9" s="36" t="inlineStr">
        <is>
          <t>Los Angeles</t>
        </is>
      </c>
      <c r="F9" s="36" t="inlineStr">
        <is>
          <t>CA</t>
        </is>
      </c>
      <c r="G9" s="36" t="inlineStr">
        <is>
          <t>90018</t>
        </is>
      </c>
      <c r="H9" s="36" t="inlineStr">
        <is>
          <t>3.5 mi</t>
        </is>
      </c>
      <c r="I9" s="36" t="inlineStr">
        <is>
          <t>$4,733</t>
        </is>
      </c>
      <c r="J9" s="36" t="inlineStr">
        <is>
          <t>$5,680</t>
        </is>
      </c>
      <c r="K9" s="30" t="inlineStr">
        <is>
          <t>$1,736</t>
        </is>
      </c>
      <c r="L9" s="31" t="inlineStr">
        <is>
          <t>Not Listed</t>
        </is>
      </c>
      <c r="M9" s="36" t="inlineStr">
        <is>
          <t>32</t>
        </is>
      </c>
      <c r="N9" s="36" t="inlineStr">
        <is>
          <t>1969</t>
        </is>
      </c>
      <c r="O9" s="36" t="inlineStr">
        <is>
          <t>1</t>
        </is>
      </c>
      <c r="P9" s="36" t="inlineStr">
        <is>
          <t>Yes</t>
        </is>
      </c>
      <c r="Q9" s="36" t="inlineStr">
        <is>
          <t>No</t>
        </is>
      </c>
      <c r="R9" s="36" t="inlineStr">
        <is>
          <t>No</t>
        </is>
      </c>
      <c r="S9" s="36" t="inlineStr">
        <is>
          <t>No</t>
        </is>
      </c>
      <c r="T9" s="36" t="inlineStr">
        <is>
          <t>No</t>
        </is>
      </c>
      <c r="U9" s="85" t="inlineStr">
        <is>
          <t>HIGH</t>
        </is>
      </c>
      <c r="V9" s="37" t="inlineStr">
        <is>
          <t>Affordable Comp #3: Section 8/HUD property, 1969 vintage (1 yr diff), 32 units, 3.5 mi from subject. Same income-eligible renter pool.</t>
        </is>
      </c>
      <c r="W9" s="36" t="inlineStr">
        <is>
          <t>HUD Multifamily Assisted Housing</t>
        </is>
      </c>
    </row>
    <row r="10" ht="54.75" customFormat="1" customHeight="1" s="3">
      <c r="A10" s="28" t="inlineStr">
        <is>
          <t>4</t>
        </is>
      </c>
      <c r="B10" s="28" t="inlineStr">
        <is>
          <t>AFFORDABLE</t>
        </is>
      </c>
      <c r="C10" s="29" t="inlineStr">
        <is>
          <t>Pico Union Arms</t>
        </is>
      </c>
      <c r="D10" s="28" t="inlineStr">
        <is>
          <t>1800 W Pico Blvd</t>
        </is>
      </c>
      <c r="E10" s="28" t="inlineStr">
        <is>
          <t>Los Angeles</t>
        </is>
      </c>
      <c r="F10" s="28" t="inlineStr">
        <is>
          <t>CA</t>
        </is>
      </c>
      <c r="G10" s="28" t="inlineStr">
        <is>
          <t>90006</t>
        </is>
      </c>
      <c r="H10" s="28" t="inlineStr">
        <is>
          <t>2.1 mi</t>
        </is>
      </c>
      <c r="I10" s="28" t="inlineStr">
        <is>
          <t>$4,733</t>
        </is>
      </c>
      <c r="J10" s="28" t="inlineStr">
        <is>
          <t>$5,680</t>
        </is>
      </c>
      <c r="K10" s="30" t="inlineStr">
        <is>
          <t>$1,736</t>
        </is>
      </c>
      <c r="L10" s="31" t="inlineStr">
        <is>
          <t>Not Listed</t>
        </is>
      </c>
      <c r="M10" s="28" t="inlineStr">
        <is>
          <t>34</t>
        </is>
      </c>
      <c r="N10" s="28" t="inlineStr">
        <is>
          <t>1970</t>
        </is>
      </c>
      <c r="O10" s="28" t="inlineStr">
        <is>
          <t>0</t>
        </is>
      </c>
      <c r="P10" s="28" t="inlineStr">
        <is>
          <t>Yes</t>
        </is>
      </c>
      <c r="Q10" s="28" t="inlineStr">
        <is>
          <t>No</t>
        </is>
      </c>
      <c r="R10" s="28" t="inlineStr">
        <is>
          <t>No</t>
        </is>
      </c>
      <c r="S10" s="28" t="inlineStr">
        <is>
          <t>No</t>
        </is>
      </c>
      <c r="T10" s="28" t="inlineStr">
        <is>
          <t>No</t>
        </is>
      </c>
      <c r="U10" s="32" t="inlineStr">
        <is>
          <t>HIGH</t>
        </is>
      </c>
      <c r="V10" s="29" t="inlineStr">
        <is>
          <t>Affordable Comp #4: Section 8/HUD property, 1970 vintage (0 yr diff), 34 units, 2.1 mi from subject. Same income-eligible renter pool.</t>
        </is>
      </c>
      <c r="W10" s="28" t="inlineStr">
        <is>
          <t>HUD Multifamily Assisted Housing</t>
        </is>
      </c>
    </row>
    <row r="11" ht="54.75" customFormat="1" customHeight="1" s="3">
      <c r="A11" s="39" t="inlineStr">
        <is>
          <t>1</t>
        </is>
      </c>
      <c r="B11" s="39" t="inlineStr">
        <is>
          <t>MARKET RATE</t>
        </is>
      </c>
      <c r="C11" s="40" t="inlineStr">
        <is>
          <t>Koreatown Apartments</t>
        </is>
      </c>
      <c r="D11" s="39" t="inlineStr">
        <is>
          <t>3200 W 8th St, Los Angeles, CA 90005</t>
        </is>
      </c>
      <c r="E11" s="39" t="inlineStr">
        <is>
          <t>Los Angeles</t>
        </is>
      </c>
      <c r="F11" s="39" t="inlineStr">
        <is>
          <t>CA</t>
        </is>
      </c>
      <c r="G11" s="39" t="n"/>
      <c r="H11" s="39" t="inlineStr">
        <is>
          <t>2.0 mi</t>
        </is>
      </c>
      <c r="I11" s="39" t="inlineStr">
        <is>
          <t>N/A (Market Rate)</t>
        </is>
      </c>
      <c r="J11" s="39" t="inlineStr">
        <is>
          <t>N/A (Market Rate)</t>
        </is>
      </c>
      <c r="K11" s="30" t="inlineStr">
        <is>
          <t>$1,736</t>
        </is>
      </c>
      <c r="L11" s="31" t="inlineStr">
        <is>
          <t>Not Listed</t>
        </is>
      </c>
      <c r="M11" s="39" t="inlineStr">
        <is>
          <t>60</t>
        </is>
      </c>
      <c r="N11" s="39" t="inlineStr">
        <is>
          <t>1972</t>
        </is>
      </c>
      <c r="O11" s="39" t="inlineStr">
        <is>
          <t>2</t>
        </is>
      </c>
      <c r="P11" s="39" t="inlineStr">
        <is>
          <t>Varies</t>
        </is>
      </c>
      <c r="Q11" s="39" t="inlineStr">
        <is>
          <t>Varies</t>
        </is>
      </c>
      <c r="R11" s="39" t="inlineStr">
        <is>
          <t>Varies</t>
        </is>
      </c>
      <c r="S11" s="39" t="inlineStr">
        <is>
          <t>Varies</t>
        </is>
      </c>
      <c r="T11" s="39" t="inlineStr">
        <is>
          <t>Varies</t>
        </is>
      </c>
      <c r="U11" s="41" t="inlineStr">
        <is>
          <t>HIGH</t>
        </is>
      </c>
      <c r="V11" s="40" t="inlineStr">
        <is>
          <t>Market Rate Comp #1: No income restrictions, 1972 vintage (2 yr diff), 60 units, 2.0 mi from subject. Shows market-rate rents vs. affordable housing discount.</t>
        </is>
      </c>
      <c r="W11" s="39" t="inlineStr">
        <is>
          <t>https://www.rentcafe.com/apartments-for-rent/us/ca/los-angeles/</t>
        </is>
      </c>
    </row>
    <row r="12" ht="54.75" customFormat="1" customHeight="1" s="3">
      <c r="A12" s="42" t="inlineStr">
        <is>
          <t>2</t>
        </is>
      </c>
      <c r="B12" s="42" t="inlineStr">
        <is>
          <t>MARKET RATE</t>
        </is>
      </c>
      <c r="C12" s="43" t="inlineStr">
        <is>
          <t>Mid-Wilshire Apartments</t>
        </is>
      </c>
      <c r="D12" s="42" t="inlineStr">
        <is>
          <t>4500 Wilshire Blvd, Los Angeles, CA 90010</t>
        </is>
      </c>
      <c r="E12" s="42" t="inlineStr">
        <is>
          <t>Los Angeles</t>
        </is>
      </c>
      <c r="F12" s="42" t="inlineStr">
        <is>
          <t>CA</t>
        </is>
      </c>
      <c r="G12" s="42" t="n"/>
      <c r="H12" s="42" t="inlineStr">
        <is>
          <t>2.8 mi</t>
        </is>
      </c>
      <c r="I12" s="42" t="inlineStr">
        <is>
          <t>N/A (Market Rate)</t>
        </is>
      </c>
      <c r="J12" s="42" t="inlineStr">
        <is>
          <t>N/A (Market Rate)</t>
        </is>
      </c>
      <c r="K12" s="30" t="inlineStr">
        <is>
          <t>$1,736</t>
        </is>
      </c>
      <c r="L12" s="31" t="inlineStr">
        <is>
          <t>Not Listed</t>
        </is>
      </c>
      <c r="M12" s="42" t="inlineStr">
        <is>
          <t>48</t>
        </is>
      </c>
      <c r="N12" s="42" t="inlineStr">
        <is>
          <t>1968</t>
        </is>
      </c>
      <c r="O12" s="42" t="inlineStr">
        <is>
          <t>2</t>
        </is>
      </c>
      <c r="P12" s="42" t="inlineStr">
        <is>
          <t>Varies</t>
        </is>
      </c>
      <c r="Q12" s="42" t="inlineStr">
        <is>
          <t>Varies</t>
        </is>
      </c>
      <c r="R12" s="42" t="inlineStr">
        <is>
          <t>Varies</t>
        </is>
      </c>
      <c r="S12" s="42" t="inlineStr">
        <is>
          <t>Varies</t>
        </is>
      </c>
      <c r="T12" s="42" t="inlineStr">
        <is>
          <t>Varies</t>
        </is>
      </c>
      <c r="U12" s="44" t="inlineStr">
        <is>
          <t>HIGH</t>
        </is>
      </c>
      <c r="V12" s="43" t="inlineStr">
        <is>
          <t>Market Rate Comp #2: No income restrictions, 1968 vintage (2 yr diff), 48 units, 2.8 mi from subject. Shows market-rate rents vs. affordable housing discount.</t>
        </is>
      </c>
      <c r="W12" s="42" t="inlineStr">
        <is>
          <t>https://www.rentcafe.com/apartments-for-rent/us/ca/los-angeles/</t>
        </is>
      </c>
    </row>
    <row r="13" ht="54.75" customFormat="1" customHeight="1" s="3">
      <c r="A13" s="45" t="inlineStr">
        <is>
          <t>3</t>
        </is>
      </c>
      <c r="B13" s="45" t="inlineStr">
        <is>
          <t>MARKET RATE</t>
        </is>
      </c>
      <c r="C13" s="46" t="inlineStr">
        <is>
          <t>Silver Lake Apartments</t>
        </is>
      </c>
      <c r="D13" s="45" t="inlineStr">
        <is>
          <t>2800 Sunset Blvd, Los Angeles, CA 90026</t>
        </is>
      </c>
      <c r="E13" s="45" t="inlineStr">
        <is>
          <t>Los Angeles</t>
        </is>
      </c>
      <c r="F13" s="45" t="inlineStr">
        <is>
          <t>CA</t>
        </is>
      </c>
      <c r="G13" s="45" t="n"/>
      <c r="H13" s="45" t="inlineStr">
        <is>
          <t>4.0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0" t="inlineStr">
        <is>
          <t>$1,736</t>
        </is>
      </c>
      <c r="L13" s="31" t="inlineStr">
        <is>
          <t>Not Listed</t>
        </is>
      </c>
      <c r="M13" s="45" t="inlineStr">
        <is>
          <t>52</t>
        </is>
      </c>
      <c r="N13" s="45" t="inlineStr">
        <is>
          <t>1970</t>
        </is>
      </c>
      <c r="O13" s="45" t="inlineStr">
        <is>
          <t>0</t>
        </is>
      </c>
      <c r="P13" s="45" t="inlineStr">
        <is>
          <t>Varies</t>
        </is>
      </c>
      <c r="Q13" s="45" t="inlineStr">
        <is>
          <t>Varies</t>
        </is>
      </c>
      <c r="R13" s="45" t="inlineStr">
        <is>
          <t>Varies</t>
        </is>
      </c>
      <c r="S13" s="45" t="inlineStr">
        <is>
          <t>Varies</t>
        </is>
      </c>
      <c r="T13" s="45" t="inlineStr">
        <is>
          <t>Varies</t>
        </is>
      </c>
      <c r="U13" s="47" t="inlineStr">
        <is>
          <t>HIGH</t>
        </is>
      </c>
      <c r="V13" s="46" t="inlineStr">
        <is>
          <t>Market Rate Comp #3: No income restrictions, 1970 vintage (0 yr diff), 52 units, 4.0 mi from subject. Shows market-rate rents vs. affordable housing discount.</t>
        </is>
      </c>
      <c r="W13" s="45" t="inlineStr">
        <is>
          <t>https://www.rentcafe.com/apartments-for-rent/us/ca/los-angeles/</t>
        </is>
      </c>
    </row>
    <row r="14" ht="54.75" customFormat="1" customHeight="1" s="3">
      <c r="A14" s="39" t="inlineStr">
        <is>
          <t>4</t>
        </is>
      </c>
      <c r="B14" s="39" t="inlineStr">
        <is>
          <t>MARKET RATE</t>
        </is>
      </c>
      <c r="C14" s="40" t="inlineStr">
        <is>
          <t>Pico-Union Apartments</t>
        </is>
      </c>
      <c r="D14" s="39" t="inlineStr">
        <is>
          <t>2200 W Pico Blvd, Los Angeles, CA 90006</t>
        </is>
      </c>
      <c r="E14" s="39" t="inlineStr">
        <is>
          <t>Los Angeles</t>
        </is>
      </c>
      <c r="F14" s="39" t="inlineStr">
        <is>
          <t>CA</t>
        </is>
      </c>
      <c r="G14" s="39" t="n"/>
      <c r="H14" s="39" t="inlineStr">
        <is>
          <t>3.5 mi</t>
        </is>
      </c>
      <c r="I14" s="39" t="inlineStr">
        <is>
          <t>N/A (Market Rate)</t>
        </is>
      </c>
      <c r="J14" s="39" t="inlineStr">
        <is>
          <t>N/A (Market Rate)</t>
        </is>
      </c>
      <c r="K14" s="30" t="inlineStr">
        <is>
          <t>$1,736</t>
        </is>
      </c>
      <c r="L14" s="31" t="inlineStr">
        <is>
          <t>Not Listed</t>
        </is>
      </c>
      <c r="M14" s="39" t="inlineStr">
        <is>
          <t>40</t>
        </is>
      </c>
      <c r="N14" s="39" t="inlineStr">
        <is>
          <t>1968</t>
        </is>
      </c>
      <c r="O14" s="39" t="inlineStr">
        <is>
          <t>2</t>
        </is>
      </c>
      <c r="P14" s="39" t="inlineStr">
        <is>
          <t>Varies</t>
        </is>
      </c>
      <c r="Q14" s="39" t="inlineStr">
        <is>
          <t>Varies</t>
        </is>
      </c>
      <c r="R14" s="39" t="inlineStr">
        <is>
          <t>Varies</t>
        </is>
      </c>
      <c r="S14" s="39" t="inlineStr">
        <is>
          <t>Varies</t>
        </is>
      </c>
      <c r="T14" s="39" t="inlineStr">
        <is>
          <t>Varies</t>
        </is>
      </c>
      <c r="U14" s="41" t="inlineStr">
        <is>
          <t>HIGH</t>
        </is>
      </c>
      <c r="V14" s="40" t="inlineStr">
        <is>
          <t>Market Rate Comp #4: No income restrictions, 1968 vintage (2 yr diff), 40 units, 3.5 mi from subject. Shows market-rate rents vs. affordable housing discount.</t>
        </is>
      </c>
      <c r="W14" s="39" t="inlineStr">
        <is>
          <t>https://www.rentcafe.com/apartments-for-rent/us/ca/los-angeles/</t>
        </is>
      </c>
    </row>
    <row r="15" ht="54.75" customFormat="1" customHeight="1" s="3">
      <c r="A15" s="48" t="inlineStr">
        <is>
          <t>—</t>
        </is>
      </c>
      <c r="B15" s="48" t="inlineStr">
        <is>
          <t>BENCHMARK</t>
        </is>
      </c>
      <c r="C15" s="49" t="inlineStr">
        <is>
          <t>FY2026 FMR — Los Angeles County</t>
        </is>
      </c>
      <c r="D15" s="48" t="inlineStr">
        <is>
          <t>N/A</t>
        </is>
      </c>
      <c r="E15" s="48" t="inlineStr">
        <is>
          <t>Los Angeles</t>
        </is>
      </c>
      <c r="F15" s="48" t="inlineStr">
        <is>
          <t>CA</t>
        </is>
      </c>
      <c r="G15" s="48" t="inlineStr">
        <is>
          <t>N/A</t>
        </is>
      </c>
      <c r="H15" s="48" t="inlineStr">
        <is>
          <t>N/A</t>
        </is>
      </c>
      <c r="I15" s="48" t="inlineStr">
        <is>
          <t>$1,736</t>
        </is>
      </c>
      <c r="J15" s="48" t="inlineStr">
        <is>
          <t>$1,736</t>
        </is>
      </c>
      <c r="K15" s="30" t="inlineStr">
        <is>
          <t>$1,736</t>
        </is>
      </c>
      <c r="L15" s="31" t="inlineStr">
        <is>
          <t>N/A</t>
        </is>
      </c>
      <c r="M15" s="48" t="inlineStr">
        <is>
          <t>N/A</t>
        </is>
      </c>
      <c r="N15" s="48" t="inlineStr">
        <is>
          <t>N/A</t>
        </is>
      </c>
      <c r="O15" s="48" t="inlineStr">
        <is>
          <t>N/A</t>
        </is>
      </c>
      <c r="P15" s="48" t="inlineStr">
        <is>
          <t>N/A</t>
        </is>
      </c>
      <c r="Q15" s="48" t="inlineStr">
        <is>
          <t>N/A</t>
        </is>
      </c>
      <c r="R15" s="48" t="inlineStr">
        <is>
          <t>N/A</t>
        </is>
      </c>
      <c r="S15" s="48" t="inlineStr">
        <is>
          <t>N/A</t>
        </is>
      </c>
      <c r="T15" s="48" t="inlineStr">
        <is>
          <t>N/A</t>
        </is>
      </c>
      <c r="U15" s="50" t="inlineStr">
        <is>
          <t>BENCHMARK</t>
        </is>
      </c>
      <c r="V15" s="49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5" s="48" t="inlineStr">
        <is>
          <t>HUD FMR Database (huduser.gov)</t>
        </is>
      </c>
    </row>
    <row r="16" ht="54.75" customFormat="1" customHeight="1" s="3">
      <c r="A16" s="48" t="inlineStr">
        <is>
          <t>—</t>
        </is>
      </c>
      <c r="B16" s="48" t="inlineStr">
        <is>
          <t>BENCHMARK</t>
        </is>
      </c>
      <c r="C16" s="49" t="inlineStr">
        <is>
          <t>Metro Market Avg — Los Angeles</t>
        </is>
      </c>
      <c r="D16" s="48" t="inlineStr">
        <is>
          <t>N/A</t>
        </is>
      </c>
      <c r="E16" s="48" t="inlineStr">
        <is>
          <t>Los Angeles</t>
        </is>
      </c>
      <c r="F16" s="48" t="inlineStr">
        <is>
          <t>CA</t>
        </is>
      </c>
      <c r="G16" s="48" t="inlineStr">
        <is>
          <t>N/A</t>
        </is>
      </c>
      <c r="H16" s="48" t="inlineStr">
        <is>
          <t>N/A</t>
        </is>
      </c>
      <c r="I16" s="48" t="inlineStr">
        <is>
          <t>$1,909</t>
        </is>
      </c>
      <c r="J16" s="48" t="inlineStr">
        <is>
          <t>$1,909</t>
        </is>
      </c>
      <c r="K16" s="30" t="inlineStr">
        <is>
          <t>$1,909</t>
        </is>
      </c>
      <c r="L16" s="31" t="inlineStr">
        <is>
          <t>N/A</t>
        </is>
      </c>
      <c r="M16" s="48" t="inlineStr">
        <is>
          <t>N/A</t>
        </is>
      </c>
      <c r="N16" s="48" t="inlineStr">
        <is>
          <t>N/A</t>
        </is>
      </c>
      <c r="O16" s="48" t="inlineStr">
        <is>
          <t>N/A</t>
        </is>
      </c>
      <c r="P16" s="48" t="inlineStr">
        <is>
          <t>N/A</t>
        </is>
      </c>
      <c r="Q16" s="48" t="inlineStr">
        <is>
          <t>N/A</t>
        </is>
      </c>
      <c r="R16" s="48" t="inlineStr">
        <is>
          <t>N/A</t>
        </is>
      </c>
      <c r="S16" s="48" t="inlineStr">
        <is>
          <t>N/A</t>
        </is>
      </c>
      <c r="T16" s="48" t="inlineStr">
        <is>
          <t>N/A</t>
        </is>
      </c>
      <c r="U16" s="50" t="inlineStr">
        <is>
          <t>BENCHMARK</t>
        </is>
      </c>
      <c r="V16" s="49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6" s="48" t="inlineStr">
        <is>
          <t>HUD FMR + Market Estimate</t>
        </is>
      </c>
    </row>
    <row r="17" ht="8.25" customFormat="1" customHeight="1" s="3"/>
    <row r="18" ht="27.75" customFormat="1" customHeight="1" s="3">
      <c r="A18" s="51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Height="1" s="95">
      <c r="A21" s="61" t="inlineStr">
        <is>
          <t>PMTS — Vouchers / FMR / UAP / NET FMR</t>
        </is>
      </c>
      <c r="B21" s="101" t="n"/>
      <c r="C21" s="101" t="n"/>
      <c r="D21" s="101" t="n"/>
      <c r="E21" s="101" t="n"/>
      <c r="F21" s="102" t="n"/>
    </row>
    <row r="22" ht="15" customHeight="1" s="95">
      <c r="A22" s="64" t="inlineStr">
        <is>
          <t>BD</t>
        </is>
      </c>
      <c r="B22" s="65" t="inlineStr">
        <is>
          <t>MKT</t>
        </is>
      </c>
      <c r="C22" s="66" t="inlineStr">
        <is>
          <t>VCH</t>
        </is>
      </c>
      <c r="D22" s="67" t="inlineStr">
        <is>
          <t>FMR</t>
        </is>
      </c>
      <c r="E22" s="68" t="inlineStr">
        <is>
          <t>UAP</t>
        </is>
      </c>
      <c r="F22" s="69" t="inlineStr">
        <is>
          <t>NET</t>
        </is>
      </c>
    </row>
    <row r="23" ht="15" customHeight="1" s="95">
      <c r="A23" s="70" t="inlineStr">
        <is>
          <t>EFF</t>
        </is>
      </c>
      <c r="B23" s="71" t="n">
        <v>0</v>
      </c>
      <c r="C23" s="71" t="n">
        <v>0</v>
      </c>
      <c r="D23" s="71" t="n">
        <v>1600</v>
      </c>
      <c r="E23" s="72" t="n">
        <v>32</v>
      </c>
      <c r="F23" s="73" t="n">
        <v>1568</v>
      </c>
    </row>
    <row r="24" ht="15" customHeight="1" s="95">
      <c r="A24" s="74" t="inlineStr">
        <is>
          <t>1BD</t>
        </is>
      </c>
      <c r="B24" s="75" t="n">
        <v>0</v>
      </c>
      <c r="C24" s="75" t="n">
        <v>0</v>
      </c>
      <c r="D24" s="75" t="n">
        <v>1810</v>
      </c>
      <c r="E24" s="72" t="n">
        <v>35</v>
      </c>
      <c r="F24" s="73" t="n">
        <v>1775</v>
      </c>
    </row>
    <row r="27" ht="15" customHeight="1" s="95">
      <c r="A27" s="61" t="inlineStr">
        <is>
          <t>HAP, CoStar, NET</t>
        </is>
      </c>
      <c r="B27" s="101" t="n"/>
      <c r="C27" s="102" t="n"/>
    </row>
    <row r="28" ht="15" customHeight="1" s="95">
      <c r="A28" s="64" t="n"/>
      <c r="B28" s="68" t="inlineStr">
        <is>
          <t>HAP</t>
        </is>
      </c>
      <c r="C28" s="65" t="inlineStr">
        <is>
          <t>CoStar</t>
        </is>
      </c>
    </row>
    <row r="29" ht="15" customHeight="1" s="95">
      <c r="A29" s="70" t="inlineStr">
        <is>
          <t>EFF</t>
        </is>
      </c>
      <c r="B29" s="103" t="n">
        <v>1612</v>
      </c>
      <c r="C29" s="104" t="n">
        <v>963</v>
      </c>
    </row>
    <row r="30" ht="15" customHeight="1" s="95">
      <c r="A30" s="74" t="inlineStr">
        <is>
          <t>1BD</t>
        </is>
      </c>
      <c r="B30" s="103" t="n">
        <v>1769</v>
      </c>
      <c r="C30" s="104" t="n">
        <v>1057</v>
      </c>
    </row>
  </sheetData>
  <mergeCells count="6">
    <mergeCell ref="A18:W18"/>
    <mergeCell ref="A4:W4"/>
    <mergeCell ref="A3:W3"/>
    <mergeCell ref="A27:C27"/>
    <mergeCell ref="A2:W2"/>
    <mergeCell ref="A21:F21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A36"/>
  <sheetViews>
    <sheetView topLeftCell="A1" workbookViewId="0">
      <pane ySplit="1" topLeftCell="A5" activePane="bottomLeft" state="frozen"/>
      <selection pane="bottomLeft" activeCell="A1" sqref="A1:AA1"/>
    </sheetView>
  </sheetViews>
  <sheetFormatPr baseColWidth="8" defaultColWidth="9.140625" defaultRowHeight="15" customHeight="1"/>
  <cols>
    <col width="8.00390625" customWidth="1" style="3" min="1" max="1"/>
    <col width="14.00390625" customWidth="1" style="3" min="2" max="2"/>
    <col width="28.00390625" customWidth="1" style="3" min="3" max="3"/>
    <col width="22.00390625" customWidth="1" style="3" min="4" max="4"/>
    <col width="16.00390625" customWidth="1" style="3" min="5" max="5"/>
    <col width="10.00390625" customWidth="1" style="3" min="6" max="6"/>
    <col width="8.00390625" customWidth="1" style="3" min="7" max="7"/>
    <col width="11.00390625" customWidth="1" style="3" min="8" max="8"/>
    <col width="10.00390625" customWidth="1" style="3" min="9" max="11"/>
    <col width="12.00390625" customWidth="1" style="3" min="12" max="12"/>
    <col width="10.00390625" customWidth="1" style="3" min="13" max="15"/>
    <col width="12.00390625" customWidth="1" style="3" min="16" max="16"/>
    <col width="8.00390625" customWidth="1" style="3" min="17" max="17"/>
    <col width="10.00390625" customWidth="1" style="3" min="18" max="18"/>
    <col width="7.00390625" customWidth="1" style="3" min="19" max="19"/>
    <col width="12.00390625" customWidth="1" style="3" min="20" max="21"/>
    <col width="8.00390625" customWidth="1" style="3" min="22" max="23"/>
    <col width="10.00390625" customWidth="1" style="3" min="24" max="24"/>
    <col width="16.00390625" customWidth="1" style="3" min="25" max="25"/>
    <col width="45.00390625" customWidth="1" style="3" min="26" max="26"/>
    <col width="28.00390625" customWidth="1" style="3" min="27" max="27"/>
  </cols>
  <sheetData>
    <row r="1" ht="15" customHeight="1" s="95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</row>
    <row r="2" ht="24" customFormat="1" customHeight="1" s="3">
      <c r="A2" s="17" t="inlineStr">
        <is>
          <t>COMPETITIVE RENT ANALYSIS — PACIFIC POINTE | GREEN = Affordable Comps | BLUE = Market Rate Comps</t>
        </is>
      </c>
    </row>
    <row r="3" ht="20.25" customFormat="1" customHeight="1" s="3">
      <c r="A3" s="18" t="inlineStr">
        <is>
          <t>SUBJECT: Pacific Pointe | 1025 Rosemarie Ln, Stockton, CA 95207 | 80 units | Program: LIHTC | Bedroom Mix: 1BR / 2BR | County AMI: $104,600 | FMR Area: Stockton-Lodi MSA</t>
        </is>
      </c>
    </row>
    <row r="4" ht="90" customFormat="1" customHeight="1" s="3">
      <c r="A4" s="19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5" ht="30" customFormat="1" customHeight="1" s="3">
      <c r="A5" s="20" t="inlineStr">
        <is>
          <t>Rank</t>
        </is>
      </c>
      <c r="B5" s="20" t="inlineStr">
        <is>
          <t>Type</t>
        </is>
      </c>
      <c r="C5" s="20" t="inlineStr">
        <is>
          <t>Property Name</t>
        </is>
      </c>
      <c r="D5" s="20" t="inlineStr">
        <is>
          <t>Address</t>
        </is>
      </c>
      <c r="E5" s="20" t="inlineStr">
        <is>
          <t>City</t>
        </is>
      </c>
      <c r="F5" s="20" t="inlineStr">
        <is>
          <t>State</t>
        </is>
      </c>
      <c r="G5" s="20" t="inlineStr">
        <is>
          <t>ZIP</t>
        </is>
      </c>
      <c r="H5" s="20" t="inlineStr">
        <is>
          <t>Distance (mi)</t>
        </is>
      </c>
      <c r="I5" s="20" t="inlineStr">
        <is>
          <t>1BR Low ($)</t>
        </is>
      </c>
      <c r="J5" s="20" t="inlineStr">
        <is>
          <t>1BR Mid ($)</t>
        </is>
      </c>
      <c r="K5" s="21" t="inlineStr">
        <is>
          <t>1BR FMR ($)</t>
        </is>
      </c>
      <c r="L5" s="22" t="inlineStr">
        <is>
          <t>1BR Actual ($)</t>
        </is>
      </c>
      <c r="M5" s="20" t="inlineStr">
        <is>
          <t>2BR Low ($)</t>
        </is>
      </c>
      <c r="N5" s="20" t="inlineStr">
        <is>
          <t>2BR Mid ($)</t>
        </is>
      </c>
      <c r="O5" s="21" t="inlineStr">
        <is>
          <t>2BR FMR ($)</t>
        </is>
      </c>
      <c r="P5" s="22" t="inlineStr">
        <is>
          <t>2BR Actual ($)</t>
        </is>
      </c>
      <c r="Q5" s="20" t="inlineStr">
        <is>
          <t># Units</t>
        </is>
      </c>
      <c r="R5" s="20" t="inlineStr">
        <is>
          <t>Year Built</t>
        </is>
      </c>
      <c r="S5" s="20" t="inlineStr">
        <is>
          <t>Yr Diff</t>
        </is>
      </c>
      <c r="T5" s="20" t="inlineStr">
        <is>
          <t>Utilities Incl.</t>
        </is>
      </c>
      <c r="U5" s="20" t="inlineStr">
        <is>
          <t>Pet Friendly</t>
        </is>
      </c>
      <c r="V5" s="20" t="inlineStr">
        <is>
          <t>Gated</t>
        </is>
      </c>
      <c r="W5" s="20" t="inlineStr">
        <is>
          <t>Pool</t>
        </is>
      </c>
      <c r="X5" s="20" t="inlineStr">
        <is>
          <t>W/D In-Unit</t>
        </is>
      </c>
      <c r="Y5" s="20" t="inlineStr">
        <is>
          <t>Competition Level</t>
        </is>
      </c>
      <c r="Z5" s="20" t="inlineStr">
        <is>
          <t>Why Competitive</t>
        </is>
      </c>
      <c r="AA5" s="20" t="inlineStr">
        <is>
          <t>Data Source</t>
        </is>
      </c>
    </row>
    <row r="6" ht="54.75" customFormat="1" customHeight="1" s="3">
      <c r="A6" s="23" t="inlineStr">
        <is>
          <t>—</t>
        </is>
      </c>
      <c r="B6" s="23" t="inlineStr">
        <is>
          <t>SUBJECT</t>
        </is>
      </c>
      <c r="C6" s="24" t="inlineStr">
        <is>
          <t>Pacific Pointe (SUBJECT)</t>
        </is>
      </c>
      <c r="D6" s="23" t="inlineStr">
        <is>
          <t>1025 Rosemarie Ln</t>
        </is>
      </c>
      <c r="E6" s="23" t="inlineStr">
        <is>
          <t>Stockton</t>
        </is>
      </c>
      <c r="F6" s="23" t="inlineStr">
        <is>
          <t>CA</t>
        </is>
      </c>
      <c r="G6" s="23" t="inlineStr">
        <is>
          <t>95207</t>
        </is>
      </c>
      <c r="H6" s="23" t="inlineStr">
        <is>
          <t>0.0 mi</t>
        </is>
      </c>
      <c r="I6" s="23" t="inlineStr">
        <is>
          <t>$3,270</t>
        </is>
      </c>
      <c r="J6" s="23" t="inlineStr">
        <is>
          <t>$3,925</t>
        </is>
      </c>
      <c r="K6" s="25" t="inlineStr">
        <is>
          <t>$1,155</t>
        </is>
      </c>
      <c r="L6" s="26" t="inlineStr">
        <is>
          <t>N/A</t>
        </is>
      </c>
      <c r="M6" s="23" t="inlineStr">
        <is>
          <t>$3,925</t>
        </is>
      </c>
      <c r="N6" s="23" t="inlineStr">
        <is>
          <t>$4,710</t>
        </is>
      </c>
      <c r="O6" s="25" t="inlineStr">
        <is>
          <t>$1,580</t>
        </is>
      </c>
      <c r="P6" s="26" t="inlineStr">
        <is>
          <t>N/A</t>
        </is>
      </c>
      <c r="Q6" s="23" t="inlineStr">
        <is>
          <t>80</t>
        </is>
      </c>
      <c r="R6" s="23" t="inlineStr">
        <is>
          <t>1998</t>
        </is>
      </c>
      <c r="S6" s="23" t="inlineStr">
        <is>
          <t>0</t>
        </is>
      </c>
      <c r="T6" s="23" t="inlineStr">
        <is>
          <t>No</t>
        </is>
      </c>
      <c r="U6" s="23" t="inlineStr">
        <is>
          <t>No</t>
        </is>
      </c>
      <c r="V6" s="23" t="inlineStr">
        <is>
          <t>Yes</t>
        </is>
      </c>
      <c r="W6" s="23" t="inlineStr">
        <is>
          <t>Yes</t>
        </is>
      </c>
      <c r="X6" s="23" t="inlineStr">
        <is>
          <t>No</t>
        </is>
      </c>
      <c r="Y6" s="27" t="inlineStr">
        <is>
          <t>SUBJECT</t>
        </is>
      </c>
      <c r="Z6" s="24" t="inlineStr">
        <is>
          <t>80 units | LIHTC property. Year built: 1998. Subject property for market context.</t>
        </is>
      </c>
      <c r="AA6" s="23" t="inlineStr">
        <is>
          <t>Apartment Corp Records</t>
        </is>
      </c>
    </row>
    <row r="7" ht="54.75" customFormat="1" customHeight="1" s="3">
      <c r="A7" s="28" t="inlineStr">
        <is>
          <t>1</t>
        </is>
      </c>
      <c r="B7" s="28" t="inlineStr">
        <is>
          <t>AFFORDABLE</t>
        </is>
      </c>
      <c r="C7" s="29" t="inlineStr">
        <is>
          <t>Charleston Place Apts</t>
        </is>
      </c>
      <c r="D7" s="28" t="inlineStr">
        <is>
          <t>1515 E Bianchi Rd</t>
        </is>
      </c>
      <c r="E7" s="28" t="inlineStr">
        <is>
          <t>Stockton</t>
        </is>
      </c>
      <c r="F7" s="28" t="inlineStr">
        <is>
          <t>CA</t>
        </is>
      </c>
      <c r="G7" s="28" t="inlineStr">
        <is>
          <t>95210</t>
        </is>
      </c>
      <c r="H7" s="28" t="inlineStr">
        <is>
          <t>2.8 mi</t>
        </is>
      </c>
      <c r="I7" s="28" t="inlineStr">
        <is>
          <t>$3,270</t>
        </is>
      </c>
      <c r="J7" s="28" t="inlineStr">
        <is>
          <t>$3,925</t>
        </is>
      </c>
      <c r="K7" s="30" t="inlineStr">
        <is>
          <t>$1,155</t>
        </is>
      </c>
      <c r="L7" s="31" t="inlineStr">
        <is>
          <t>Not Listed</t>
        </is>
      </c>
      <c r="M7" s="28" t="inlineStr">
        <is>
          <t>$3,925</t>
        </is>
      </c>
      <c r="N7" s="28" t="inlineStr">
        <is>
          <t>$4,710</t>
        </is>
      </c>
      <c r="O7" s="30" t="inlineStr">
        <is>
          <t>$1,580</t>
        </is>
      </c>
      <c r="P7" s="31" t="inlineStr">
        <is>
          <t>$873</t>
        </is>
      </c>
      <c r="Q7" s="28" t="inlineStr">
        <is>
          <t>82</t>
        </is>
      </c>
      <c r="R7" s="28" t="inlineStr">
        <is>
          <t>1997</t>
        </is>
      </c>
      <c r="S7" s="28" t="inlineStr">
        <is>
          <t>1</t>
        </is>
      </c>
      <c r="T7" s="28" t="inlineStr">
        <is>
          <t>Yes</t>
        </is>
      </c>
      <c r="U7" s="28" t="inlineStr">
        <is>
          <t>No</t>
        </is>
      </c>
      <c r="V7" s="28" t="inlineStr">
        <is>
          <t>No</t>
        </is>
      </c>
      <c r="W7" s="28" t="inlineStr">
        <is>
          <t>No</t>
        </is>
      </c>
      <c r="X7" s="28" t="inlineStr">
        <is>
          <t>No</t>
        </is>
      </c>
      <c r="Y7" s="32" t="inlineStr">
        <is>
          <t>HIGH</t>
        </is>
      </c>
      <c r="Z7" s="29" t="inlineStr">
        <is>
          <t>Affordable Comp #1: LIHTC property, 1997 vintage (1 yr diff), 82 units, 2.8 mi from subject. Same income-eligible renter pool.</t>
        </is>
      </c>
      <c r="AA7" s="28" t="inlineStr">
        <is>
          <t>HUD LIHTC Database (huduser.gov)</t>
        </is>
      </c>
    </row>
    <row r="8" ht="54.75" customFormat="1" customHeight="1" s="3">
      <c r="A8" s="33" t="inlineStr">
        <is>
          <t>2</t>
        </is>
      </c>
      <c r="B8" s="33" t="inlineStr">
        <is>
          <t>AFFORDABLE</t>
        </is>
      </c>
      <c r="C8" s="34" t="inlineStr">
        <is>
          <t>Lodi Hotel</t>
        </is>
      </c>
      <c r="D8" s="33" t="inlineStr">
        <is>
          <t>7 S School St</t>
        </is>
      </c>
      <c r="E8" s="33" t="inlineStr">
        <is>
          <t>Lodi</t>
        </is>
      </c>
      <c r="F8" s="33" t="inlineStr">
        <is>
          <t>CA</t>
        </is>
      </c>
      <c r="G8" s="33" t="inlineStr">
        <is>
          <t>95240</t>
        </is>
      </c>
      <c r="H8" s="33" t="inlineStr">
        <is>
          <t>12.2 mi</t>
        </is>
      </c>
      <c r="I8" s="33" t="inlineStr">
        <is>
          <t>$3,270</t>
        </is>
      </c>
      <c r="J8" s="33" t="inlineStr">
        <is>
          <t>$3,925</t>
        </is>
      </c>
      <c r="K8" s="30" t="inlineStr">
        <is>
          <t>$1,155</t>
        </is>
      </c>
      <c r="L8" s="31" t="inlineStr">
        <is>
          <t>Not Listed</t>
        </is>
      </c>
      <c r="M8" s="33" t="inlineStr">
        <is>
          <t>$3,925</t>
        </is>
      </c>
      <c r="N8" s="33" t="inlineStr">
        <is>
          <t>$4,710</t>
        </is>
      </c>
      <c r="O8" s="30" t="inlineStr">
        <is>
          <t>$1,580</t>
        </is>
      </c>
      <c r="P8" s="31" t="inlineStr">
        <is>
          <t>Not Listed</t>
        </is>
      </c>
      <c r="Q8" s="33" t="inlineStr">
        <is>
          <t>75</t>
        </is>
      </c>
      <c r="R8" s="33" t="inlineStr">
        <is>
          <t>1998</t>
        </is>
      </c>
      <c r="S8" s="33" t="inlineStr">
        <is>
          <t>0</t>
        </is>
      </c>
      <c r="T8" s="33" t="inlineStr">
        <is>
          <t>Yes</t>
        </is>
      </c>
      <c r="U8" s="33" t="inlineStr">
        <is>
          <t>No</t>
        </is>
      </c>
      <c r="V8" s="33" t="inlineStr">
        <is>
          <t>No</t>
        </is>
      </c>
      <c r="W8" s="33" t="inlineStr">
        <is>
          <t>No</t>
        </is>
      </c>
      <c r="X8" s="33" t="inlineStr">
        <is>
          <t>No</t>
        </is>
      </c>
      <c r="Y8" s="35" t="inlineStr">
        <is>
          <t>HIGH</t>
        </is>
      </c>
      <c r="Z8" s="34" t="inlineStr">
        <is>
          <t>Affordable Comp #2: LIHTC property, 1998 vintage (0 yr diff), 75 units, 12.2 mi from subject. Same income-eligible renter pool.</t>
        </is>
      </c>
      <c r="AA8" s="33" t="inlineStr">
        <is>
          <t>HUD LIHTC Database (huduser.gov)</t>
        </is>
      </c>
    </row>
    <row r="9" ht="54.75" customFormat="1" customHeight="1" s="3">
      <c r="A9" s="36" t="inlineStr">
        <is>
          <t>3</t>
        </is>
      </c>
      <c r="B9" s="36" t="inlineStr">
        <is>
          <t>AFFORDABLE</t>
        </is>
      </c>
      <c r="C9" s="37" t="inlineStr">
        <is>
          <t>Brentwood Garden Apts</t>
        </is>
      </c>
      <c r="D9" s="36" t="inlineStr">
        <is>
          <t>180 Sycamore Ave</t>
        </is>
      </c>
      <c r="E9" s="36" t="inlineStr">
        <is>
          <t>Brentwood</t>
        </is>
      </c>
      <c r="F9" s="36" t="inlineStr">
        <is>
          <t>CA</t>
        </is>
      </c>
      <c r="G9" s="36" t="inlineStr">
        <is>
          <t>94513</t>
        </is>
      </c>
      <c r="H9" s="36" t="inlineStr">
        <is>
          <t>21.9 mi</t>
        </is>
      </c>
      <c r="I9" s="36" t="inlineStr">
        <is>
          <t>$3,270</t>
        </is>
      </c>
      <c r="J9" s="36" t="inlineStr">
        <is>
          <t>$3,925</t>
        </is>
      </c>
      <c r="K9" s="30" t="inlineStr">
        <is>
          <t>$1,155</t>
        </is>
      </c>
      <c r="L9" s="31" t="inlineStr">
        <is>
          <t>Not Listed</t>
        </is>
      </c>
      <c r="M9" s="36" t="inlineStr">
        <is>
          <t>$3,925</t>
        </is>
      </c>
      <c r="N9" s="36" t="inlineStr">
        <is>
          <t>$4,710</t>
        </is>
      </c>
      <c r="O9" s="30" t="inlineStr">
        <is>
          <t>$1,580</t>
        </is>
      </c>
      <c r="P9" s="31" t="inlineStr">
        <is>
          <t>Not Listed</t>
        </is>
      </c>
      <c r="Q9" s="36" t="inlineStr">
        <is>
          <t>80</t>
        </is>
      </c>
      <c r="R9" s="36" t="inlineStr">
        <is>
          <t>1998</t>
        </is>
      </c>
      <c r="S9" s="36" t="inlineStr">
        <is>
          <t>0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38" t="inlineStr">
        <is>
          <t>MODERATE-HIGH</t>
        </is>
      </c>
      <c r="Z9" s="37" t="inlineStr">
        <is>
          <t>Affordable Comp #3: LIHTC property, 1998 vintage (0 yr diff), 80 units, 21.9 mi from subject. Same income-eligible renter pool.</t>
        </is>
      </c>
      <c r="AA9" s="36" t="inlineStr">
        <is>
          <t>HUD LIHTC Database (huduser.gov)</t>
        </is>
      </c>
    </row>
    <row r="10" ht="54.75" customFormat="1" customHeight="1" s="3">
      <c r="A10" s="28" t="inlineStr">
        <is>
          <t>4</t>
        </is>
      </c>
      <c r="B10" s="28" t="inlineStr">
        <is>
          <t>AFFORDABLE</t>
        </is>
      </c>
      <c r="C10" s="29" t="inlineStr">
        <is>
          <t>Brentwood Park Apts</t>
        </is>
      </c>
      <c r="D10" s="28" t="inlineStr">
        <is>
          <t>160 Sycamore Ave</t>
        </is>
      </c>
      <c r="E10" s="28" t="inlineStr">
        <is>
          <t>Brentwood</t>
        </is>
      </c>
      <c r="F10" s="28" t="inlineStr">
        <is>
          <t>CA</t>
        </is>
      </c>
      <c r="G10" s="28" t="inlineStr">
        <is>
          <t>94513</t>
        </is>
      </c>
      <c r="H10" s="28" t="inlineStr">
        <is>
          <t>22.0 mi</t>
        </is>
      </c>
      <c r="I10" s="28" t="inlineStr">
        <is>
          <t>$3,270</t>
        </is>
      </c>
      <c r="J10" s="28" t="inlineStr">
        <is>
          <t>$3,925</t>
        </is>
      </c>
      <c r="K10" s="30" t="inlineStr">
        <is>
          <t>$1,155</t>
        </is>
      </c>
      <c r="L10" s="31" t="inlineStr">
        <is>
          <t>Not Listed</t>
        </is>
      </c>
      <c r="M10" s="28" t="inlineStr">
        <is>
          <t>$3,925</t>
        </is>
      </c>
      <c r="N10" s="28" t="inlineStr">
        <is>
          <t>$4,710</t>
        </is>
      </c>
      <c r="O10" s="30" t="inlineStr">
        <is>
          <t>$1,580</t>
        </is>
      </c>
      <c r="P10" s="31" t="inlineStr">
        <is>
          <t>Not Listed</t>
        </is>
      </c>
      <c r="Q10" s="28" t="inlineStr">
        <is>
          <t>80</t>
        </is>
      </c>
      <c r="R10" s="28" t="inlineStr">
        <is>
          <t>1997</t>
        </is>
      </c>
      <c r="S10" s="28" t="inlineStr">
        <is>
          <t>1</t>
        </is>
      </c>
      <c r="T10" s="28" t="inlineStr">
        <is>
          <t>Yes</t>
        </is>
      </c>
      <c r="U10" s="28" t="inlineStr">
        <is>
          <t>No</t>
        </is>
      </c>
      <c r="V10" s="28" t="inlineStr">
        <is>
          <t>No</t>
        </is>
      </c>
      <c r="W10" s="28" t="inlineStr">
        <is>
          <t>No</t>
        </is>
      </c>
      <c r="X10" s="28" t="inlineStr">
        <is>
          <t>No</t>
        </is>
      </c>
      <c r="Y10" s="78" t="inlineStr">
        <is>
          <t>MODERATE-HIGH</t>
        </is>
      </c>
      <c r="Z10" s="29" t="inlineStr">
        <is>
          <t>Affordable Comp #4: LIHTC property, 1997 vintage (1 yr diff), 80 units, 22.0 mi from subject. Same income-eligible renter pool.</t>
        </is>
      </c>
      <c r="AA10" s="28" t="inlineStr">
        <is>
          <t>HUD LIHTC Database (huduser.gov)</t>
        </is>
      </c>
    </row>
    <row r="11" ht="54.75" customFormat="1" customHeight="1" s="3">
      <c r="A11" s="39" t="inlineStr">
        <is>
          <t>1</t>
        </is>
      </c>
      <c r="B11" s="39" t="inlineStr">
        <is>
          <t>MARKET RATE</t>
        </is>
      </c>
      <c r="C11" s="40" t="inlineStr">
        <is>
          <t>Brookside Apartments</t>
        </is>
      </c>
      <c r="D11" s="39" t="inlineStr">
        <is>
          <t>2800 W Benjamin Holt Dr, Stockton, CA 95207</t>
        </is>
      </c>
      <c r="E11" s="39" t="inlineStr">
        <is>
          <t>Stockton</t>
        </is>
      </c>
      <c r="F11" s="39" t="inlineStr">
        <is>
          <t>CA</t>
        </is>
      </c>
      <c r="G11" s="39" t="n"/>
      <c r="H11" s="39" t="inlineStr">
        <is>
          <t>3.5 mi</t>
        </is>
      </c>
      <c r="I11" s="39" t="inlineStr">
        <is>
          <t>N/A (Market Rate)</t>
        </is>
      </c>
      <c r="J11" s="39" t="inlineStr">
        <is>
          <t>N/A (Market Rate)</t>
        </is>
      </c>
      <c r="K11" s="30" t="inlineStr">
        <is>
          <t>$1,155</t>
        </is>
      </c>
      <c r="L11" s="31" t="inlineStr">
        <is>
          <t>Not Listed</t>
        </is>
      </c>
      <c r="M11" s="39" t="inlineStr">
        <is>
          <t>N/A (Market Rate)</t>
        </is>
      </c>
      <c r="N11" s="39" t="inlineStr">
        <is>
          <t>N/A (Market Rate)</t>
        </is>
      </c>
      <c r="O11" s="30" t="inlineStr">
        <is>
          <t>$1,580</t>
        </is>
      </c>
      <c r="P11" s="31" t="inlineStr">
        <is>
          <t>$1,550</t>
        </is>
      </c>
      <c r="Q11" s="39" t="inlineStr">
        <is>
          <t>180</t>
        </is>
      </c>
      <c r="R11" s="39" t="inlineStr">
        <is>
          <t>1999</t>
        </is>
      </c>
      <c r="S11" s="39" t="inlineStr">
        <is>
          <t>1</t>
        </is>
      </c>
      <c r="T11" s="39" t="inlineStr">
        <is>
          <t>Varies</t>
        </is>
      </c>
      <c r="U11" s="39" t="inlineStr">
        <is>
          <t>Varies</t>
        </is>
      </c>
      <c r="V11" s="39" t="inlineStr">
        <is>
          <t>Varies</t>
        </is>
      </c>
      <c r="W11" s="39" t="inlineStr">
        <is>
          <t>Varies</t>
        </is>
      </c>
      <c r="X11" s="39" t="inlineStr">
        <is>
          <t>Varies</t>
        </is>
      </c>
      <c r="Y11" s="41" t="inlineStr">
        <is>
          <t>HIGH</t>
        </is>
      </c>
      <c r="Z11" s="40" t="inlineStr">
        <is>
          <t>Market Rate Comp #1: No income restrictions, 1999 vintage (1 yr diff), 180 units, 3.5 mi from subject. Shows market-rate rents vs. affordable housing discount.</t>
        </is>
      </c>
      <c r="AA11" s="39" t="inlineStr">
        <is>
          <t>https://www.rentcafe.com/apartments-for-rent/us/ca/stockton/brookside/</t>
        </is>
      </c>
    </row>
    <row r="12" ht="54.75" customFormat="1" customHeight="1" s="3">
      <c r="A12" s="42" t="inlineStr">
        <is>
          <t>2</t>
        </is>
      </c>
      <c r="B12" s="42" t="inlineStr">
        <is>
          <t>MARKET RATE</t>
        </is>
      </c>
      <c r="C12" s="43" t="inlineStr">
        <is>
          <t>Quail Lakes Apartments</t>
        </is>
      </c>
      <c r="D12" s="42" t="inlineStr">
        <is>
          <t>3600 Country Club Blvd, Stockton, CA 95204</t>
        </is>
      </c>
      <c r="E12" s="42" t="inlineStr">
        <is>
          <t>Stockton</t>
        </is>
      </c>
      <c r="F12" s="42" t="inlineStr">
        <is>
          <t>CA</t>
        </is>
      </c>
      <c r="G12" s="42" t="n"/>
      <c r="H12" s="42" t="inlineStr">
        <is>
          <t>4.8 mi</t>
        </is>
      </c>
      <c r="I12" s="42" t="inlineStr">
        <is>
          <t>N/A (Market Rate)</t>
        </is>
      </c>
      <c r="J12" s="42" t="inlineStr">
        <is>
          <t>N/A (Market Rate)</t>
        </is>
      </c>
      <c r="K12" s="30" t="inlineStr">
        <is>
          <t>$1,155</t>
        </is>
      </c>
      <c r="L12" s="31" t="inlineStr">
        <is>
          <t>Not Listed</t>
        </is>
      </c>
      <c r="M12" s="42" t="inlineStr">
        <is>
          <t>N/A (Market Rate)</t>
        </is>
      </c>
      <c r="N12" s="42" t="inlineStr">
        <is>
          <t>N/A (Market Rate)</t>
        </is>
      </c>
      <c r="O12" s="30" t="inlineStr">
        <is>
          <t>$1,580</t>
        </is>
      </c>
      <c r="P12" s="31" t="inlineStr">
        <is>
          <t>$1,495</t>
        </is>
      </c>
      <c r="Q12" s="42" t="inlineStr">
        <is>
          <t>144</t>
        </is>
      </c>
      <c r="R12" s="42" t="inlineStr">
        <is>
          <t>1996</t>
        </is>
      </c>
      <c r="S12" s="42" t="inlineStr">
        <is>
          <t>2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#2: No income restrictions, 1996 vintage (2 yr diff), 144 units, 4.8 mi from subject. Shows market-rate rents vs. affordable housing discount.</t>
        </is>
      </c>
      <c r="AA12" s="42" t="inlineStr">
        <is>
          <t>https://www.rentcafe.com/apartments-for-rent/us/ca/stockton/</t>
        </is>
      </c>
    </row>
    <row r="13" ht="54.75" customFormat="1" customHeight="1" s="3">
      <c r="A13" s="45" t="inlineStr">
        <is>
          <t>3</t>
        </is>
      </c>
      <c r="B13" s="45" t="inlineStr">
        <is>
          <t>MARKET RATE</t>
        </is>
      </c>
      <c r="C13" s="46" t="inlineStr">
        <is>
          <t>Lincoln Village Apartments</t>
        </is>
      </c>
      <c r="D13" s="45" t="inlineStr">
        <is>
          <t>4800 Lincoln Rd, Stockton, CA 95207</t>
        </is>
      </c>
      <c r="E13" s="45" t="inlineStr">
        <is>
          <t>Stockton</t>
        </is>
      </c>
      <c r="F13" s="45" t="inlineStr">
        <is>
          <t>CA</t>
        </is>
      </c>
      <c r="G13" s="45" t="n"/>
      <c r="H13" s="45" t="inlineStr">
        <is>
          <t>5.2 mi</t>
        </is>
      </c>
      <c r="I13" s="45" t="inlineStr">
        <is>
          <t>N/A (Market Rate)</t>
        </is>
      </c>
      <c r="J13" s="45" t="inlineStr">
        <is>
          <t>N/A (Market Rate)</t>
        </is>
      </c>
      <c r="K13" s="30" t="inlineStr">
        <is>
          <t>$1,155</t>
        </is>
      </c>
      <c r="L13" s="31" t="inlineStr">
        <is>
          <t>Not Listed</t>
        </is>
      </c>
      <c r="M13" s="45" t="inlineStr">
        <is>
          <t>N/A (Market Rate)</t>
        </is>
      </c>
      <c r="N13" s="45" t="inlineStr">
        <is>
          <t>N/A (Market Rate)</t>
        </is>
      </c>
      <c r="O13" s="30" t="inlineStr">
        <is>
          <t>$1,580</t>
        </is>
      </c>
      <c r="P13" s="31" t="inlineStr">
        <is>
          <t>$1,600</t>
        </is>
      </c>
      <c r="Q13" s="45" t="inlineStr">
        <is>
          <t>200</t>
        </is>
      </c>
      <c r="R13" s="45" t="inlineStr">
        <is>
          <t>2000</t>
        </is>
      </c>
      <c r="S13" s="45" t="inlineStr">
        <is>
          <t>2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#3: No income restrictions, 2000 vintage (2 yr diff), 200 units, 5.2 mi from subject. Shows market-rate rents vs. affordable housing discount.</t>
        </is>
      </c>
      <c r="AA13" s="45" t="inlineStr">
        <is>
          <t>https://www.rentcafe.com/apartments-for-rent/us/ca/stockton/</t>
        </is>
      </c>
    </row>
    <row r="14" ht="54.75" customFormat="1" customHeight="1" s="3">
      <c r="A14" s="39" t="inlineStr">
        <is>
          <t>4</t>
        </is>
      </c>
      <c r="B14" s="39" t="inlineStr">
        <is>
          <t>MARKET RATE</t>
        </is>
      </c>
      <c r="C14" s="40" t="inlineStr">
        <is>
          <t>Stockton Crossings Apartments</t>
        </is>
      </c>
      <c r="D14" s="39" t="inlineStr">
        <is>
          <t>1800 E Hammer Ln, Stockton, CA 95210</t>
        </is>
      </c>
      <c r="E14" s="39" t="inlineStr">
        <is>
          <t>Stockton</t>
        </is>
      </c>
      <c r="F14" s="39" t="inlineStr">
        <is>
          <t>CA</t>
        </is>
      </c>
      <c r="G14" s="39" t="n"/>
      <c r="H14" s="39" t="inlineStr">
        <is>
          <t>6.5 mi</t>
        </is>
      </c>
      <c r="I14" s="39" t="inlineStr">
        <is>
          <t>N/A (Market Rate)</t>
        </is>
      </c>
      <c r="J14" s="39" t="inlineStr">
        <is>
          <t>N/A (Market Rate)</t>
        </is>
      </c>
      <c r="K14" s="30" t="inlineStr">
        <is>
          <t>$1,155</t>
        </is>
      </c>
      <c r="L14" s="31" t="inlineStr">
        <is>
          <t>Not Listed</t>
        </is>
      </c>
      <c r="M14" s="39" t="inlineStr">
        <is>
          <t>N/A (Market Rate)</t>
        </is>
      </c>
      <c r="N14" s="39" t="inlineStr">
        <is>
          <t>N/A (Market Rate)</t>
        </is>
      </c>
      <c r="O14" s="30" t="inlineStr">
        <is>
          <t>$1,580</t>
        </is>
      </c>
      <c r="P14" s="31" t="inlineStr">
        <is>
          <t>$1,525</t>
        </is>
      </c>
      <c r="Q14" s="39" t="inlineStr">
        <is>
          <t>120</t>
        </is>
      </c>
      <c r="R14" s="39" t="inlineStr">
        <is>
          <t>1997</t>
        </is>
      </c>
      <c r="S14" s="39" t="inlineStr">
        <is>
          <t>1</t>
        </is>
      </c>
      <c r="T14" s="39" t="inlineStr">
        <is>
          <t>Varies</t>
        </is>
      </c>
      <c r="U14" s="39" t="inlineStr">
        <is>
          <t>Varies</t>
        </is>
      </c>
      <c r="V14" s="39" t="inlineStr">
        <is>
          <t>Varies</t>
        </is>
      </c>
      <c r="W14" s="39" t="inlineStr">
        <is>
          <t>Varies</t>
        </is>
      </c>
      <c r="X14" s="39" t="inlineStr">
        <is>
          <t>Varies</t>
        </is>
      </c>
      <c r="Y14" s="41" t="inlineStr">
        <is>
          <t>HIGH</t>
        </is>
      </c>
      <c r="Z14" s="40" t="inlineStr">
        <is>
          <t>Market Rate Comp #4: No income restrictions, 1997 vintage (1 yr diff), 120 units, 6.5 mi from subject. Shows market-rate rents vs. affordable housing discount.</t>
        </is>
      </c>
      <c r="AA14" s="39" t="inlineStr">
        <is>
          <t>https://www.rentcafe.com/apartments-for-rent/us/ca/stockton/</t>
        </is>
      </c>
    </row>
    <row r="15" ht="54.75" customFormat="1" customHeight="1" s="3">
      <c r="A15" s="48" t="inlineStr">
        <is>
          <t>—</t>
        </is>
      </c>
      <c r="B15" s="48" t="inlineStr">
        <is>
          <t>BENCHMARK</t>
        </is>
      </c>
      <c r="C15" s="49" t="inlineStr">
        <is>
          <t>FY2026 FMR — Stockton-Lodi MSA</t>
        </is>
      </c>
      <c r="D15" s="48" t="inlineStr">
        <is>
          <t>N/A</t>
        </is>
      </c>
      <c r="E15" s="48" t="inlineStr">
        <is>
          <t>Stockton</t>
        </is>
      </c>
      <c r="F15" s="48" t="inlineStr">
        <is>
          <t>CA</t>
        </is>
      </c>
      <c r="G15" s="48" t="inlineStr">
        <is>
          <t>N/A</t>
        </is>
      </c>
      <c r="H15" s="48" t="inlineStr">
        <is>
          <t>N/A</t>
        </is>
      </c>
      <c r="I15" s="48" t="inlineStr">
        <is>
          <t>$1,155</t>
        </is>
      </c>
      <c r="J15" s="48" t="inlineStr">
        <is>
          <t>$1,155</t>
        </is>
      </c>
      <c r="K15" s="30" t="inlineStr">
        <is>
          <t>$1,155</t>
        </is>
      </c>
      <c r="L15" s="31" t="inlineStr">
        <is>
          <t>N/A</t>
        </is>
      </c>
      <c r="M15" s="48" t="inlineStr">
        <is>
          <t>$1,580</t>
        </is>
      </c>
      <c r="N15" s="48" t="inlineStr">
        <is>
          <t>$1,580</t>
        </is>
      </c>
      <c r="O15" s="30" t="inlineStr">
        <is>
          <t>$1,580</t>
        </is>
      </c>
      <c r="P15" s="31" t="inlineStr">
        <is>
          <t>N/A</t>
        </is>
      </c>
      <c r="Q15" s="48" t="inlineStr">
        <is>
          <t>N/A</t>
        </is>
      </c>
      <c r="R15" s="48" t="inlineStr">
        <is>
          <t>N/A</t>
        </is>
      </c>
      <c r="S15" s="48" t="inlineStr">
        <is>
          <t>N/A</t>
        </is>
      </c>
      <c r="T15" s="48" t="inlineStr">
        <is>
          <t>N/A</t>
        </is>
      </c>
      <c r="U15" s="48" t="inlineStr">
        <is>
          <t>N/A</t>
        </is>
      </c>
      <c r="V15" s="48" t="inlineStr">
        <is>
          <t>N/A</t>
        </is>
      </c>
      <c r="W15" s="48" t="inlineStr">
        <is>
          <t>N/A</t>
        </is>
      </c>
      <c r="X15" s="48" t="inlineStr">
        <is>
          <t>N/A</t>
        </is>
      </c>
      <c r="Y15" s="50" t="inlineStr">
        <is>
          <t>BENCHMARK</t>
        </is>
      </c>
      <c r="Z15" s="49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5" s="48" t="inlineStr">
        <is>
          <t>HUD FMR Database (huduser.gov)</t>
        </is>
      </c>
    </row>
    <row r="16" ht="54.75" customFormat="1" customHeight="1" s="3">
      <c r="A16" s="48" t="inlineStr">
        <is>
          <t>—</t>
        </is>
      </c>
      <c r="B16" s="48" t="inlineStr">
        <is>
          <t>BENCHMARK</t>
        </is>
      </c>
      <c r="C16" s="49" t="inlineStr">
        <is>
          <t>Metro Market Avg — Stockton</t>
        </is>
      </c>
      <c r="D16" s="48" t="inlineStr">
        <is>
          <t>N/A</t>
        </is>
      </c>
      <c r="E16" s="48" t="inlineStr">
        <is>
          <t>Stockton</t>
        </is>
      </c>
      <c r="F16" s="48" t="inlineStr">
        <is>
          <t>CA</t>
        </is>
      </c>
      <c r="G16" s="48" t="inlineStr">
        <is>
          <t>N/A</t>
        </is>
      </c>
      <c r="H16" s="48" t="inlineStr">
        <is>
          <t>N/A</t>
        </is>
      </c>
      <c r="I16" s="48" t="inlineStr">
        <is>
          <t>$1,270</t>
        </is>
      </c>
      <c r="J16" s="48" t="inlineStr">
        <is>
          <t>$1,270</t>
        </is>
      </c>
      <c r="K16" s="30" t="inlineStr">
        <is>
          <t>$1,270</t>
        </is>
      </c>
      <c r="L16" s="31" t="inlineStr">
        <is>
          <t>N/A</t>
        </is>
      </c>
      <c r="M16" s="48" t="inlineStr">
        <is>
          <t>$1,738</t>
        </is>
      </c>
      <c r="N16" s="48" t="inlineStr">
        <is>
          <t>$1,738</t>
        </is>
      </c>
      <c r="O16" s="30" t="inlineStr">
        <is>
          <t>$1,738</t>
        </is>
      </c>
      <c r="P16" s="31" t="inlineStr">
        <is>
          <t>N/A</t>
        </is>
      </c>
      <c r="Q16" s="48" t="inlineStr">
        <is>
          <t>N/A</t>
        </is>
      </c>
      <c r="R16" s="48" t="inlineStr">
        <is>
          <t>N/A</t>
        </is>
      </c>
      <c r="S16" s="48" t="inlineStr">
        <is>
          <t>N/A</t>
        </is>
      </c>
      <c r="T16" s="48" t="inlineStr">
        <is>
          <t>N/A</t>
        </is>
      </c>
      <c r="U16" s="48" t="inlineStr">
        <is>
          <t>N/A</t>
        </is>
      </c>
      <c r="V16" s="48" t="inlineStr">
        <is>
          <t>N/A</t>
        </is>
      </c>
      <c r="W16" s="48" t="inlineStr">
        <is>
          <t>N/A</t>
        </is>
      </c>
      <c r="X16" s="48" t="inlineStr">
        <is>
          <t>N/A</t>
        </is>
      </c>
      <c r="Y16" s="50" t="inlineStr">
        <is>
          <t>BENCHMARK</t>
        </is>
      </c>
      <c r="Z16" s="49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6" s="48" t="inlineStr">
        <is>
          <t>HUD FMR + Market Estimate</t>
        </is>
      </c>
    </row>
    <row r="17" ht="8.25" customFormat="1" customHeight="1" s="3"/>
    <row r="18" ht="27.75" customFormat="1" customHeight="1" s="3">
      <c r="A18" s="51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Height="1" s="95">
      <c r="A21" s="61" t="inlineStr">
        <is>
          <t>PMTS — Vouchers / FMR / UAP / NET FMR</t>
        </is>
      </c>
      <c r="B21" s="101" t="n"/>
      <c r="C21" s="101" t="n"/>
      <c r="D21" s="101" t="n"/>
      <c r="E21" s="101" t="n"/>
      <c r="F21" s="102" t="n"/>
    </row>
    <row r="22" ht="15" customHeight="1" s="95">
      <c r="A22" s="64" t="inlineStr">
        <is>
          <t>BD</t>
        </is>
      </c>
      <c r="B22" s="65" t="inlineStr">
        <is>
          <t>MKT</t>
        </is>
      </c>
      <c r="C22" s="66" t="inlineStr">
        <is>
          <t>VCH</t>
        </is>
      </c>
      <c r="D22" s="67" t="inlineStr">
        <is>
          <t>FMR</t>
        </is>
      </c>
      <c r="E22" s="68" t="inlineStr">
        <is>
          <t>UAP</t>
        </is>
      </c>
      <c r="F22" s="69" t="inlineStr">
        <is>
          <t>NET</t>
        </is>
      </c>
    </row>
    <row r="23" ht="15" customHeight="1" s="95">
      <c r="A23" s="70" t="inlineStr">
        <is>
          <t>1BD</t>
        </is>
      </c>
      <c r="B23" s="71" t="n">
        <v>0</v>
      </c>
      <c r="C23" s="71" t="n">
        <v>1397</v>
      </c>
      <c r="D23" s="71" t="n">
        <v>1330</v>
      </c>
      <c r="E23" s="72" t="n">
        <v>148</v>
      </c>
      <c r="F23" s="73" t="n">
        <v>1182</v>
      </c>
    </row>
    <row r="24" ht="15" customHeight="1" s="95">
      <c r="A24" s="74" t="inlineStr">
        <is>
          <t>2BD</t>
        </is>
      </c>
      <c r="B24" s="75" t="n">
        <v>0</v>
      </c>
      <c r="C24" s="75" t="n">
        <v>1789</v>
      </c>
      <c r="D24" s="75" t="n">
        <v>1700</v>
      </c>
      <c r="E24" s="72" t="n">
        <v>195</v>
      </c>
      <c r="F24" s="73" t="n">
        <v>1505</v>
      </c>
    </row>
    <row r="27" ht="15" customHeight="1" s="95">
      <c r="A27" s="61" t="inlineStr">
        <is>
          <t>LIHTC, UAP, NET</t>
        </is>
      </c>
      <c r="B27" s="101" t="n"/>
      <c r="C27" s="101" t="n"/>
      <c r="D27" s="101" t="n"/>
      <c r="E27" s="102" t="n"/>
    </row>
    <row r="28" ht="15" customHeight="1" s="95">
      <c r="A28" s="64" t="n"/>
      <c r="B28" s="65" t="inlineStr">
        <is>
          <t>LIHTC/MKT</t>
        </is>
      </c>
      <c r="C28" s="67" t="inlineStr">
        <is>
          <t>60%</t>
        </is>
      </c>
      <c r="D28" s="68" t="inlineStr">
        <is>
          <t>UAP</t>
        </is>
      </c>
      <c r="E28" s="69" t="inlineStr">
        <is>
          <t>NET</t>
        </is>
      </c>
    </row>
    <row r="29" ht="15" customHeight="1" s="95">
      <c r="A29" s="70" t="inlineStr">
        <is>
          <t>1BD</t>
        </is>
      </c>
      <c r="B29" s="71" t="n">
        <v>1177</v>
      </c>
      <c r="C29" s="71" t="n">
        <v>1011</v>
      </c>
      <c r="D29" s="72" t="n">
        <v>148</v>
      </c>
      <c r="E29" s="73" t="n">
        <v>863</v>
      </c>
    </row>
    <row r="30" ht="15" customHeight="1" s="95">
      <c r="A30" s="74" t="inlineStr">
        <is>
          <t>2BD</t>
        </is>
      </c>
      <c r="B30" s="75" t="n">
        <v>1413</v>
      </c>
      <c r="C30" s="75" t="n">
        <v>1198</v>
      </c>
      <c r="D30" s="72" t="n">
        <v>195</v>
      </c>
      <c r="E30" s="73" t="n">
        <v>1003</v>
      </c>
    </row>
    <row r="33" ht="15" customHeight="1" s="95">
      <c r="A33" s="61" t="inlineStr">
        <is>
          <t>HAP, CoStar, NET</t>
        </is>
      </c>
      <c r="B33" s="101" t="n"/>
      <c r="C33" s="102" t="n"/>
    </row>
    <row r="34" ht="15" customHeight="1" s="95">
      <c r="A34" s="64" t="n"/>
      <c r="B34" s="68" t="inlineStr">
        <is>
          <t>HAP</t>
        </is>
      </c>
      <c r="C34" s="65" t="inlineStr">
        <is>
          <t>CoStar</t>
        </is>
      </c>
    </row>
    <row r="35" ht="15" customHeight="1" s="95">
      <c r="A35" s="70" t="inlineStr">
        <is>
          <t>1BD</t>
        </is>
      </c>
      <c r="B35" s="103" t="n">
        <v>0</v>
      </c>
      <c r="C35" s="104" t="n">
        <v>1296</v>
      </c>
    </row>
    <row r="36" ht="15" customHeight="1" s="95">
      <c r="A36" s="74" t="inlineStr">
        <is>
          <t>2BD</t>
        </is>
      </c>
      <c r="B36" s="103" t="n">
        <v>0</v>
      </c>
      <c r="C36" s="104" t="n">
        <v>1618</v>
      </c>
    </row>
  </sheetData>
  <mergeCells count="7">
    <mergeCell ref="A18:AA18"/>
    <mergeCell ref="A33:C33"/>
    <mergeCell ref="A4:AA4"/>
    <mergeCell ref="A3:AA3"/>
    <mergeCell ref="A2:AA2"/>
    <mergeCell ref="A21:F21"/>
    <mergeCell ref="A27:E27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tabColor theme="6" tint="-0.25"/>
    <outlinePr summaryBelow="1" summaryRight="1"/>
    <pageSetUpPr/>
  </sheetPr>
  <dimension ref="A1:AA40"/>
  <sheetViews>
    <sheetView topLeftCell="A1" workbookViewId="0">
      <pane ySplit="1" topLeftCell="A14" activePane="bottomLeft" state="frozen"/>
      <selection pane="bottomLeft" activeCell="C26" sqref="C26"/>
    </sheetView>
  </sheetViews>
  <sheetFormatPr baseColWidth="8" defaultColWidth="9.140625" defaultRowHeight="15" customHeight="1"/>
  <cols>
    <col width="8.00390625" customWidth="1" style="3" min="1" max="1"/>
    <col width="14.00390625" customWidth="1" style="3" min="2" max="2"/>
    <col width="28.00390625" customWidth="1" style="3" min="3" max="3"/>
    <col width="22.00390625" customWidth="1" style="3" min="4" max="4"/>
    <col width="16.00390625" customWidth="1" style="3" min="5" max="5"/>
    <col width="10.00390625" customWidth="1" style="3" min="6" max="6"/>
    <col width="8.00390625" customWidth="1" style="3" min="7" max="7"/>
    <col width="11.00390625" customWidth="1" style="3" min="8" max="8"/>
    <col width="10.00390625" customWidth="1" style="3" min="9" max="11"/>
    <col width="12.00390625" customWidth="1" style="3" min="12" max="12"/>
    <col width="10.00390625" customWidth="1" style="3" min="13" max="15"/>
    <col width="12.00390625" customWidth="1" style="3" min="16" max="16"/>
    <col width="8.00390625" customWidth="1" style="3" min="17" max="17"/>
    <col width="10.00390625" customWidth="1" style="3" min="18" max="18"/>
    <col width="7.00390625" customWidth="1" style="3" min="19" max="19"/>
    <col width="12.00390625" customWidth="1" style="3" min="20" max="21"/>
    <col width="8.00390625" customWidth="1" style="3" min="22" max="23"/>
    <col width="10.00390625" customWidth="1" style="3" min="24" max="24"/>
    <col width="16.00390625" customWidth="1" style="3" min="25" max="25"/>
    <col width="45.00390625" customWidth="1" style="3" min="26" max="26"/>
    <col width="28.00390625" customWidth="1" style="3" min="27" max="27"/>
  </cols>
  <sheetData>
    <row r="1" ht="15" customHeight="1" s="95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</row>
    <row r="2" ht="24" customFormat="1" customHeight="1" s="3">
      <c r="A2" s="17" t="inlineStr">
        <is>
          <t>COMPETITIVE RENT ANALYSIS — GRANITE RIDGE | GREEN = Affordable Comps | BLUE = Market Rate Comps</t>
        </is>
      </c>
    </row>
    <row r="3" ht="20.25" customFormat="1" customHeight="1" s="3">
      <c r="A3" s="18" t="inlineStr">
        <is>
          <t>SUBJECT: Granite Ridge | 246 E Iris Ave, Stockton, CA 95207 | 80 units | Program: LIHTC | Bedroom Mix: 1BR / 2BR | County AMI: $104,600 | FMR Area: Stockton-Lodi MSA</t>
        </is>
      </c>
    </row>
    <row r="4" ht="90" customFormat="1" customHeight="1" s="3">
      <c r="A4" s="19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5" ht="30" customFormat="1" customHeight="1" s="3">
      <c r="A5" s="20" t="inlineStr">
        <is>
          <t>Rank</t>
        </is>
      </c>
      <c r="B5" s="20" t="inlineStr">
        <is>
          <t>Type</t>
        </is>
      </c>
      <c r="C5" s="20" t="inlineStr">
        <is>
          <t>Property Name</t>
        </is>
      </c>
      <c r="D5" s="20" t="inlineStr">
        <is>
          <t>Address</t>
        </is>
      </c>
      <c r="E5" s="20" t="inlineStr">
        <is>
          <t>City</t>
        </is>
      </c>
      <c r="F5" s="20" t="inlineStr">
        <is>
          <t>State</t>
        </is>
      </c>
      <c r="G5" s="20" t="inlineStr">
        <is>
          <t>ZIP</t>
        </is>
      </c>
      <c r="H5" s="20" t="inlineStr">
        <is>
          <t>Distance (mi)</t>
        </is>
      </c>
      <c r="I5" s="20" t="inlineStr">
        <is>
          <t>1BR Low ($)</t>
        </is>
      </c>
      <c r="J5" s="20" t="inlineStr">
        <is>
          <t>1BR Mid ($)</t>
        </is>
      </c>
      <c r="K5" s="21" t="inlineStr">
        <is>
          <t>1BR FMR ($)</t>
        </is>
      </c>
      <c r="L5" s="22" t="inlineStr">
        <is>
          <t>1BR Actual ($)</t>
        </is>
      </c>
      <c r="M5" s="20" t="inlineStr">
        <is>
          <t>2BR Low ($)</t>
        </is>
      </c>
      <c r="N5" s="20" t="inlineStr">
        <is>
          <t>2BR Mid ($)</t>
        </is>
      </c>
      <c r="O5" s="21" t="inlineStr">
        <is>
          <t>2BR FMR ($)</t>
        </is>
      </c>
      <c r="P5" s="22" t="inlineStr">
        <is>
          <t>2BR Actual ($)</t>
        </is>
      </c>
      <c r="Q5" s="20" t="inlineStr">
        <is>
          <t># Units</t>
        </is>
      </c>
      <c r="R5" s="20" t="inlineStr">
        <is>
          <t>Year Built</t>
        </is>
      </c>
      <c r="S5" s="20" t="inlineStr">
        <is>
          <t>Yr Diff</t>
        </is>
      </c>
      <c r="T5" s="20" t="inlineStr">
        <is>
          <t>Utilities Incl.</t>
        </is>
      </c>
      <c r="U5" s="20" t="inlineStr">
        <is>
          <t>Pet Friendly</t>
        </is>
      </c>
      <c r="V5" s="20" t="inlineStr">
        <is>
          <t>Gated</t>
        </is>
      </c>
      <c r="W5" s="20" t="inlineStr">
        <is>
          <t>Pool</t>
        </is>
      </c>
      <c r="X5" s="20" t="inlineStr">
        <is>
          <t>W/D In-Unit</t>
        </is>
      </c>
      <c r="Y5" s="20" t="inlineStr">
        <is>
          <t>Competition Level</t>
        </is>
      </c>
      <c r="Z5" s="20" t="inlineStr">
        <is>
          <t>Why Competitive</t>
        </is>
      </c>
      <c r="AA5" s="20" t="inlineStr">
        <is>
          <t>Data Source</t>
        </is>
      </c>
    </row>
    <row r="6" ht="54.75" customFormat="1" customHeight="1" s="3">
      <c r="A6" s="23" t="inlineStr">
        <is>
          <t>—</t>
        </is>
      </c>
      <c r="B6" s="23" t="inlineStr">
        <is>
          <t>SUBJECT</t>
        </is>
      </c>
      <c r="C6" s="24" t="inlineStr">
        <is>
          <t>Granite Ridge (SUBJECT)</t>
        </is>
      </c>
      <c r="D6" s="23" t="inlineStr">
        <is>
          <t>246 E Iris Ave</t>
        </is>
      </c>
      <c r="E6" s="23" t="inlineStr">
        <is>
          <t>Stockton</t>
        </is>
      </c>
      <c r="F6" s="23" t="inlineStr">
        <is>
          <t>CA</t>
        </is>
      </c>
      <c r="G6" s="23" t="inlineStr">
        <is>
          <t>95207</t>
        </is>
      </c>
      <c r="H6" s="23" t="inlineStr">
        <is>
          <t>0.0 mi</t>
        </is>
      </c>
      <c r="I6" s="23" t="inlineStr">
        <is>
          <t>$3,270</t>
        </is>
      </c>
      <c r="J6" s="23" t="inlineStr">
        <is>
          <t>$3,925</t>
        </is>
      </c>
      <c r="K6" s="25" t="inlineStr">
        <is>
          <t>$1,155</t>
        </is>
      </c>
      <c r="L6" s="26" t="inlineStr">
        <is>
          <t>N/A</t>
        </is>
      </c>
      <c r="M6" s="23" t="inlineStr">
        <is>
          <t>$3,925</t>
        </is>
      </c>
      <c r="N6" s="23" t="inlineStr">
        <is>
          <t>$4,710</t>
        </is>
      </c>
      <c r="O6" s="25" t="inlineStr">
        <is>
          <t>$1,580</t>
        </is>
      </c>
      <c r="P6" s="26" t="inlineStr">
        <is>
          <t>N/A</t>
        </is>
      </c>
      <c r="Q6" s="23" t="inlineStr">
        <is>
          <t>80</t>
        </is>
      </c>
      <c r="R6" s="23" t="inlineStr">
        <is>
          <t>1998</t>
        </is>
      </c>
      <c r="S6" s="23" t="inlineStr">
        <is>
          <t>0</t>
        </is>
      </c>
      <c r="T6" s="23" t="inlineStr">
        <is>
          <t>No</t>
        </is>
      </c>
      <c r="U6" s="23" t="inlineStr">
        <is>
          <t>No</t>
        </is>
      </c>
      <c r="V6" s="23" t="inlineStr">
        <is>
          <t>Yes</t>
        </is>
      </c>
      <c r="W6" s="23" t="inlineStr">
        <is>
          <t>Yes</t>
        </is>
      </c>
      <c r="X6" s="23" t="inlineStr">
        <is>
          <t>No</t>
        </is>
      </c>
      <c r="Y6" s="27" t="inlineStr">
        <is>
          <t>SUBJECT</t>
        </is>
      </c>
      <c r="Z6" s="24" t="inlineStr">
        <is>
          <t>80 units | LIHTC property. Year built: 1998. Subject property for market context.</t>
        </is>
      </c>
      <c r="AA6" s="23" t="inlineStr">
        <is>
          <t>Apartment Corp Records</t>
        </is>
      </c>
    </row>
    <row r="7" ht="54.75" customFormat="1" customHeight="1" s="3">
      <c r="A7" s="28" t="inlineStr">
        <is>
          <t>1</t>
        </is>
      </c>
      <c r="B7" s="28" t="inlineStr">
        <is>
          <t>AFFORDABLE</t>
        </is>
      </c>
      <c r="C7" s="29" t="inlineStr">
        <is>
          <t>Charleston Place Apts</t>
        </is>
      </c>
      <c r="D7" s="28" t="inlineStr">
        <is>
          <t>1515 E Bianchi Rd</t>
        </is>
      </c>
      <c r="E7" s="28" t="inlineStr">
        <is>
          <t>Stockton</t>
        </is>
      </c>
      <c r="F7" s="28" t="inlineStr">
        <is>
          <t>CA</t>
        </is>
      </c>
      <c r="G7" s="28" t="inlineStr">
        <is>
          <t>95210</t>
        </is>
      </c>
      <c r="H7" s="28" t="inlineStr">
        <is>
          <t>2.8 mi</t>
        </is>
      </c>
      <c r="I7" s="28" t="inlineStr">
        <is>
          <t>$3,270</t>
        </is>
      </c>
      <c r="J7" s="28" t="inlineStr">
        <is>
          <t>$3,925</t>
        </is>
      </c>
      <c r="K7" s="30" t="inlineStr">
        <is>
          <t>$1,155</t>
        </is>
      </c>
      <c r="L7" s="31" t="inlineStr">
        <is>
          <t>Not Listed</t>
        </is>
      </c>
      <c r="M7" s="28" t="inlineStr">
        <is>
          <t>$3,925</t>
        </is>
      </c>
      <c r="N7" s="28" t="inlineStr">
        <is>
          <t>$4,710</t>
        </is>
      </c>
      <c r="O7" s="30" t="inlineStr">
        <is>
          <t>$1,580</t>
        </is>
      </c>
      <c r="P7" s="31" t="inlineStr">
        <is>
          <t>$873</t>
        </is>
      </c>
      <c r="Q7" s="28" t="inlineStr">
        <is>
          <t>82</t>
        </is>
      </c>
      <c r="R7" s="28" t="inlineStr">
        <is>
          <t>1997</t>
        </is>
      </c>
      <c r="S7" s="28" t="inlineStr">
        <is>
          <t>1</t>
        </is>
      </c>
      <c r="T7" s="28" t="inlineStr">
        <is>
          <t>Yes</t>
        </is>
      </c>
      <c r="U7" s="28" t="inlineStr">
        <is>
          <t>No</t>
        </is>
      </c>
      <c r="V7" s="28" t="inlineStr">
        <is>
          <t>No</t>
        </is>
      </c>
      <c r="W7" s="28" t="inlineStr">
        <is>
          <t>No</t>
        </is>
      </c>
      <c r="X7" s="28" t="inlineStr">
        <is>
          <t>No</t>
        </is>
      </c>
      <c r="Y7" s="32" t="inlineStr">
        <is>
          <t>HIGH</t>
        </is>
      </c>
      <c r="Z7" s="29" t="inlineStr">
        <is>
          <t>Affordable Comp #1: LIHTC property, 1997 vintage (1 yr diff), 82 units, 2.8 mi from subject. Same income-eligible renter pool.</t>
        </is>
      </c>
      <c r="AA7" s="28" t="inlineStr">
        <is>
          <t>HUD LIHTC Database (huduser.gov)</t>
        </is>
      </c>
    </row>
    <row r="8" ht="54.75" customFormat="1" customHeight="1" s="3">
      <c r="A8" s="33" t="inlineStr">
        <is>
          <t>2</t>
        </is>
      </c>
      <c r="B8" s="33" t="inlineStr">
        <is>
          <t>AFFORDABLE</t>
        </is>
      </c>
      <c r="C8" s="34" t="inlineStr">
        <is>
          <t>Lodi Hotel</t>
        </is>
      </c>
      <c r="D8" s="33" t="inlineStr">
        <is>
          <t>7 S School St</t>
        </is>
      </c>
      <c r="E8" s="33" t="inlineStr">
        <is>
          <t>Lodi</t>
        </is>
      </c>
      <c r="F8" s="33" t="inlineStr">
        <is>
          <t>CA</t>
        </is>
      </c>
      <c r="G8" s="33" t="inlineStr">
        <is>
          <t>95240</t>
        </is>
      </c>
      <c r="H8" s="33" t="inlineStr">
        <is>
          <t>12.2 mi</t>
        </is>
      </c>
      <c r="I8" s="33" t="inlineStr">
        <is>
          <t>$3,270</t>
        </is>
      </c>
      <c r="J8" s="33" t="inlineStr">
        <is>
          <t>$3,925</t>
        </is>
      </c>
      <c r="K8" s="30" t="inlineStr">
        <is>
          <t>$1,155</t>
        </is>
      </c>
      <c r="L8" s="31" t="inlineStr">
        <is>
          <t>Not Listed</t>
        </is>
      </c>
      <c r="M8" s="33" t="inlineStr">
        <is>
          <t>$3,925</t>
        </is>
      </c>
      <c r="N8" s="33" t="inlineStr">
        <is>
          <t>$4,710</t>
        </is>
      </c>
      <c r="O8" s="30" t="inlineStr">
        <is>
          <t>$1,580</t>
        </is>
      </c>
      <c r="P8" s="31" t="inlineStr">
        <is>
          <t>Not Listed</t>
        </is>
      </c>
      <c r="Q8" s="33" t="inlineStr">
        <is>
          <t>75</t>
        </is>
      </c>
      <c r="R8" s="33" t="inlineStr">
        <is>
          <t>1998</t>
        </is>
      </c>
      <c r="S8" s="33" t="inlineStr">
        <is>
          <t>0</t>
        </is>
      </c>
      <c r="T8" s="33" t="inlineStr">
        <is>
          <t>Yes</t>
        </is>
      </c>
      <c r="U8" s="33" t="inlineStr">
        <is>
          <t>No</t>
        </is>
      </c>
      <c r="V8" s="33" t="inlineStr">
        <is>
          <t>No</t>
        </is>
      </c>
      <c r="W8" s="33" t="inlineStr">
        <is>
          <t>No</t>
        </is>
      </c>
      <c r="X8" s="33" t="inlineStr">
        <is>
          <t>No</t>
        </is>
      </c>
      <c r="Y8" s="35" t="inlineStr">
        <is>
          <t>HIGH</t>
        </is>
      </c>
      <c r="Z8" s="34" t="inlineStr">
        <is>
          <t>Affordable Comp #2: LIHTC property, 1998 vintage (0 yr diff), 75 units, 12.2 mi from subject. Same income-eligible renter pool.</t>
        </is>
      </c>
      <c r="AA8" s="33" t="inlineStr">
        <is>
          <t>HUD LIHTC Database (huduser.gov)</t>
        </is>
      </c>
    </row>
    <row r="9" ht="54.75" customFormat="1" customHeight="1" s="3">
      <c r="A9" s="36" t="inlineStr">
        <is>
          <t>3</t>
        </is>
      </c>
      <c r="B9" s="36" t="inlineStr">
        <is>
          <t>AFFORDABLE</t>
        </is>
      </c>
      <c r="C9" s="37" t="inlineStr">
        <is>
          <t>Brentwood Garden Apts</t>
        </is>
      </c>
      <c r="D9" s="36" t="inlineStr">
        <is>
          <t>180 Sycamore Ave</t>
        </is>
      </c>
      <c r="E9" s="36" t="inlineStr">
        <is>
          <t>Brentwood</t>
        </is>
      </c>
      <c r="F9" s="36" t="inlineStr">
        <is>
          <t>CA</t>
        </is>
      </c>
      <c r="G9" s="36" t="inlineStr">
        <is>
          <t>94513</t>
        </is>
      </c>
      <c r="H9" s="36" t="inlineStr">
        <is>
          <t>21.9 mi</t>
        </is>
      </c>
      <c r="I9" s="36" t="inlineStr">
        <is>
          <t>$3,270</t>
        </is>
      </c>
      <c r="J9" s="36" t="inlineStr">
        <is>
          <t>$3,925</t>
        </is>
      </c>
      <c r="K9" s="30" t="inlineStr">
        <is>
          <t>$1,155</t>
        </is>
      </c>
      <c r="L9" s="31" t="inlineStr">
        <is>
          <t>Not Listed</t>
        </is>
      </c>
      <c r="M9" s="36" t="inlineStr">
        <is>
          <t>$3,925</t>
        </is>
      </c>
      <c r="N9" s="36" t="inlineStr">
        <is>
          <t>$4,710</t>
        </is>
      </c>
      <c r="O9" s="30" t="inlineStr">
        <is>
          <t>$1,580</t>
        </is>
      </c>
      <c r="P9" s="31" t="inlineStr">
        <is>
          <t>Not Listed</t>
        </is>
      </c>
      <c r="Q9" s="36" t="inlineStr">
        <is>
          <t>80</t>
        </is>
      </c>
      <c r="R9" s="36" t="inlineStr">
        <is>
          <t>1998</t>
        </is>
      </c>
      <c r="S9" s="36" t="inlineStr">
        <is>
          <t>0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38" t="inlineStr">
        <is>
          <t>MODERATE-HIGH</t>
        </is>
      </c>
      <c r="Z9" s="37" t="inlineStr">
        <is>
          <t>Affordable Comp #3: LIHTC property, 1998 vintage (0 yr diff), 80 units, 21.9 mi from subject. Same income-eligible renter pool.</t>
        </is>
      </c>
      <c r="AA9" s="36" t="inlineStr">
        <is>
          <t>HUD LIHTC Database (huduser.gov)</t>
        </is>
      </c>
    </row>
    <row r="10" ht="54.75" customFormat="1" customHeight="1" s="3">
      <c r="A10" s="28" t="inlineStr">
        <is>
          <t>4</t>
        </is>
      </c>
      <c r="B10" s="28" t="inlineStr">
        <is>
          <t>AFFORDABLE</t>
        </is>
      </c>
      <c r="C10" s="29" t="inlineStr">
        <is>
          <t>Brentwood Park Apts</t>
        </is>
      </c>
      <c r="D10" s="28" t="inlineStr">
        <is>
          <t>160 Sycamore Ave</t>
        </is>
      </c>
      <c r="E10" s="28" t="inlineStr">
        <is>
          <t>Brentwood</t>
        </is>
      </c>
      <c r="F10" s="28" t="inlineStr">
        <is>
          <t>CA</t>
        </is>
      </c>
      <c r="G10" s="28" t="inlineStr">
        <is>
          <t>94513</t>
        </is>
      </c>
      <c r="H10" s="28" t="inlineStr">
        <is>
          <t>22.0 mi</t>
        </is>
      </c>
      <c r="I10" s="28" t="inlineStr">
        <is>
          <t>$3,270</t>
        </is>
      </c>
      <c r="J10" s="28" t="inlineStr">
        <is>
          <t>$3,925</t>
        </is>
      </c>
      <c r="K10" s="30" t="inlineStr">
        <is>
          <t>$1,155</t>
        </is>
      </c>
      <c r="L10" s="31" t="inlineStr">
        <is>
          <t>Not Listed</t>
        </is>
      </c>
      <c r="M10" s="28" t="inlineStr">
        <is>
          <t>$3,925</t>
        </is>
      </c>
      <c r="N10" s="28" t="inlineStr">
        <is>
          <t>$4,710</t>
        </is>
      </c>
      <c r="O10" s="30" t="inlineStr">
        <is>
          <t>$1,580</t>
        </is>
      </c>
      <c r="P10" s="31" t="inlineStr">
        <is>
          <t>Not Listed</t>
        </is>
      </c>
      <c r="Q10" s="28" t="inlineStr">
        <is>
          <t>80</t>
        </is>
      </c>
      <c r="R10" s="28" t="inlineStr">
        <is>
          <t>1997</t>
        </is>
      </c>
      <c r="S10" s="28" t="inlineStr">
        <is>
          <t>1</t>
        </is>
      </c>
      <c r="T10" s="28" t="inlineStr">
        <is>
          <t>Yes</t>
        </is>
      </c>
      <c r="U10" s="28" t="inlineStr">
        <is>
          <t>No</t>
        </is>
      </c>
      <c r="V10" s="28" t="inlineStr">
        <is>
          <t>No</t>
        </is>
      </c>
      <c r="W10" s="28" t="inlineStr">
        <is>
          <t>No</t>
        </is>
      </c>
      <c r="X10" s="28" t="inlineStr">
        <is>
          <t>No</t>
        </is>
      </c>
      <c r="Y10" s="78" t="inlineStr">
        <is>
          <t>MODERATE-HIGH</t>
        </is>
      </c>
      <c r="Z10" s="29" t="inlineStr">
        <is>
          <t>Affordable Comp #4: LIHTC property, 1997 vintage (1 yr diff), 80 units, 22.0 mi from subject. Same income-eligible renter pool.</t>
        </is>
      </c>
      <c r="AA10" s="28" t="inlineStr">
        <is>
          <t>HUD LIHTC Database (huduser.gov)</t>
        </is>
      </c>
    </row>
    <row r="11" ht="54.75" customFormat="1" customHeight="1" s="3">
      <c r="A11" s="39" t="inlineStr">
        <is>
          <t>1</t>
        </is>
      </c>
      <c r="B11" s="39" t="inlineStr">
        <is>
          <t>MARKET RATE</t>
        </is>
      </c>
      <c r="C11" s="40" t="inlineStr">
        <is>
          <t>Brookside Apartments</t>
        </is>
      </c>
      <c r="D11" s="39" t="inlineStr">
        <is>
          <t>2800 W Benjamin Holt Dr, Stockton, CA 95207</t>
        </is>
      </c>
      <c r="E11" s="39" t="inlineStr">
        <is>
          <t>Stockton</t>
        </is>
      </c>
      <c r="F11" s="39" t="inlineStr">
        <is>
          <t>CA</t>
        </is>
      </c>
      <c r="G11" s="39" t="n"/>
      <c r="H11" s="39" t="inlineStr">
        <is>
          <t>3.8 mi</t>
        </is>
      </c>
      <c r="I11" s="39" t="inlineStr">
        <is>
          <t>N/A (Market Rate)</t>
        </is>
      </c>
      <c r="J11" s="39" t="inlineStr">
        <is>
          <t>N/A (Market Rate)</t>
        </is>
      </c>
      <c r="K11" s="30" t="inlineStr">
        <is>
          <t>$1,155</t>
        </is>
      </c>
      <c r="L11" s="31" t="inlineStr">
        <is>
          <t>Not Listed</t>
        </is>
      </c>
      <c r="M11" s="39" t="inlineStr">
        <is>
          <t>N/A (Market Rate)</t>
        </is>
      </c>
      <c r="N11" s="39" t="inlineStr">
        <is>
          <t>N/A (Market Rate)</t>
        </is>
      </c>
      <c r="O11" s="30" t="inlineStr">
        <is>
          <t>$1,580</t>
        </is>
      </c>
      <c r="P11" s="31" t="inlineStr">
        <is>
          <t>$1,550</t>
        </is>
      </c>
      <c r="Q11" s="39" t="inlineStr">
        <is>
          <t>180</t>
        </is>
      </c>
      <c r="R11" s="39" t="inlineStr">
        <is>
          <t>1999</t>
        </is>
      </c>
      <c r="S11" s="39" t="inlineStr">
        <is>
          <t>1</t>
        </is>
      </c>
      <c r="T11" s="39" t="inlineStr">
        <is>
          <t>Varies</t>
        </is>
      </c>
      <c r="U11" s="39" t="inlineStr">
        <is>
          <t>Varies</t>
        </is>
      </c>
      <c r="V11" s="39" t="inlineStr">
        <is>
          <t>Varies</t>
        </is>
      </c>
      <c r="W11" s="39" t="inlineStr">
        <is>
          <t>Varies</t>
        </is>
      </c>
      <c r="X11" s="39" t="inlineStr">
        <is>
          <t>Varies</t>
        </is>
      </c>
      <c r="Y11" s="41" t="inlineStr">
        <is>
          <t>HIGH</t>
        </is>
      </c>
      <c r="Z11" s="40" t="inlineStr">
        <is>
          <t>Market Rate Comp #1: No income restrictions, 1999 vintage (1 yr diff), 180 units, 3.8 mi from subject. Shows market-rate rents vs. affordable housing discount.</t>
        </is>
      </c>
      <c r="AA11" s="39" t="inlineStr">
        <is>
          <t>https://www.rentcafe.com/apartments-for-rent/us/ca/stockton/brookside/</t>
        </is>
      </c>
    </row>
    <row r="12" ht="54.75" customFormat="1" customHeight="1" s="3">
      <c r="A12" s="42" t="inlineStr">
        <is>
          <t>2</t>
        </is>
      </c>
      <c r="B12" s="42" t="inlineStr">
        <is>
          <t>MARKET RATE</t>
        </is>
      </c>
      <c r="C12" s="43" t="inlineStr">
        <is>
          <t>Quail Lakes Apartments</t>
        </is>
      </c>
      <c r="D12" s="42" t="inlineStr">
        <is>
          <t>3600 Country Club Blvd, Stockton, CA 95204</t>
        </is>
      </c>
      <c r="E12" s="42" t="inlineStr">
        <is>
          <t>Stockton</t>
        </is>
      </c>
      <c r="F12" s="42" t="inlineStr">
        <is>
          <t>CA</t>
        </is>
      </c>
      <c r="G12" s="42" t="n"/>
      <c r="H12" s="42" t="inlineStr">
        <is>
          <t>5.2 mi</t>
        </is>
      </c>
      <c r="I12" s="42" t="inlineStr">
        <is>
          <t>N/A (Market Rate)</t>
        </is>
      </c>
      <c r="J12" s="42" t="inlineStr">
        <is>
          <t>N/A (Market Rate)</t>
        </is>
      </c>
      <c r="K12" s="30" t="inlineStr">
        <is>
          <t>$1,155</t>
        </is>
      </c>
      <c r="L12" s="31" t="inlineStr">
        <is>
          <t>Not Listed</t>
        </is>
      </c>
      <c r="M12" s="42" t="inlineStr">
        <is>
          <t>N/A (Market Rate)</t>
        </is>
      </c>
      <c r="N12" s="42" t="inlineStr">
        <is>
          <t>N/A (Market Rate)</t>
        </is>
      </c>
      <c r="O12" s="30" t="inlineStr">
        <is>
          <t>$1,580</t>
        </is>
      </c>
      <c r="P12" s="31" t="inlineStr">
        <is>
          <t>$1,495</t>
        </is>
      </c>
      <c r="Q12" s="42" t="inlineStr">
        <is>
          <t>144</t>
        </is>
      </c>
      <c r="R12" s="42" t="inlineStr">
        <is>
          <t>1996</t>
        </is>
      </c>
      <c r="S12" s="42" t="inlineStr">
        <is>
          <t>2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#2: No income restrictions, 1996 vintage (2 yr diff), 144 units, 5.2 mi from subject. Shows market-rate rents vs. affordable housing discount.</t>
        </is>
      </c>
      <c r="AA12" s="42" t="inlineStr">
        <is>
          <t>https://www.rentcafe.com/apartments-for-rent/us/ca/stockton/</t>
        </is>
      </c>
    </row>
    <row r="13" ht="54.75" customFormat="1" customHeight="1" s="3">
      <c r="A13" s="45" t="inlineStr">
        <is>
          <t>3</t>
        </is>
      </c>
      <c r="B13" s="45" t="inlineStr">
        <is>
          <t>MARKET RATE</t>
        </is>
      </c>
      <c r="C13" s="46" t="inlineStr">
        <is>
          <t>Lincoln Village Apartments</t>
        </is>
      </c>
      <c r="D13" s="45" t="inlineStr">
        <is>
          <t>4800 Lincoln Rd, Stockton, CA 95207</t>
        </is>
      </c>
      <c r="E13" s="45" t="inlineStr">
        <is>
          <t>Stockton</t>
        </is>
      </c>
      <c r="F13" s="45" t="inlineStr">
        <is>
          <t>CA</t>
        </is>
      </c>
      <c r="G13" s="45" t="n"/>
      <c r="H13" s="45" t="inlineStr">
        <is>
          <t>5.8 mi</t>
        </is>
      </c>
      <c r="I13" s="45" t="inlineStr">
        <is>
          <t>N/A (Market Rate)</t>
        </is>
      </c>
      <c r="J13" s="45" t="inlineStr">
        <is>
          <t>N/A (Market Rate)</t>
        </is>
      </c>
      <c r="K13" s="30" t="inlineStr">
        <is>
          <t>$1,155</t>
        </is>
      </c>
      <c r="L13" s="31" t="inlineStr">
        <is>
          <t>Not Listed</t>
        </is>
      </c>
      <c r="M13" s="45" t="inlineStr">
        <is>
          <t>N/A (Market Rate)</t>
        </is>
      </c>
      <c r="N13" s="45" t="inlineStr">
        <is>
          <t>N/A (Market Rate)</t>
        </is>
      </c>
      <c r="O13" s="30" t="inlineStr">
        <is>
          <t>$1,580</t>
        </is>
      </c>
      <c r="P13" s="31" t="inlineStr">
        <is>
          <t>$1,600</t>
        </is>
      </c>
      <c r="Q13" s="45" t="inlineStr">
        <is>
          <t>200</t>
        </is>
      </c>
      <c r="R13" s="45" t="inlineStr">
        <is>
          <t>2000</t>
        </is>
      </c>
      <c r="S13" s="45" t="inlineStr">
        <is>
          <t>2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#3: No income restrictions, 2000 vintage (2 yr diff), 200 units, 5.8 mi from subject. Shows market-rate rents vs. affordable housing discount.</t>
        </is>
      </c>
      <c r="AA13" s="45" t="inlineStr">
        <is>
          <t>https://www.rentcafe.com/apartments-for-rent/us/ca/stockton/</t>
        </is>
      </c>
    </row>
    <row r="14" ht="54.75" customFormat="1" customHeight="1" s="3">
      <c r="A14" s="39" t="inlineStr">
        <is>
          <t>4</t>
        </is>
      </c>
      <c r="B14" s="39" t="inlineStr">
        <is>
          <t>MARKET RATE</t>
        </is>
      </c>
      <c r="C14" s="40" t="inlineStr">
        <is>
          <t>Stockton Crossings Apartments</t>
        </is>
      </c>
      <c r="D14" s="39" t="inlineStr">
        <is>
          <t>1800 E Hammer Ln, Stockton, CA 95210</t>
        </is>
      </c>
      <c r="E14" s="39" t="inlineStr">
        <is>
          <t>Stockton</t>
        </is>
      </c>
      <c r="F14" s="39" t="inlineStr">
        <is>
          <t>CA</t>
        </is>
      </c>
      <c r="G14" s="39" t="n"/>
      <c r="H14" s="39" t="inlineStr">
        <is>
          <t>6.8 mi</t>
        </is>
      </c>
      <c r="I14" s="39" t="inlineStr">
        <is>
          <t>N/A (Market Rate)</t>
        </is>
      </c>
      <c r="J14" s="39" t="inlineStr">
        <is>
          <t>N/A (Market Rate)</t>
        </is>
      </c>
      <c r="K14" s="30" t="inlineStr">
        <is>
          <t>$1,155</t>
        </is>
      </c>
      <c r="L14" s="31" t="inlineStr">
        <is>
          <t>Not Listed</t>
        </is>
      </c>
      <c r="M14" s="39" t="inlineStr">
        <is>
          <t>N/A (Market Rate)</t>
        </is>
      </c>
      <c r="N14" s="39" t="inlineStr">
        <is>
          <t>N/A (Market Rate)</t>
        </is>
      </c>
      <c r="O14" s="30" t="inlineStr">
        <is>
          <t>$1,580</t>
        </is>
      </c>
      <c r="P14" s="31" t="inlineStr">
        <is>
          <t>$1,525</t>
        </is>
      </c>
      <c r="Q14" s="39" t="inlineStr">
        <is>
          <t>120</t>
        </is>
      </c>
      <c r="R14" s="39" t="inlineStr">
        <is>
          <t>1997</t>
        </is>
      </c>
      <c r="S14" s="39" t="inlineStr">
        <is>
          <t>1</t>
        </is>
      </c>
      <c r="T14" s="39" t="inlineStr">
        <is>
          <t>Varies</t>
        </is>
      </c>
      <c r="U14" s="39" t="inlineStr">
        <is>
          <t>Varies</t>
        </is>
      </c>
      <c r="V14" s="39" t="inlineStr">
        <is>
          <t>Varies</t>
        </is>
      </c>
      <c r="W14" s="39" t="inlineStr">
        <is>
          <t>Varies</t>
        </is>
      </c>
      <c r="X14" s="39" t="inlineStr">
        <is>
          <t>Varies</t>
        </is>
      </c>
      <c r="Y14" s="41" t="inlineStr">
        <is>
          <t>HIGH</t>
        </is>
      </c>
      <c r="Z14" s="40" t="inlineStr">
        <is>
          <t>Market Rate Comp #4: No income restrictions, 1997 vintage (1 yr diff), 120 units, 6.8 mi from subject. Shows market-rate rents vs. affordable housing discount.</t>
        </is>
      </c>
      <c r="AA14" s="39" t="inlineStr">
        <is>
          <t>https://www.rentcafe.com/apartments-for-rent/us/ca/stockton/</t>
        </is>
      </c>
    </row>
    <row r="15" ht="54.75" customFormat="1" customHeight="1" s="3">
      <c r="A15" s="48" t="inlineStr">
        <is>
          <t>—</t>
        </is>
      </c>
      <c r="B15" s="48" t="inlineStr">
        <is>
          <t>BENCHMARK</t>
        </is>
      </c>
      <c r="C15" s="49" t="inlineStr">
        <is>
          <t>FY2026 FMR — Stockton-Lodi MSA</t>
        </is>
      </c>
      <c r="D15" s="48" t="inlineStr">
        <is>
          <t>N/A</t>
        </is>
      </c>
      <c r="E15" s="48" t="inlineStr">
        <is>
          <t>Stockton</t>
        </is>
      </c>
      <c r="F15" s="48" t="inlineStr">
        <is>
          <t>CA</t>
        </is>
      </c>
      <c r="G15" s="48" t="inlineStr">
        <is>
          <t>N/A</t>
        </is>
      </c>
      <c r="H15" s="48" t="inlineStr">
        <is>
          <t>N/A</t>
        </is>
      </c>
      <c r="I15" s="48" t="inlineStr">
        <is>
          <t>$1,155</t>
        </is>
      </c>
      <c r="J15" s="48" t="inlineStr">
        <is>
          <t>$1,155</t>
        </is>
      </c>
      <c r="K15" s="30" t="inlineStr">
        <is>
          <t>$1,155</t>
        </is>
      </c>
      <c r="L15" s="31" t="inlineStr">
        <is>
          <t>N/A</t>
        </is>
      </c>
      <c r="M15" s="48" t="inlineStr">
        <is>
          <t>$1,580</t>
        </is>
      </c>
      <c r="N15" s="48" t="inlineStr">
        <is>
          <t>$1,580</t>
        </is>
      </c>
      <c r="O15" s="30" t="inlineStr">
        <is>
          <t>$1,580</t>
        </is>
      </c>
      <c r="P15" s="31" t="inlineStr">
        <is>
          <t>N/A</t>
        </is>
      </c>
      <c r="Q15" s="48" t="inlineStr">
        <is>
          <t>N/A</t>
        </is>
      </c>
      <c r="R15" s="48" t="inlineStr">
        <is>
          <t>N/A</t>
        </is>
      </c>
      <c r="S15" s="48" t="inlineStr">
        <is>
          <t>N/A</t>
        </is>
      </c>
      <c r="T15" s="48" t="inlineStr">
        <is>
          <t>N/A</t>
        </is>
      </c>
      <c r="U15" s="48" t="inlineStr">
        <is>
          <t>N/A</t>
        </is>
      </c>
      <c r="V15" s="48" t="inlineStr">
        <is>
          <t>N/A</t>
        </is>
      </c>
      <c r="W15" s="48" t="inlineStr">
        <is>
          <t>N/A</t>
        </is>
      </c>
      <c r="X15" s="48" t="inlineStr">
        <is>
          <t>N/A</t>
        </is>
      </c>
      <c r="Y15" s="50" t="inlineStr">
        <is>
          <t>BENCHMARK</t>
        </is>
      </c>
      <c r="Z15" s="49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5" s="48" t="inlineStr">
        <is>
          <t>HUD FMR Database (huduser.gov)</t>
        </is>
      </c>
    </row>
    <row r="16" ht="54.75" customFormat="1" customHeight="1" s="3">
      <c r="A16" s="48" t="inlineStr">
        <is>
          <t>—</t>
        </is>
      </c>
      <c r="B16" s="48" t="inlineStr">
        <is>
          <t>BENCHMARK</t>
        </is>
      </c>
      <c r="C16" s="49" t="inlineStr">
        <is>
          <t>Metro Market Avg — Stockton</t>
        </is>
      </c>
      <c r="D16" s="48" t="inlineStr">
        <is>
          <t>N/A</t>
        </is>
      </c>
      <c r="E16" s="48" t="inlineStr">
        <is>
          <t>Stockton</t>
        </is>
      </c>
      <c r="F16" s="48" t="inlineStr">
        <is>
          <t>CA</t>
        </is>
      </c>
      <c r="G16" s="48" t="inlineStr">
        <is>
          <t>N/A</t>
        </is>
      </c>
      <c r="H16" s="48" t="inlineStr">
        <is>
          <t>N/A</t>
        </is>
      </c>
      <c r="I16" s="48" t="inlineStr">
        <is>
          <t>$1,270</t>
        </is>
      </c>
      <c r="J16" s="48" t="inlineStr">
        <is>
          <t>$1,270</t>
        </is>
      </c>
      <c r="K16" s="30" t="inlineStr">
        <is>
          <t>$1,270</t>
        </is>
      </c>
      <c r="L16" s="31" t="inlineStr">
        <is>
          <t>N/A</t>
        </is>
      </c>
      <c r="M16" s="48" t="inlineStr">
        <is>
          <t>$1,738</t>
        </is>
      </c>
      <c r="N16" s="48" t="inlineStr">
        <is>
          <t>$1,738</t>
        </is>
      </c>
      <c r="O16" s="30" t="inlineStr">
        <is>
          <t>$1,738</t>
        </is>
      </c>
      <c r="P16" s="31" t="inlineStr">
        <is>
          <t>N/A</t>
        </is>
      </c>
      <c r="Q16" s="48" t="inlineStr">
        <is>
          <t>N/A</t>
        </is>
      </c>
      <c r="R16" s="48" t="inlineStr">
        <is>
          <t>N/A</t>
        </is>
      </c>
      <c r="S16" s="48" t="inlineStr">
        <is>
          <t>N/A</t>
        </is>
      </c>
      <c r="T16" s="48" t="inlineStr">
        <is>
          <t>N/A</t>
        </is>
      </c>
      <c r="U16" s="48" t="inlineStr">
        <is>
          <t>N/A</t>
        </is>
      </c>
      <c r="V16" s="48" t="inlineStr">
        <is>
          <t>N/A</t>
        </is>
      </c>
      <c r="W16" s="48" t="inlineStr">
        <is>
          <t>N/A</t>
        </is>
      </c>
      <c r="X16" s="48" t="inlineStr">
        <is>
          <t>N/A</t>
        </is>
      </c>
      <c r="Y16" s="50" t="inlineStr">
        <is>
          <t>BENCHMARK</t>
        </is>
      </c>
      <c r="Z16" s="49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6" s="48" t="inlineStr">
        <is>
          <t>HUD FMR + Market Estimate</t>
        </is>
      </c>
    </row>
    <row r="17" ht="8.25" customFormat="1" customHeight="1" s="3"/>
    <row r="18" ht="27.75" customFormat="1" customHeight="1" s="3">
      <c r="A18" s="51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 ht="15" customHeight="1" s="95">
      <c r="C20" s="86" t="inlineStr">
        <is>
          <t>60% AMI</t>
        </is>
      </c>
      <c r="D20" s="86" t="inlineStr">
        <is>
          <t>UAP</t>
        </is>
      </c>
      <c r="E20" s="86" t="inlineStr">
        <is>
          <t>Rent</t>
        </is>
      </c>
      <c r="F20" s="86" t="n"/>
    </row>
    <row r="21" ht="15" customHeight="1" s="95">
      <c r="B21" s="3" t="n">
        <v>1</v>
      </c>
      <c r="C21" s="86" t="n">
        <v>1177</v>
      </c>
      <c r="D21" s="86" t="n">
        <v>152</v>
      </c>
      <c r="E21" s="86" t="n">
        <v>1025</v>
      </c>
      <c r="F21" s="86" t="n"/>
    </row>
    <row r="22" ht="15" customHeight="1" s="95">
      <c r="B22" s="3" t="n">
        <v>2</v>
      </c>
      <c r="C22" s="86" t="n">
        <v>1413</v>
      </c>
      <c r="D22" s="86" t="n">
        <v>193</v>
      </c>
      <c r="E22" s="86" t="n">
        <v>1220</v>
      </c>
      <c r="F22" s="86" t="n"/>
    </row>
    <row r="25" ht="15" customHeight="1" s="95">
      <c r="A25" s="61" t="inlineStr">
        <is>
          <t>PMTS — Vouchers / FMR / UAP / NET FMR</t>
        </is>
      </c>
      <c r="B25" s="101" t="n"/>
      <c r="C25" s="101" t="n"/>
      <c r="D25" s="101" t="n"/>
      <c r="E25" s="101" t="n"/>
      <c r="F25" s="102" t="n"/>
    </row>
    <row r="26" ht="15" customHeight="1" s="95">
      <c r="A26" s="64" t="inlineStr">
        <is>
          <t>BD</t>
        </is>
      </c>
      <c r="B26" s="65" t="inlineStr">
        <is>
          <t>MKT</t>
        </is>
      </c>
      <c r="C26" s="66" t="inlineStr">
        <is>
          <t>VCH</t>
        </is>
      </c>
      <c r="D26" s="67" t="inlineStr">
        <is>
          <t>FMR</t>
        </is>
      </c>
      <c r="E26" s="68" t="inlineStr">
        <is>
          <t>UAP</t>
        </is>
      </c>
      <c r="F26" s="69" t="inlineStr">
        <is>
          <t>NET</t>
        </is>
      </c>
    </row>
    <row r="27" ht="15" customHeight="1" s="95">
      <c r="A27" s="70" t="inlineStr">
        <is>
          <t>1BD</t>
        </is>
      </c>
      <c r="B27" s="71" t="n">
        <v>0</v>
      </c>
      <c r="C27" s="71" t="n">
        <v>1260</v>
      </c>
      <c r="D27" s="71" t="n">
        <v>1200</v>
      </c>
      <c r="E27" s="72" t="n">
        <v>192</v>
      </c>
      <c r="F27" s="73" t="n">
        <v>1008</v>
      </c>
    </row>
    <row r="28" ht="15" customHeight="1" s="95">
      <c r="A28" s="74" t="inlineStr">
        <is>
          <t>2BD</t>
        </is>
      </c>
      <c r="B28" s="75" t="n">
        <v>0</v>
      </c>
      <c r="C28" s="75" t="n">
        <v>1607</v>
      </c>
      <c r="D28" s="75" t="n">
        <v>1530</v>
      </c>
      <c r="E28" s="72" t="n">
        <v>251</v>
      </c>
      <c r="F28" s="73" t="n">
        <v>1279</v>
      </c>
    </row>
    <row r="31" ht="15" customHeight="1" s="95">
      <c r="A31" s="61" t="inlineStr">
        <is>
          <t>LIHTC, UAP, NET</t>
        </is>
      </c>
      <c r="B31" s="101" t="n"/>
      <c r="C31" s="101" t="n"/>
      <c r="D31" s="101" t="n"/>
      <c r="E31" s="102" t="n"/>
    </row>
    <row r="32" ht="15" customHeight="1" s="95">
      <c r="A32" s="64" t="n"/>
      <c r="B32" s="65" t="inlineStr">
        <is>
          <t>LIHTC/MKT</t>
        </is>
      </c>
      <c r="C32" s="67" t="inlineStr">
        <is>
          <t>60%</t>
        </is>
      </c>
      <c r="D32" s="68" t="inlineStr">
        <is>
          <t>UAP</t>
        </is>
      </c>
      <c r="E32" s="69" t="inlineStr">
        <is>
          <t>NET</t>
        </is>
      </c>
    </row>
    <row r="33" ht="15" customHeight="1" s="95">
      <c r="A33" s="70" t="inlineStr">
        <is>
          <t>1BD</t>
        </is>
      </c>
      <c r="B33" s="71" t="n">
        <v>1177</v>
      </c>
      <c r="C33" s="71" t="n">
        <v>985</v>
      </c>
      <c r="D33" s="72" t="n">
        <v>192</v>
      </c>
      <c r="E33" s="73" t="n">
        <v>793</v>
      </c>
    </row>
    <row r="34" ht="15" customHeight="1" s="95">
      <c r="A34" s="74" t="inlineStr">
        <is>
          <t>2BD</t>
        </is>
      </c>
      <c r="B34" s="75" t="n">
        <v>1413</v>
      </c>
      <c r="C34" s="75" t="n">
        <v>1162</v>
      </c>
      <c r="D34" s="72" t="n">
        <v>251</v>
      </c>
      <c r="E34" s="73" t="n">
        <v>911</v>
      </c>
    </row>
    <row r="37" ht="15" customHeight="1" s="95">
      <c r="A37" s="61" t="inlineStr">
        <is>
          <t>HAP, CoStar, NET</t>
        </is>
      </c>
      <c r="B37" s="101" t="n"/>
      <c r="C37" s="102" t="n"/>
    </row>
    <row r="38" ht="15" customHeight="1" s="95">
      <c r="A38" s="64" t="n"/>
      <c r="B38" s="68" t="inlineStr">
        <is>
          <t>HAP</t>
        </is>
      </c>
      <c r="C38" s="65" t="inlineStr">
        <is>
          <t>CoStar</t>
        </is>
      </c>
    </row>
    <row r="39" ht="15" customHeight="1" s="95">
      <c r="A39" s="70" t="inlineStr">
        <is>
          <t>1BD</t>
        </is>
      </c>
      <c r="B39" s="103" t="n">
        <v>0</v>
      </c>
      <c r="C39" s="104" t="n">
        <v>1261</v>
      </c>
    </row>
    <row r="40" ht="15" customHeight="1" s="95">
      <c r="A40" s="74" t="inlineStr">
        <is>
          <t>2BD</t>
        </is>
      </c>
      <c r="B40" s="103" t="n">
        <v>0</v>
      </c>
      <c r="C40" s="104" t="n">
        <v>1442</v>
      </c>
    </row>
  </sheetData>
  <mergeCells count="7">
    <mergeCell ref="A18:AA18"/>
    <mergeCell ref="A4:AA4"/>
    <mergeCell ref="A3:AA3"/>
    <mergeCell ref="A37:C37"/>
    <mergeCell ref="A2:AA2"/>
    <mergeCell ref="A31:E31"/>
    <mergeCell ref="A25:F25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43"/>
  <sheetViews>
    <sheetView topLeftCell="A1" workbookViewId="0">
      <pane ySplit="1" topLeftCell="A5" activePane="bottomLeft" state="frozen"/>
      <selection pane="bottomLeft" activeCell="A1" sqref="A1:AE1"/>
    </sheetView>
  </sheetViews>
  <sheetFormatPr baseColWidth="8" defaultColWidth="9.140625" defaultRowHeight="15" customHeight="1"/>
  <cols>
    <col width="8.00390625" customWidth="1" style="3" min="1" max="1"/>
    <col width="14.00390625" customWidth="1" style="3" min="2" max="2"/>
    <col width="28.00390625" customWidth="1" style="3" min="3" max="3"/>
    <col width="22.00390625" customWidth="1" style="3" min="4" max="4"/>
    <col width="16.00390625" customWidth="1" style="3" min="5" max="5"/>
    <col width="10.00390625" customWidth="1" style="3" min="6" max="6"/>
    <col width="8.00390625" customWidth="1" style="3" min="7" max="7"/>
    <col width="11.00390625" customWidth="1" style="3" min="8" max="8"/>
    <col width="10.00390625" customWidth="1" style="3" min="9" max="11"/>
    <col width="12.00390625" customWidth="1" style="3" min="12" max="12"/>
    <col width="10.00390625" customWidth="1" style="3" min="13" max="15"/>
    <col width="12.00390625" customWidth="1" style="3" min="16" max="16"/>
    <col width="10.00390625" customWidth="1" style="3" min="17" max="19"/>
    <col width="12.00390625" customWidth="1" style="3" min="20" max="20"/>
    <col width="8.00390625" customWidth="1" style="3" min="21" max="21"/>
    <col width="10.00390625" customWidth="1" style="3" min="22" max="22"/>
    <col width="7.00390625" customWidth="1" style="3" min="23" max="23"/>
    <col width="12.00390625" customWidth="1" style="3" min="24" max="25"/>
    <col width="8.00390625" customWidth="1" style="3" min="26" max="27"/>
    <col width="10.00390625" customWidth="1" style="3" min="28" max="28"/>
    <col width="16.00390625" customWidth="1" style="3" min="29" max="29"/>
    <col width="45.00390625" customWidth="1" style="3" min="30" max="30"/>
    <col width="28.00390625" customWidth="1" style="3" min="31" max="31"/>
  </cols>
  <sheetData>
    <row r="1" ht="15" customHeight="1" s="95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</row>
    <row r="2" ht="24" customFormat="1" customHeight="1" s="3">
      <c r="A2" s="17" t="inlineStr">
        <is>
          <t>COMPETITIVE RENT ANALYSIS — COLUMBIA VILLAGE | GREEN = Affordable Comps | BLUE = Market Rate Comps</t>
        </is>
      </c>
    </row>
    <row r="3" ht="20.25" customFormat="1" customHeight="1" s="3">
      <c r="A3" s="18" t="inlineStr">
        <is>
          <t>SUBJECT: Columbia Village | 11299 Columbia Village Dr, Sonora, CA 95370 | 80 units | Program: LIHTC | Bedroom Mix: 1BR / 2BR / 3BR | County AMI: $101,600 | FMR Area: Tuolumne County, CA</t>
        </is>
      </c>
    </row>
    <row r="4" ht="90" customFormat="1" customHeight="1" s="3">
      <c r="A4" s="19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5" ht="30" customFormat="1" customHeight="1" s="3">
      <c r="A5" s="20" t="inlineStr">
        <is>
          <t>Rank</t>
        </is>
      </c>
      <c r="B5" s="20" t="inlineStr">
        <is>
          <t>Type</t>
        </is>
      </c>
      <c r="C5" s="20" t="inlineStr">
        <is>
          <t>Property Name</t>
        </is>
      </c>
      <c r="D5" s="20" t="inlineStr">
        <is>
          <t>Address</t>
        </is>
      </c>
      <c r="E5" s="20" t="inlineStr">
        <is>
          <t>City</t>
        </is>
      </c>
      <c r="F5" s="20" t="inlineStr">
        <is>
          <t>State</t>
        </is>
      </c>
      <c r="G5" s="20" t="inlineStr">
        <is>
          <t>ZIP</t>
        </is>
      </c>
      <c r="H5" s="20" t="inlineStr">
        <is>
          <t>Distance (mi)</t>
        </is>
      </c>
      <c r="I5" s="20" t="inlineStr">
        <is>
          <t>1BR Low ($)</t>
        </is>
      </c>
      <c r="J5" s="20" t="inlineStr">
        <is>
          <t>1BR Mid ($)</t>
        </is>
      </c>
      <c r="K5" s="21" t="inlineStr">
        <is>
          <t>1BR FMR ($)</t>
        </is>
      </c>
      <c r="L5" s="22" t="inlineStr">
        <is>
          <t>1BR Actual ($)</t>
        </is>
      </c>
      <c r="M5" s="20" t="inlineStr">
        <is>
          <t>2BR Low ($)</t>
        </is>
      </c>
      <c r="N5" s="20" t="inlineStr">
        <is>
          <t>2BR Mid ($)</t>
        </is>
      </c>
      <c r="O5" s="21" t="inlineStr">
        <is>
          <t>2BR FMR ($)</t>
        </is>
      </c>
      <c r="P5" s="22" t="inlineStr">
        <is>
          <t>2BR Actual ($)</t>
        </is>
      </c>
      <c r="Q5" s="20" t="inlineStr">
        <is>
          <t>3BR Low ($)</t>
        </is>
      </c>
      <c r="R5" s="20" t="inlineStr">
        <is>
          <t>3BR Mid ($)</t>
        </is>
      </c>
      <c r="S5" s="21" t="inlineStr">
        <is>
          <t>3BR FMR ($)</t>
        </is>
      </c>
      <c r="T5" s="22" t="inlineStr">
        <is>
          <t>3BR Actual ($)</t>
        </is>
      </c>
      <c r="U5" s="20" t="inlineStr">
        <is>
          <t># Units</t>
        </is>
      </c>
      <c r="V5" s="20" t="inlineStr">
        <is>
          <t>Year Built</t>
        </is>
      </c>
      <c r="W5" s="20" t="inlineStr">
        <is>
          <t>Yr Diff</t>
        </is>
      </c>
      <c r="X5" s="20" t="inlineStr">
        <is>
          <t>Utilities Incl.</t>
        </is>
      </c>
      <c r="Y5" s="20" t="inlineStr">
        <is>
          <t>Pet Friendly</t>
        </is>
      </c>
      <c r="Z5" s="20" t="inlineStr">
        <is>
          <t>Gated</t>
        </is>
      </c>
      <c r="AA5" s="20" t="inlineStr">
        <is>
          <t>Pool</t>
        </is>
      </c>
      <c r="AB5" s="20" t="inlineStr">
        <is>
          <t>W/D In-Unit</t>
        </is>
      </c>
      <c r="AC5" s="20" t="inlineStr">
        <is>
          <t>Competition Level</t>
        </is>
      </c>
      <c r="AD5" s="20" t="inlineStr">
        <is>
          <t>Why Competitive</t>
        </is>
      </c>
      <c r="AE5" s="20" t="inlineStr">
        <is>
          <t>Data Source</t>
        </is>
      </c>
    </row>
    <row r="6" ht="54.75" customFormat="1" customHeight="1" s="3">
      <c r="A6" s="23" t="inlineStr">
        <is>
          <t>—</t>
        </is>
      </c>
      <c r="B6" s="23" t="inlineStr">
        <is>
          <t>SUBJECT</t>
        </is>
      </c>
      <c r="C6" s="24" t="inlineStr">
        <is>
          <t>Columbia Village (SUBJECT)</t>
        </is>
      </c>
      <c r="D6" s="23" t="inlineStr">
        <is>
          <t>11299 Columbia Village Dr</t>
        </is>
      </c>
      <c r="E6" s="23" t="inlineStr">
        <is>
          <t>Sonora</t>
        </is>
      </c>
      <c r="F6" s="23" t="inlineStr">
        <is>
          <t>CA</t>
        </is>
      </c>
      <c r="G6" s="23" t="inlineStr">
        <is>
          <t>95370</t>
        </is>
      </c>
      <c r="H6" s="23" t="inlineStr">
        <is>
          <t>0.0 mi</t>
        </is>
      </c>
      <c r="I6" s="23" t="inlineStr">
        <is>
          <t>$3,176</t>
        </is>
      </c>
      <c r="J6" s="23" t="inlineStr">
        <is>
          <t>$3,812</t>
        </is>
      </c>
      <c r="K6" s="25" t="inlineStr">
        <is>
          <t>$1,096</t>
        </is>
      </c>
      <c r="L6" s="26" t="inlineStr">
        <is>
          <t>N/A</t>
        </is>
      </c>
      <c r="M6" s="23" t="inlineStr">
        <is>
          <t>$3,812</t>
        </is>
      </c>
      <c r="N6" s="23" t="inlineStr">
        <is>
          <t>$4,575</t>
        </is>
      </c>
      <c r="O6" s="25" t="inlineStr">
        <is>
          <t>$1,500</t>
        </is>
      </c>
      <c r="P6" s="26" t="inlineStr">
        <is>
          <t>N/A</t>
        </is>
      </c>
      <c r="Q6" s="23" t="inlineStr">
        <is>
          <t>$4,233</t>
        </is>
      </c>
      <c r="R6" s="23" t="inlineStr">
        <is>
          <t>$5,080</t>
        </is>
      </c>
      <c r="S6" s="25" t="inlineStr">
        <is>
          <t>$1,970</t>
        </is>
      </c>
      <c r="T6" s="26" t="inlineStr">
        <is>
          <t>N/A</t>
        </is>
      </c>
      <c r="U6" s="23" t="inlineStr">
        <is>
          <t>80</t>
        </is>
      </c>
      <c r="V6" s="23" t="inlineStr">
        <is>
          <t>2000</t>
        </is>
      </c>
      <c r="W6" s="23" t="inlineStr">
        <is>
          <t>0</t>
        </is>
      </c>
      <c r="X6" s="23" t="inlineStr">
        <is>
          <t>No</t>
        </is>
      </c>
      <c r="Y6" s="23" t="inlineStr">
        <is>
          <t>No</t>
        </is>
      </c>
      <c r="Z6" s="23" t="inlineStr">
        <is>
          <t>No</t>
        </is>
      </c>
      <c r="AA6" s="23" t="inlineStr">
        <is>
          <t>No</t>
        </is>
      </c>
      <c r="AB6" s="23" t="inlineStr">
        <is>
          <t>No</t>
        </is>
      </c>
      <c r="AC6" s="27" t="inlineStr">
        <is>
          <t>SUBJECT</t>
        </is>
      </c>
      <c r="AD6" s="24" t="inlineStr">
        <is>
          <t>80 units | LIHTC property. Year built: 2000. Subject property for market context.</t>
        </is>
      </c>
      <c r="AE6" s="23" t="inlineStr">
        <is>
          <t>Apartment Corp Records</t>
        </is>
      </c>
    </row>
    <row r="7" ht="54.75" customFormat="1" customHeight="1" s="3">
      <c r="A7" s="28" t="inlineStr">
        <is>
          <t>1</t>
        </is>
      </c>
      <c r="B7" s="28" t="inlineStr">
        <is>
          <t>AFFORDABLE</t>
        </is>
      </c>
      <c r="C7" s="29" t="inlineStr">
        <is>
          <t>Oak Hills Apts</t>
        </is>
      </c>
      <c r="D7" s="28" t="inlineStr">
        <is>
          <t>10260 Preston Ln</t>
        </is>
      </c>
      <c r="E7" s="28" t="inlineStr">
        <is>
          <t>Jamestown</t>
        </is>
      </c>
      <c r="F7" s="28" t="inlineStr">
        <is>
          <t>CA</t>
        </is>
      </c>
      <c r="G7" s="28" t="inlineStr">
        <is>
          <t>95327</t>
        </is>
      </c>
      <c r="H7" s="28" t="inlineStr">
        <is>
          <t>3.1 mi</t>
        </is>
      </c>
      <c r="I7" s="28" t="inlineStr">
        <is>
          <t>$3,176</t>
        </is>
      </c>
      <c r="J7" s="28" t="inlineStr">
        <is>
          <t>$3,812</t>
        </is>
      </c>
      <c r="K7" s="30" t="inlineStr">
        <is>
          <t>$1,096</t>
        </is>
      </c>
      <c r="L7" s="31" t="inlineStr">
        <is>
          <t>Not Listed</t>
        </is>
      </c>
      <c r="M7" s="28" t="inlineStr">
        <is>
          <t>$3,812</t>
        </is>
      </c>
      <c r="N7" s="28" t="inlineStr">
        <is>
          <t>$4,575</t>
        </is>
      </c>
      <c r="O7" s="30" t="inlineStr">
        <is>
          <t>$1,500</t>
        </is>
      </c>
      <c r="P7" s="31" t="inlineStr">
        <is>
          <t>Not Listed</t>
        </is>
      </c>
      <c r="Q7" s="28" t="inlineStr">
        <is>
          <t>$4,233</t>
        </is>
      </c>
      <c r="R7" s="28" t="inlineStr">
        <is>
          <t>$5,080</t>
        </is>
      </c>
      <c r="S7" s="30" t="inlineStr">
        <is>
          <t>$1,970</t>
        </is>
      </c>
      <c r="T7" s="31" t="inlineStr">
        <is>
          <t>Not Listed</t>
        </is>
      </c>
      <c r="U7" s="28" t="inlineStr">
        <is>
          <t>80</t>
        </is>
      </c>
      <c r="V7" s="28" t="inlineStr">
        <is>
          <t>1998</t>
        </is>
      </c>
      <c r="W7" s="28" t="inlineStr">
        <is>
          <t>2</t>
        </is>
      </c>
      <c r="X7" s="28" t="inlineStr">
        <is>
          <t>Yes</t>
        </is>
      </c>
      <c r="Y7" s="28" t="inlineStr">
        <is>
          <t>No</t>
        </is>
      </c>
      <c r="Z7" s="28" t="inlineStr">
        <is>
          <t>No</t>
        </is>
      </c>
      <c r="AA7" s="28" t="inlineStr">
        <is>
          <t>No</t>
        </is>
      </c>
      <c r="AB7" s="28" t="inlineStr">
        <is>
          <t>No</t>
        </is>
      </c>
      <c r="AC7" s="32" t="inlineStr">
        <is>
          <t>HIGH</t>
        </is>
      </c>
      <c r="AD7" s="29" t="inlineStr">
        <is>
          <t>Affordable Comp #1: LIHTC property, 1998 vintage (2 yr diff), 80 units, 3.1 mi from subject. Same income-eligible renter pool.</t>
        </is>
      </c>
      <c r="AE7" s="28" t="inlineStr">
        <is>
          <t>HUD LIHTC Database (huduser.gov)</t>
        </is>
      </c>
    </row>
    <row r="8" ht="54.75" customFormat="1" customHeight="1" s="3">
      <c r="A8" s="33" t="inlineStr">
        <is>
          <t>2</t>
        </is>
      </c>
      <c r="B8" s="33" t="inlineStr">
        <is>
          <t>AFFORDABLE</t>
        </is>
      </c>
      <c r="C8" s="34" t="inlineStr">
        <is>
          <t>Forest View Senior Apts</t>
        </is>
      </c>
      <c r="D8" s="33" t="inlineStr">
        <is>
          <t>19499 Hess Ave</t>
        </is>
      </c>
      <c r="E8" s="33" t="inlineStr">
        <is>
          <t>Sonora</t>
        </is>
      </c>
      <c r="F8" s="33" t="inlineStr">
        <is>
          <t>CA</t>
        </is>
      </c>
      <c r="G8" s="33" t="inlineStr">
        <is>
          <t>95370</t>
        </is>
      </c>
      <c r="H8" s="33" t="inlineStr">
        <is>
          <t>2.8 mi</t>
        </is>
      </c>
      <c r="I8" s="33" t="inlineStr">
        <is>
          <t>$3,176</t>
        </is>
      </c>
      <c r="J8" s="33" t="inlineStr">
        <is>
          <t>$3,812</t>
        </is>
      </c>
      <c r="K8" s="30" t="inlineStr">
        <is>
          <t>$1,096</t>
        </is>
      </c>
      <c r="L8" s="31" t="inlineStr">
        <is>
          <t>Not Listed</t>
        </is>
      </c>
      <c r="M8" s="33" t="inlineStr">
        <is>
          <t>$3,812</t>
        </is>
      </c>
      <c r="N8" s="33" t="inlineStr">
        <is>
          <t>$4,575</t>
        </is>
      </c>
      <c r="O8" s="30" t="inlineStr">
        <is>
          <t>$1,500</t>
        </is>
      </c>
      <c r="P8" s="31" t="inlineStr">
        <is>
          <t>Not Listed</t>
        </is>
      </c>
      <c r="Q8" s="33" t="inlineStr">
        <is>
          <t>$4,233</t>
        </is>
      </c>
      <c r="R8" s="33" t="inlineStr">
        <is>
          <t>$5,080</t>
        </is>
      </c>
      <c r="S8" s="30" t="inlineStr">
        <is>
          <t>$1,970</t>
        </is>
      </c>
      <c r="T8" s="31" t="inlineStr">
        <is>
          <t>Not Listed</t>
        </is>
      </c>
      <c r="U8" s="33" t="inlineStr">
        <is>
          <t>60</t>
        </is>
      </c>
      <c r="V8" s="33" t="inlineStr">
        <is>
          <t>1999</t>
        </is>
      </c>
      <c r="W8" s="33" t="inlineStr">
        <is>
          <t>1</t>
        </is>
      </c>
      <c r="X8" s="33" t="inlineStr">
        <is>
          <t>Yes</t>
        </is>
      </c>
      <c r="Y8" s="33" t="inlineStr">
        <is>
          <t>No</t>
        </is>
      </c>
      <c r="Z8" s="33" t="inlineStr">
        <is>
          <t>No</t>
        </is>
      </c>
      <c r="AA8" s="33" t="inlineStr">
        <is>
          <t>No</t>
        </is>
      </c>
      <c r="AB8" s="33" t="inlineStr">
        <is>
          <t>No</t>
        </is>
      </c>
      <c r="AC8" s="35" t="inlineStr">
        <is>
          <t>HIGH</t>
        </is>
      </c>
      <c r="AD8" s="34" t="inlineStr">
        <is>
          <t>Affordable Comp #2: LIHTC property, 1999 vintage (1 yr diff), 60 units, 2.8 mi from subject. Same income-eligible renter pool.</t>
        </is>
      </c>
      <c r="AE8" s="33" t="inlineStr">
        <is>
          <t>HUD LIHTC Database (huduser.gov)</t>
        </is>
      </c>
    </row>
    <row r="9" ht="54.75" customFormat="1" customHeight="1" s="3">
      <c r="A9" s="36" t="inlineStr">
        <is>
          <t>3</t>
        </is>
      </c>
      <c r="B9" s="36" t="inlineStr">
        <is>
          <t>AFFORDABLE</t>
        </is>
      </c>
      <c r="C9" s="37" t="inlineStr">
        <is>
          <t>Stockton Gardens Apts</t>
        </is>
      </c>
      <c r="D9" s="36" t="inlineStr">
        <is>
          <t>1025 Rosemarie Ln</t>
        </is>
      </c>
      <c r="E9" s="36" t="inlineStr">
        <is>
          <t>Stockton</t>
        </is>
      </c>
      <c r="F9" s="36" t="inlineStr">
        <is>
          <t>CA</t>
        </is>
      </c>
      <c r="G9" s="36" t="inlineStr">
        <is>
          <t>95207</t>
        </is>
      </c>
      <c r="H9" s="36" t="inlineStr">
        <is>
          <t>51.0 mi</t>
        </is>
      </c>
      <c r="I9" s="36" t="inlineStr">
        <is>
          <t>$3,176</t>
        </is>
      </c>
      <c r="J9" s="36" t="inlineStr">
        <is>
          <t>$3,812</t>
        </is>
      </c>
      <c r="K9" s="30" t="inlineStr">
        <is>
          <t>$1,096</t>
        </is>
      </c>
      <c r="L9" s="31" t="inlineStr">
        <is>
          <t>$929</t>
        </is>
      </c>
      <c r="M9" s="36" t="inlineStr">
        <is>
          <t>$3,812</t>
        </is>
      </c>
      <c r="N9" s="36" t="inlineStr">
        <is>
          <t>$4,575</t>
        </is>
      </c>
      <c r="O9" s="30" t="inlineStr">
        <is>
          <t>$1,500</t>
        </is>
      </c>
      <c r="P9" s="31" t="inlineStr">
        <is>
          <t>$1,537</t>
        </is>
      </c>
      <c r="Q9" s="36" t="inlineStr">
        <is>
          <t>$4,233</t>
        </is>
      </c>
      <c r="R9" s="36" t="inlineStr">
        <is>
          <t>$5,080</t>
        </is>
      </c>
      <c r="S9" s="30" t="inlineStr">
        <is>
          <t>$1,970</t>
        </is>
      </c>
      <c r="T9" s="31" t="inlineStr">
        <is>
          <t>Not Listed</t>
        </is>
      </c>
      <c r="U9" s="36" t="inlineStr">
        <is>
          <t>80</t>
        </is>
      </c>
      <c r="V9" s="36" t="inlineStr">
        <is>
          <t>2000</t>
        </is>
      </c>
      <c r="W9" s="36" t="inlineStr">
        <is>
          <t>0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80" t="inlineStr">
        <is>
          <t>MODERATE</t>
        </is>
      </c>
      <c r="AD9" s="37" t="inlineStr">
        <is>
          <t>Affordable Comp #3: LIHTC property, 2000 vintage (0 yr diff), 80 units, 51.0 mi from subject. Same income-eligible renter pool.</t>
        </is>
      </c>
      <c r="AE9" s="36" t="inlineStr">
        <is>
          <t>HUD LIHTC Database (huduser.gov)</t>
        </is>
      </c>
    </row>
    <row r="10" ht="54.75" customFormat="1" customHeight="1" s="3">
      <c r="A10" s="28" t="inlineStr">
        <is>
          <t>4</t>
        </is>
      </c>
      <c r="B10" s="28" t="inlineStr">
        <is>
          <t>AFFORDABLE</t>
        </is>
      </c>
      <c r="C10" s="29" t="inlineStr">
        <is>
          <t>Stockton Terrace Apts</t>
        </is>
      </c>
      <c r="D10" s="28" t="inlineStr">
        <is>
          <t>246 E Iris Ave</t>
        </is>
      </c>
      <c r="E10" s="28" t="inlineStr">
        <is>
          <t>Stockton</t>
        </is>
      </c>
      <c r="F10" s="28" t="inlineStr">
        <is>
          <t>CA</t>
        </is>
      </c>
      <c r="G10" s="28" t="inlineStr">
        <is>
          <t>95210</t>
        </is>
      </c>
      <c r="H10" s="28" t="inlineStr">
        <is>
          <t>50.6 mi</t>
        </is>
      </c>
      <c r="I10" s="28" t="inlineStr">
        <is>
          <t>$3,176</t>
        </is>
      </c>
      <c r="J10" s="28" t="inlineStr">
        <is>
          <t>$3,812</t>
        </is>
      </c>
      <c r="K10" s="30" t="inlineStr">
        <is>
          <t>$1,096</t>
        </is>
      </c>
      <c r="L10" s="31" t="inlineStr">
        <is>
          <t>Not Listed</t>
        </is>
      </c>
      <c r="M10" s="28" t="inlineStr">
        <is>
          <t>$3,812</t>
        </is>
      </c>
      <c r="N10" s="28" t="inlineStr">
        <is>
          <t>$4,575</t>
        </is>
      </c>
      <c r="O10" s="30" t="inlineStr">
        <is>
          <t>$1,500</t>
        </is>
      </c>
      <c r="P10" s="31" t="inlineStr">
        <is>
          <t>Not Listed</t>
        </is>
      </c>
      <c r="Q10" s="28" t="inlineStr">
        <is>
          <t>$4,233</t>
        </is>
      </c>
      <c r="R10" s="28" t="inlineStr">
        <is>
          <t>$5,080</t>
        </is>
      </c>
      <c r="S10" s="30" t="inlineStr">
        <is>
          <t>$1,970</t>
        </is>
      </c>
      <c r="T10" s="31" t="inlineStr">
        <is>
          <t>Not Listed</t>
        </is>
      </c>
      <c r="U10" s="28" t="inlineStr">
        <is>
          <t>80</t>
        </is>
      </c>
      <c r="V10" s="28" t="inlineStr">
        <is>
          <t>2000</t>
        </is>
      </c>
      <c r="W10" s="28" t="inlineStr">
        <is>
          <t>0</t>
        </is>
      </c>
      <c r="X10" s="28" t="inlineStr">
        <is>
          <t>Yes</t>
        </is>
      </c>
      <c r="Y10" s="28" t="inlineStr">
        <is>
          <t>No</t>
        </is>
      </c>
      <c r="Z10" s="28" t="inlineStr">
        <is>
          <t>No</t>
        </is>
      </c>
      <c r="AA10" s="28" t="inlineStr">
        <is>
          <t>No</t>
        </is>
      </c>
      <c r="AB10" s="28" t="inlineStr">
        <is>
          <t>No</t>
        </is>
      </c>
      <c r="AC10" s="91" t="inlineStr">
        <is>
          <t>MODERATE</t>
        </is>
      </c>
      <c r="AD10" s="29" t="inlineStr">
        <is>
          <t>Affordable Comp #4: LIHTC property, 2000 vintage (0 yr diff), 80 units, 50.6 mi from subject. Same income-eligible renter pool.</t>
        </is>
      </c>
      <c r="AE10" s="28" t="inlineStr">
        <is>
          <t>HUD LIHTC Database (huduser.gov)</t>
        </is>
      </c>
    </row>
    <row r="11" ht="54.75" customFormat="1" customHeight="1" s="3">
      <c r="A11" s="39" t="inlineStr">
        <is>
          <t>1</t>
        </is>
      </c>
      <c r="B11" s="39" t="inlineStr">
        <is>
          <t>MARKET RATE</t>
        </is>
      </c>
      <c r="C11" s="40" t="inlineStr">
        <is>
          <t>Sonora Market Rate (FMR Benchmark)</t>
        </is>
      </c>
      <c r="D11" s="39" t="inlineStr">
        <is>
          <t>Sonora, CA area</t>
        </is>
      </c>
      <c r="E11" s="39" t="inlineStr">
        <is>
          <t>CA area</t>
        </is>
      </c>
      <c r="F11" s="39" t="inlineStr">
        <is>
          <t>CA</t>
        </is>
      </c>
      <c r="G11" s="39" t="n"/>
      <c r="H11" s="39" t="inlineStr">
        <is>
          <t>N/A</t>
        </is>
      </c>
      <c r="I11" s="39" t="inlineStr">
        <is>
          <t>N/A (Market Rate)</t>
        </is>
      </c>
      <c r="J11" s="39" t="inlineStr">
        <is>
          <t>N/A (Market Rate)</t>
        </is>
      </c>
      <c r="K11" s="30" t="inlineStr">
        <is>
          <t>$1,096</t>
        </is>
      </c>
      <c r="L11" s="31" t="inlineStr">
        <is>
          <t>Not Listed</t>
        </is>
      </c>
      <c r="M11" s="39" t="inlineStr">
        <is>
          <t>N/A (Market Rate)</t>
        </is>
      </c>
      <c r="N11" s="39" t="inlineStr">
        <is>
          <t>N/A (Market Rate)</t>
        </is>
      </c>
      <c r="O11" s="30" t="inlineStr">
        <is>
          <t>$1,500</t>
        </is>
      </c>
      <c r="P11" s="31" t="inlineStr">
        <is>
          <t>$1,650</t>
        </is>
      </c>
      <c r="Q11" s="39" t="inlineStr">
        <is>
          <t>N/A (Market Rate)</t>
        </is>
      </c>
      <c r="R11" s="39" t="inlineStr">
        <is>
          <t>N/A (Market Rate)</t>
        </is>
      </c>
      <c r="S11" s="30" t="inlineStr">
        <is>
          <t>$1,970</t>
        </is>
      </c>
      <c r="T11" s="31" t="inlineStr">
        <is>
          <t>$2,050</t>
        </is>
      </c>
      <c r="U11" s="39" t="inlineStr">
        <is>
          <t>N/A</t>
        </is>
      </c>
      <c r="V11" s="39" t="inlineStr">
        <is>
          <t>2000</t>
        </is>
      </c>
      <c r="W11" s="39" t="inlineStr">
        <is>
          <t>0</t>
        </is>
      </c>
      <c r="X11" s="39" t="inlineStr">
        <is>
          <t>Varies</t>
        </is>
      </c>
      <c r="Y11" s="39" t="inlineStr">
        <is>
          <t>Varies</t>
        </is>
      </c>
      <c r="Z11" s="39" t="inlineStr">
        <is>
          <t>Varies</t>
        </is>
      </c>
      <c r="AA11" s="39" t="inlineStr">
        <is>
          <t>Varies</t>
        </is>
      </c>
      <c r="AB11" s="39" t="inlineStr">
        <is>
          <t>Varies</t>
        </is>
      </c>
      <c r="AC11" s="41" t="inlineStr">
        <is>
          <t>HIGH</t>
        </is>
      </c>
      <c r="AD11" s="40" t="inlineStr">
        <is>
          <t>Market Rate Comp #1: No income restrictions, 2000 vintage (0 yr diff), N/A units, N/A from subject. Shows market-rate rents vs. affordable housing discount.</t>
        </is>
      </c>
      <c r="AE11" s="39" t="inlineStr">
        <is>
          <t>HUD FY2026 FMR - Tuolumne County, CA (limited market rate listings in Sonora)</t>
        </is>
      </c>
    </row>
    <row r="12" ht="54.75" customFormat="1" customHeight="1" s="3">
      <c r="A12" s="42" t="inlineStr">
        <is>
          <t>2</t>
        </is>
      </c>
      <c r="B12" s="42" t="inlineStr">
        <is>
          <t>Quail Hollow Apartments</t>
        </is>
      </c>
      <c r="C12" s="43" t="inlineStr">
        <is>
          <t>20230 Grouse Way, Sonora, CA 95370</t>
        </is>
      </c>
      <c r="D12" s="42" t="inlineStr">
        <is>
          <t>Modesto, CA area</t>
        </is>
      </c>
      <c r="E12" s="42" t="inlineStr">
        <is>
          <t>CA area</t>
        </is>
      </c>
      <c r="F12" s="42" t="inlineStr">
        <is>
          <t>CA</t>
        </is>
      </c>
      <c r="G12" s="42" t="n"/>
      <c r="H12" s="42" t="inlineStr">
        <is>
          <t>45.0 mi</t>
        </is>
      </c>
      <c r="I12" s="42" t="inlineStr">
        <is>
          <t>N/A (Market Rate)</t>
        </is>
      </c>
      <c r="J12" s="42" t="inlineStr">
        <is>
          <t>N/A (Market Rate)</t>
        </is>
      </c>
      <c r="K12" s="30" t="inlineStr">
        <is>
          <t>$1,096</t>
        </is>
      </c>
      <c r="L12" s="31" t="inlineStr">
        <is>
          <t>Not Listed</t>
        </is>
      </c>
      <c r="M12" s="42" t="inlineStr">
        <is>
          <t>N/A (Market Rate)</t>
        </is>
      </c>
      <c r="N12" s="42" t="inlineStr">
        <is>
          <t>N/A (Market Rate)</t>
        </is>
      </c>
      <c r="O12" s="30" t="inlineStr">
        <is>
          <t>$1,500</t>
        </is>
      </c>
      <c r="P12" s="31" t="inlineStr">
        <is>
          <t>$1,595</t>
        </is>
      </c>
      <c r="Q12" s="42" t="inlineStr">
        <is>
          <t>N/A (Market Rate)</t>
        </is>
      </c>
      <c r="R12" s="42" t="inlineStr">
        <is>
          <t>N/A (Market Rate)</t>
        </is>
      </c>
      <c r="S12" s="30" t="inlineStr">
        <is>
          <t>$1,970</t>
        </is>
      </c>
      <c r="T12" s="31" t="inlineStr">
        <is>
          <t>$1,975</t>
        </is>
      </c>
      <c r="U12" s="42" t="inlineStr">
        <is>
          <t>120</t>
        </is>
      </c>
      <c r="V12" s="42" t="inlineStr">
        <is>
          <t>2001</t>
        </is>
      </c>
      <c r="W12" s="42" t="inlineStr">
        <is>
          <t>1</t>
        </is>
      </c>
      <c r="X12" s="42" t="inlineStr">
        <is>
          <t>Varies</t>
        </is>
      </c>
      <c r="Y12" s="42" t="inlineStr">
        <is>
          <t>Varies</t>
        </is>
      </c>
      <c r="Z12" s="42" t="inlineStr">
        <is>
          <t>Varies</t>
        </is>
      </c>
      <c r="AA12" s="42" t="inlineStr">
        <is>
          <t>Varies</t>
        </is>
      </c>
      <c r="AB12" s="42" t="inlineStr">
        <is>
          <t>Varies</t>
        </is>
      </c>
      <c r="AC12" s="89" t="inlineStr">
        <is>
          <t>MODERATE</t>
        </is>
      </c>
      <c r="AD12" s="43" t="inlineStr">
        <is>
          <t>Market Rate Comp #2: No income restrictions, 2001 vintage (1 yr diff), 120 units, 45.0 mi from subject. Shows market-rate rents vs. affordable housing discount.</t>
        </is>
      </c>
      <c r="AE12" s="42" t="inlineStr">
        <is>
          <t>https://www.rentcafe.com/apartments-for-rent/us/ca/modesto/</t>
        </is>
      </c>
    </row>
    <row r="13" ht="54.75" customFormat="1" customHeight="1" s="3">
      <c r="A13" s="45" t="inlineStr">
        <is>
          <t>3</t>
        </is>
      </c>
      <c r="B13" s="45" t="inlineStr">
        <is>
          <t>Shepherd Street Apartments</t>
        </is>
      </c>
      <c r="C13" s="46" t="inlineStr">
        <is>
          <t>165 S Shepherd St, Sonora, CA 95370</t>
        </is>
      </c>
      <c r="D13" s="45" t="inlineStr">
        <is>
          <t>Modesto, CA area</t>
        </is>
      </c>
      <c r="E13" s="45" t="inlineStr">
        <is>
          <t>CA area</t>
        </is>
      </c>
      <c r="F13" s="45" t="inlineStr">
        <is>
          <t>CA</t>
        </is>
      </c>
      <c r="G13" s="45" t="n"/>
      <c r="H13" s="45" t="inlineStr">
        <is>
          <t>47.0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0" t="inlineStr">
        <is>
          <t>$1,096</t>
        </is>
      </c>
      <c r="L13" s="31" t="inlineStr">
        <is>
          <t>Not Listed</t>
        </is>
      </c>
      <c r="M13" s="45" t="inlineStr">
        <is>
          <t>N/A (Market Rate)</t>
        </is>
      </c>
      <c r="N13" s="45" t="inlineStr">
        <is>
          <t>N/A (Market Rate)</t>
        </is>
      </c>
      <c r="O13" s="30" t="inlineStr">
        <is>
          <t>$1,500</t>
        </is>
      </c>
      <c r="P13" s="31" t="inlineStr">
        <is>
          <t>$1,550</t>
        </is>
      </c>
      <c r="Q13" s="45" t="inlineStr">
        <is>
          <t>N/A (Market Rate)</t>
        </is>
      </c>
      <c r="R13" s="45" t="inlineStr">
        <is>
          <t>N/A (Market Rate)</t>
        </is>
      </c>
      <c r="S13" s="30" t="inlineStr">
        <is>
          <t>$1,970</t>
        </is>
      </c>
      <c r="T13" s="31" t="inlineStr">
        <is>
          <t>$1,925</t>
        </is>
      </c>
      <c r="U13" s="45" t="inlineStr">
        <is>
          <t>96</t>
        </is>
      </c>
      <c r="V13" s="45" t="inlineStr">
        <is>
          <t>1998</t>
        </is>
      </c>
      <c r="W13" s="45" t="inlineStr">
        <is>
          <t>2</t>
        </is>
      </c>
      <c r="X13" s="45" t="inlineStr">
        <is>
          <t>Varies</t>
        </is>
      </c>
      <c r="Y13" s="45" t="inlineStr">
        <is>
          <t>Varies</t>
        </is>
      </c>
      <c r="Z13" s="45" t="inlineStr">
        <is>
          <t>Varies</t>
        </is>
      </c>
      <c r="AA13" s="45" t="inlineStr">
        <is>
          <t>Varies</t>
        </is>
      </c>
      <c r="AB13" s="45" t="inlineStr">
        <is>
          <t>Varies</t>
        </is>
      </c>
      <c r="AC13" s="90" t="inlineStr">
        <is>
          <t>MODERATE</t>
        </is>
      </c>
      <c r="AD13" s="46" t="inlineStr">
        <is>
          <t>Market Rate Comp #3: No income restrictions, 1998 vintage (2 yr diff), 96 units, 47.0 mi from subject. Shows market-rate rents vs. affordable housing discount.</t>
        </is>
      </c>
      <c r="AE13" s="45" t="inlineStr">
        <is>
          <t>https://www.rentcafe.com/apartments-for-rent/us/ca/modesto/</t>
        </is>
      </c>
    </row>
    <row r="14" ht="54.75" customFormat="1" customHeight="1" s="3">
      <c r="A14" s="39" t="inlineStr">
        <is>
          <t>4</t>
        </is>
      </c>
      <c r="B14" s="39" t="inlineStr">
        <is>
          <t>Blackberry Oaks</t>
        </is>
      </c>
      <c r="C14" s="40" t="inlineStr">
        <is>
          <t>100 Greenley Rd, Sonora, CA 95370</t>
        </is>
      </c>
      <c r="D14" s="39" t="inlineStr">
        <is>
          <t>Sonora, CA area</t>
        </is>
      </c>
      <c r="E14" s="39" t="inlineStr">
        <is>
          <t>CA area</t>
        </is>
      </c>
      <c r="F14" s="39" t="inlineStr">
        <is>
          <t>CA</t>
        </is>
      </c>
      <c r="G14" s="39" t="n"/>
      <c r="H14" s="39" t="inlineStr">
        <is>
          <t>N/A</t>
        </is>
      </c>
      <c r="I14" s="39" t="inlineStr">
        <is>
          <t>N/A (Market Rate)</t>
        </is>
      </c>
      <c r="J14" s="39" t="inlineStr">
        <is>
          <t>N/A (Market Rate)</t>
        </is>
      </c>
      <c r="K14" s="30" t="inlineStr">
        <is>
          <t>$1,096</t>
        </is>
      </c>
      <c r="L14" s="31" t="inlineStr">
        <is>
          <t>Not Listed</t>
        </is>
      </c>
      <c r="M14" s="39" t="inlineStr">
        <is>
          <t>N/A (Market Rate)</t>
        </is>
      </c>
      <c r="N14" s="39" t="inlineStr">
        <is>
          <t>N/A (Market Rate)</t>
        </is>
      </c>
      <c r="O14" s="30" t="inlineStr">
        <is>
          <t>$1,500</t>
        </is>
      </c>
      <c r="P14" s="31" t="inlineStr">
        <is>
          <t>$1,650</t>
        </is>
      </c>
      <c r="Q14" s="39" t="inlineStr">
        <is>
          <t>N/A (Market Rate)</t>
        </is>
      </c>
      <c r="R14" s="39" t="inlineStr">
        <is>
          <t>N/A (Market Rate)</t>
        </is>
      </c>
      <c r="S14" s="30" t="inlineStr">
        <is>
          <t>$1,970</t>
        </is>
      </c>
      <c r="T14" s="31" t="inlineStr">
        <is>
          <t>$2,050</t>
        </is>
      </c>
      <c r="U14" s="39" t="inlineStr">
        <is>
          <t>N/A</t>
        </is>
      </c>
      <c r="V14" s="39" t="inlineStr">
        <is>
          <t>1998</t>
        </is>
      </c>
      <c r="W14" s="39" t="inlineStr">
        <is>
          <t>2</t>
        </is>
      </c>
      <c r="X14" s="39" t="inlineStr">
        <is>
          <t>Varies</t>
        </is>
      </c>
      <c r="Y14" s="39" t="inlineStr">
        <is>
          <t>Varies</t>
        </is>
      </c>
      <c r="Z14" s="39" t="inlineStr">
        <is>
          <t>Varies</t>
        </is>
      </c>
      <c r="AA14" s="39" t="inlineStr">
        <is>
          <t>Varies</t>
        </is>
      </c>
      <c r="AB14" s="39" t="inlineStr">
        <is>
          <t>Varies</t>
        </is>
      </c>
      <c r="AC14" s="41" t="inlineStr">
        <is>
          <t>HIGH</t>
        </is>
      </c>
      <c r="AD14" s="40" t="inlineStr">
        <is>
          <t>Market Rate Comp #4: No income restrictions, 1998 vintage (2 yr diff), N/A units, N/A from subject. Shows market-rate rents vs. affordable housing discount.</t>
        </is>
      </c>
      <c r="AE14" s="39" t="inlineStr">
        <is>
          <t>HUD FY2026 FMR - Tuolumne County, CA</t>
        </is>
      </c>
    </row>
    <row r="15" ht="54.75" customFormat="1" customHeight="1" s="3">
      <c r="A15" s="48" t="inlineStr">
        <is>
          <t>—</t>
        </is>
      </c>
      <c r="B15" s="48" t="inlineStr">
        <is>
          <t>BENCHMARK</t>
        </is>
      </c>
      <c r="C15" s="49" t="inlineStr">
        <is>
          <t>FY2026 FMR — Tuolumne County, CA</t>
        </is>
      </c>
      <c r="D15" s="48" t="inlineStr">
        <is>
          <t>N/A</t>
        </is>
      </c>
      <c r="E15" s="48" t="inlineStr">
        <is>
          <t>Sonora</t>
        </is>
      </c>
      <c r="F15" s="48" t="inlineStr">
        <is>
          <t>CA</t>
        </is>
      </c>
      <c r="G15" s="48" t="inlineStr">
        <is>
          <t>N/A</t>
        </is>
      </c>
      <c r="H15" s="48" t="inlineStr">
        <is>
          <t>N/A</t>
        </is>
      </c>
      <c r="I15" s="48" t="inlineStr">
        <is>
          <t>$1,096</t>
        </is>
      </c>
      <c r="J15" s="48" t="inlineStr">
        <is>
          <t>$1,096</t>
        </is>
      </c>
      <c r="K15" s="30" t="inlineStr">
        <is>
          <t>$1,096</t>
        </is>
      </c>
      <c r="L15" s="31" t="inlineStr">
        <is>
          <t>N/A</t>
        </is>
      </c>
      <c r="M15" s="48" t="inlineStr">
        <is>
          <t>$1,500</t>
        </is>
      </c>
      <c r="N15" s="48" t="inlineStr">
        <is>
          <t>$1,500</t>
        </is>
      </c>
      <c r="O15" s="30" t="inlineStr">
        <is>
          <t>$1,500</t>
        </is>
      </c>
      <c r="P15" s="31" t="inlineStr">
        <is>
          <t>N/A</t>
        </is>
      </c>
      <c r="Q15" s="48" t="inlineStr">
        <is>
          <t>$1,970</t>
        </is>
      </c>
      <c r="R15" s="48" t="inlineStr">
        <is>
          <t>$1,970</t>
        </is>
      </c>
      <c r="S15" s="30" t="inlineStr">
        <is>
          <t>$1,970</t>
        </is>
      </c>
      <c r="T15" s="31" t="inlineStr">
        <is>
          <t>N/A</t>
        </is>
      </c>
      <c r="U15" s="48" t="inlineStr">
        <is>
          <t>N/A</t>
        </is>
      </c>
      <c r="V15" s="48" t="inlineStr">
        <is>
          <t>N/A</t>
        </is>
      </c>
      <c r="W15" s="48" t="inlineStr">
        <is>
          <t>N/A</t>
        </is>
      </c>
      <c r="X15" s="48" t="inlineStr">
        <is>
          <t>N/A</t>
        </is>
      </c>
      <c r="Y15" s="48" t="inlineStr">
        <is>
          <t>N/A</t>
        </is>
      </c>
      <c r="Z15" s="48" t="inlineStr">
        <is>
          <t>N/A</t>
        </is>
      </c>
      <c r="AA15" s="48" t="inlineStr">
        <is>
          <t>N/A</t>
        </is>
      </c>
      <c r="AB15" s="48" t="inlineStr">
        <is>
          <t>N/A</t>
        </is>
      </c>
      <c r="AC15" s="50" t="inlineStr">
        <is>
          <t>BENCHMARK</t>
        </is>
      </c>
      <c r="AD15" s="49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5" s="48" t="inlineStr">
        <is>
          <t>HUD FMR Database (huduser.gov)</t>
        </is>
      </c>
    </row>
    <row r="16" ht="54.75" customFormat="1" customHeight="1" s="3">
      <c r="A16" s="48" t="inlineStr">
        <is>
          <t>—</t>
        </is>
      </c>
      <c r="B16" s="48" t="inlineStr">
        <is>
          <t>BENCHMARK</t>
        </is>
      </c>
      <c r="C16" s="49" t="inlineStr">
        <is>
          <t>Metro Market Avg — Sonora</t>
        </is>
      </c>
      <c r="D16" s="48" t="inlineStr">
        <is>
          <t>N/A</t>
        </is>
      </c>
      <c r="E16" s="48" t="inlineStr">
        <is>
          <t>Sonora</t>
        </is>
      </c>
      <c r="F16" s="48" t="inlineStr">
        <is>
          <t>CA</t>
        </is>
      </c>
      <c r="G16" s="48" t="inlineStr">
        <is>
          <t>N/A</t>
        </is>
      </c>
      <c r="H16" s="48" t="inlineStr">
        <is>
          <t>N/A</t>
        </is>
      </c>
      <c r="I16" s="48" t="inlineStr">
        <is>
          <t>$1,205</t>
        </is>
      </c>
      <c r="J16" s="48" t="inlineStr">
        <is>
          <t>$1,205</t>
        </is>
      </c>
      <c r="K16" s="30" t="inlineStr">
        <is>
          <t>$1,205</t>
        </is>
      </c>
      <c r="L16" s="31" t="inlineStr">
        <is>
          <t>N/A</t>
        </is>
      </c>
      <c r="M16" s="48" t="inlineStr">
        <is>
          <t>$1,650</t>
        </is>
      </c>
      <c r="N16" s="48" t="inlineStr">
        <is>
          <t>$1,650</t>
        </is>
      </c>
      <c r="O16" s="30" t="inlineStr">
        <is>
          <t>$1,650</t>
        </is>
      </c>
      <c r="P16" s="31" t="inlineStr">
        <is>
          <t>N/A</t>
        </is>
      </c>
      <c r="Q16" s="48" t="inlineStr">
        <is>
          <t>$2,167</t>
        </is>
      </c>
      <c r="R16" s="48" t="inlineStr">
        <is>
          <t>$2,167</t>
        </is>
      </c>
      <c r="S16" s="30" t="inlineStr">
        <is>
          <t>$2,167</t>
        </is>
      </c>
      <c r="T16" s="31" t="inlineStr">
        <is>
          <t>N/A</t>
        </is>
      </c>
      <c r="U16" s="48" t="inlineStr">
        <is>
          <t>N/A</t>
        </is>
      </c>
      <c r="V16" s="48" t="inlineStr">
        <is>
          <t>N/A</t>
        </is>
      </c>
      <c r="W16" s="48" t="inlineStr">
        <is>
          <t>N/A</t>
        </is>
      </c>
      <c r="X16" s="48" t="inlineStr">
        <is>
          <t>N/A</t>
        </is>
      </c>
      <c r="Y16" s="48" t="inlineStr">
        <is>
          <t>N/A</t>
        </is>
      </c>
      <c r="Z16" s="48" t="inlineStr">
        <is>
          <t>N/A</t>
        </is>
      </c>
      <c r="AA16" s="48" t="inlineStr">
        <is>
          <t>N/A</t>
        </is>
      </c>
      <c r="AB16" s="48" t="inlineStr">
        <is>
          <t>N/A</t>
        </is>
      </c>
      <c r="AC16" s="50" t="inlineStr">
        <is>
          <t>BENCHMARK</t>
        </is>
      </c>
      <c r="AD16" s="49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6" s="48" t="inlineStr">
        <is>
          <t>HUD FMR + Market Estimate</t>
        </is>
      </c>
    </row>
    <row r="17" ht="8.25" customFormat="1" customHeight="1" s="3"/>
    <row r="18" ht="27.75" customFormat="1" customHeight="1" s="3">
      <c r="A18" s="51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Height="1" s="95">
      <c r="A21" s="61" t="inlineStr">
        <is>
          <t>PMTS — Vouchers / FMR / UAP / NET FMR</t>
        </is>
      </c>
      <c r="B21" s="101" t="n"/>
      <c r="C21" s="101" t="n"/>
      <c r="D21" s="101" t="n"/>
      <c r="E21" s="101" t="n"/>
      <c r="F21" s="102" t="n"/>
    </row>
    <row r="22" ht="15" customHeight="1" s="95">
      <c r="A22" s="64" t="inlineStr">
        <is>
          <t>BD</t>
        </is>
      </c>
      <c r="B22" s="65" t="inlineStr">
        <is>
          <t>MKT</t>
        </is>
      </c>
      <c r="C22" s="66" t="inlineStr">
        <is>
          <t>VCH</t>
        </is>
      </c>
      <c r="D22" s="67" t="inlineStr">
        <is>
          <t>FMR</t>
        </is>
      </c>
      <c r="E22" s="68" t="inlineStr">
        <is>
          <t>UAP</t>
        </is>
      </c>
      <c r="F22" s="69" t="inlineStr">
        <is>
          <t>NET</t>
        </is>
      </c>
    </row>
    <row r="23" ht="15" customHeight="1" s="95">
      <c r="A23" s="70" t="inlineStr">
        <is>
          <t>2BD</t>
        </is>
      </c>
      <c r="B23" s="71" t="n">
        <v>0</v>
      </c>
      <c r="C23" s="71" t="n">
        <v>1150</v>
      </c>
      <c r="D23" s="71" t="n">
        <v>1520</v>
      </c>
      <c r="E23" s="72" t="n">
        <v>138</v>
      </c>
      <c r="F23" s="73" t="n">
        <v>1382</v>
      </c>
    </row>
    <row r="24" ht="15" customHeight="1" s="95">
      <c r="A24" s="74" t="inlineStr">
        <is>
          <t>3BD</t>
        </is>
      </c>
      <c r="B24" s="75" t="n">
        <v>0</v>
      </c>
      <c r="C24" s="75" t="n">
        <v>1314</v>
      </c>
      <c r="D24" s="75" t="n">
        <v>2000</v>
      </c>
      <c r="E24" s="72" t="n">
        <v>299</v>
      </c>
      <c r="F24" s="73" t="n">
        <v>1701</v>
      </c>
    </row>
    <row r="25" ht="15" customHeight="1" s="95">
      <c r="A25" s="70" t="inlineStr">
        <is>
          <t>4BD</t>
        </is>
      </c>
      <c r="B25" s="71" t="n">
        <v>0</v>
      </c>
      <c r="C25" s="71" t="n">
        <v>1400</v>
      </c>
      <c r="D25" s="71" t="n">
        <v>2550</v>
      </c>
      <c r="E25" s="72" t="n">
        <v>353</v>
      </c>
      <c r="F25" s="73" t="n">
        <v>2197</v>
      </c>
    </row>
    <row r="28" ht="15" customHeight="1" s="95">
      <c r="A28" s="61" t="inlineStr">
        <is>
          <t>LIHTC, UAP, NET</t>
        </is>
      </c>
      <c r="B28" s="101" t="n"/>
      <c r="C28" s="101" t="n"/>
      <c r="D28" s="101" t="n"/>
      <c r="E28" s="102" t="n"/>
    </row>
    <row r="29" ht="15" customHeight="1" s="95">
      <c r="A29" s="64" t="n"/>
      <c r="B29" s="65" t="inlineStr">
        <is>
          <t>LIHTC/MKT</t>
        </is>
      </c>
      <c r="C29" s="67" t="inlineStr">
        <is>
          <t>40%</t>
        </is>
      </c>
      <c r="D29" s="68" t="inlineStr">
        <is>
          <t>UAP</t>
        </is>
      </c>
      <c r="E29" s="69" t="inlineStr">
        <is>
          <t>NET</t>
        </is>
      </c>
    </row>
    <row r="30" ht="15" customHeight="1" s="95">
      <c r="A30" s="70" t="inlineStr">
        <is>
          <t>2BD</t>
        </is>
      </c>
      <c r="B30" s="71" t="n">
        <v>915</v>
      </c>
      <c r="C30" s="71" t="n">
        <v>749</v>
      </c>
      <c r="D30" s="72" t="n">
        <v>138</v>
      </c>
      <c r="E30" s="73" t="n">
        <v>611</v>
      </c>
    </row>
    <row r="31" ht="15" customHeight="1" s="95">
      <c r="A31" s="74" t="inlineStr">
        <is>
          <t>3BD</t>
        </is>
      </c>
      <c r="B31" s="75" t="n">
        <v>1057</v>
      </c>
      <c r="C31" s="75" t="n">
        <v>735</v>
      </c>
      <c r="D31" s="72" t="n">
        <v>299</v>
      </c>
      <c r="E31" s="73" t="n">
        <v>436</v>
      </c>
    </row>
    <row r="32" ht="15" customHeight="1" s="95">
      <c r="A32" s="70" t="inlineStr">
        <is>
          <t>4BD</t>
        </is>
      </c>
      <c r="B32" s="71" t="n">
        <v>1179</v>
      </c>
      <c r="C32" s="71" t="n">
        <v>849</v>
      </c>
      <c r="D32" s="72" t="n">
        <v>353</v>
      </c>
      <c r="E32" s="73" t="n">
        <v>496</v>
      </c>
    </row>
    <row r="33" ht="15" customHeight="1" s="95">
      <c r="A33" s="64" t="n"/>
      <c r="B33" s="65" t="inlineStr">
        <is>
          <t>LIHTC/MKT</t>
        </is>
      </c>
      <c r="C33" s="67" t="inlineStr">
        <is>
          <t>60%</t>
        </is>
      </c>
      <c r="D33" s="68" t="inlineStr">
        <is>
          <t>UAP</t>
        </is>
      </c>
      <c r="E33" s="69" t="inlineStr">
        <is>
          <t>NET</t>
        </is>
      </c>
    </row>
    <row r="34" ht="15" customHeight="1" s="95">
      <c r="A34" s="70" t="inlineStr">
        <is>
          <t>2BD</t>
        </is>
      </c>
      <c r="B34" s="71" t="n">
        <v>1372</v>
      </c>
      <c r="C34" s="71" t="n">
        <v>1185</v>
      </c>
      <c r="D34" s="72" t="n">
        <v>138</v>
      </c>
      <c r="E34" s="73" t="n">
        <v>1047</v>
      </c>
    </row>
    <row r="35" ht="15" customHeight="1" s="95">
      <c r="A35" s="74" t="inlineStr">
        <is>
          <t>3BD</t>
        </is>
      </c>
      <c r="B35" s="75" t="n">
        <v>1585</v>
      </c>
      <c r="C35" s="75" t="n">
        <v>1239</v>
      </c>
      <c r="D35" s="72" t="n">
        <v>299</v>
      </c>
      <c r="E35" s="73" t="n">
        <v>940</v>
      </c>
    </row>
    <row r="36" ht="15" customHeight="1" s="95">
      <c r="A36" s="70" t="inlineStr">
        <is>
          <t>4BD</t>
        </is>
      </c>
      <c r="B36" s="71" t="n">
        <v>1768</v>
      </c>
      <c r="C36" s="71" t="n">
        <v>1364</v>
      </c>
      <c r="D36" s="72" t="n">
        <v>353</v>
      </c>
      <c r="E36" s="73" t="n">
        <v>1011</v>
      </c>
    </row>
    <row r="39" ht="15" customHeight="1" s="95">
      <c r="A39" s="61" t="inlineStr">
        <is>
          <t>HAP, CoStar, NET</t>
        </is>
      </c>
      <c r="B39" s="101" t="n"/>
      <c r="C39" s="102" t="n"/>
    </row>
    <row r="40" ht="15" customHeight="1" s="95">
      <c r="A40" s="64" t="n"/>
      <c r="B40" s="68" t="inlineStr">
        <is>
          <t>HAP</t>
        </is>
      </c>
      <c r="C40" s="65" t="inlineStr">
        <is>
          <t>CoStar</t>
        </is>
      </c>
    </row>
    <row r="41" ht="15" customHeight="1" s="95">
      <c r="A41" s="70" t="inlineStr">
        <is>
          <t>2BD</t>
        </is>
      </c>
      <c r="B41" s="103" t="n">
        <v>0</v>
      </c>
      <c r="C41" s="104" t="n">
        <v>2005</v>
      </c>
    </row>
    <row r="42" ht="15" customHeight="1" s="95">
      <c r="A42" s="74" t="inlineStr">
        <is>
          <t>3BD</t>
        </is>
      </c>
      <c r="B42" s="103" t="n">
        <v>0</v>
      </c>
      <c r="C42" s="104" t="n">
        <v>2360</v>
      </c>
    </row>
    <row r="43" ht="15" customHeight="1" s="95">
      <c r="A43" s="70" t="inlineStr">
        <is>
          <t>4BD</t>
        </is>
      </c>
      <c r="B43" s="103" t="n">
        <v>0</v>
      </c>
      <c r="C43" s="104" t="n">
        <v>2682</v>
      </c>
    </row>
  </sheetData>
  <mergeCells count="7">
    <mergeCell ref="A4:AE4"/>
    <mergeCell ref="A2:AE2"/>
    <mergeCell ref="A28:E28"/>
    <mergeCell ref="A39:C39"/>
    <mergeCell ref="A18:AE18"/>
    <mergeCell ref="A21:F21"/>
    <mergeCell ref="A3:AE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36"/>
  <sheetViews>
    <sheetView topLeftCell="A1" workbookViewId="0">
      <pane ySplit="1" topLeftCell="A5" activePane="bottomLeft" state="frozen"/>
      <selection pane="bottomLeft" activeCell="A1" sqref="A1:AE1"/>
    </sheetView>
  </sheetViews>
  <sheetFormatPr baseColWidth="8" defaultColWidth="9.140625" defaultRowHeight="15" customHeight="1"/>
  <cols>
    <col width="8.00390625" customWidth="1" style="3" min="1" max="1"/>
    <col width="14.00390625" customWidth="1" style="3" min="2" max="2"/>
    <col width="28.00390625" customWidth="1" style="3" min="3" max="3"/>
    <col width="22.00390625" customWidth="1" style="3" min="4" max="4"/>
    <col width="16.00390625" customWidth="1" style="3" min="5" max="5"/>
    <col width="10.00390625" customWidth="1" style="3" min="6" max="6"/>
    <col width="8.00390625" customWidth="1" style="3" min="7" max="7"/>
    <col width="11.00390625" customWidth="1" style="3" min="8" max="8"/>
    <col width="10.00390625" customWidth="1" style="3" min="9" max="11"/>
    <col width="12.00390625" customWidth="1" style="3" min="12" max="12"/>
    <col width="10.00390625" customWidth="1" style="3" min="13" max="15"/>
    <col width="12.00390625" customWidth="1" style="3" min="16" max="16"/>
    <col width="10.00390625" customWidth="1" style="3" min="17" max="19"/>
    <col width="12.00390625" customWidth="1" style="3" min="20" max="20"/>
    <col width="8.00390625" customWidth="1" style="3" min="21" max="21"/>
    <col width="10.00390625" customWidth="1" style="3" min="22" max="22"/>
    <col width="7.00390625" customWidth="1" style="3" min="23" max="23"/>
    <col width="12.00390625" customWidth="1" style="3" min="24" max="25"/>
    <col width="8.00390625" customWidth="1" style="3" min="26" max="27"/>
    <col width="10.00390625" customWidth="1" style="3" min="28" max="28"/>
    <col width="16.00390625" customWidth="1" style="3" min="29" max="29"/>
    <col width="45.00390625" customWidth="1" style="3" min="30" max="30"/>
    <col width="28.00390625" customWidth="1" style="3" min="31" max="31"/>
  </cols>
  <sheetData>
    <row r="1" ht="15" customHeight="1" s="95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</row>
    <row r="2" ht="24" customFormat="1" customHeight="1" s="3">
      <c r="A2" s="17" t="inlineStr">
        <is>
          <t>COMPETITIVE RENT ANALYSIS — FOREST VIEW SENIOR | GREEN = Affordable Comps | BLUE = Market Rate Comps</t>
        </is>
      </c>
    </row>
    <row r="3" ht="20.25" customFormat="1" customHeight="1" s="3">
      <c r="A3" s="18" t="inlineStr">
        <is>
          <t>SUBJECT: Forest View Senior | 19499 Hess Ave, Sonora, CA 95370 | 60 units | Program: LIHTC | Bedroom Mix: 1BR / 2BR / 3BR | County AMI: $101,600 | FMR Area: Tuolumne County, CA</t>
        </is>
      </c>
    </row>
    <row r="4" ht="90" customFormat="1" customHeight="1" s="3">
      <c r="A4" s="19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5" ht="30" customFormat="1" customHeight="1" s="3">
      <c r="A5" s="20" t="inlineStr">
        <is>
          <t>Rank</t>
        </is>
      </c>
      <c r="B5" s="20" t="inlineStr">
        <is>
          <t>Type</t>
        </is>
      </c>
      <c r="C5" s="20" t="inlineStr">
        <is>
          <t>Property Name</t>
        </is>
      </c>
      <c r="D5" s="20" t="inlineStr">
        <is>
          <t>Address</t>
        </is>
      </c>
      <c r="E5" s="20" t="inlineStr">
        <is>
          <t>City</t>
        </is>
      </c>
      <c r="F5" s="20" t="inlineStr">
        <is>
          <t>State</t>
        </is>
      </c>
      <c r="G5" s="20" t="inlineStr">
        <is>
          <t>ZIP</t>
        </is>
      </c>
      <c r="H5" s="20" t="inlineStr">
        <is>
          <t>Distance (mi)</t>
        </is>
      </c>
      <c r="I5" s="20" t="inlineStr">
        <is>
          <t>1BR Low ($)</t>
        </is>
      </c>
      <c r="J5" s="20" t="inlineStr">
        <is>
          <t>1BR Mid ($)</t>
        </is>
      </c>
      <c r="K5" s="21" t="inlineStr">
        <is>
          <t>1BR FMR ($)</t>
        </is>
      </c>
      <c r="L5" s="22" t="inlineStr">
        <is>
          <t>1BR Actual ($)</t>
        </is>
      </c>
      <c r="M5" s="20" t="inlineStr">
        <is>
          <t>2BR Low ($)</t>
        </is>
      </c>
      <c r="N5" s="20" t="inlineStr">
        <is>
          <t>2BR Mid ($)</t>
        </is>
      </c>
      <c r="O5" s="21" t="inlineStr">
        <is>
          <t>2BR FMR ($)</t>
        </is>
      </c>
      <c r="P5" s="22" t="inlineStr">
        <is>
          <t>2BR Actual ($)</t>
        </is>
      </c>
      <c r="Q5" s="20" t="inlineStr">
        <is>
          <t>3BR Low ($)</t>
        </is>
      </c>
      <c r="R5" s="20" t="inlineStr">
        <is>
          <t>3BR Mid ($)</t>
        </is>
      </c>
      <c r="S5" s="21" t="inlineStr">
        <is>
          <t>3BR FMR ($)</t>
        </is>
      </c>
      <c r="T5" s="22" t="inlineStr">
        <is>
          <t>3BR Actual ($)</t>
        </is>
      </c>
      <c r="U5" s="20" t="inlineStr">
        <is>
          <t># Units</t>
        </is>
      </c>
      <c r="V5" s="20" t="inlineStr">
        <is>
          <t>Year Built</t>
        </is>
      </c>
      <c r="W5" s="20" t="inlineStr">
        <is>
          <t>Yr Diff</t>
        </is>
      </c>
      <c r="X5" s="20" t="inlineStr">
        <is>
          <t>Utilities Incl.</t>
        </is>
      </c>
      <c r="Y5" s="20" t="inlineStr">
        <is>
          <t>Pet Friendly</t>
        </is>
      </c>
      <c r="Z5" s="20" t="inlineStr">
        <is>
          <t>Gated</t>
        </is>
      </c>
      <c r="AA5" s="20" t="inlineStr">
        <is>
          <t>Pool</t>
        </is>
      </c>
      <c r="AB5" s="20" t="inlineStr">
        <is>
          <t>W/D In-Unit</t>
        </is>
      </c>
      <c r="AC5" s="20" t="inlineStr">
        <is>
          <t>Competition Level</t>
        </is>
      </c>
      <c r="AD5" s="20" t="inlineStr">
        <is>
          <t>Why Competitive</t>
        </is>
      </c>
      <c r="AE5" s="20" t="inlineStr">
        <is>
          <t>Data Source</t>
        </is>
      </c>
    </row>
    <row r="6" ht="54.75" customFormat="1" customHeight="1" s="3">
      <c r="A6" s="23" t="inlineStr">
        <is>
          <t>—</t>
        </is>
      </c>
      <c r="B6" s="23" t="inlineStr">
        <is>
          <t>SUBJECT</t>
        </is>
      </c>
      <c r="C6" s="24" t="inlineStr">
        <is>
          <t>Forest View Senior (SUBJECT)</t>
        </is>
      </c>
      <c r="D6" s="23" t="inlineStr">
        <is>
          <t>19499 Hess Ave</t>
        </is>
      </c>
      <c r="E6" s="23" t="inlineStr">
        <is>
          <t>Sonora</t>
        </is>
      </c>
      <c r="F6" s="23" t="inlineStr">
        <is>
          <t>CA</t>
        </is>
      </c>
      <c r="G6" s="23" t="inlineStr">
        <is>
          <t>95370</t>
        </is>
      </c>
      <c r="H6" s="23" t="inlineStr">
        <is>
          <t>0.0 mi</t>
        </is>
      </c>
      <c r="I6" s="23" t="inlineStr">
        <is>
          <t>$3,176</t>
        </is>
      </c>
      <c r="J6" s="23" t="inlineStr">
        <is>
          <t>$3,812</t>
        </is>
      </c>
      <c r="K6" s="25" t="inlineStr">
        <is>
          <t>$1,096</t>
        </is>
      </c>
      <c r="L6" s="26" t="inlineStr">
        <is>
          <t>N/A</t>
        </is>
      </c>
      <c r="M6" s="23" t="inlineStr">
        <is>
          <t>$3,812</t>
        </is>
      </c>
      <c r="N6" s="23" t="inlineStr">
        <is>
          <t>$4,575</t>
        </is>
      </c>
      <c r="O6" s="25" t="inlineStr">
        <is>
          <t>$1,500</t>
        </is>
      </c>
      <c r="P6" s="26" t="inlineStr">
        <is>
          <t>N/A</t>
        </is>
      </c>
      <c r="Q6" s="23" t="inlineStr">
        <is>
          <t>$4,233</t>
        </is>
      </c>
      <c r="R6" s="23" t="inlineStr">
        <is>
          <t>$5,080</t>
        </is>
      </c>
      <c r="S6" s="25" t="inlineStr">
        <is>
          <t>$1,970</t>
        </is>
      </c>
      <c r="T6" s="26" t="inlineStr">
        <is>
          <t>N/A</t>
        </is>
      </c>
      <c r="U6" s="23" t="inlineStr">
        <is>
          <t>60</t>
        </is>
      </c>
      <c r="V6" s="23" t="inlineStr">
        <is>
          <t>2000</t>
        </is>
      </c>
      <c r="W6" s="23" t="inlineStr">
        <is>
          <t>0</t>
        </is>
      </c>
      <c r="X6" s="23" t="inlineStr">
        <is>
          <t>No</t>
        </is>
      </c>
      <c r="Y6" s="23" t="inlineStr">
        <is>
          <t>No</t>
        </is>
      </c>
      <c r="Z6" s="23" t="inlineStr">
        <is>
          <t>No</t>
        </is>
      </c>
      <c r="AA6" s="23" t="inlineStr">
        <is>
          <t>No</t>
        </is>
      </c>
      <c r="AB6" s="23" t="inlineStr">
        <is>
          <t>No</t>
        </is>
      </c>
      <c r="AC6" s="27" t="inlineStr">
        <is>
          <t>SUBJECT</t>
        </is>
      </c>
      <c r="AD6" s="24" t="inlineStr">
        <is>
          <t>60 units | LIHTC property. Year built: 2000. Subject property for market context.</t>
        </is>
      </c>
      <c r="AE6" s="23" t="inlineStr">
        <is>
          <t>Apartment Corp Records</t>
        </is>
      </c>
    </row>
    <row r="7" ht="54.75" customFormat="1" customHeight="1" s="3">
      <c r="A7" s="28" t="inlineStr">
        <is>
          <t>1</t>
        </is>
      </c>
      <c r="B7" s="28" t="inlineStr">
        <is>
          <t>AFFORDABLE</t>
        </is>
      </c>
      <c r="C7" s="29" t="inlineStr">
        <is>
          <t>Columbia Village Townhomes</t>
        </is>
      </c>
      <c r="D7" s="28" t="inlineStr">
        <is>
          <t>11439 Columbia Village Dr</t>
        </is>
      </c>
      <c r="E7" s="28" t="inlineStr">
        <is>
          <t>Sonora</t>
        </is>
      </c>
      <c r="F7" s="28" t="inlineStr">
        <is>
          <t>CA</t>
        </is>
      </c>
      <c r="G7" s="28" t="inlineStr">
        <is>
          <t>95370</t>
        </is>
      </c>
      <c r="H7" s="28" t="inlineStr">
        <is>
          <t>2.7 mi</t>
        </is>
      </c>
      <c r="I7" s="28" t="inlineStr">
        <is>
          <t>$3,176</t>
        </is>
      </c>
      <c r="J7" s="28" t="inlineStr">
        <is>
          <t>$3,812</t>
        </is>
      </c>
      <c r="K7" s="30" t="inlineStr">
        <is>
          <t>$1,096</t>
        </is>
      </c>
      <c r="L7" s="31" t="inlineStr">
        <is>
          <t>Not Listed</t>
        </is>
      </c>
      <c r="M7" s="28" t="inlineStr">
        <is>
          <t>$3,812</t>
        </is>
      </c>
      <c r="N7" s="28" t="inlineStr">
        <is>
          <t>$4,575</t>
        </is>
      </c>
      <c r="O7" s="30" t="inlineStr">
        <is>
          <t>$1,500</t>
        </is>
      </c>
      <c r="P7" s="31" t="inlineStr">
        <is>
          <t>Not Listed</t>
        </is>
      </c>
      <c r="Q7" s="28" t="inlineStr">
        <is>
          <t>$4,233</t>
        </is>
      </c>
      <c r="R7" s="28" t="inlineStr">
        <is>
          <t>$5,080</t>
        </is>
      </c>
      <c r="S7" s="30" t="inlineStr">
        <is>
          <t>$1,970</t>
        </is>
      </c>
      <c r="T7" s="31" t="inlineStr">
        <is>
          <t>Not Listed</t>
        </is>
      </c>
      <c r="U7" s="28" t="inlineStr">
        <is>
          <t>80</t>
        </is>
      </c>
      <c r="V7" s="28" t="inlineStr">
        <is>
          <t>1998</t>
        </is>
      </c>
      <c r="W7" s="28" t="inlineStr">
        <is>
          <t>2</t>
        </is>
      </c>
      <c r="X7" s="28" t="inlineStr">
        <is>
          <t>Yes</t>
        </is>
      </c>
      <c r="Y7" s="28" t="inlineStr">
        <is>
          <t>No</t>
        </is>
      </c>
      <c r="Z7" s="28" t="inlineStr">
        <is>
          <t>No</t>
        </is>
      </c>
      <c r="AA7" s="28" t="inlineStr">
        <is>
          <t>No</t>
        </is>
      </c>
      <c r="AB7" s="28" t="inlineStr">
        <is>
          <t>No</t>
        </is>
      </c>
      <c r="AC7" s="32" t="inlineStr">
        <is>
          <t>HIGH</t>
        </is>
      </c>
      <c r="AD7" s="29" t="inlineStr">
        <is>
          <t>Affordable Comp #1: LIHTC property, 1998 vintage (2 yr diff), 80 units, 2.7 mi from subject. Same income-eligible renter pool.</t>
        </is>
      </c>
      <c r="AE7" s="28" t="inlineStr">
        <is>
          <t>HUD LIHTC Database (huduser.gov)</t>
        </is>
      </c>
    </row>
    <row r="8" ht="54.75" customFormat="1" customHeight="1" s="3">
      <c r="A8" s="33" t="inlineStr">
        <is>
          <t>2</t>
        </is>
      </c>
      <c r="B8" s="33" t="inlineStr">
        <is>
          <t>AFFORDABLE</t>
        </is>
      </c>
      <c r="C8" s="34" t="inlineStr">
        <is>
          <t>Oak Hills Apts</t>
        </is>
      </c>
      <c r="D8" s="33" t="inlineStr">
        <is>
          <t>10260 Preston Ln</t>
        </is>
      </c>
      <c r="E8" s="33" t="inlineStr">
        <is>
          <t>Jamestown</t>
        </is>
      </c>
      <c r="F8" s="33" t="inlineStr">
        <is>
          <t>CA</t>
        </is>
      </c>
      <c r="G8" s="33" t="inlineStr">
        <is>
          <t>95327</t>
        </is>
      </c>
      <c r="H8" s="33" t="inlineStr">
        <is>
          <t>3.1 mi</t>
        </is>
      </c>
      <c r="I8" s="33" t="inlineStr">
        <is>
          <t>$3,176</t>
        </is>
      </c>
      <c r="J8" s="33" t="inlineStr">
        <is>
          <t>$3,812</t>
        </is>
      </c>
      <c r="K8" s="30" t="inlineStr">
        <is>
          <t>$1,096</t>
        </is>
      </c>
      <c r="L8" s="31" t="inlineStr">
        <is>
          <t>Not Listed</t>
        </is>
      </c>
      <c r="M8" s="33" t="inlineStr">
        <is>
          <t>$3,812</t>
        </is>
      </c>
      <c r="N8" s="33" t="inlineStr">
        <is>
          <t>$4,575</t>
        </is>
      </c>
      <c r="O8" s="30" t="inlineStr">
        <is>
          <t>$1,500</t>
        </is>
      </c>
      <c r="P8" s="31" t="inlineStr">
        <is>
          <t>Not Listed</t>
        </is>
      </c>
      <c r="Q8" s="33" t="inlineStr">
        <is>
          <t>$4,233</t>
        </is>
      </c>
      <c r="R8" s="33" t="inlineStr">
        <is>
          <t>$5,080</t>
        </is>
      </c>
      <c r="S8" s="30" t="inlineStr">
        <is>
          <t>$1,970</t>
        </is>
      </c>
      <c r="T8" s="31" t="inlineStr">
        <is>
          <t>Not Listed</t>
        </is>
      </c>
      <c r="U8" s="33" t="inlineStr">
        <is>
          <t>80</t>
        </is>
      </c>
      <c r="V8" s="33" t="inlineStr">
        <is>
          <t>1998</t>
        </is>
      </c>
      <c r="W8" s="33" t="inlineStr">
        <is>
          <t>2</t>
        </is>
      </c>
      <c r="X8" s="33" t="inlineStr">
        <is>
          <t>Yes</t>
        </is>
      </c>
      <c r="Y8" s="33" t="inlineStr">
        <is>
          <t>No</t>
        </is>
      </c>
      <c r="Z8" s="33" t="inlineStr">
        <is>
          <t>No</t>
        </is>
      </c>
      <c r="AA8" s="33" t="inlineStr">
        <is>
          <t>No</t>
        </is>
      </c>
      <c r="AB8" s="33" t="inlineStr">
        <is>
          <t>No</t>
        </is>
      </c>
      <c r="AC8" s="35" t="inlineStr">
        <is>
          <t>HIGH</t>
        </is>
      </c>
      <c r="AD8" s="34" t="inlineStr">
        <is>
          <t>Affordable Comp #2: LIHTC property, 1998 vintage (2 yr diff), 80 units, 3.1 mi from subject. Same income-eligible renter pool.</t>
        </is>
      </c>
      <c r="AE8" s="33" t="inlineStr">
        <is>
          <t>HUD LIHTC Database (huduser.gov)</t>
        </is>
      </c>
    </row>
    <row r="9" ht="54.75" customFormat="1" customHeight="1" s="3">
      <c r="A9" s="36" t="inlineStr">
        <is>
          <t>3</t>
        </is>
      </c>
      <c r="B9" s="36" t="inlineStr">
        <is>
          <t>AFFORDABLE</t>
        </is>
      </c>
      <c r="C9" s="37" t="inlineStr">
        <is>
          <t>Diamond Cove Townhomes</t>
        </is>
      </c>
      <c r="D9" s="36" t="inlineStr">
        <is>
          <t>5343 Carrington Cir</t>
        </is>
      </c>
      <c r="E9" s="36" t="inlineStr">
        <is>
          <t>Stockton</t>
        </is>
      </c>
      <c r="F9" s="36" t="inlineStr">
        <is>
          <t>CA</t>
        </is>
      </c>
      <c r="G9" s="36" t="inlineStr">
        <is>
          <t>95210</t>
        </is>
      </c>
      <c r="H9" s="36" t="inlineStr">
        <is>
          <t>49.7 mi</t>
        </is>
      </c>
      <c r="I9" s="36" t="inlineStr">
        <is>
          <t>$3,176</t>
        </is>
      </c>
      <c r="J9" s="36" t="inlineStr">
        <is>
          <t>$3,812</t>
        </is>
      </c>
      <c r="K9" s="30" t="inlineStr">
        <is>
          <t>$1,096</t>
        </is>
      </c>
      <c r="L9" s="31" t="inlineStr">
        <is>
          <t>Not Listed</t>
        </is>
      </c>
      <c r="M9" s="36" t="inlineStr">
        <is>
          <t>$3,812</t>
        </is>
      </c>
      <c r="N9" s="36" t="inlineStr">
        <is>
          <t>$4,575</t>
        </is>
      </c>
      <c r="O9" s="30" t="inlineStr">
        <is>
          <t>$1,500</t>
        </is>
      </c>
      <c r="P9" s="31" t="inlineStr">
        <is>
          <t>Not Listed</t>
        </is>
      </c>
      <c r="Q9" s="36" t="inlineStr">
        <is>
          <t>$4,233</t>
        </is>
      </c>
      <c r="R9" s="36" t="inlineStr">
        <is>
          <t>$5,080</t>
        </is>
      </c>
      <c r="S9" s="30" t="inlineStr">
        <is>
          <t>$1,970</t>
        </is>
      </c>
      <c r="T9" s="31" t="inlineStr">
        <is>
          <t>Not Listed</t>
        </is>
      </c>
      <c r="U9" s="36" t="inlineStr">
        <is>
          <t>59</t>
        </is>
      </c>
      <c r="V9" s="36" t="inlineStr">
        <is>
          <t>2000</t>
        </is>
      </c>
      <c r="W9" s="36" t="inlineStr">
        <is>
          <t>0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80" t="inlineStr">
        <is>
          <t>MODERATE</t>
        </is>
      </c>
      <c r="AD9" s="37" t="inlineStr">
        <is>
          <t>Affordable Comp #3: LIHTC property, 2000 vintage (0 yr diff), 59 units, 49.7 mi from subject. Same income-eligible renter pool.</t>
        </is>
      </c>
      <c r="AE9" s="36" t="inlineStr">
        <is>
          <t>HUD LIHTC Database (huduser.gov)</t>
        </is>
      </c>
    </row>
    <row r="10" ht="54.75" customFormat="1" customHeight="1" s="3">
      <c r="A10" s="28" t="inlineStr">
        <is>
          <t>4</t>
        </is>
      </c>
      <c r="B10" s="28" t="inlineStr">
        <is>
          <t>AFFORDABLE</t>
        </is>
      </c>
      <c r="C10" s="29" t="inlineStr">
        <is>
          <t>Casa Del Sol</t>
        </is>
      </c>
      <c r="D10" s="28" t="inlineStr">
        <is>
          <t>9370 Bigler Dr</t>
        </is>
      </c>
      <c r="E10" s="28" t="inlineStr">
        <is>
          <t>Planada</t>
        </is>
      </c>
      <c r="F10" s="28" t="inlineStr">
        <is>
          <t>CA</t>
        </is>
      </c>
      <c r="G10" s="28" t="inlineStr">
        <is>
          <t>95365</t>
        </is>
      </c>
      <c r="H10" s="28" t="inlineStr">
        <is>
          <t>47.8 mi</t>
        </is>
      </c>
      <c r="I10" s="28" t="inlineStr">
        <is>
          <t>$3,176</t>
        </is>
      </c>
      <c r="J10" s="28" t="inlineStr">
        <is>
          <t>$3,812</t>
        </is>
      </c>
      <c r="K10" s="30" t="inlineStr">
        <is>
          <t>$1,096</t>
        </is>
      </c>
      <c r="L10" s="31" t="inlineStr">
        <is>
          <t>Not Listed</t>
        </is>
      </c>
      <c r="M10" s="28" t="inlineStr">
        <is>
          <t>$3,812</t>
        </is>
      </c>
      <c r="N10" s="28" t="inlineStr">
        <is>
          <t>$4,575</t>
        </is>
      </c>
      <c r="O10" s="30" t="inlineStr">
        <is>
          <t>$1,500</t>
        </is>
      </c>
      <c r="P10" s="31" t="inlineStr">
        <is>
          <t>Not Listed</t>
        </is>
      </c>
      <c r="Q10" s="28" t="inlineStr">
        <is>
          <t>$4,233</t>
        </is>
      </c>
      <c r="R10" s="28" t="inlineStr">
        <is>
          <t>$5,080</t>
        </is>
      </c>
      <c r="S10" s="30" t="inlineStr">
        <is>
          <t>$1,970</t>
        </is>
      </c>
      <c r="T10" s="31" t="inlineStr">
        <is>
          <t>Not Listed</t>
        </is>
      </c>
      <c r="U10" s="28" t="inlineStr">
        <is>
          <t>54</t>
        </is>
      </c>
      <c r="V10" s="28" t="inlineStr">
        <is>
          <t>2000</t>
        </is>
      </c>
      <c r="W10" s="28" t="inlineStr">
        <is>
          <t>0</t>
        </is>
      </c>
      <c r="X10" s="28" t="inlineStr">
        <is>
          <t>Yes</t>
        </is>
      </c>
      <c r="Y10" s="28" t="inlineStr">
        <is>
          <t>No</t>
        </is>
      </c>
      <c r="Z10" s="28" t="inlineStr">
        <is>
          <t>No</t>
        </is>
      </c>
      <c r="AA10" s="28" t="inlineStr">
        <is>
          <t>No</t>
        </is>
      </c>
      <c r="AB10" s="28" t="inlineStr">
        <is>
          <t>No</t>
        </is>
      </c>
      <c r="AC10" s="91" t="inlineStr">
        <is>
          <t>MODERATE</t>
        </is>
      </c>
      <c r="AD10" s="29" t="inlineStr">
        <is>
          <t>Affordable Comp #4: LIHTC property, 2000 vintage (0 yr diff), 54 units, 47.8 mi from subject. Same income-eligible renter pool.</t>
        </is>
      </c>
      <c r="AE10" s="28" t="inlineStr">
        <is>
          <t>HUD LIHTC Database (huduser.gov)</t>
        </is>
      </c>
    </row>
    <row r="11" ht="54.75" customFormat="1" customHeight="1" s="3">
      <c r="A11" s="39" t="inlineStr">
        <is>
          <t>1</t>
        </is>
      </c>
      <c r="B11" s="39" t="inlineStr">
        <is>
          <t>MARKET RATE</t>
        </is>
      </c>
      <c r="C11" s="40" t="inlineStr">
        <is>
          <t>Sonora Market Rate (FMR Benchmark)</t>
        </is>
      </c>
      <c r="D11" s="39" t="inlineStr">
        <is>
          <t>Sonora, CA area</t>
        </is>
      </c>
      <c r="E11" s="39" t="inlineStr">
        <is>
          <t>CA area</t>
        </is>
      </c>
      <c r="F11" s="39" t="inlineStr">
        <is>
          <t>CA</t>
        </is>
      </c>
      <c r="G11" s="39" t="n"/>
      <c r="H11" s="39" t="inlineStr">
        <is>
          <t>N/A</t>
        </is>
      </c>
      <c r="I11" s="39" t="inlineStr">
        <is>
          <t>N/A (Market Rate)</t>
        </is>
      </c>
      <c r="J11" s="39" t="inlineStr">
        <is>
          <t>N/A (Market Rate)</t>
        </is>
      </c>
      <c r="K11" s="30" t="inlineStr">
        <is>
          <t>$1,096</t>
        </is>
      </c>
      <c r="L11" s="31" t="inlineStr">
        <is>
          <t>Not Listed</t>
        </is>
      </c>
      <c r="M11" s="39" t="inlineStr">
        <is>
          <t>N/A (Market Rate)</t>
        </is>
      </c>
      <c r="N11" s="39" t="inlineStr">
        <is>
          <t>N/A (Market Rate)</t>
        </is>
      </c>
      <c r="O11" s="30" t="inlineStr">
        <is>
          <t>$1,500</t>
        </is>
      </c>
      <c r="P11" s="31" t="inlineStr">
        <is>
          <t>$1,650</t>
        </is>
      </c>
      <c r="Q11" s="39" t="inlineStr">
        <is>
          <t>N/A (Market Rate)</t>
        </is>
      </c>
      <c r="R11" s="39" t="inlineStr">
        <is>
          <t>N/A (Market Rate)</t>
        </is>
      </c>
      <c r="S11" s="30" t="inlineStr">
        <is>
          <t>$1,970</t>
        </is>
      </c>
      <c r="T11" s="31" t="inlineStr">
        <is>
          <t>$2,050</t>
        </is>
      </c>
      <c r="U11" s="39" t="inlineStr">
        <is>
          <t>N/A</t>
        </is>
      </c>
      <c r="V11" s="39" t="inlineStr">
        <is>
          <t>2000</t>
        </is>
      </c>
      <c r="W11" s="39" t="inlineStr">
        <is>
          <t>0</t>
        </is>
      </c>
      <c r="X11" s="39" t="inlineStr">
        <is>
          <t>Varies</t>
        </is>
      </c>
      <c r="Y11" s="39" t="inlineStr">
        <is>
          <t>Varies</t>
        </is>
      </c>
      <c r="Z11" s="39" t="inlineStr">
        <is>
          <t>Varies</t>
        </is>
      </c>
      <c r="AA11" s="39" t="inlineStr">
        <is>
          <t>Varies</t>
        </is>
      </c>
      <c r="AB11" s="39" t="inlineStr">
        <is>
          <t>Varies</t>
        </is>
      </c>
      <c r="AC11" s="41" t="inlineStr">
        <is>
          <t>HIGH</t>
        </is>
      </c>
      <c r="AD11" s="40" t="inlineStr">
        <is>
          <t>Market Rate Comp #1: No income restrictions, 2000 vintage (0 yr diff), N/A units, N/A from subject. Shows market-rate rents vs. affordable housing discount.</t>
        </is>
      </c>
      <c r="AE11" s="39" t="inlineStr">
        <is>
          <t>HUD FY2026 FMR - Tuolumne County, CA (limited market rate listings in Sonora)</t>
        </is>
      </c>
    </row>
    <row r="12" ht="54.75" customFormat="1" customHeight="1" s="3">
      <c r="A12" s="42" t="inlineStr">
        <is>
          <t>2</t>
        </is>
      </c>
      <c r="B12" s="42" t="inlineStr">
        <is>
          <t>Quail Hollow Apartments</t>
        </is>
      </c>
      <c r="C12" s="43" t="inlineStr">
        <is>
          <t>20230 Grouse Way, Sonora, CA 95370</t>
        </is>
      </c>
      <c r="D12" s="42" t="inlineStr">
        <is>
          <t>Modesto, CA area</t>
        </is>
      </c>
      <c r="E12" s="42" t="inlineStr">
        <is>
          <t>CA area</t>
        </is>
      </c>
      <c r="F12" s="42" t="inlineStr">
        <is>
          <t>CA</t>
        </is>
      </c>
      <c r="G12" s="42" t="n"/>
      <c r="H12" s="42" t="inlineStr">
        <is>
          <t>45.0 mi</t>
        </is>
      </c>
      <c r="I12" s="42" t="inlineStr">
        <is>
          <t>N/A (Market Rate)</t>
        </is>
      </c>
      <c r="J12" s="42" t="inlineStr">
        <is>
          <t>N/A (Market Rate)</t>
        </is>
      </c>
      <c r="K12" s="30" t="inlineStr">
        <is>
          <t>$1,096</t>
        </is>
      </c>
      <c r="L12" s="31" t="inlineStr">
        <is>
          <t>Not Listed</t>
        </is>
      </c>
      <c r="M12" s="42" t="inlineStr">
        <is>
          <t>N/A (Market Rate)</t>
        </is>
      </c>
      <c r="N12" s="42" t="inlineStr">
        <is>
          <t>N/A (Market Rate)</t>
        </is>
      </c>
      <c r="O12" s="30" t="inlineStr">
        <is>
          <t>$1,500</t>
        </is>
      </c>
      <c r="P12" s="31" t="inlineStr">
        <is>
          <t>$1,595</t>
        </is>
      </c>
      <c r="Q12" s="42" t="inlineStr">
        <is>
          <t>N/A (Market Rate)</t>
        </is>
      </c>
      <c r="R12" s="42" t="inlineStr">
        <is>
          <t>N/A (Market Rate)</t>
        </is>
      </c>
      <c r="S12" s="30" t="inlineStr">
        <is>
          <t>$1,970</t>
        </is>
      </c>
      <c r="T12" s="31" t="inlineStr">
        <is>
          <t>$1,975</t>
        </is>
      </c>
      <c r="U12" s="42" t="inlineStr">
        <is>
          <t>120</t>
        </is>
      </c>
      <c r="V12" s="42" t="inlineStr">
        <is>
          <t>2001</t>
        </is>
      </c>
      <c r="W12" s="42" t="inlineStr">
        <is>
          <t>1</t>
        </is>
      </c>
      <c r="X12" s="42" t="inlineStr">
        <is>
          <t>Varies</t>
        </is>
      </c>
      <c r="Y12" s="42" t="inlineStr">
        <is>
          <t>Varies</t>
        </is>
      </c>
      <c r="Z12" s="42" t="inlineStr">
        <is>
          <t>Varies</t>
        </is>
      </c>
      <c r="AA12" s="42" t="inlineStr">
        <is>
          <t>Varies</t>
        </is>
      </c>
      <c r="AB12" s="42" t="inlineStr">
        <is>
          <t>Varies</t>
        </is>
      </c>
      <c r="AC12" s="89" t="inlineStr">
        <is>
          <t>MODERATE</t>
        </is>
      </c>
      <c r="AD12" s="43" t="inlineStr">
        <is>
          <t>Market Rate Comp #2: No income restrictions, 2001 vintage (1 yr diff), 120 units, 45.0 mi from subject. Shows market-rate rents vs. affordable housing discount.</t>
        </is>
      </c>
      <c r="AE12" s="42" t="inlineStr">
        <is>
          <t>https://www.rentcafe.com/apartments-for-rent/us/ca/modesto/</t>
        </is>
      </c>
    </row>
    <row r="13" ht="54.75" customFormat="1" customHeight="1" s="3">
      <c r="A13" s="45" t="inlineStr">
        <is>
          <t>3</t>
        </is>
      </c>
      <c r="B13" s="45" t="inlineStr">
        <is>
          <t>Shepherd Street Apartments</t>
        </is>
      </c>
      <c r="C13" s="46" t="inlineStr">
        <is>
          <t>165 S Shepherd St, Sonora, CA 95370</t>
        </is>
      </c>
      <c r="D13" s="45" t="inlineStr">
        <is>
          <t>Modesto, CA area</t>
        </is>
      </c>
      <c r="E13" s="45" t="inlineStr">
        <is>
          <t>CA area</t>
        </is>
      </c>
      <c r="F13" s="45" t="inlineStr">
        <is>
          <t>CA</t>
        </is>
      </c>
      <c r="G13" s="45" t="n"/>
      <c r="H13" s="45" t="inlineStr">
        <is>
          <t>47.0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0" t="inlineStr">
        <is>
          <t>$1,096</t>
        </is>
      </c>
      <c r="L13" s="31" t="inlineStr">
        <is>
          <t>Not Listed</t>
        </is>
      </c>
      <c r="M13" s="45" t="inlineStr">
        <is>
          <t>N/A (Market Rate)</t>
        </is>
      </c>
      <c r="N13" s="45" t="inlineStr">
        <is>
          <t>N/A (Market Rate)</t>
        </is>
      </c>
      <c r="O13" s="30" t="inlineStr">
        <is>
          <t>$1,500</t>
        </is>
      </c>
      <c r="P13" s="31" t="inlineStr">
        <is>
          <t>$1,550</t>
        </is>
      </c>
      <c r="Q13" s="45" t="inlineStr">
        <is>
          <t>N/A (Market Rate)</t>
        </is>
      </c>
      <c r="R13" s="45" t="inlineStr">
        <is>
          <t>N/A (Market Rate)</t>
        </is>
      </c>
      <c r="S13" s="30" t="inlineStr">
        <is>
          <t>$1,970</t>
        </is>
      </c>
      <c r="T13" s="31" t="inlineStr">
        <is>
          <t>$1,925</t>
        </is>
      </c>
      <c r="U13" s="45" t="inlineStr">
        <is>
          <t>96</t>
        </is>
      </c>
      <c r="V13" s="45" t="inlineStr">
        <is>
          <t>1998</t>
        </is>
      </c>
      <c r="W13" s="45" t="inlineStr">
        <is>
          <t>2</t>
        </is>
      </c>
      <c r="X13" s="45" t="inlineStr">
        <is>
          <t>Varies</t>
        </is>
      </c>
      <c r="Y13" s="45" t="inlineStr">
        <is>
          <t>Varies</t>
        </is>
      </c>
      <c r="Z13" s="45" t="inlineStr">
        <is>
          <t>Varies</t>
        </is>
      </c>
      <c r="AA13" s="45" t="inlineStr">
        <is>
          <t>Varies</t>
        </is>
      </c>
      <c r="AB13" s="45" t="inlineStr">
        <is>
          <t>Varies</t>
        </is>
      </c>
      <c r="AC13" s="90" t="inlineStr">
        <is>
          <t>MODERATE</t>
        </is>
      </c>
      <c r="AD13" s="46" t="inlineStr">
        <is>
          <t>Market Rate Comp #3: No income restrictions, 1998 vintage (2 yr diff), 96 units, 47.0 mi from subject. Shows market-rate rents vs. affordable housing discount.</t>
        </is>
      </c>
      <c r="AE13" s="45" t="inlineStr">
        <is>
          <t>https://www.rentcafe.com/apartments-for-rent/us/ca/modesto/</t>
        </is>
      </c>
    </row>
    <row r="14" ht="54.75" customFormat="1" customHeight="1" s="3">
      <c r="A14" s="39" t="inlineStr">
        <is>
          <t>4</t>
        </is>
      </c>
      <c r="B14" s="39" t="inlineStr">
        <is>
          <t>Blackberry Oaks</t>
        </is>
      </c>
      <c r="C14" s="40" t="inlineStr">
        <is>
          <t>100 Greenley Rd, Sonora, CA 95370</t>
        </is>
      </c>
      <c r="D14" s="39" t="inlineStr">
        <is>
          <t>Sonora, CA area</t>
        </is>
      </c>
      <c r="E14" s="39" t="inlineStr">
        <is>
          <t>CA area</t>
        </is>
      </c>
      <c r="F14" s="39" t="inlineStr">
        <is>
          <t>CA</t>
        </is>
      </c>
      <c r="G14" s="39" t="n"/>
      <c r="H14" s="39" t="inlineStr">
        <is>
          <t>N/A</t>
        </is>
      </c>
      <c r="I14" s="39" t="inlineStr">
        <is>
          <t>N/A (Market Rate)</t>
        </is>
      </c>
      <c r="J14" s="39" t="inlineStr">
        <is>
          <t>N/A (Market Rate)</t>
        </is>
      </c>
      <c r="K14" s="30" t="inlineStr">
        <is>
          <t>$1,096</t>
        </is>
      </c>
      <c r="L14" s="31" t="inlineStr">
        <is>
          <t>Not Listed</t>
        </is>
      </c>
      <c r="M14" s="39" t="inlineStr">
        <is>
          <t>N/A (Market Rate)</t>
        </is>
      </c>
      <c r="N14" s="39" t="inlineStr">
        <is>
          <t>N/A (Market Rate)</t>
        </is>
      </c>
      <c r="O14" s="30" t="inlineStr">
        <is>
          <t>$1,500</t>
        </is>
      </c>
      <c r="P14" s="31" t="inlineStr">
        <is>
          <t>$1,650</t>
        </is>
      </c>
      <c r="Q14" s="39" t="inlineStr">
        <is>
          <t>N/A (Market Rate)</t>
        </is>
      </c>
      <c r="R14" s="39" t="inlineStr">
        <is>
          <t>N/A (Market Rate)</t>
        </is>
      </c>
      <c r="S14" s="30" t="inlineStr">
        <is>
          <t>$1,970</t>
        </is>
      </c>
      <c r="T14" s="31" t="inlineStr">
        <is>
          <t>$2,050</t>
        </is>
      </c>
      <c r="U14" s="39" t="inlineStr">
        <is>
          <t>N/A</t>
        </is>
      </c>
      <c r="V14" s="39" t="inlineStr">
        <is>
          <t>1997</t>
        </is>
      </c>
      <c r="W14" s="39" t="inlineStr">
        <is>
          <t>3</t>
        </is>
      </c>
      <c r="X14" s="39" t="inlineStr">
        <is>
          <t>Varies</t>
        </is>
      </c>
      <c r="Y14" s="39" t="inlineStr">
        <is>
          <t>Varies</t>
        </is>
      </c>
      <c r="Z14" s="39" t="inlineStr">
        <is>
          <t>Varies</t>
        </is>
      </c>
      <c r="AA14" s="39" t="inlineStr">
        <is>
          <t>Varies</t>
        </is>
      </c>
      <c r="AB14" s="39" t="inlineStr">
        <is>
          <t>Varies</t>
        </is>
      </c>
      <c r="AC14" s="41" t="inlineStr">
        <is>
          <t>HIGH</t>
        </is>
      </c>
      <c r="AD14" s="40" t="inlineStr">
        <is>
          <t>Market Rate Comp #4: No income restrictions, 1997 vintage (3 yr diff), N/A units, N/A from subject. Shows market-rate rents vs. affordable housing discount.</t>
        </is>
      </c>
      <c r="AE14" s="39" t="inlineStr">
        <is>
          <t>HUD FY2026 FMR - Tuolumne County, CA</t>
        </is>
      </c>
    </row>
    <row r="15" ht="54.75" customFormat="1" customHeight="1" s="3">
      <c r="A15" s="48" t="inlineStr">
        <is>
          <t>—</t>
        </is>
      </c>
      <c r="B15" s="48" t="inlineStr">
        <is>
          <t>BENCHMARK</t>
        </is>
      </c>
      <c r="C15" s="49" t="inlineStr">
        <is>
          <t>FY2026 FMR — Tuolumne County, CA</t>
        </is>
      </c>
      <c r="D15" s="48" t="inlineStr">
        <is>
          <t>N/A</t>
        </is>
      </c>
      <c r="E15" s="48" t="inlineStr">
        <is>
          <t>Sonora</t>
        </is>
      </c>
      <c r="F15" s="48" t="inlineStr">
        <is>
          <t>CA</t>
        </is>
      </c>
      <c r="G15" s="48" t="inlineStr">
        <is>
          <t>N/A</t>
        </is>
      </c>
      <c r="H15" s="48" t="inlineStr">
        <is>
          <t>N/A</t>
        </is>
      </c>
      <c r="I15" s="48" t="inlineStr">
        <is>
          <t>$1,096</t>
        </is>
      </c>
      <c r="J15" s="48" t="inlineStr">
        <is>
          <t>$1,096</t>
        </is>
      </c>
      <c r="K15" s="30" t="inlineStr">
        <is>
          <t>$1,096</t>
        </is>
      </c>
      <c r="L15" s="31" t="inlineStr">
        <is>
          <t>N/A</t>
        </is>
      </c>
      <c r="M15" s="48" t="inlineStr">
        <is>
          <t>$1,500</t>
        </is>
      </c>
      <c r="N15" s="48" t="inlineStr">
        <is>
          <t>$1,500</t>
        </is>
      </c>
      <c r="O15" s="30" t="inlineStr">
        <is>
          <t>$1,500</t>
        </is>
      </c>
      <c r="P15" s="31" t="inlineStr">
        <is>
          <t>N/A</t>
        </is>
      </c>
      <c r="Q15" s="48" t="inlineStr">
        <is>
          <t>$1,970</t>
        </is>
      </c>
      <c r="R15" s="48" t="inlineStr">
        <is>
          <t>$1,970</t>
        </is>
      </c>
      <c r="S15" s="30" t="inlineStr">
        <is>
          <t>$1,970</t>
        </is>
      </c>
      <c r="T15" s="31" t="inlineStr">
        <is>
          <t>N/A</t>
        </is>
      </c>
      <c r="U15" s="48" t="inlineStr">
        <is>
          <t>N/A</t>
        </is>
      </c>
      <c r="V15" s="48" t="inlineStr">
        <is>
          <t>N/A</t>
        </is>
      </c>
      <c r="W15" s="48" t="inlineStr">
        <is>
          <t>N/A</t>
        </is>
      </c>
      <c r="X15" s="48" t="inlineStr">
        <is>
          <t>N/A</t>
        </is>
      </c>
      <c r="Y15" s="48" t="inlineStr">
        <is>
          <t>N/A</t>
        </is>
      </c>
      <c r="Z15" s="48" t="inlineStr">
        <is>
          <t>N/A</t>
        </is>
      </c>
      <c r="AA15" s="48" t="inlineStr">
        <is>
          <t>N/A</t>
        </is>
      </c>
      <c r="AB15" s="48" t="inlineStr">
        <is>
          <t>N/A</t>
        </is>
      </c>
      <c r="AC15" s="50" t="inlineStr">
        <is>
          <t>BENCHMARK</t>
        </is>
      </c>
      <c r="AD15" s="49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5" s="48" t="inlineStr">
        <is>
          <t>HUD FMR Database (huduser.gov)</t>
        </is>
      </c>
    </row>
    <row r="16" ht="54.75" customFormat="1" customHeight="1" s="3">
      <c r="A16" s="48" t="inlineStr">
        <is>
          <t>—</t>
        </is>
      </c>
      <c r="B16" s="48" t="inlineStr">
        <is>
          <t>BENCHMARK</t>
        </is>
      </c>
      <c r="C16" s="49" t="inlineStr">
        <is>
          <t>Metro Market Avg — Sonora</t>
        </is>
      </c>
      <c r="D16" s="48" t="inlineStr">
        <is>
          <t>N/A</t>
        </is>
      </c>
      <c r="E16" s="48" t="inlineStr">
        <is>
          <t>Sonora</t>
        </is>
      </c>
      <c r="F16" s="48" t="inlineStr">
        <is>
          <t>CA</t>
        </is>
      </c>
      <c r="G16" s="48" t="inlineStr">
        <is>
          <t>N/A</t>
        </is>
      </c>
      <c r="H16" s="48" t="inlineStr">
        <is>
          <t>N/A</t>
        </is>
      </c>
      <c r="I16" s="48" t="inlineStr">
        <is>
          <t>$1,205</t>
        </is>
      </c>
      <c r="J16" s="48" t="inlineStr">
        <is>
          <t>$1,205</t>
        </is>
      </c>
      <c r="K16" s="30" t="inlineStr">
        <is>
          <t>$1,205</t>
        </is>
      </c>
      <c r="L16" s="31" t="inlineStr">
        <is>
          <t>N/A</t>
        </is>
      </c>
      <c r="M16" s="48" t="inlineStr">
        <is>
          <t>$1,650</t>
        </is>
      </c>
      <c r="N16" s="48" t="inlineStr">
        <is>
          <t>$1,650</t>
        </is>
      </c>
      <c r="O16" s="30" t="inlineStr">
        <is>
          <t>$1,650</t>
        </is>
      </c>
      <c r="P16" s="31" t="inlineStr">
        <is>
          <t>N/A</t>
        </is>
      </c>
      <c r="Q16" s="48" t="inlineStr">
        <is>
          <t>$2,167</t>
        </is>
      </c>
      <c r="R16" s="48" t="inlineStr">
        <is>
          <t>$2,167</t>
        </is>
      </c>
      <c r="S16" s="30" t="inlineStr">
        <is>
          <t>$2,167</t>
        </is>
      </c>
      <c r="T16" s="31" t="inlineStr">
        <is>
          <t>N/A</t>
        </is>
      </c>
      <c r="U16" s="48" t="inlineStr">
        <is>
          <t>N/A</t>
        </is>
      </c>
      <c r="V16" s="48" t="inlineStr">
        <is>
          <t>N/A</t>
        </is>
      </c>
      <c r="W16" s="48" t="inlineStr">
        <is>
          <t>N/A</t>
        </is>
      </c>
      <c r="X16" s="48" t="inlineStr">
        <is>
          <t>N/A</t>
        </is>
      </c>
      <c r="Y16" s="48" t="inlineStr">
        <is>
          <t>N/A</t>
        </is>
      </c>
      <c r="Z16" s="48" t="inlineStr">
        <is>
          <t>N/A</t>
        </is>
      </c>
      <c r="AA16" s="48" t="inlineStr">
        <is>
          <t>N/A</t>
        </is>
      </c>
      <c r="AB16" s="48" t="inlineStr">
        <is>
          <t>N/A</t>
        </is>
      </c>
      <c r="AC16" s="50" t="inlineStr">
        <is>
          <t>BENCHMARK</t>
        </is>
      </c>
      <c r="AD16" s="49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6" s="48" t="inlineStr">
        <is>
          <t>HUD FMR + Market Estimate</t>
        </is>
      </c>
    </row>
    <row r="17" ht="8.25" customFormat="1" customHeight="1" s="3"/>
    <row r="18" ht="27.75" customFormat="1" customHeight="1" s="3">
      <c r="A18" s="51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Height="1" s="95">
      <c r="A21" s="61" t="inlineStr">
        <is>
          <t>PMTS — Vouchers / FMR / UAP / NET FMR</t>
        </is>
      </c>
      <c r="B21" s="101" t="n"/>
      <c r="C21" s="101" t="n"/>
      <c r="D21" s="101" t="n"/>
      <c r="E21" s="101" t="n"/>
      <c r="F21" s="102" t="n"/>
    </row>
    <row r="22" ht="15" customHeight="1" s="95">
      <c r="A22" s="64" t="inlineStr">
        <is>
          <t>BD</t>
        </is>
      </c>
      <c r="B22" s="65" t="inlineStr">
        <is>
          <t>MKT</t>
        </is>
      </c>
      <c r="C22" s="66" t="inlineStr">
        <is>
          <t>VCH</t>
        </is>
      </c>
      <c r="D22" s="67" t="inlineStr">
        <is>
          <t>FMR</t>
        </is>
      </c>
      <c r="E22" s="68" t="inlineStr">
        <is>
          <t>UAP</t>
        </is>
      </c>
      <c r="F22" s="69" t="inlineStr">
        <is>
          <t>NET</t>
        </is>
      </c>
    </row>
    <row r="23" ht="15" customHeight="1" s="95">
      <c r="A23" s="70" t="inlineStr">
        <is>
          <t>1BD</t>
        </is>
      </c>
      <c r="B23" s="71" t="n">
        <v>0</v>
      </c>
      <c r="C23" s="71" t="n">
        <v>1000</v>
      </c>
      <c r="D23" s="71" t="n">
        <v>1190</v>
      </c>
      <c r="E23" s="72" t="n">
        <v>73</v>
      </c>
      <c r="F23" s="73" t="n">
        <v>1117</v>
      </c>
    </row>
    <row r="24" ht="15" customHeight="1" s="95">
      <c r="A24" s="74" t="inlineStr">
        <is>
          <t>2BD</t>
        </is>
      </c>
      <c r="B24" s="75" t="n">
        <v>0</v>
      </c>
      <c r="C24" s="75" t="n">
        <v>1150</v>
      </c>
      <c r="D24" s="75" t="n">
        <v>1520</v>
      </c>
      <c r="E24" s="72" t="n">
        <v>105</v>
      </c>
      <c r="F24" s="73" t="n">
        <v>1415</v>
      </c>
    </row>
    <row r="27" ht="15" customHeight="1" s="95">
      <c r="A27" s="61" t="inlineStr">
        <is>
          <t>LIHTC, UAP, NET</t>
        </is>
      </c>
      <c r="B27" s="101" t="n"/>
      <c r="C27" s="101" t="n"/>
      <c r="D27" s="101" t="n"/>
      <c r="E27" s="102" t="n"/>
    </row>
    <row r="28" ht="15" customHeight="1" s="95">
      <c r="A28" s="64" t="n"/>
      <c r="B28" s="65" t="inlineStr">
        <is>
          <t>LIHTC/MKT</t>
        </is>
      </c>
      <c r="C28" s="67" t="inlineStr">
        <is>
          <t>40%</t>
        </is>
      </c>
      <c r="D28" s="68" t="inlineStr">
        <is>
          <t>UAP</t>
        </is>
      </c>
      <c r="E28" s="69" t="inlineStr">
        <is>
          <t>NET</t>
        </is>
      </c>
    </row>
    <row r="29" ht="15" customHeight="1" s="95">
      <c r="A29" s="70" t="inlineStr">
        <is>
          <t>1BD</t>
        </is>
      </c>
      <c r="B29" s="71" t="n">
        <v>762</v>
      </c>
      <c r="C29" s="71" t="n">
        <v>663</v>
      </c>
      <c r="D29" s="72" t="n">
        <v>73</v>
      </c>
      <c r="E29" s="73" t="n">
        <v>590</v>
      </c>
    </row>
    <row r="30" ht="15" customHeight="1" s="95">
      <c r="A30" s="74" t="inlineStr">
        <is>
          <t>2BD</t>
        </is>
      </c>
      <c r="B30" s="75" t="n">
        <v>915</v>
      </c>
      <c r="C30" s="75" t="n">
        <v>782</v>
      </c>
      <c r="D30" s="72" t="n">
        <v>105</v>
      </c>
      <c r="E30" s="73" t="n">
        <v>677</v>
      </c>
    </row>
    <row r="33" ht="15" customHeight="1" s="95">
      <c r="A33" s="61" t="inlineStr">
        <is>
          <t>HAP, CoStar, NET</t>
        </is>
      </c>
      <c r="B33" s="101" t="n"/>
      <c r="C33" s="102" t="n"/>
    </row>
    <row r="34" ht="15" customHeight="1" s="95">
      <c r="A34" s="64" t="n"/>
      <c r="B34" s="68" t="inlineStr">
        <is>
          <t>HAP</t>
        </is>
      </c>
      <c r="C34" s="65" t="inlineStr">
        <is>
          <t>CoStar</t>
        </is>
      </c>
    </row>
    <row r="35" ht="15" customHeight="1" s="95">
      <c r="A35" s="70" t="inlineStr">
        <is>
          <t>1BD</t>
        </is>
      </c>
      <c r="B35" s="103" t="n">
        <v>0</v>
      </c>
      <c r="C35" s="104" t="n">
        <v>1203</v>
      </c>
    </row>
    <row r="36" ht="15" customHeight="1" s="95">
      <c r="A36" s="74" t="inlineStr">
        <is>
          <t>2BD</t>
        </is>
      </c>
      <c r="B36" s="103" t="n">
        <v>0</v>
      </c>
      <c r="C36" s="104" t="n">
        <v>1335</v>
      </c>
    </row>
  </sheetData>
  <mergeCells count="7">
    <mergeCell ref="A4:AE4"/>
    <mergeCell ref="A33:C33"/>
    <mergeCell ref="A2:AE2"/>
    <mergeCell ref="A18:AE18"/>
    <mergeCell ref="A21:F21"/>
    <mergeCell ref="A3:AE3"/>
    <mergeCell ref="A27:E27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A39"/>
  <sheetViews>
    <sheetView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8.00390625" customWidth="1" style="3" min="1" max="1"/>
    <col width="14.00390625" customWidth="1" style="3" min="2" max="2"/>
    <col width="28.00390625" customWidth="1" style="3" min="3" max="3"/>
    <col width="22.00390625" customWidth="1" style="3" min="4" max="4"/>
    <col width="16.00390625" customWidth="1" style="3" min="5" max="5"/>
    <col width="10.00390625" customWidth="1" style="3" min="6" max="6"/>
    <col width="8.00390625" customWidth="1" style="3" min="7" max="7"/>
    <col width="11.00390625" customWidth="1" style="3" min="8" max="8"/>
    <col width="10.00390625" customWidth="1" style="3" min="9" max="11"/>
    <col width="12.00390625" customWidth="1" style="3" min="12" max="12"/>
    <col width="10.00390625" customWidth="1" style="3" min="13" max="15"/>
    <col width="12.00390625" customWidth="1" style="3" min="16" max="16"/>
    <col width="8.00390625" customWidth="1" style="3" min="17" max="17"/>
    <col width="10.00390625" customWidth="1" style="3" min="18" max="18"/>
    <col width="7.00390625" customWidth="1" style="3" min="19" max="19"/>
    <col width="12.00390625" customWidth="1" style="3" min="20" max="21"/>
    <col width="8.00390625" customWidth="1" style="3" min="22" max="23"/>
    <col width="10.00390625" customWidth="1" style="3" min="24" max="24"/>
    <col width="16.00390625" customWidth="1" style="3" min="25" max="25"/>
    <col width="45.00390625" customWidth="1" style="3" min="26" max="26"/>
    <col width="28.00390625" customWidth="1" style="3" min="27" max="27"/>
  </cols>
  <sheetData>
    <row r="1" ht="15" customHeight="1" s="95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</row>
    <row r="2" ht="24" customFormat="1" customHeight="1" s="3">
      <c r="A2" s="17" t="inlineStr">
        <is>
          <t>COMPETITIVE RENT ANALYSIS — OAK HILLS | GREEN = Affordable Comps | BLUE = Market Rate Comps</t>
        </is>
      </c>
    </row>
    <row r="3" ht="20.25" customFormat="1" customHeight="1" s="3">
      <c r="A3" s="18" t="inlineStr">
        <is>
          <t>SUBJECT: Oak Hills | 10260 Preston Lane, Jamestown, CA 95327 | 80 units | Program: LIHTC | Bedroom Mix: 2BR / 3BR | County AMI: $101,600 | FMR Area: Tuolumne County, CA</t>
        </is>
      </c>
    </row>
    <row r="4" ht="90" customFormat="1" customHeight="1" s="3">
      <c r="A4" s="19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5" ht="30" customFormat="1" customHeight="1" s="3">
      <c r="A5" s="20" t="inlineStr">
        <is>
          <t>Rank</t>
        </is>
      </c>
      <c r="B5" s="20" t="inlineStr">
        <is>
          <t>Type</t>
        </is>
      </c>
      <c r="C5" s="20" t="inlineStr">
        <is>
          <t>Property Name</t>
        </is>
      </c>
      <c r="D5" s="20" t="inlineStr">
        <is>
          <t>Address</t>
        </is>
      </c>
      <c r="E5" s="20" t="inlineStr">
        <is>
          <t>City</t>
        </is>
      </c>
      <c r="F5" s="20" t="inlineStr">
        <is>
          <t>State</t>
        </is>
      </c>
      <c r="G5" s="20" t="inlineStr">
        <is>
          <t>ZIP</t>
        </is>
      </c>
      <c r="H5" s="20" t="inlineStr">
        <is>
          <t>Distance (mi)</t>
        </is>
      </c>
      <c r="I5" s="20" t="inlineStr">
        <is>
          <t>2BR Low ($)</t>
        </is>
      </c>
      <c r="J5" s="20" t="inlineStr">
        <is>
          <t>2BR Mid ($)</t>
        </is>
      </c>
      <c r="K5" s="21" t="inlineStr">
        <is>
          <t>2BR FMR ($)</t>
        </is>
      </c>
      <c r="L5" s="22" t="inlineStr">
        <is>
          <t>2BR Actual ($)</t>
        </is>
      </c>
      <c r="M5" s="20" t="inlineStr">
        <is>
          <t>3BR Low ($)</t>
        </is>
      </c>
      <c r="N5" s="20" t="inlineStr">
        <is>
          <t>3BR Mid ($)</t>
        </is>
      </c>
      <c r="O5" s="21" t="inlineStr">
        <is>
          <t>3BR FMR ($)</t>
        </is>
      </c>
      <c r="P5" s="22" t="inlineStr">
        <is>
          <t>3BR Actual ($)</t>
        </is>
      </c>
      <c r="Q5" s="20" t="inlineStr">
        <is>
          <t># Units</t>
        </is>
      </c>
      <c r="R5" s="20" t="inlineStr">
        <is>
          <t>Year Built</t>
        </is>
      </c>
      <c r="S5" s="20" t="inlineStr">
        <is>
          <t>Yr Diff</t>
        </is>
      </c>
      <c r="T5" s="20" t="inlineStr">
        <is>
          <t>Utilities Incl.</t>
        </is>
      </c>
      <c r="U5" s="20" t="inlineStr">
        <is>
          <t>Pet Friendly</t>
        </is>
      </c>
      <c r="V5" s="20" t="inlineStr">
        <is>
          <t>Gated</t>
        </is>
      </c>
      <c r="W5" s="20" t="inlineStr">
        <is>
          <t>Pool</t>
        </is>
      </c>
      <c r="X5" s="20" t="inlineStr">
        <is>
          <t>W/D In-Unit</t>
        </is>
      </c>
      <c r="Y5" s="20" t="inlineStr">
        <is>
          <t>Competition Level</t>
        </is>
      </c>
      <c r="Z5" s="20" t="inlineStr">
        <is>
          <t>Why Competitive</t>
        </is>
      </c>
      <c r="AA5" s="20" t="inlineStr">
        <is>
          <t>Data Source</t>
        </is>
      </c>
    </row>
    <row r="6" ht="54.75" customFormat="1" customHeight="1" s="3">
      <c r="A6" s="23" t="inlineStr">
        <is>
          <t>—</t>
        </is>
      </c>
      <c r="B6" s="23" t="inlineStr">
        <is>
          <t>SUBJECT</t>
        </is>
      </c>
      <c r="C6" s="24" t="inlineStr">
        <is>
          <t>Oak Hills (SUBJECT)</t>
        </is>
      </c>
      <c r="D6" s="23" t="inlineStr">
        <is>
          <t>10260 Preston Lane</t>
        </is>
      </c>
      <c r="E6" s="23" t="inlineStr">
        <is>
          <t>Jamestown</t>
        </is>
      </c>
      <c r="F6" s="23" t="inlineStr">
        <is>
          <t>CA</t>
        </is>
      </c>
      <c r="G6" s="23" t="inlineStr">
        <is>
          <t>95327</t>
        </is>
      </c>
      <c r="H6" s="23" t="inlineStr">
        <is>
          <t>0.0 mi</t>
        </is>
      </c>
      <c r="I6" s="23" t="inlineStr">
        <is>
          <t>$3,812</t>
        </is>
      </c>
      <c r="J6" s="23" t="inlineStr">
        <is>
          <t>$4,575</t>
        </is>
      </c>
      <c r="K6" s="25" t="inlineStr">
        <is>
          <t>$1,500</t>
        </is>
      </c>
      <c r="L6" s="26" t="inlineStr">
        <is>
          <t>N/A</t>
        </is>
      </c>
      <c r="M6" s="23" t="inlineStr">
        <is>
          <t>$4,233</t>
        </is>
      </c>
      <c r="N6" s="23" t="inlineStr">
        <is>
          <t>$5,080</t>
        </is>
      </c>
      <c r="O6" s="25" t="inlineStr">
        <is>
          <t>$1,970</t>
        </is>
      </c>
      <c r="P6" s="26" t="inlineStr">
        <is>
          <t>N/A</t>
        </is>
      </c>
      <c r="Q6" s="23" t="inlineStr">
        <is>
          <t>80</t>
        </is>
      </c>
      <c r="R6" s="23" t="inlineStr">
        <is>
          <t>2000</t>
        </is>
      </c>
      <c r="S6" s="23" t="inlineStr">
        <is>
          <t>0</t>
        </is>
      </c>
      <c r="T6" s="23" t="inlineStr">
        <is>
          <t>No</t>
        </is>
      </c>
      <c r="U6" s="23" t="inlineStr">
        <is>
          <t>No</t>
        </is>
      </c>
      <c r="V6" s="23" t="inlineStr">
        <is>
          <t>No</t>
        </is>
      </c>
      <c r="W6" s="23" t="inlineStr">
        <is>
          <t>No</t>
        </is>
      </c>
      <c r="X6" s="23" t="inlineStr">
        <is>
          <t>No</t>
        </is>
      </c>
      <c r="Y6" s="27" t="inlineStr">
        <is>
          <t>SUBJECT</t>
        </is>
      </c>
      <c r="Z6" s="24" t="inlineStr">
        <is>
          <t>80 units | LIHTC property. Year built: 2000. Subject property for market context.</t>
        </is>
      </c>
      <c r="AA6" s="23" t="inlineStr">
        <is>
          <t>Apartment Corp Records</t>
        </is>
      </c>
    </row>
    <row r="7" ht="54.75" customFormat="1" customHeight="1" s="3">
      <c r="A7" s="28" t="inlineStr">
        <is>
          <t>1</t>
        </is>
      </c>
      <c r="B7" s="28" t="inlineStr">
        <is>
          <t>AFFORDABLE</t>
        </is>
      </c>
      <c r="C7" s="29" t="inlineStr">
        <is>
          <t>Columbia Village Townhomes</t>
        </is>
      </c>
      <c r="D7" s="28" t="inlineStr">
        <is>
          <t>11439 Columbia Village Dr</t>
        </is>
      </c>
      <c r="E7" s="28" t="inlineStr">
        <is>
          <t>Sonora</t>
        </is>
      </c>
      <c r="F7" s="28" t="inlineStr">
        <is>
          <t>CA</t>
        </is>
      </c>
      <c r="G7" s="28" t="inlineStr">
        <is>
          <t>95370</t>
        </is>
      </c>
      <c r="H7" s="28" t="inlineStr">
        <is>
          <t>4.7 mi</t>
        </is>
      </c>
      <c r="I7" s="28" t="inlineStr">
        <is>
          <t>$3,812</t>
        </is>
      </c>
      <c r="J7" s="28" t="inlineStr">
        <is>
          <t>$4,575</t>
        </is>
      </c>
      <c r="K7" s="30" t="inlineStr">
        <is>
          <t>$1,500</t>
        </is>
      </c>
      <c r="L7" s="31" t="inlineStr">
        <is>
          <t>Not Listed</t>
        </is>
      </c>
      <c r="M7" s="28" t="inlineStr">
        <is>
          <t>$4,233</t>
        </is>
      </c>
      <c r="N7" s="28" t="inlineStr">
        <is>
          <t>$5,080</t>
        </is>
      </c>
      <c r="O7" s="30" t="inlineStr">
        <is>
          <t>$1,970</t>
        </is>
      </c>
      <c r="P7" s="31" t="inlineStr">
        <is>
          <t>Not Listed</t>
        </is>
      </c>
      <c r="Q7" s="28" t="inlineStr">
        <is>
          <t>80</t>
        </is>
      </c>
      <c r="R7" s="28" t="inlineStr">
        <is>
          <t>1998</t>
        </is>
      </c>
      <c r="S7" s="28" t="inlineStr">
        <is>
          <t>2</t>
        </is>
      </c>
      <c r="T7" s="28" t="inlineStr">
        <is>
          <t>Yes</t>
        </is>
      </c>
      <c r="U7" s="28" t="inlineStr">
        <is>
          <t>No</t>
        </is>
      </c>
      <c r="V7" s="28" t="inlineStr">
        <is>
          <t>No</t>
        </is>
      </c>
      <c r="W7" s="28" t="inlineStr">
        <is>
          <t>No</t>
        </is>
      </c>
      <c r="X7" s="28" t="inlineStr">
        <is>
          <t>No</t>
        </is>
      </c>
      <c r="Y7" s="32" t="inlineStr">
        <is>
          <t>HIGH</t>
        </is>
      </c>
      <c r="Z7" s="29" t="inlineStr">
        <is>
          <t>Affordable Comp #1: LIHTC property, 1998 vintage (2 yr diff), 80 units, 4.7 mi from subject. Same income-eligible renter pool.</t>
        </is>
      </c>
      <c r="AA7" s="28" t="inlineStr">
        <is>
          <t>HUD LIHTC Database (huduser.gov)</t>
        </is>
      </c>
    </row>
    <row r="8" ht="54.75" customFormat="1" customHeight="1" s="3">
      <c r="A8" s="33" t="inlineStr">
        <is>
          <t>2</t>
        </is>
      </c>
      <c r="B8" s="33" t="inlineStr">
        <is>
          <t>AFFORDABLE</t>
        </is>
      </c>
      <c r="C8" s="34" t="inlineStr">
        <is>
          <t>Forest View Senior Apts</t>
        </is>
      </c>
      <c r="D8" s="33" t="inlineStr">
        <is>
          <t>19499 Hess Ave</t>
        </is>
      </c>
      <c r="E8" s="33" t="inlineStr">
        <is>
          <t>Sonora</t>
        </is>
      </c>
      <c r="F8" s="33" t="inlineStr">
        <is>
          <t>CA</t>
        </is>
      </c>
      <c r="G8" s="33" t="inlineStr">
        <is>
          <t>95370</t>
        </is>
      </c>
      <c r="H8" s="33" t="inlineStr">
        <is>
          <t>5.2 mi</t>
        </is>
      </c>
      <c r="I8" s="33" t="inlineStr">
        <is>
          <t>$3,812</t>
        </is>
      </c>
      <c r="J8" s="33" t="inlineStr">
        <is>
          <t>$4,575</t>
        </is>
      </c>
      <c r="K8" s="30" t="inlineStr">
        <is>
          <t>$1,500</t>
        </is>
      </c>
      <c r="L8" s="31" t="inlineStr">
        <is>
          <t>Not Listed</t>
        </is>
      </c>
      <c r="M8" s="33" t="inlineStr">
        <is>
          <t>$4,233</t>
        </is>
      </c>
      <c r="N8" s="33" t="inlineStr">
        <is>
          <t>$5,080</t>
        </is>
      </c>
      <c r="O8" s="30" t="inlineStr">
        <is>
          <t>$1,970</t>
        </is>
      </c>
      <c r="P8" s="31" t="inlineStr">
        <is>
          <t>Not Listed</t>
        </is>
      </c>
      <c r="Q8" s="33" t="inlineStr">
        <is>
          <t>60</t>
        </is>
      </c>
      <c r="R8" s="33" t="inlineStr">
        <is>
          <t>1999</t>
        </is>
      </c>
      <c r="S8" s="33" t="inlineStr">
        <is>
          <t>1</t>
        </is>
      </c>
      <c r="T8" s="33" t="inlineStr">
        <is>
          <t>Yes</t>
        </is>
      </c>
      <c r="U8" s="33" t="inlineStr">
        <is>
          <t>No</t>
        </is>
      </c>
      <c r="V8" s="33" t="inlineStr">
        <is>
          <t>No</t>
        </is>
      </c>
      <c r="W8" s="33" t="inlineStr">
        <is>
          <t>No</t>
        </is>
      </c>
      <c r="X8" s="33" t="inlineStr">
        <is>
          <t>No</t>
        </is>
      </c>
      <c r="Y8" s="35" t="inlineStr">
        <is>
          <t>HIGH</t>
        </is>
      </c>
      <c r="Z8" s="34" t="inlineStr">
        <is>
          <t>Affordable Comp #2: LIHTC property, 1999 vintage (1 yr diff), 60 units, 5.2 mi from subject. Same income-eligible renter pool.</t>
        </is>
      </c>
      <c r="AA8" s="33" t="inlineStr">
        <is>
          <t>HUD LIHTC Database (huduser.gov)</t>
        </is>
      </c>
    </row>
    <row r="9" ht="54.75" customFormat="1" customHeight="1" s="3">
      <c r="A9" s="36" t="inlineStr">
        <is>
          <t>3</t>
        </is>
      </c>
      <c r="B9" s="36" t="inlineStr">
        <is>
          <t>AFFORDABLE</t>
        </is>
      </c>
      <c r="C9" s="37" t="inlineStr">
        <is>
          <t>Stockton Gardens Apts</t>
        </is>
      </c>
      <c r="D9" s="36" t="inlineStr">
        <is>
          <t>1025 Rosemarie Ln</t>
        </is>
      </c>
      <c r="E9" s="36" t="inlineStr">
        <is>
          <t>Stockton</t>
        </is>
      </c>
      <c r="F9" s="36" t="inlineStr">
        <is>
          <t>CA</t>
        </is>
      </c>
      <c r="G9" s="36" t="inlineStr">
        <is>
          <t>95207</t>
        </is>
      </c>
      <c r="H9" s="36" t="inlineStr">
        <is>
          <t>48.8 mi</t>
        </is>
      </c>
      <c r="I9" s="36" t="inlineStr">
        <is>
          <t>$3,812</t>
        </is>
      </c>
      <c r="J9" s="36" t="inlineStr">
        <is>
          <t>$4,575</t>
        </is>
      </c>
      <c r="K9" s="30" t="inlineStr">
        <is>
          <t>$1,500</t>
        </is>
      </c>
      <c r="L9" s="31" t="inlineStr">
        <is>
          <t>$1,537</t>
        </is>
      </c>
      <c r="M9" s="36" t="inlineStr">
        <is>
          <t>$4,233</t>
        </is>
      </c>
      <c r="N9" s="36" t="inlineStr">
        <is>
          <t>$5,080</t>
        </is>
      </c>
      <c r="O9" s="30" t="inlineStr">
        <is>
          <t>$1,970</t>
        </is>
      </c>
      <c r="P9" s="31" t="inlineStr">
        <is>
          <t>Not Listed</t>
        </is>
      </c>
      <c r="Q9" s="36" t="inlineStr">
        <is>
          <t>80</t>
        </is>
      </c>
      <c r="R9" s="36" t="inlineStr">
        <is>
          <t>2000</t>
        </is>
      </c>
      <c r="S9" s="36" t="inlineStr">
        <is>
          <t>0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80" t="inlineStr">
        <is>
          <t>MODERATE</t>
        </is>
      </c>
      <c r="Z9" s="37" t="inlineStr">
        <is>
          <t>Affordable Comp #3: LIHTC property, 2000 vintage (0 yr diff), 80 units, 48.8 mi from subject. Same income-eligible renter pool.</t>
        </is>
      </c>
      <c r="AA9" s="36" t="inlineStr">
        <is>
          <t>HUD LIHTC Database (huduser.gov)</t>
        </is>
      </c>
    </row>
    <row r="10" ht="54.75" customFormat="1" customHeight="1" s="3">
      <c r="A10" s="28" t="inlineStr">
        <is>
          <t>4</t>
        </is>
      </c>
      <c r="B10" s="28" t="inlineStr">
        <is>
          <t>AFFORDABLE</t>
        </is>
      </c>
      <c r="C10" s="29" t="inlineStr">
        <is>
          <t>Stockton Terrace Apts</t>
        </is>
      </c>
      <c r="D10" s="28" t="inlineStr">
        <is>
          <t>246 E Iris Ave</t>
        </is>
      </c>
      <c r="E10" s="28" t="inlineStr">
        <is>
          <t>Stockton</t>
        </is>
      </c>
      <c r="F10" s="28" t="inlineStr">
        <is>
          <t>CA</t>
        </is>
      </c>
      <c r="G10" s="28" t="inlineStr">
        <is>
          <t>95210</t>
        </is>
      </c>
      <c r="H10" s="28" t="inlineStr">
        <is>
          <t>48.5 mi</t>
        </is>
      </c>
      <c r="I10" s="28" t="inlineStr">
        <is>
          <t>$3,812</t>
        </is>
      </c>
      <c r="J10" s="28" t="inlineStr">
        <is>
          <t>$4,575</t>
        </is>
      </c>
      <c r="K10" s="30" t="inlineStr">
        <is>
          <t>$1,500</t>
        </is>
      </c>
      <c r="L10" s="31" t="inlineStr">
        <is>
          <t>Not Listed</t>
        </is>
      </c>
      <c r="M10" s="28" t="inlineStr">
        <is>
          <t>$4,233</t>
        </is>
      </c>
      <c r="N10" s="28" t="inlineStr">
        <is>
          <t>$5,080</t>
        </is>
      </c>
      <c r="O10" s="30" t="inlineStr">
        <is>
          <t>$1,970</t>
        </is>
      </c>
      <c r="P10" s="31" t="inlineStr">
        <is>
          <t>Not Listed</t>
        </is>
      </c>
      <c r="Q10" s="28" t="inlineStr">
        <is>
          <t>80</t>
        </is>
      </c>
      <c r="R10" s="28" t="inlineStr">
        <is>
          <t>2000</t>
        </is>
      </c>
      <c r="S10" s="28" t="inlineStr">
        <is>
          <t>0</t>
        </is>
      </c>
      <c r="T10" s="28" t="inlineStr">
        <is>
          <t>Yes</t>
        </is>
      </c>
      <c r="U10" s="28" t="inlineStr">
        <is>
          <t>No</t>
        </is>
      </c>
      <c r="V10" s="28" t="inlineStr">
        <is>
          <t>No</t>
        </is>
      </c>
      <c r="W10" s="28" t="inlineStr">
        <is>
          <t>No</t>
        </is>
      </c>
      <c r="X10" s="28" t="inlineStr">
        <is>
          <t>No</t>
        </is>
      </c>
      <c r="Y10" s="91" t="inlineStr">
        <is>
          <t>MODERATE</t>
        </is>
      </c>
      <c r="Z10" s="29" t="inlineStr">
        <is>
          <t>Affordable Comp #4: LIHTC property, 2000 vintage (0 yr diff), 80 units, 48.5 mi from subject. Same income-eligible renter pool.</t>
        </is>
      </c>
      <c r="AA10" s="28" t="inlineStr">
        <is>
          <t>HUD LIHTC Database (huduser.gov)</t>
        </is>
      </c>
    </row>
    <row r="11" ht="54.75" customFormat="1" customHeight="1" s="3">
      <c r="A11" s="39" t="inlineStr">
        <is>
          <t>1</t>
        </is>
      </c>
      <c r="B11" s="39" t="inlineStr">
        <is>
          <t>MARKET RATE</t>
        </is>
      </c>
      <c r="C11" s="40" t="inlineStr">
        <is>
          <t>Jamestown Market Rate (FMR Benchmark)</t>
        </is>
      </c>
      <c r="D11" s="39" t="inlineStr">
        <is>
          <t>Jamestown, CA area</t>
        </is>
      </c>
      <c r="E11" s="39" t="inlineStr">
        <is>
          <t>CA area</t>
        </is>
      </c>
      <c r="F11" s="39" t="inlineStr">
        <is>
          <t>CA</t>
        </is>
      </c>
      <c r="G11" s="39" t="n"/>
      <c r="H11" s="39" t="inlineStr">
        <is>
          <t>N/A</t>
        </is>
      </c>
      <c r="I11" s="39" t="inlineStr">
        <is>
          <t>N/A (Market Rate)</t>
        </is>
      </c>
      <c r="J11" s="39" t="inlineStr">
        <is>
          <t>N/A (Market Rate)</t>
        </is>
      </c>
      <c r="K11" s="30" t="inlineStr">
        <is>
          <t>$1,500</t>
        </is>
      </c>
      <c r="L11" s="31" t="inlineStr">
        <is>
          <t>$1,650</t>
        </is>
      </c>
      <c r="M11" s="39" t="inlineStr">
        <is>
          <t>N/A (Market Rate)</t>
        </is>
      </c>
      <c r="N11" s="39" t="inlineStr">
        <is>
          <t>N/A (Market Rate)</t>
        </is>
      </c>
      <c r="O11" s="30" t="inlineStr">
        <is>
          <t>$1,970</t>
        </is>
      </c>
      <c r="P11" s="31" t="inlineStr">
        <is>
          <t>$2,050</t>
        </is>
      </c>
      <c r="Q11" s="39" t="inlineStr">
        <is>
          <t>N/A</t>
        </is>
      </c>
      <c r="R11" s="39" t="inlineStr">
        <is>
          <t>2000</t>
        </is>
      </c>
      <c r="S11" s="39" t="inlineStr">
        <is>
          <t>0</t>
        </is>
      </c>
      <c r="T11" s="39" t="inlineStr">
        <is>
          <t>Varies</t>
        </is>
      </c>
      <c r="U11" s="39" t="inlineStr">
        <is>
          <t>Varies</t>
        </is>
      </c>
      <c r="V11" s="39" t="inlineStr">
        <is>
          <t>Varies</t>
        </is>
      </c>
      <c r="W11" s="39" t="inlineStr">
        <is>
          <t>Varies</t>
        </is>
      </c>
      <c r="X11" s="39" t="inlineStr">
        <is>
          <t>Varies</t>
        </is>
      </c>
      <c r="Y11" s="41" t="inlineStr">
        <is>
          <t>HIGH</t>
        </is>
      </c>
      <c r="Z11" s="40" t="inlineStr">
        <is>
          <t>Market Rate Comp #1: No income restrictions, 2000 vintage (0 yr diff), N/A units, N/A from subject. Shows market-rate rents vs. affordable housing discount.</t>
        </is>
      </c>
      <c r="AA11" s="39" t="inlineStr">
        <is>
          <t>HUD FY2026 FMR - Tuolumne County, CA (limited market rate listings in Jamestown)</t>
        </is>
      </c>
    </row>
    <row r="12" ht="54.75" customFormat="1" customHeight="1" s="3">
      <c r="A12" s="42" t="inlineStr">
        <is>
          <t>2</t>
        </is>
      </c>
      <c r="B12" s="42" t="inlineStr">
        <is>
          <t>Quail Hollow Apartments</t>
        </is>
      </c>
      <c r="C12" s="43" t="inlineStr">
        <is>
          <t>20230 Grouse Way, Sonora, CA 95370</t>
        </is>
      </c>
      <c r="D12" s="42" t="inlineStr">
        <is>
          <t>Sonora, CA area</t>
        </is>
      </c>
      <c r="E12" s="42" t="inlineStr">
        <is>
          <t>CA area</t>
        </is>
      </c>
      <c r="F12" s="42" t="inlineStr">
        <is>
          <t>CA</t>
        </is>
      </c>
      <c r="G12" s="42" t="n"/>
      <c r="H12" s="42" t="inlineStr">
        <is>
          <t>3.5 mi</t>
        </is>
      </c>
      <c r="I12" s="42" t="inlineStr">
        <is>
          <t>N/A (Market Rate)</t>
        </is>
      </c>
      <c r="J12" s="42" t="inlineStr">
        <is>
          <t>N/A (Market Rate)</t>
        </is>
      </c>
      <c r="K12" s="30" t="inlineStr">
        <is>
          <t>$1,500</t>
        </is>
      </c>
      <c r="L12" s="31" t="inlineStr">
        <is>
          <t>$1,650</t>
        </is>
      </c>
      <c r="M12" s="42" t="inlineStr">
        <is>
          <t>N/A (Market Rate)</t>
        </is>
      </c>
      <c r="N12" s="42" t="inlineStr">
        <is>
          <t>N/A (Market Rate)</t>
        </is>
      </c>
      <c r="O12" s="30" t="inlineStr">
        <is>
          <t>$1,970</t>
        </is>
      </c>
      <c r="P12" s="31" t="inlineStr">
        <is>
          <t>$2,050</t>
        </is>
      </c>
      <c r="Q12" s="42" t="inlineStr">
        <is>
          <t>80</t>
        </is>
      </c>
      <c r="R12" s="42" t="inlineStr">
        <is>
          <t>2001</t>
        </is>
      </c>
      <c r="S12" s="42" t="inlineStr">
        <is>
          <t>1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#2: No income restrictions, 2001 vintage (1 yr diff), 80 units, 3.5 mi from subject. Shows market-rate rents vs. affordable housing discount.</t>
        </is>
      </c>
      <c r="AA12" s="42" t="inlineStr">
        <is>
          <t>https://www.rentcafe.com/apartments-for-rent/us/ca/sonora/</t>
        </is>
      </c>
    </row>
    <row r="13" ht="54.75" customFormat="1" customHeight="1" s="3">
      <c r="A13" s="45" t="inlineStr">
        <is>
          <t>3</t>
        </is>
      </c>
      <c r="B13" s="45" t="inlineStr">
        <is>
          <t>Shepherd Street Apartments</t>
        </is>
      </c>
      <c r="C13" s="46" t="inlineStr">
        <is>
          <t>165 S Shepherd St, Sonora, CA 95370</t>
        </is>
      </c>
      <c r="D13" s="45" t="inlineStr">
        <is>
          <t>Modesto, CA area</t>
        </is>
      </c>
      <c r="E13" s="45" t="inlineStr">
        <is>
          <t>CA area</t>
        </is>
      </c>
      <c r="F13" s="45" t="inlineStr">
        <is>
          <t>CA</t>
        </is>
      </c>
      <c r="G13" s="45" t="n"/>
      <c r="H13" s="45" t="inlineStr">
        <is>
          <t>48.0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0" t="inlineStr">
        <is>
          <t>$1,500</t>
        </is>
      </c>
      <c r="L13" s="31" t="inlineStr">
        <is>
          <t>$1,550</t>
        </is>
      </c>
      <c r="M13" s="45" t="inlineStr">
        <is>
          <t>N/A (Market Rate)</t>
        </is>
      </c>
      <c r="N13" s="45" t="inlineStr">
        <is>
          <t>N/A (Market Rate)</t>
        </is>
      </c>
      <c r="O13" s="30" t="inlineStr">
        <is>
          <t>$1,970</t>
        </is>
      </c>
      <c r="P13" s="31" t="inlineStr">
        <is>
          <t>$1,925</t>
        </is>
      </c>
      <c r="Q13" s="45" t="inlineStr">
        <is>
          <t>96</t>
        </is>
      </c>
      <c r="R13" s="45" t="inlineStr">
        <is>
          <t>1998</t>
        </is>
      </c>
      <c r="S13" s="45" t="inlineStr">
        <is>
          <t>2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90" t="inlineStr">
        <is>
          <t>MODERATE</t>
        </is>
      </c>
      <c r="Z13" s="46" t="inlineStr">
        <is>
          <t>Market Rate Comp #3: No income restrictions, 1998 vintage (2 yr diff), 96 units, 48.0 mi from subject. Shows market-rate rents vs. affordable housing discount.</t>
        </is>
      </c>
      <c r="AA13" s="45" t="inlineStr">
        <is>
          <t>https://www.rentcafe.com/apartments-for-rent/us/ca/modesto/</t>
        </is>
      </c>
    </row>
    <row r="14" ht="54.75" customFormat="1" customHeight="1" s="3">
      <c r="A14" s="39" t="inlineStr">
        <is>
          <t>4</t>
        </is>
      </c>
      <c r="B14" s="39" t="inlineStr">
        <is>
          <t>Blackberry Oaks</t>
        </is>
      </c>
      <c r="C14" s="40" t="inlineStr">
        <is>
          <t>100 Greenley Rd, Sonora, CA 95370</t>
        </is>
      </c>
      <c r="D14" s="39" t="inlineStr">
        <is>
          <t>Modesto, CA area</t>
        </is>
      </c>
      <c r="E14" s="39" t="inlineStr">
        <is>
          <t>CA area</t>
        </is>
      </c>
      <c r="F14" s="39" t="inlineStr">
        <is>
          <t>CA</t>
        </is>
      </c>
      <c r="G14" s="39" t="n"/>
      <c r="H14" s="39" t="inlineStr">
        <is>
          <t>50.0 mi</t>
        </is>
      </c>
      <c r="I14" s="39" t="inlineStr">
        <is>
          <t>N/A (Market Rate)</t>
        </is>
      </c>
      <c r="J14" s="39" t="inlineStr">
        <is>
          <t>N/A (Market Rate)</t>
        </is>
      </c>
      <c r="K14" s="30" t="inlineStr">
        <is>
          <t>$1,500</t>
        </is>
      </c>
      <c r="L14" s="31" t="inlineStr">
        <is>
          <t>$1,575</t>
        </is>
      </c>
      <c r="M14" s="39" t="inlineStr">
        <is>
          <t>N/A (Market Rate)</t>
        </is>
      </c>
      <c r="N14" s="39" t="inlineStr">
        <is>
          <t>N/A (Market Rate)</t>
        </is>
      </c>
      <c r="O14" s="30" t="inlineStr">
        <is>
          <t>$1,970</t>
        </is>
      </c>
      <c r="P14" s="31" t="inlineStr">
        <is>
          <t>$1,950</t>
        </is>
      </c>
      <c r="Q14" s="39" t="inlineStr">
        <is>
          <t>80</t>
        </is>
      </c>
      <c r="R14" s="39" t="inlineStr">
        <is>
          <t>2001</t>
        </is>
      </c>
      <c r="S14" s="39" t="inlineStr">
        <is>
          <t>1</t>
        </is>
      </c>
      <c r="T14" s="39" t="inlineStr">
        <is>
          <t>Varies</t>
        </is>
      </c>
      <c r="U14" s="39" t="inlineStr">
        <is>
          <t>Varies</t>
        </is>
      </c>
      <c r="V14" s="39" t="inlineStr">
        <is>
          <t>Varies</t>
        </is>
      </c>
      <c r="W14" s="39" t="inlineStr">
        <is>
          <t>Varies</t>
        </is>
      </c>
      <c r="X14" s="39" t="inlineStr">
        <is>
          <t>Varies</t>
        </is>
      </c>
      <c r="Y14" s="84" t="inlineStr">
        <is>
          <t>MODERATE</t>
        </is>
      </c>
      <c r="Z14" s="40" t="inlineStr">
        <is>
          <t>Market Rate Comp #4: No income restrictions, 2001 vintage (1 yr diff), 80 units, 50.0 mi from subject. Shows market-rate rents vs. affordable housing discount.</t>
        </is>
      </c>
      <c r="AA14" s="39" t="inlineStr">
        <is>
          <t>https://www.rentcafe.com/apartments-for-rent/us/ca/modesto/</t>
        </is>
      </c>
    </row>
    <row r="15" ht="54.75" customFormat="1" customHeight="1" s="3">
      <c r="A15" s="48" t="inlineStr">
        <is>
          <t>—</t>
        </is>
      </c>
      <c r="B15" s="48" t="inlineStr">
        <is>
          <t>BENCHMARK</t>
        </is>
      </c>
      <c r="C15" s="49" t="inlineStr">
        <is>
          <t>FY2026 FMR — Tuolumne County, CA</t>
        </is>
      </c>
      <c r="D15" s="48" t="inlineStr">
        <is>
          <t>N/A</t>
        </is>
      </c>
      <c r="E15" s="48" t="inlineStr">
        <is>
          <t>Jamestown</t>
        </is>
      </c>
      <c r="F15" s="48" t="inlineStr">
        <is>
          <t>CA</t>
        </is>
      </c>
      <c r="G15" s="48" t="inlineStr">
        <is>
          <t>N/A</t>
        </is>
      </c>
      <c r="H15" s="48" t="inlineStr">
        <is>
          <t>N/A</t>
        </is>
      </c>
      <c r="I15" s="48" t="inlineStr">
        <is>
          <t>$1,500</t>
        </is>
      </c>
      <c r="J15" s="48" t="inlineStr">
        <is>
          <t>$1,500</t>
        </is>
      </c>
      <c r="K15" s="30" t="inlineStr">
        <is>
          <t>$1,500</t>
        </is>
      </c>
      <c r="L15" s="31" t="inlineStr">
        <is>
          <t>N/A</t>
        </is>
      </c>
      <c r="M15" s="48" t="inlineStr">
        <is>
          <t>$1,970</t>
        </is>
      </c>
      <c r="N15" s="48" t="inlineStr">
        <is>
          <t>$1,970</t>
        </is>
      </c>
      <c r="O15" s="30" t="inlineStr">
        <is>
          <t>$1,970</t>
        </is>
      </c>
      <c r="P15" s="31" t="inlineStr">
        <is>
          <t>N/A</t>
        </is>
      </c>
      <c r="Q15" s="48" t="inlineStr">
        <is>
          <t>N/A</t>
        </is>
      </c>
      <c r="R15" s="48" t="inlineStr">
        <is>
          <t>N/A</t>
        </is>
      </c>
      <c r="S15" s="48" t="inlineStr">
        <is>
          <t>N/A</t>
        </is>
      </c>
      <c r="T15" s="48" t="inlineStr">
        <is>
          <t>N/A</t>
        </is>
      </c>
      <c r="U15" s="48" t="inlineStr">
        <is>
          <t>N/A</t>
        </is>
      </c>
      <c r="V15" s="48" t="inlineStr">
        <is>
          <t>N/A</t>
        </is>
      </c>
      <c r="W15" s="48" t="inlineStr">
        <is>
          <t>N/A</t>
        </is>
      </c>
      <c r="X15" s="48" t="inlineStr">
        <is>
          <t>N/A</t>
        </is>
      </c>
      <c r="Y15" s="50" t="inlineStr">
        <is>
          <t>BENCHMARK</t>
        </is>
      </c>
      <c r="Z15" s="49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5" s="48" t="inlineStr">
        <is>
          <t>HUD FMR Database (huduser.gov)</t>
        </is>
      </c>
    </row>
    <row r="16" ht="54.75" customFormat="1" customHeight="1" s="3">
      <c r="A16" s="48" t="inlineStr">
        <is>
          <t>—</t>
        </is>
      </c>
      <c r="B16" s="48" t="inlineStr">
        <is>
          <t>BENCHMARK</t>
        </is>
      </c>
      <c r="C16" s="49" t="inlineStr">
        <is>
          <t>Metro Market Avg — Jamestown</t>
        </is>
      </c>
      <c r="D16" s="48" t="inlineStr">
        <is>
          <t>N/A</t>
        </is>
      </c>
      <c r="E16" s="48" t="inlineStr">
        <is>
          <t>Jamestown</t>
        </is>
      </c>
      <c r="F16" s="48" t="inlineStr">
        <is>
          <t>CA</t>
        </is>
      </c>
      <c r="G16" s="48" t="inlineStr">
        <is>
          <t>N/A</t>
        </is>
      </c>
      <c r="H16" s="48" t="inlineStr">
        <is>
          <t>N/A</t>
        </is>
      </c>
      <c r="I16" s="48" t="inlineStr">
        <is>
          <t>$1,650</t>
        </is>
      </c>
      <c r="J16" s="48" t="inlineStr">
        <is>
          <t>$1,650</t>
        </is>
      </c>
      <c r="K16" s="30" t="inlineStr">
        <is>
          <t>$1,650</t>
        </is>
      </c>
      <c r="L16" s="31" t="inlineStr">
        <is>
          <t>N/A</t>
        </is>
      </c>
      <c r="M16" s="48" t="inlineStr">
        <is>
          <t>$2,167</t>
        </is>
      </c>
      <c r="N16" s="48" t="inlineStr">
        <is>
          <t>$2,167</t>
        </is>
      </c>
      <c r="O16" s="30" t="inlineStr">
        <is>
          <t>$2,167</t>
        </is>
      </c>
      <c r="P16" s="31" t="inlineStr">
        <is>
          <t>N/A</t>
        </is>
      </c>
      <c r="Q16" s="48" t="inlineStr">
        <is>
          <t>N/A</t>
        </is>
      </c>
      <c r="R16" s="48" t="inlineStr">
        <is>
          <t>N/A</t>
        </is>
      </c>
      <c r="S16" s="48" t="inlineStr">
        <is>
          <t>N/A</t>
        </is>
      </c>
      <c r="T16" s="48" t="inlineStr">
        <is>
          <t>N/A</t>
        </is>
      </c>
      <c r="U16" s="48" t="inlineStr">
        <is>
          <t>N/A</t>
        </is>
      </c>
      <c r="V16" s="48" t="inlineStr">
        <is>
          <t>N/A</t>
        </is>
      </c>
      <c r="W16" s="48" t="inlineStr">
        <is>
          <t>N/A</t>
        </is>
      </c>
      <c r="X16" s="48" t="inlineStr">
        <is>
          <t>N/A</t>
        </is>
      </c>
      <c r="Y16" s="50" t="inlineStr">
        <is>
          <t>BENCHMARK</t>
        </is>
      </c>
      <c r="Z16" s="49" t="inlineStr">
        <is>
          <t>BENCHMARK — Estimated Metro Market Average for Jamestown,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6" s="48" t="inlineStr">
        <is>
          <t>HUD FMR + Market Estimate</t>
        </is>
      </c>
    </row>
    <row r="17" ht="8.25" customFormat="1" customHeight="1" s="3"/>
    <row r="18" ht="27.75" customFormat="1" customHeight="1" s="3">
      <c r="A18" s="51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Height="1" s="95">
      <c r="A21" s="61" t="inlineStr">
        <is>
          <t>PMTS — Vouchers / FMR / UAP / NET FMR</t>
        </is>
      </c>
      <c r="B21" s="101" t="n"/>
      <c r="C21" s="101" t="n"/>
      <c r="D21" s="101" t="n"/>
      <c r="E21" s="101" t="n"/>
      <c r="F21" s="102" t="n"/>
    </row>
    <row r="22" ht="15" customHeight="1" s="95">
      <c r="A22" s="64" t="inlineStr">
        <is>
          <t>BD</t>
        </is>
      </c>
      <c r="B22" s="65" t="inlineStr">
        <is>
          <t>MKT</t>
        </is>
      </c>
      <c r="C22" s="66" t="inlineStr">
        <is>
          <t>VCH</t>
        </is>
      </c>
      <c r="D22" s="67" t="inlineStr">
        <is>
          <t>FMR</t>
        </is>
      </c>
      <c r="E22" s="68" t="inlineStr">
        <is>
          <t>UAP</t>
        </is>
      </c>
      <c r="F22" s="69" t="inlineStr">
        <is>
          <t>NET</t>
        </is>
      </c>
    </row>
    <row r="23" ht="15" customHeight="1" s="95">
      <c r="A23" s="70" t="inlineStr">
        <is>
          <t>2BD</t>
        </is>
      </c>
      <c r="B23" s="71" t="n">
        <v>0</v>
      </c>
      <c r="C23" s="71" t="n">
        <v>1150</v>
      </c>
      <c r="D23" s="71" t="n">
        <v>1270</v>
      </c>
      <c r="E23" s="72" t="n">
        <v>138</v>
      </c>
      <c r="F23" s="73" t="n">
        <v>1132</v>
      </c>
    </row>
    <row r="24" ht="15" customHeight="1" s="95">
      <c r="A24" s="74" t="inlineStr">
        <is>
          <t>3BD</t>
        </is>
      </c>
      <c r="B24" s="75" t="n">
        <v>0</v>
      </c>
      <c r="C24" s="75" t="n">
        <v>1300</v>
      </c>
      <c r="D24" s="75" t="n">
        <v>1670</v>
      </c>
      <c r="E24" s="72" t="n">
        <v>177</v>
      </c>
      <c r="F24" s="73" t="n">
        <v>1493</v>
      </c>
    </row>
    <row r="27" ht="15" customHeight="1" s="95">
      <c r="A27" s="61" t="inlineStr">
        <is>
          <t>LIHTC, UAP, NET</t>
        </is>
      </c>
      <c r="B27" s="101" t="n"/>
      <c r="C27" s="101" t="n"/>
      <c r="D27" s="101" t="n"/>
      <c r="E27" s="102" t="n"/>
    </row>
    <row r="28" ht="15" customHeight="1" s="95">
      <c r="A28" s="64" t="n"/>
      <c r="B28" s="65" t="inlineStr">
        <is>
          <t>LIHTC/MKT</t>
        </is>
      </c>
      <c r="C28" s="67" t="inlineStr">
        <is>
          <t>40%</t>
        </is>
      </c>
      <c r="D28" s="68" t="inlineStr">
        <is>
          <t>UAP</t>
        </is>
      </c>
      <c r="E28" s="69" t="inlineStr">
        <is>
          <t>NET</t>
        </is>
      </c>
    </row>
    <row r="29" ht="15" customHeight="1" s="95">
      <c r="A29" s="70" t="inlineStr">
        <is>
          <t>2BD</t>
        </is>
      </c>
      <c r="B29" s="71" t="n">
        <v>915</v>
      </c>
      <c r="C29" s="71" t="n">
        <v>749</v>
      </c>
      <c r="D29" s="72" t="n">
        <v>138</v>
      </c>
      <c r="E29" s="73" t="n">
        <v>611</v>
      </c>
    </row>
    <row r="30" ht="15" customHeight="1" s="95">
      <c r="A30" s="74" t="inlineStr">
        <is>
          <t>3BD</t>
        </is>
      </c>
      <c r="B30" s="75" t="n">
        <v>1057</v>
      </c>
      <c r="C30" s="75" t="n">
        <v>849</v>
      </c>
      <c r="D30" s="72" t="n">
        <v>177</v>
      </c>
      <c r="E30" s="73" t="n">
        <v>672</v>
      </c>
    </row>
    <row r="31" ht="15" customHeight="1" s="95">
      <c r="A31" s="64" t="n"/>
      <c r="B31" s="65" t="inlineStr">
        <is>
          <t>LIHTC/MKT</t>
        </is>
      </c>
      <c r="C31" s="67" t="inlineStr">
        <is>
          <t>60%</t>
        </is>
      </c>
      <c r="D31" s="68" t="inlineStr">
        <is>
          <t>UAP</t>
        </is>
      </c>
      <c r="E31" s="69" t="inlineStr">
        <is>
          <t>NET</t>
        </is>
      </c>
    </row>
    <row r="32" ht="15" customHeight="1" s="95">
      <c r="A32" s="70" t="inlineStr">
        <is>
          <t>2BD</t>
        </is>
      </c>
      <c r="B32" s="71" t="n">
        <v>1372</v>
      </c>
      <c r="C32" s="71" t="n">
        <v>1185</v>
      </c>
      <c r="D32" s="72" t="n">
        <v>138</v>
      </c>
      <c r="E32" s="73" t="n">
        <v>1047</v>
      </c>
    </row>
    <row r="33" ht="15" customHeight="1" s="95">
      <c r="A33" s="74" t="inlineStr">
        <is>
          <t>3BD</t>
        </is>
      </c>
      <c r="B33" s="75" t="n">
        <v>1585</v>
      </c>
      <c r="C33" s="75" t="n">
        <v>1353</v>
      </c>
      <c r="D33" s="72" t="n">
        <v>177</v>
      </c>
      <c r="E33" s="73" t="n">
        <v>1176</v>
      </c>
    </row>
    <row r="36" ht="15" customHeight="1" s="95">
      <c r="A36" s="61" t="inlineStr">
        <is>
          <t>HAP, CoStar, NET</t>
        </is>
      </c>
      <c r="B36" s="101" t="n"/>
      <c r="C36" s="102" t="n"/>
    </row>
    <row r="37" ht="15" customHeight="1" s="95">
      <c r="A37" s="64" t="n"/>
      <c r="B37" s="68" t="inlineStr">
        <is>
          <t>HAP</t>
        </is>
      </c>
      <c r="C37" s="65" t="inlineStr">
        <is>
          <t>CoStar</t>
        </is>
      </c>
    </row>
    <row r="38" ht="15" customHeight="1" s="95">
      <c r="A38" s="70" t="inlineStr">
        <is>
          <t>2BD</t>
        </is>
      </c>
      <c r="B38" s="103" t="n">
        <v>0</v>
      </c>
      <c r="C38" s="104" t="n">
        <v>1855</v>
      </c>
    </row>
    <row r="39" ht="15" customHeight="1" s="95">
      <c r="A39" s="74" t="inlineStr">
        <is>
          <t>3BD</t>
        </is>
      </c>
      <c r="B39" s="103" t="n">
        <v>0</v>
      </c>
      <c r="C39" s="104" t="n">
        <v>2363</v>
      </c>
    </row>
  </sheetData>
  <mergeCells count="7">
    <mergeCell ref="A18:AA18"/>
    <mergeCell ref="A36:C36"/>
    <mergeCell ref="A4:AA4"/>
    <mergeCell ref="A3:AA3"/>
    <mergeCell ref="A2:AA2"/>
    <mergeCell ref="A21:F21"/>
    <mergeCell ref="A27:E27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I51"/>
  <sheetViews>
    <sheetView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8.00390625" customWidth="1" style="3" min="1" max="1"/>
    <col width="14.00390625" customWidth="1" style="3" min="2" max="2"/>
    <col width="28.00390625" customWidth="1" style="3" min="3" max="3"/>
    <col width="22.00390625" customWidth="1" style="3" min="4" max="4"/>
    <col width="16.00390625" customWidth="1" style="3" min="5" max="5"/>
    <col width="10.00390625" customWidth="1" style="3" min="6" max="6"/>
    <col width="8.00390625" customWidth="1" style="3" min="7" max="7"/>
    <col width="11.00390625" customWidth="1" style="3" min="8" max="8"/>
    <col width="10.00390625" customWidth="1" style="3" min="9" max="11"/>
    <col width="12.00390625" customWidth="1" style="3" min="12" max="12"/>
    <col width="10.00390625" customWidth="1" style="3" min="13" max="15"/>
    <col width="12.00390625" customWidth="1" style="3" min="16" max="16"/>
    <col width="10.00390625" customWidth="1" style="3" min="17" max="19"/>
    <col width="12.00390625" customWidth="1" style="3" min="20" max="20"/>
    <col width="10.00390625" customWidth="1" style="3" min="21" max="23"/>
    <col width="12.00390625" customWidth="1" style="3" min="24" max="24"/>
    <col width="8.00390625" customWidth="1" style="3" min="25" max="25"/>
    <col width="10.00390625" customWidth="1" style="3" min="26" max="26"/>
    <col width="7.00390625" customWidth="1" style="3" min="27" max="27"/>
    <col width="12.00390625" customWidth="1" style="3" min="28" max="29"/>
    <col width="8.00390625" customWidth="1" style="3" min="30" max="31"/>
    <col width="10.00390625" customWidth="1" style="3" min="32" max="32"/>
    <col width="16.00390625" customWidth="1" style="3" min="33" max="33"/>
    <col width="45.00390625" customWidth="1" style="3" min="34" max="34"/>
    <col width="28.00390625" customWidth="1" style="3" min="35" max="35"/>
  </cols>
  <sheetData>
    <row r="1" ht="15" customHeight="1" s="95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</row>
    <row r="2" ht="24" customFormat="1" customHeight="1" s="3">
      <c r="A2" s="17" t="inlineStr">
        <is>
          <t>COMPETITIVE RENT ANALYSIS — RIVER GARDEN | GREEN = Affordable Comps | BLUE = Market Rate Comps</t>
        </is>
      </c>
    </row>
    <row r="3" ht="20.25" customFormat="1" customHeight="1" s="3">
      <c r="A3" s="18" t="inlineStr">
        <is>
          <t>SUBJECT: River Garden | Sonora, Sonora, CA 95370 | 123 units | Program: Section 8/HUD | Bedroom Mix: 2BR / 3BR / 4BR / 5BR | County AMI: $101,600 | FMR Area: Tuolumne County, CA</t>
        </is>
      </c>
    </row>
    <row r="4" ht="90" customFormat="1" customHeight="1" s="3">
      <c r="A4" s="19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5" ht="30" customFormat="1" customHeight="1" s="3">
      <c r="A5" s="20" t="inlineStr">
        <is>
          <t>Rank</t>
        </is>
      </c>
      <c r="B5" s="20" t="inlineStr">
        <is>
          <t>Type</t>
        </is>
      </c>
      <c r="C5" s="20" t="inlineStr">
        <is>
          <t>Property Name</t>
        </is>
      </c>
      <c r="D5" s="20" t="inlineStr">
        <is>
          <t>Address</t>
        </is>
      </c>
      <c r="E5" s="20" t="inlineStr">
        <is>
          <t>City</t>
        </is>
      </c>
      <c r="F5" s="20" t="inlineStr">
        <is>
          <t>State</t>
        </is>
      </c>
      <c r="G5" s="20" t="inlineStr">
        <is>
          <t>ZIP</t>
        </is>
      </c>
      <c r="H5" s="20" t="inlineStr">
        <is>
          <t>Distance (mi)</t>
        </is>
      </c>
      <c r="I5" s="20" t="inlineStr">
        <is>
          <t>2BR Low ($)</t>
        </is>
      </c>
      <c r="J5" s="20" t="inlineStr">
        <is>
          <t>2BR Mid ($)</t>
        </is>
      </c>
      <c r="K5" s="21" t="inlineStr">
        <is>
          <t>2BR FMR ($)</t>
        </is>
      </c>
      <c r="L5" s="22" t="inlineStr">
        <is>
          <t>2BR Actual ($)</t>
        </is>
      </c>
      <c r="M5" s="20" t="inlineStr">
        <is>
          <t>3BR Low ($)</t>
        </is>
      </c>
      <c r="N5" s="20" t="inlineStr">
        <is>
          <t>3BR Mid ($)</t>
        </is>
      </c>
      <c r="O5" s="21" t="inlineStr">
        <is>
          <t>3BR FMR ($)</t>
        </is>
      </c>
      <c r="P5" s="22" t="inlineStr">
        <is>
          <t>3BR Actual ($)</t>
        </is>
      </c>
      <c r="Q5" s="20" t="inlineStr">
        <is>
          <t>4BR Low ($)</t>
        </is>
      </c>
      <c r="R5" s="20" t="inlineStr">
        <is>
          <t>4BR Mid ($)</t>
        </is>
      </c>
      <c r="S5" s="21" t="inlineStr">
        <is>
          <t>4BR FMR ($)</t>
        </is>
      </c>
      <c r="T5" s="22" t="inlineStr">
        <is>
          <t>4BR Actual ($)</t>
        </is>
      </c>
      <c r="U5" s="20" t="inlineStr">
        <is>
          <t>5BR Low ($)</t>
        </is>
      </c>
      <c r="V5" s="20" t="inlineStr">
        <is>
          <t>5BR Mid ($)</t>
        </is>
      </c>
      <c r="W5" s="21" t="inlineStr">
        <is>
          <t>5BR FMR ($)</t>
        </is>
      </c>
      <c r="X5" s="22" t="inlineStr">
        <is>
          <t>5BR Actual ($)</t>
        </is>
      </c>
      <c r="Y5" s="20" t="inlineStr">
        <is>
          <t># Units</t>
        </is>
      </c>
      <c r="Z5" s="20" t="inlineStr">
        <is>
          <t>Year Built</t>
        </is>
      </c>
      <c r="AA5" s="20" t="inlineStr">
        <is>
          <t>Yr Diff</t>
        </is>
      </c>
      <c r="AB5" s="20" t="inlineStr">
        <is>
          <t>Utilities Incl.</t>
        </is>
      </c>
      <c r="AC5" s="20" t="inlineStr">
        <is>
          <t>Pet Friendly</t>
        </is>
      </c>
      <c r="AD5" s="20" t="inlineStr">
        <is>
          <t>Gated</t>
        </is>
      </c>
      <c r="AE5" s="20" t="inlineStr">
        <is>
          <t>Pool</t>
        </is>
      </c>
      <c r="AF5" s="20" t="inlineStr">
        <is>
          <t>W/D In-Unit</t>
        </is>
      </c>
      <c r="AG5" s="20" t="inlineStr">
        <is>
          <t>Competition Level</t>
        </is>
      </c>
      <c r="AH5" s="20" t="inlineStr">
        <is>
          <t>Why Competitive</t>
        </is>
      </c>
      <c r="AI5" s="20" t="inlineStr">
        <is>
          <t>Data Source</t>
        </is>
      </c>
    </row>
    <row r="6" ht="54.75" customFormat="1" customHeight="1" s="3">
      <c r="A6" s="23" t="inlineStr">
        <is>
          <t>—</t>
        </is>
      </c>
      <c r="B6" s="23" t="inlineStr">
        <is>
          <t>SUBJECT</t>
        </is>
      </c>
      <c r="C6" s="24" t="inlineStr">
        <is>
          <t>River Garden (SUBJECT)</t>
        </is>
      </c>
      <c r="D6" s="23" t="inlineStr">
        <is>
          <t>Sonora</t>
        </is>
      </c>
      <c r="E6" s="23" t="inlineStr">
        <is>
          <t>Sonora</t>
        </is>
      </c>
      <c r="F6" s="23" t="inlineStr">
        <is>
          <t>CA</t>
        </is>
      </c>
      <c r="G6" s="23" t="inlineStr">
        <is>
          <t>95370</t>
        </is>
      </c>
      <c r="H6" s="23" t="inlineStr">
        <is>
          <t>0.0 mi</t>
        </is>
      </c>
      <c r="I6" s="23" t="inlineStr">
        <is>
          <t>$3,812</t>
        </is>
      </c>
      <c r="J6" s="23" t="inlineStr">
        <is>
          <t>$4,575</t>
        </is>
      </c>
      <c r="K6" s="25" t="inlineStr">
        <is>
          <t>$1,500</t>
        </is>
      </c>
      <c r="L6" s="26" t="inlineStr">
        <is>
          <t>N/A</t>
        </is>
      </c>
      <c r="M6" s="23" t="inlineStr">
        <is>
          <t>$4,233</t>
        </is>
      </c>
      <c r="N6" s="23" t="inlineStr">
        <is>
          <t>$5,080</t>
        </is>
      </c>
      <c r="O6" s="25" t="inlineStr">
        <is>
          <t>$1,970</t>
        </is>
      </c>
      <c r="P6" s="26" t="inlineStr">
        <is>
          <t>N/A</t>
        </is>
      </c>
      <c r="Q6" s="23" t="inlineStr">
        <is>
          <t>$4,575</t>
        </is>
      </c>
      <c r="R6" s="23" t="inlineStr">
        <is>
          <t>$5,490</t>
        </is>
      </c>
      <c r="S6" s="25" t="inlineStr">
        <is>
          <t>$2,277</t>
        </is>
      </c>
      <c r="T6" s="26" t="inlineStr">
        <is>
          <t>N/A</t>
        </is>
      </c>
      <c r="U6" s="23" t="inlineStr">
        <is>
          <t>$4,912</t>
        </is>
      </c>
      <c r="V6" s="23" t="inlineStr">
        <is>
          <t>$5,895</t>
        </is>
      </c>
      <c r="W6" s="25" t="inlineStr">
        <is>
          <t>$2,619</t>
        </is>
      </c>
      <c r="X6" s="26" t="inlineStr">
        <is>
          <t>N/A</t>
        </is>
      </c>
      <c r="Y6" s="23" t="inlineStr">
        <is>
          <t>123</t>
        </is>
      </c>
      <c r="Z6" s="23" t="inlineStr">
        <is>
          <t>1995</t>
        </is>
      </c>
      <c r="AA6" s="23" t="inlineStr">
        <is>
          <t>0</t>
        </is>
      </c>
      <c r="AB6" s="23" t="inlineStr">
        <is>
          <t>Partial</t>
        </is>
      </c>
      <c r="AC6" s="23" t="inlineStr">
        <is>
          <t>No</t>
        </is>
      </c>
      <c r="AD6" s="23" t="inlineStr">
        <is>
          <t>No</t>
        </is>
      </c>
      <c r="AE6" s="23" t="inlineStr">
        <is>
          <t>No</t>
        </is>
      </c>
      <c r="AF6" s="23" t="inlineStr">
        <is>
          <t>No</t>
        </is>
      </c>
      <c r="AG6" s="27" t="inlineStr">
        <is>
          <t>SUBJECT</t>
        </is>
      </c>
      <c r="AH6" s="24" t="inlineStr">
        <is>
          <t>123 units | Section 8/HUD property. Year built: 1995. Subject property for market context.</t>
        </is>
      </c>
      <c r="AI6" s="23" t="inlineStr">
        <is>
          <t>Apartment Corp Records</t>
        </is>
      </c>
    </row>
    <row r="7" ht="54.75" customFormat="1" customHeight="1" s="3">
      <c r="A7" s="28" t="inlineStr">
        <is>
          <t>1</t>
        </is>
      </c>
      <c r="B7" s="28" t="inlineStr">
        <is>
          <t>AFFORDABLE</t>
        </is>
      </c>
      <c r="C7" s="29" t="inlineStr">
        <is>
          <t>Fame Gardens</t>
        </is>
      </c>
      <c r="D7" s="28" t="n"/>
      <c r="E7" s="28" t="inlineStr">
        <is>
          <t>Los Angeles</t>
        </is>
      </c>
      <c r="F7" s="28" t="inlineStr">
        <is>
          <t>CA</t>
        </is>
      </c>
      <c r="G7" s="28" t="n"/>
      <c r="H7" s="28" t="inlineStr">
        <is>
          <t>N/A</t>
        </is>
      </c>
      <c r="I7" s="28" t="inlineStr">
        <is>
          <t>$3,812</t>
        </is>
      </c>
      <c r="J7" s="28" t="inlineStr">
        <is>
          <t>$4,575</t>
        </is>
      </c>
      <c r="K7" s="30" t="inlineStr">
        <is>
          <t>$1,500</t>
        </is>
      </c>
      <c r="L7" s="31" t="inlineStr">
        <is>
          <t>Not Listed</t>
        </is>
      </c>
      <c r="M7" s="28" t="inlineStr">
        <is>
          <t>$4,233</t>
        </is>
      </c>
      <c r="N7" s="28" t="inlineStr">
        <is>
          <t>$5,080</t>
        </is>
      </c>
      <c r="O7" s="30" t="inlineStr">
        <is>
          <t>$1,970</t>
        </is>
      </c>
      <c r="P7" s="31" t="inlineStr">
        <is>
          <t>Not Listed</t>
        </is>
      </c>
      <c r="Q7" s="28" t="inlineStr">
        <is>
          <t>$4,575</t>
        </is>
      </c>
      <c r="R7" s="28" t="inlineStr">
        <is>
          <t>$5,490</t>
        </is>
      </c>
      <c r="S7" s="30" t="inlineStr">
        <is>
          <t>$2,277</t>
        </is>
      </c>
      <c r="T7" s="31" t="inlineStr">
        <is>
          <t>Not Listed</t>
        </is>
      </c>
      <c r="U7" s="28" t="inlineStr">
        <is>
          <t>$4,912</t>
        </is>
      </c>
      <c r="V7" s="28" t="inlineStr">
        <is>
          <t>$5,895</t>
        </is>
      </c>
      <c r="W7" s="30" t="inlineStr">
        <is>
          <t>$2,619</t>
        </is>
      </c>
      <c r="X7" s="31" t="inlineStr">
        <is>
          <t>Not Listed</t>
        </is>
      </c>
      <c r="Y7" s="28" t="inlineStr">
        <is>
          <t>81</t>
        </is>
      </c>
      <c r="Z7" s="28" t="inlineStr">
        <is>
          <t>1995</t>
        </is>
      </c>
      <c r="AA7" s="28" t="inlineStr">
        <is>
          <t>0</t>
        </is>
      </c>
      <c r="AB7" s="28" t="inlineStr">
        <is>
          <t>Yes</t>
        </is>
      </c>
      <c r="AC7" s="28" t="inlineStr">
        <is>
          <t>No</t>
        </is>
      </c>
      <c r="AD7" s="28" t="inlineStr">
        <is>
          <t>No</t>
        </is>
      </c>
      <c r="AE7" s="28" t="inlineStr">
        <is>
          <t>No</t>
        </is>
      </c>
      <c r="AF7" s="28" t="inlineStr">
        <is>
          <t>No</t>
        </is>
      </c>
      <c r="AG7" s="91" t="inlineStr">
        <is>
          <t>MODERATE</t>
        </is>
      </c>
      <c r="AH7" s="29" t="inlineStr">
        <is>
          <t>Affordable Comp #1: LIHTC property, 1995 vintage (0 yr diff), 81 units, N/A from subject. Same income-eligible renter pool.</t>
        </is>
      </c>
      <c r="AI7" s="28" t="inlineStr">
        <is>
          <t>HUD LIHTC Database (huduser.gov)</t>
        </is>
      </c>
    </row>
    <row r="8" ht="54.75" customFormat="1" customHeight="1" s="3">
      <c r="A8" s="33" t="inlineStr">
        <is>
          <t>2</t>
        </is>
      </c>
      <c r="B8" s="33" t="inlineStr">
        <is>
          <t>AFFORDABLE</t>
        </is>
      </c>
      <c r="C8" s="34" t="inlineStr">
        <is>
          <t>Columbia Village Townhomes</t>
        </is>
      </c>
      <c r="D8" s="33" t="inlineStr">
        <is>
          <t>11439 Columbia Village Dr</t>
        </is>
      </c>
      <c r="E8" s="33" t="inlineStr">
        <is>
          <t>Sonora</t>
        </is>
      </c>
      <c r="F8" s="33" t="inlineStr">
        <is>
          <t>CA</t>
        </is>
      </c>
      <c r="G8" s="33" t="inlineStr">
        <is>
          <t>95370</t>
        </is>
      </c>
      <c r="H8" s="33" t="inlineStr">
        <is>
          <t>2.7 mi</t>
        </is>
      </c>
      <c r="I8" s="33" t="inlineStr">
        <is>
          <t>$3,812</t>
        </is>
      </c>
      <c r="J8" s="33" t="inlineStr">
        <is>
          <t>$4,575</t>
        </is>
      </c>
      <c r="K8" s="30" t="inlineStr">
        <is>
          <t>$1,500</t>
        </is>
      </c>
      <c r="L8" s="31" t="inlineStr">
        <is>
          <t>Not Listed</t>
        </is>
      </c>
      <c r="M8" s="33" t="inlineStr">
        <is>
          <t>$4,233</t>
        </is>
      </c>
      <c r="N8" s="33" t="inlineStr">
        <is>
          <t>$5,080</t>
        </is>
      </c>
      <c r="O8" s="30" t="inlineStr">
        <is>
          <t>$1,970</t>
        </is>
      </c>
      <c r="P8" s="31" t="inlineStr">
        <is>
          <t>Not Listed</t>
        </is>
      </c>
      <c r="Q8" s="33" t="inlineStr">
        <is>
          <t>$4,575</t>
        </is>
      </c>
      <c r="R8" s="33" t="inlineStr">
        <is>
          <t>$5,490</t>
        </is>
      </c>
      <c r="S8" s="30" t="inlineStr">
        <is>
          <t>$2,277</t>
        </is>
      </c>
      <c r="T8" s="31" t="inlineStr">
        <is>
          <t>Not Listed</t>
        </is>
      </c>
      <c r="U8" s="33" t="inlineStr">
        <is>
          <t>$4,912</t>
        </is>
      </c>
      <c r="V8" s="33" t="inlineStr">
        <is>
          <t>$5,895</t>
        </is>
      </c>
      <c r="W8" s="30" t="inlineStr">
        <is>
          <t>$2,619</t>
        </is>
      </c>
      <c r="X8" s="31" t="inlineStr">
        <is>
          <t>Not Listed</t>
        </is>
      </c>
      <c r="Y8" s="33" t="inlineStr">
        <is>
          <t>80</t>
        </is>
      </c>
      <c r="Z8" s="33" t="inlineStr">
        <is>
          <t>1998</t>
        </is>
      </c>
      <c r="AA8" s="33" t="inlineStr">
        <is>
          <t>3</t>
        </is>
      </c>
      <c r="AB8" s="33" t="inlineStr">
        <is>
          <t>Yes</t>
        </is>
      </c>
      <c r="AC8" s="33" t="inlineStr">
        <is>
          <t>No</t>
        </is>
      </c>
      <c r="AD8" s="33" t="inlineStr">
        <is>
          <t>No</t>
        </is>
      </c>
      <c r="AE8" s="33" t="inlineStr">
        <is>
          <t>No</t>
        </is>
      </c>
      <c r="AF8" s="33" t="inlineStr">
        <is>
          <t>No</t>
        </is>
      </c>
      <c r="AG8" s="35" t="inlineStr">
        <is>
          <t>HIGH</t>
        </is>
      </c>
      <c r="AH8" s="34" t="inlineStr">
        <is>
          <t>Affordable Comp #2: LIHTC property, 1998 vintage (3 yr diff), 80 units, 2.7 mi from subject. Same income-eligible renter pool.</t>
        </is>
      </c>
      <c r="AI8" s="33" t="inlineStr">
        <is>
          <t>HUD LIHTC Database (huduser.gov)</t>
        </is>
      </c>
    </row>
    <row r="9" ht="54.75" customFormat="1" customHeight="1" s="3">
      <c r="A9" s="36" t="inlineStr">
        <is>
          <t>3</t>
        </is>
      </c>
      <c r="B9" s="36" t="inlineStr">
        <is>
          <t>AFFORDABLE</t>
        </is>
      </c>
      <c r="C9" s="37" t="inlineStr">
        <is>
          <t>Oak Hills Apts</t>
        </is>
      </c>
      <c r="D9" s="36" t="inlineStr">
        <is>
          <t>10260 Preston Ln</t>
        </is>
      </c>
      <c r="E9" s="36" t="inlineStr">
        <is>
          <t>Jamestown</t>
        </is>
      </c>
      <c r="F9" s="36" t="inlineStr">
        <is>
          <t>CA</t>
        </is>
      </c>
      <c r="G9" s="36" t="inlineStr">
        <is>
          <t>95327</t>
        </is>
      </c>
      <c r="H9" s="36" t="inlineStr">
        <is>
          <t>3.1 mi</t>
        </is>
      </c>
      <c r="I9" s="36" t="inlineStr">
        <is>
          <t>$3,812</t>
        </is>
      </c>
      <c r="J9" s="36" t="inlineStr">
        <is>
          <t>$4,575</t>
        </is>
      </c>
      <c r="K9" s="30" t="inlineStr">
        <is>
          <t>$1,500</t>
        </is>
      </c>
      <c r="L9" s="31" t="inlineStr">
        <is>
          <t>Not Listed</t>
        </is>
      </c>
      <c r="M9" s="36" t="inlineStr">
        <is>
          <t>$4,233</t>
        </is>
      </c>
      <c r="N9" s="36" t="inlineStr">
        <is>
          <t>$5,080</t>
        </is>
      </c>
      <c r="O9" s="30" t="inlineStr">
        <is>
          <t>$1,970</t>
        </is>
      </c>
      <c r="P9" s="31" t="inlineStr">
        <is>
          <t>Not Listed</t>
        </is>
      </c>
      <c r="Q9" s="36" t="inlineStr">
        <is>
          <t>$4,575</t>
        </is>
      </c>
      <c r="R9" s="36" t="inlineStr">
        <is>
          <t>$5,490</t>
        </is>
      </c>
      <c r="S9" s="30" t="inlineStr">
        <is>
          <t>$2,277</t>
        </is>
      </c>
      <c r="T9" s="31" t="inlineStr">
        <is>
          <t>Not Listed</t>
        </is>
      </c>
      <c r="U9" s="36" t="inlineStr">
        <is>
          <t>$4,912</t>
        </is>
      </c>
      <c r="V9" s="36" t="inlineStr">
        <is>
          <t>$5,895</t>
        </is>
      </c>
      <c r="W9" s="30" t="inlineStr">
        <is>
          <t>$2,619</t>
        </is>
      </c>
      <c r="X9" s="31" t="inlineStr">
        <is>
          <t>Not Listed</t>
        </is>
      </c>
      <c r="Y9" s="36" t="inlineStr">
        <is>
          <t>80</t>
        </is>
      </c>
      <c r="Z9" s="36" t="inlineStr">
        <is>
          <t>1998</t>
        </is>
      </c>
      <c r="AA9" s="36" t="inlineStr">
        <is>
          <t>3</t>
        </is>
      </c>
      <c r="AB9" s="36" t="inlineStr">
        <is>
          <t>Yes</t>
        </is>
      </c>
      <c r="AC9" s="36" t="inlineStr">
        <is>
          <t>No</t>
        </is>
      </c>
      <c r="AD9" s="36" t="inlineStr">
        <is>
          <t>No</t>
        </is>
      </c>
      <c r="AE9" s="36" t="inlineStr">
        <is>
          <t>No</t>
        </is>
      </c>
      <c r="AF9" s="36" t="inlineStr">
        <is>
          <t>No</t>
        </is>
      </c>
      <c r="AG9" s="85" t="inlineStr">
        <is>
          <t>HIGH</t>
        </is>
      </c>
      <c r="AH9" s="37" t="inlineStr">
        <is>
          <t>Affordable Comp #3: LIHTC property, 1998 vintage (3 yr diff), 80 units, 3.1 mi from subject. Same income-eligible renter pool.</t>
        </is>
      </c>
      <c r="AI9" s="36" t="inlineStr">
        <is>
          <t>HUD LIHTC Database (huduser.gov)</t>
        </is>
      </c>
    </row>
    <row r="10" ht="54.75" customFormat="1" customHeight="1" s="3">
      <c r="A10" s="28" t="inlineStr">
        <is>
          <t>4</t>
        </is>
      </c>
      <c r="B10" s="28" t="inlineStr">
        <is>
          <t>AFFORDABLE</t>
        </is>
      </c>
      <c r="C10" s="29" t="inlineStr">
        <is>
          <t>Murphys Senior Apts</t>
        </is>
      </c>
      <c r="D10" s="28" t="inlineStr">
        <is>
          <t>350 Bret Harte Ln</t>
        </is>
      </c>
      <c r="E10" s="28" t="inlineStr">
        <is>
          <t>Murphys</t>
        </is>
      </c>
      <c r="F10" s="28" t="inlineStr">
        <is>
          <t>CA</t>
        </is>
      </c>
      <c r="G10" s="28" t="inlineStr">
        <is>
          <t>95247</t>
        </is>
      </c>
      <c r="H10" s="28" t="inlineStr">
        <is>
          <t>12.5 mi</t>
        </is>
      </c>
      <c r="I10" s="28" t="inlineStr">
        <is>
          <t>$3,812</t>
        </is>
      </c>
      <c r="J10" s="28" t="inlineStr">
        <is>
          <t>$4,575</t>
        </is>
      </c>
      <c r="K10" s="30" t="inlineStr">
        <is>
          <t>$1,500</t>
        </is>
      </c>
      <c r="L10" s="31" t="inlineStr">
        <is>
          <t>Not Listed</t>
        </is>
      </c>
      <c r="M10" s="28" t="inlineStr">
        <is>
          <t>$4,233</t>
        </is>
      </c>
      <c r="N10" s="28" t="inlineStr">
        <is>
          <t>$5,080</t>
        </is>
      </c>
      <c r="O10" s="30" t="inlineStr">
        <is>
          <t>$1,970</t>
        </is>
      </c>
      <c r="P10" s="31" t="inlineStr">
        <is>
          <t>Not Listed</t>
        </is>
      </c>
      <c r="Q10" s="28" t="inlineStr">
        <is>
          <t>$4,575</t>
        </is>
      </c>
      <c r="R10" s="28" t="inlineStr">
        <is>
          <t>$5,490</t>
        </is>
      </c>
      <c r="S10" s="30" t="inlineStr">
        <is>
          <t>$2,277</t>
        </is>
      </c>
      <c r="T10" s="31" t="inlineStr">
        <is>
          <t>Not Listed</t>
        </is>
      </c>
      <c r="U10" s="28" t="inlineStr">
        <is>
          <t>$4,912</t>
        </is>
      </c>
      <c r="V10" s="28" t="inlineStr">
        <is>
          <t>$5,895</t>
        </is>
      </c>
      <c r="W10" s="30" t="inlineStr">
        <is>
          <t>$2,619</t>
        </is>
      </c>
      <c r="X10" s="31" t="inlineStr">
        <is>
          <t>Not Listed</t>
        </is>
      </c>
      <c r="Y10" s="28" t="inlineStr">
        <is>
          <t>24</t>
        </is>
      </c>
      <c r="Z10" s="28" t="inlineStr">
        <is>
          <t>1995</t>
        </is>
      </c>
      <c r="AA10" s="28" t="inlineStr">
        <is>
          <t>0</t>
        </is>
      </c>
      <c r="AB10" s="28" t="inlineStr">
        <is>
          <t>Yes</t>
        </is>
      </c>
      <c r="AC10" s="28" t="inlineStr">
        <is>
          <t>No</t>
        </is>
      </c>
      <c r="AD10" s="28" t="inlineStr">
        <is>
          <t>No</t>
        </is>
      </c>
      <c r="AE10" s="28" t="inlineStr">
        <is>
          <t>No</t>
        </is>
      </c>
      <c r="AF10" s="28" t="inlineStr">
        <is>
          <t>No</t>
        </is>
      </c>
      <c r="AG10" s="32" t="inlineStr">
        <is>
          <t>HIGH</t>
        </is>
      </c>
      <c r="AH10" s="29" t="inlineStr">
        <is>
          <t>Affordable Comp #4: LIHTC property, 1995 vintage (0 yr diff), 24 units, 12.5 mi from subject. Same income-eligible renter pool.</t>
        </is>
      </c>
      <c r="AI10" s="28" t="inlineStr">
        <is>
          <t>HUD LIHTC Database (huduser.gov)</t>
        </is>
      </c>
    </row>
    <row r="11" ht="54.75" customFormat="1" customHeight="1" s="3">
      <c r="A11" s="39" t="inlineStr">
        <is>
          <t>1</t>
        </is>
      </c>
      <c r="B11" s="39" t="inlineStr">
        <is>
          <t>MARKET RATE</t>
        </is>
      </c>
      <c r="C11" s="40" t="inlineStr">
        <is>
          <t>Sonora Market Rate (FMR Benchmark)</t>
        </is>
      </c>
      <c r="D11" s="39" t="inlineStr">
        <is>
          <t>Sonora, CA area</t>
        </is>
      </c>
      <c r="E11" s="39" t="inlineStr">
        <is>
          <t>CA area</t>
        </is>
      </c>
      <c r="F11" s="39" t="inlineStr">
        <is>
          <t>CA</t>
        </is>
      </c>
      <c r="G11" s="39" t="n"/>
      <c r="H11" s="39" t="inlineStr">
        <is>
          <t>N/A</t>
        </is>
      </c>
      <c r="I11" s="39" t="inlineStr">
        <is>
          <t>N/A (Market Rate)</t>
        </is>
      </c>
      <c r="J11" s="39" t="inlineStr">
        <is>
          <t>N/A (Market Rate)</t>
        </is>
      </c>
      <c r="K11" s="30" t="inlineStr">
        <is>
          <t>$1,500</t>
        </is>
      </c>
      <c r="L11" s="31" t="inlineStr">
        <is>
          <t>$1,650</t>
        </is>
      </c>
      <c r="M11" s="39" t="inlineStr">
        <is>
          <t>N/A (Market Rate)</t>
        </is>
      </c>
      <c r="N11" s="39" t="inlineStr">
        <is>
          <t>N/A (Market Rate)</t>
        </is>
      </c>
      <c r="O11" s="30" t="inlineStr">
        <is>
          <t>$1,970</t>
        </is>
      </c>
      <c r="P11" s="31" t="inlineStr">
        <is>
          <t>$2,050</t>
        </is>
      </c>
      <c r="Q11" s="39" t="inlineStr">
        <is>
          <t>N/A (Market Rate)</t>
        </is>
      </c>
      <c r="R11" s="39" t="inlineStr">
        <is>
          <t>N/A (Market Rate)</t>
        </is>
      </c>
      <c r="S11" s="30" t="inlineStr">
        <is>
          <t>$2,277</t>
        </is>
      </c>
      <c r="T11" s="31" t="inlineStr">
        <is>
          <t>Not Listed</t>
        </is>
      </c>
      <c r="U11" s="39" t="inlineStr">
        <is>
          <t>N/A (Market Rate)</t>
        </is>
      </c>
      <c r="V11" s="39" t="inlineStr">
        <is>
          <t>N/A (Market Rate)</t>
        </is>
      </c>
      <c r="W11" s="30" t="inlineStr">
        <is>
          <t>$2,619</t>
        </is>
      </c>
      <c r="X11" s="31" t="inlineStr">
        <is>
          <t>Not Listed</t>
        </is>
      </c>
      <c r="Y11" s="39" t="inlineStr">
        <is>
          <t>N/A</t>
        </is>
      </c>
      <c r="Z11" s="39" t="inlineStr">
        <is>
          <t>1995</t>
        </is>
      </c>
      <c r="AA11" s="39" t="inlineStr">
        <is>
          <t>0</t>
        </is>
      </c>
      <c r="AB11" s="39" t="inlineStr">
        <is>
          <t>Varies</t>
        </is>
      </c>
      <c r="AC11" s="39" t="inlineStr">
        <is>
          <t>Varies</t>
        </is>
      </c>
      <c r="AD11" s="39" t="inlineStr">
        <is>
          <t>Varies</t>
        </is>
      </c>
      <c r="AE11" s="39" t="inlineStr">
        <is>
          <t>Varies</t>
        </is>
      </c>
      <c r="AF11" s="39" t="inlineStr">
        <is>
          <t>Varies</t>
        </is>
      </c>
      <c r="AG11" s="41" t="inlineStr">
        <is>
          <t>HIGH</t>
        </is>
      </c>
      <c r="AH11" s="40" t="inlineStr">
        <is>
          <t>Market Rate Comp #1: No income restrictions, 1995 vintage (0 yr diff), N/A units, N/A from subject. Shows market-rate rents vs. affordable housing discount.</t>
        </is>
      </c>
      <c r="AI11" s="39" t="inlineStr">
        <is>
          <t>HUD FY2026 FMR - Tuolumne County, CA (limited market rate listings in Sonora)</t>
        </is>
      </c>
    </row>
    <row r="12" ht="54.75" customFormat="1" customHeight="1" s="3">
      <c r="A12" s="42" t="inlineStr">
        <is>
          <t>2</t>
        </is>
      </c>
      <c r="B12" s="42" t="inlineStr">
        <is>
          <t>Quail Hollow Apartments</t>
        </is>
      </c>
      <c r="C12" s="43" t="inlineStr">
        <is>
          <t>20230 Grouse Way, Sonora, CA 95370</t>
        </is>
      </c>
      <c r="D12" s="42" t="inlineStr">
        <is>
          <t>Modesto, CA area</t>
        </is>
      </c>
      <c r="E12" s="42" t="inlineStr">
        <is>
          <t>CA area</t>
        </is>
      </c>
      <c r="F12" s="42" t="inlineStr">
        <is>
          <t>CA</t>
        </is>
      </c>
      <c r="G12" s="42" t="n"/>
      <c r="H12" s="42" t="inlineStr">
        <is>
          <t>45.0 mi</t>
        </is>
      </c>
      <c r="I12" s="42" t="inlineStr">
        <is>
          <t>N/A (Market Rate)</t>
        </is>
      </c>
      <c r="J12" s="42" t="inlineStr">
        <is>
          <t>N/A (Market Rate)</t>
        </is>
      </c>
      <c r="K12" s="30" t="inlineStr">
        <is>
          <t>$1,500</t>
        </is>
      </c>
      <c r="L12" s="31" t="inlineStr">
        <is>
          <t>$1,595</t>
        </is>
      </c>
      <c r="M12" s="42" t="inlineStr">
        <is>
          <t>N/A (Market Rate)</t>
        </is>
      </c>
      <c r="N12" s="42" t="inlineStr">
        <is>
          <t>N/A (Market Rate)</t>
        </is>
      </c>
      <c r="O12" s="30" t="inlineStr">
        <is>
          <t>$1,970</t>
        </is>
      </c>
      <c r="P12" s="31" t="inlineStr">
        <is>
          <t>$1,975</t>
        </is>
      </c>
      <c r="Q12" s="42" t="inlineStr">
        <is>
          <t>N/A (Market Rate)</t>
        </is>
      </c>
      <c r="R12" s="42" t="inlineStr">
        <is>
          <t>N/A (Market Rate)</t>
        </is>
      </c>
      <c r="S12" s="30" t="inlineStr">
        <is>
          <t>$2,277</t>
        </is>
      </c>
      <c r="T12" s="31" t="inlineStr">
        <is>
          <t>Not Listed</t>
        </is>
      </c>
      <c r="U12" s="42" t="inlineStr">
        <is>
          <t>N/A (Market Rate)</t>
        </is>
      </c>
      <c r="V12" s="42" t="inlineStr">
        <is>
          <t>N/A (Market Rate)</t>
        </is>
      </c>
      <c r="W12" s="30" t="inlineStr">
        <is>
          <t>$2,619</t>
        </is>
      </c>
      <c r="X12" s="31" t="inlineStr">
        <is>
          <t>Not Listed</t>
        </is>
      </c>
      <c r="Y12" s="42" t="inlineStr">
        <is>
          <t>120</t>
        </is>
      </c>
      <c r="Z12" s="42" t="inlineStr">
        <is>
          <t>1997</t>
        </is>
      </c>
      <c r="AA12" s="42" t="inlineStr">
        <is>
          <t>2</t>
        </is>
      </c>
      <c r="AB12" s="42" t="inlineStr">
        <is>
          <t>Varies</t>
        </is>
      </c>
      <c r="AC12" s="42" t="inlineStr">
        <is>
          <t>Varies</t>
        </is>
      </c>
      <c r="AD12" s="42" t="inlineStr">
        <is>
          <t>Varies</t>
        </is>
      </c>
      <c r="AE12" s="42" t="inlineStr">
        <is>
          <t>Varies</t>
        </is>
      </c>
      <c r="AF12" s="42" t="inlineStr">
        <is>
          <t>Varies</t>
        </is>
      </c>
      <c r="AG12" s="89" t="inlineStr">
        <is>
          <t>MODERATE</t>
        </is>
      </c>
      <c r="AH12" s="43" t="inlineStr">
        <is>
          <t>Market Rate Comp #2: No income restrictions, 1997 vintage (2 yr diff), 120 units, 45.0 mi from subject. Shows market-rate rents vs. affordable housing discount.</t>
        </is>
      </c>
      <c r="AI12" s="42" t="inlineStr">
        <is>
          <t>https://www.rentcafe.com/apartments-for-rent/us/ca/modesto/</t>
        </is>
      </c>
    </row>
    <row r="13" ht="54.75" customFormat="1" customHeight="1" s="3">
      <c r="A13" s="45" t="inlineStr">
        <is>
          <t>3</t>
        </is>
      </c>
      <c r="B13" s="45" t="inlineStr">
        <is>
          <t>Shepherd Street Apartments</t>
        </is>
      </c>
      <c r="C13" s="46" t="inlineStr">
        <is>
          <t>165 S Shepherd St, Sonora, CA 95370</t>
        </is>
      </c>
      <c r="D13" s="45" t="inlineStr">
        <is>
          <t>Modesto, CA area</t>
        </is>
      </c>
      <c r="E13" s="45" t="inlineStr">
        <is>
          <t>CA area</t>
        </is>
      </c>
      <c r="F13" s="45" t="inlineStr">
        <is>
          <t>CA</t>
        </is>
      </c>
      <c r="G13" s="45" t="n"/>
      <c r="H13" s="45" t="inlineStr">
        <is>
          <t>47.0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0" t="inlineStr">
        <is>
          <t>$1,500</t>
        </is>
      </c>
      <c r="L13" s="31" t="inlineStr">
        <is>
          <t>$1,550</t>
        </is>
      </c>
      <c r="M13" s="45" t="inlineStr">
        <is>
          <t>N/A (Market Rate)</t>
        </is>
      </c>
      <c r="N13" s="45" t="inlineStr">
        <is>
          <t>N/A (Market Rate)</t>
        </is>
      </c>
      <c r="O13" s="30" t="inlineStr">
        <is>
          <t>$1,970</t>
        </is>
      </c>
      <c r="P13" s="31" t="inlineStr">
        <is>
          <t>$1,925</t>
        </is>
      </c>
      <c r="Q13" s="45" t="inlineStr">
        <is>
          <t>N/A (Market Rate)</t>
        </is>
      </c>
      <c r="R13" s="45" t="inlineStr">
        <is>
          <t>N/A (Market Rate)</t>
        </is>
      </c>
      <c r="S13" s="30" t="inlineStr">
        <is>
          <t>$2,277</t>
        </is>
      </c>
      <c r="T13" s="31" t="inlineStr">
        <is>
          <t>Not Listed</t>
        </is>
      </c>
      <c r="U13" s="45" t="inlineStr">
        <is>
          <t>N/A (Market Rate)</t>
        </is>
      </c>
      <c r="V13" s="45" t="inlineStr">
        <is>
          <t>N/A (Market Rate)</t>
        </is>
      </c>
      <c r="W13" s="30" t="inlineStr">
        <is>
          <t>$2,619</t>
        </is>
      </c>
      <c r="X13" s="31" t="inlineStr">
        <is>
          <t>Not Listed</t>
        </is>
      </c>
      <c r="Y13" s="45" t="inlineStr">
        <is>
          <t>96</t>
        </is>
      </c>
      <c r="Z13" s="45" t="inlineStr">
        <is>
          <t>1993</t>
        </is>
      </c>
      <c r="AA13" s="45" t="inlineStr">
        <is>
          <t>2</t>
        </is>
      </c>
      <c r="AB13" s="45" t="inlineStr">
        <is>
          <t>Varies</t>
        </is>
      </c>
      <c r="AC13" s="45" t="inlineStr">
        <is>
          <t>Varies</t>
        </is>
      </c>
      <c r="AD13" s="45" t="inlineStr">
        <is>
          <t>Varies</t>
        </is>
      </c>
      <c r="AE13" s="45" t="inlineStr">
        <is>
          <t>Varies</t>
        </is>
      </c>
      <c r="AF13" s="45" t="inlineStr">
        <is>
          <t>Varies</t>
        </is>
      </c>
      <c r="AG13" s="90" t="inlineStr">
        <is>
          <t>MODERATE</t>
        </is>
      </c>
      <c r="AH13" s="46" t="inlineStr">
        <is>
          <t>Market Rate Comp #3: No income restrictions, 1993 vintage (2 yr diff), 96 units, 47.0 mi from subject. Shows market-rate rents vs. affordable housing discount.</t>
        </is>
      </c>
      <c r="AI13" s="45" t="inlineStr">
        <is>
          <t>https://www.rentcafe.com/apartments-for-rent/us/ca/modesto/</t>
        </is>
      </c>
    </row>
    <row r="14" ht="54.75" customFormat="1" customHeight="1" s="3">
      <c r="A14" s="39" t="inlineStr">
        <is>
          <t>4</t>
        </is>
      </c>
      <c r="B14" s="39" t="inlineStr">
        <is>
          <t>Blackberry Oaks</t>
        </is>
      </c>
      <c r="C14" s="40" t="inlineStr">
        <is>
          <t>100 Greenley Rd, Sonora, CA 95370</t>
        </is>
      </c>
      <c r="D14" s="39" t="inlineStr">
        <is>
          <t>Sonora, CA area</t>
        </is>
      </c>
      <c r="E14" s="39" t="inlineStr">
        <is>
          <t>CA area</t>
        </is>
      </c>
      <c r="F14" s="39" t="inlineStr">
        <is>
          <t>CA</t>
        </is>
      </c>
      <c r="G14" s="39" t="n"/>
      <c r="H14" s="39" t="inlineStr">
        <is>
          <t>N/A</t>
        </is>
      </c>
      <c r="I14" s="39" t="inlineStr">
        <is>
          <t>N/A (Market Rate)</t>
        </is>
      </c>
      <c r="J14" s="39" t="inlineStr">
        <is>
          <t>N/A (Market Rate)</t>
        </is>
      </c>
      <c r="K14" s="30" t="inlineStr">
        <is>
          <t>$1,500</t>
        </is>
      </c>
      <c r="L14" s="31" t="inlineStr">
        <is>
          <t>$1,650</t>
        </is>
      </c>
      <c r="M14" s="39" t="inlineStr">
        <is>
          <t>N/A (Market Rate)</t>
        </is>
      </c>
      <c r="N14" s="39" t="inlineStr">
        <is>
          <t>N/A (Market Rate)</t>
        </is>
      </c>
      <c r="O14" s="30" t="inlineStr">
        <is>
          <t>$1,970</t>
        </is>
      </c>
      <c r="P14" s="31" t="inlineStr">
        <is>
          <t>$2,050</t>
        </is>
      </c>
      <c r="Q14" s="39" t="inlineStr">
        <is>
          <t>N/A (Market Rate)</t>
        </is>
      </c>
      <c r="R14" s="39" t="inlineStr">
        <is>
          <t>N/A (Market Rate)</t>
        </is>
      </c>
      <c r="S14" s="30" t="inlineStr">
        <is>
          <t>$2,277</t>
        </is>
      </c>
      <c r="T14" s="31" t="inlineStr">
        <is>
          <t>Not Listed</t>
        </is>
      </c>
      <c r="U14" s="39" t="inlineStr">
        <is>
          <t>N/A (Market Rate)</t>
        </is>
      </c>
      <c r="V14" s="39" t="inlineStr">
        <is>
          <t>N/A (Market Rate)</t>
        </is>
      </c>
      <c r="W14" s="30" t="inlineStr">
        <is>
          <t>$2,619</t>
        </is>
      </c>
      <c r="X14" s="31" t="inlineStr">
        <is>
          <t>Not Listed</t>
        </is>
      </c>
      <c r="Y14" s="39" t="inlineStr">
        <is>
          <t>N/A</t>
        </is>
      </c>
      <c r="Z14" s="39" t="inlineStr">
        <is>
          <t>1993</t>
        </is>
      </c>
      <c r="AA14" s="39" t="inlineStr">
        <is>
          <t>2</t>
        </is>
      </c>
      <c r="AB14" s="39" t="inlineStr">
        <is>
          <t>Varies</t>
        </is>
      </c>
      <c r="AC14" s="39" t="inlineStr">
        <is>
          <t>Varies</t>
        </is>
      </c>
      <c r="AD14" s="39" t="inlineStr">
        <is>
          <t>Varies</t>
        </is>
      </c>
      <c r="AE14" s="39" t="inlineStr">
        <is>
          <t>Varies</t>
        </is>
      </c>
      <c r="AF14" s="39" t="inlineStr">
        <is>
          <t>Varies</t>
        </is>
      </c>
      <c r="AG14" s="41" t="inlineStr">
        <is>
          <t>HIGH</t>
        </is>
      </c>
      <c r="AH14" s="40" t="inlineStr">
        <is>
          <t>Market Rate Comp #4: No income restrictions, 1993 vintage (2 yr diff), N/A units, N/A from subject. Shows market-rate rents vs. affordable housing discount.</t>
        </is>
      </c>
      <c r="AI14" s="39" t="inlineStr">
        <is>
          <t>HUD FY2026 FMR - Tuolumne County, CA</t>
        </is>
      </c>
    </row>
    <row r="15" ht="54.75" customFormat="1" customHeight="1" s="3">
      <c r="A15" s="48" t="inlineStr">
        <is>
          <t>—</t>
        </is>
      </c>
      <c r="B15" s="48" t="inlineStr">
        <is>
          <t>BENCHMARK</t>
        </is>
      </c>
      <c r="C15" s="49" t="inlineStr">
        <is>
          <t>FY2026 FMR — Tuolumne County, CA</t>
        </is>
      </c>
      <c r="D15" s="48" t="inlineStr">
        <is>
          <t>N/A</t>
        </is>
      </c>
      <c r="E15" s="48" t="inlineStr">
        <is>
          <t>Sonora</t>
        </is>
      </c>
      <c r="F15" s="48" t="inlineStr">
        <is>
          <t>CA</t>
        </is>
      </c>
      <c r="G15" s="48" t="inlineStr">
        <is>
          <t>N/A</t>
        </is>
      </c>
      <c r="H15" s="48" t="inlineStr">
        <is>
          <t>N/A</t>
        </is>
      </c>
      <c r="I15" s="48" t="inlineStr">
        <is>
          <t>$1,500</t>
        </is>
      </c>
      <c r="J15" s="48" t="inlineStr">
        <is>
          <t>$1,500</t>
        </is>
      </c>
      <c r="K15" s="30" t="inlineStr">
        <is>
          <t>$1,500</t>
        </is>
      </c>
      <c r="L15" s="31" t="inlineStr">
        <is>
          <t>N/A</t>
        </is>
      </c>
      <c r="M15" s="48" t="inlineStr">
        <is>
          <t>$1,970</t>
        </is>
      </c>
      <c r="N15" s="48" t="inlineStr">
        <is>
          <t>$1,970</t>
        </is>
      </c>
      <c r="O15" s="30" t="inlineStr">
        <is>
          <t>$1,970</t>
        </is>
      </c>
      <c r="P15" s="31" t="inlineStr">
        <is>
          <t>N/A</t>
        </is>
      </c>
      <c r="Q15" s="48" t="inlineStr">
        <is>
          <t>$2,277</t>
        </is>
      </c>
      <c r="R15" s="48" t="inlineStr">
        <is>
          <t>$2,277</t>
        </is>
      </c>
      <c r="S15" s="30" t="inlineStr">
        <is>
          <t>$2,277</t>
        </is>
      </c>
      <c r="T15" s="31" t="inlineStr">
        <is>
          <t>N/A</t>
        </is>
      </c>
      <c r="U15" s="48" t="inlineStr">
        <is>
          <t>$2,619</t>
        </is>
      </c>
      <c r="V15" s="48" t="inlineStr">
        <is>
          <t>$2,619</t>
        </is>
      </c>
      <c r="W15" s="30" t="inlineStr">
        <is>
          <t>$2,619</t>
        </is>
      </c>
      <c r="X15" s="31" t="inlineStr">
        <is>
          <t>N/A</t>
        </is>
      </c>
      <c r="Y15" s="48" t="inlineStr">
        <is>
          <t>N/A</t>
        </is>
      </c>
      <c r="Z15" s="48" t="inlineStr">
        <is>
          <t>N/A</t>
        </is>
      </c>
      <c r="AA15" s="48" t="inlineStr">
        <is>
          <t>N/A</t>
        </is>
      </c>
      <c r="AB15" s="48" t="inlineStr">
        <is>
          <t>N/A</t>
        </is>
      </c>
      <c r="AC15" s="48" t="inlineStr">
        <is>
          <t>N/A</t>
        </is>
      </c>
      <c r="AD15" s="48" t="inlineStr">
        <is>
          <t>N/A</t>
        </is>
      </c>
      <c r="AE15" s="48" t="inlineStr">
        <is>
          <t>N/A</t>
        </is>
      </c>
      <c r="AF15" s="48" t="inlineStr">
        <is>
          <t>N/A</t>
        </is>
      </c>
      <c r="AG15" s="50" t="inlineStr">
        <is>
          <t>BENCHMARK</t>
        </is>
      </c>
      <c r="AH15" s="49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5" s="48" t="inlineStr">
        <is>
          <t>HUD FMR Database (huduser.gov)</t>
        </is>
      </c>
    </row>
    <row r="16" ht="54.75" customFormat="1" customHeight="1" s="3">
      <c r="A16" s="48" t="inlineStr">
        <is>
          <t>—</t>
        </is>
      </c>
      <c r="B16" s="48" t="inlineStr">
        <is>
          <t>BENCHMARK</t>
        </is>
      </c>
      <c r="C16" s="49" t="inlineStr">
        <is>
          <t>Metro Market Avg — Sonora</t>
        </is>
      </c>
      <c r="D16" s="48" t="inlineStr">
        <is>
          <t>N/A</t>
        </is>
      </c>
      <c r="E16" s="48" t="inlineStr">
        <is>
          <t>Sonora</t>
        </is>
      </c>
      <c r="F16" s="48" t="inlineStr">
        <is>
          <t>CA</t>
        </is>
      </c>
      <c r="G16" s="48" t="inlineStr">
        <is>
          <t>N/A</t>
        </is>
      </c>
      <c r="H16" s="48" t="inlineStr">
        <is>
          <t>N/A</t>
        </is>
      </c>
      <c r="I16" s="48" t="inlineStr">
        <is>
          <t>$1,650</t>
        </is>
      </c>
      <c r="J16" s="48" t="inlineStr">
        <is>
          <t>$1,650</t>
        </is>
      </c>
      <c r="K16" s="30" t="inlineStr">
        <is>
          <t>$1,650</t>
        </is>
      </c>
      <c r="L16" s="31" t="inlineStr">
        <is>
          <t>N/A</t>
        </is>
      </c>
      <c r="M16" s="48" t="inlineStr">
        <is>
          <t>$2,167</t>
        </is>
      </c>
      <c r="N16" s="48" t="inlineStr">
        <is>
          <t>$2,167</t>
        </is>
      </c>
      <c r="O16" s="30" t="inlineStr">
        <is>
          <t>$2,167</t>
        </is>
      </c>
      <c r="P16" s="31" t="inlineStr">
        <is>
          <t>N/A</t>
        </is>
      </c>
      <c r="Q16" s="48" t="inlineStr">
        <is>
          <t>$2,504</t>
        </is>
      </c>
      <c r="R16" s="48" t="inlineStr">
        <is>
          <t>$2,504</t>
        </is>
      </c>
      <c r="S16" s="30" t="inlineStr">
        <is>
          <t>$2,504</t>
        </is>
      </c>
      <c r="T16" s="31" t="inlineStr">
        <is>
          <t>N/A</t>
        </is>
      </c>
      <c r="U16" s="48" t="inlineStr">
        <is>
          <t>$2,880</t>
        </is>
      </c>
      <c r="V16" s="48" t="inlineStr">
        <is>
          <t>$2,880</t>
        </is>
      </c>
      <c r="W16" s="30" t="inlineStr">
        <is>
          <t>$2,880</t>
        </is>
      </c>
      <c r="X16" s="31" t="inlineStr">
        <is>
          <t>N/A</t>
        </is>
      </c>
      <c r="Y16" s="48" t="inlineStr">
        <is>
          <t>N/A</t>
        </is>
      </c>
      <c r="Z16" s="48" t="inlineStr">
        <is>
          <t>N/A</t>
        </is>
      </c>
      <c r="AA16" s="48" t="inlineStr">
        <is>
          <t>N/A</t>
        </is>
      </c>
      <c r="AB16" s="48" t="inlineStr">
        <is>
          <t>N/A</t>
        </is>
      </c>
      <c r="AC16" s="48" t="inlineStr">
        <is>
          <t>N/A</t>
        </is>
      </c>
      <c r="AD16" s="48" t="inlineStr">
        <is>
          <t>N/A</t>
        </is>
      </c>
      <c r="AE16" s="48" t="inlineStr">
        <is>
          <t>N/A</t>
        </is>
      </c>
      <c r="AF16" s="48" t="inlineStr">
        <is>
          <t>N/A</t>
        </is>
      </c>
      <c r="AG16" s="50" t="inlineStr">
        <is>
          <t>BENCHMARK</t>
        </is>
      </c>
      <c r="AH16" s="49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6" s="48" t="inlineStr">
        <is>
          <t>HUD FMR + Market Estimate</t>
        </is>
      </c>
    </row>
    <row r="17" ht="8.25" customFormat="1" customHeight="1" s="3"/>
    <row r="18" ht="27.75" customFormat="1" customHeight="1" s="3">
      <c r="A18" s="51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Height="1" s="95">
      <c r="A21" s="61" t="inlineStr">
        <is>
          <t>PMTS — Vouchers / FMR / UAP / NET FMR</t>
        </is>
      </c>
      <c r="B21" s="101" t="n"/>
      <c r="C21" s="101" t="n"/>
      <c r="D21" s="101" t="n"/>
      <c r="E21" s="101" t="n"/>
      <c r="F21" s="102" t="n"/>
    </row>
    <row r="22" ht="15" customHeight="1" s="95">
      <c r="A22" s="64" t="inlineStr">
        <is>
          <t>BD</t>
        </is>
      </c>
      <c r="B22" s="65" t="inlineStr">
        <is>
          <t>MKT</t>
        </is>
      </c>
      <c r="C22" s="66" t="inlineStr">
        <is>
          <t>VCH</t>
        </is>
      </c>
      <c r="D22" s="67" t="inlineStr">
        <is>
          <t>FMR</t>
        </is>
      </c>
      <c r="E22" s="68" t="inlineStr">
        <is>
          <t>UAP</t>
        </is>
      </c>
      <c r="F22" s="69" t="inlineStr">
        <is>
          <t>NET</t>
        </is>
      </c>
    </row>
    <row r="23" ht="15" customHeight="1" s="95">
      <c r="A23" s="70" t="inlineStr">
        <is>
          <t>2BD</t>
        </is>
      </c>
      <c r="B23" s="71" t="n">
        <v>0</v>
      </c>
      <c r="C23" s="71" t="n">
        <v>2486</v>
      </c>
      <c r="D23" s="71" t="n">
        <v>2370</v>
      </c>
      <c r="E23" s="72" t="n">
        <v>146</v>
      </c>
      <c r="F23" s="73" t="n">
        <v>2224</v>
      </c>
    </row>
    <row r="24" ht="15" customHeight="1" s="95">
      <c r="A24" s="74" t="inlineStr">
        <is>
          <t>3BD</t>
        </is>
      </c>
      <c r="B24" s="75" t="n">
        <v>0</v>
      </c>
      <c r="C24" s="75" t="n">
        <v>3465</v>
      </c>
      <c r="D24" s="75" t="n">
        <v>3210</v>
      </c>
      <c r="E24" s="72" t="n">
        <v>174</v>
      </c>
      <c r="F24" s="73" t="n">
        <v>3036</v>
      </c>
    </row>
    <row r="25" ht="15" customHeight="1" s="95">
      <c r="A25" s="70" t="inlineStr">
        <is>
          <t>4BD</t>
        </is>
      </c>
      <c r="B25" s="71" t="n">
        <v>0</v>
      </c>
      <c r="C25" s="71" t="n">
        <v>3982</v>
      </c>
      <c r="D25" s="71" t="n">
        <v>3710</v>
      </c>
      <c r="E25" s="72" t="n">
        <v>209</v>
      </c>
      <c r="F25" s="73" t="n">
        <v>3501</v>
      </c>
    </row>
    <row r="26" ht="15" customHeight="1" s="95">
      <c r="A26" s="74" t="inlineStr">
        <is>
          <t>5BD</t>
        </is>
      </c>
      <c r="B26" s="75" t="n">
        <v>0</v>
      </c>
      <c r="C26" s="75" t="n">
        <v>4579</v>
      </c>
      <c r="D26" s="75" t="n">
        <v>4267</v>
      </c>
      <c r="E26" s="72" t="n">
        <v>236</v>
      </c>
      <c r="F26" s="73" t="n">
        <v>4031</v>
      </c>
    </row>
    <row r="29" ht="15" customHeight="1" s="95">
      <c r="A29" s="61" t="inlineStr">
        <is>
          <t>LIHTC, UAP, NET</t>
        </is>
      </c>
      <c r="B29" s="101" t="n"/>
      <c r="C29" s="101" t="n"/>
      <c r="D29" s="101" t="n"/>
      <c r="E29" s="102" t="n"/>
    </row>
    <row r="30" ht="15" customHeight="1" s="95">
      <c r="A30" s="64" t="n"/>
      <c r="B30" s="65" t="inlineStr">
        <is>
          <t>LIHTC/MKT</t>
        </is>
      </c>
      <c r="C30" s="67" t="inlineStr">
        <is>
          <t>35%</t>
        </is>
      </c>
      <c r="D30" s="68" t="inlineStr">
        <is>
          <t>UAP</t>
        </is>
      </c>
      <c r="E30" s="69" t="inlineStr">
        <is>
          <t>NET</t>
        </is>
      </c>
    </row>
    <row r="31" ht="15" customHeight="1" s="95">
      <c r="A31" s="70" t="inlineStr">
        <is>
          <t>2BD</t>
        </is>
      </c>
      <c r="B31" s="71" t="n">
        <v>1013</v>
      </c>
      <c r="C31" s="71" t="n">
        <v>867</v>
      </c>
      <c r="D31" s="72" t="n">
        <v>146</v>
      </c>
      <c r="E31" s="73" t="n">
        <v>721</v>
      </c>
    </row>
    <row r="32" ht="15" customHeight="1" s="95">
      <c r="A32" s="74" t="inlineStr">
        <is>
          <t>3BD</t>
        </is>
      </c>
      <c r="B32" s="75" t="n">
        <v>1170</v>
      </c>
      <c r="C32" s="75" t="n">
        <v>996</v>
      </c>
      <c r="D32" s="72" t="n">
        <v>174</v>
      </c>
      <c r="E32" s="73" t="n">
        <v>822</v>
      </c>
    </row>
    <row r="33" ht="15" customHeight="1" s="95">
      <c r="A33" s="70" t="inlineStr">
        <is>
          <t>4BD</t>
        </is>
      </c>
      <c r="B33" s="71" t="n">
        <v>1305</v>
      </c>
      <c r="C33" s="71" t="n">
        <v>1096</v>
      </c>
      <c r="D33" s="72" t="n">
        <v>209</v>
      </c>
      <c r="E33" s="73" t="n">
        <v>887</v>
      </c>
    </row>
    <row r="34" ht="15" customHeight="1" s="95">
      <c r="A34" s="74" t="inlineStr">
        <is>
          <t>5BD</t>
        </is>
      </c>
      <c r="B34" s="75" t="n">
        <v>1440</v>
      </c>
      <c r="C34" s="75" t="n">
        <v>1204</v>
      </c>
      <c r="D34" s="72" t="n">
        <v>236</v>
      </c>
      <c r="E34" s="73" t="n">
        <v>968</v>
      </c>
    </row>
    <row r="35" ht="15" customHeight="1" s="95">
      <c r="A35" s="64" t="n"/>
      <c r="B35" s="65" t="inlineStr">
        <is>
          <t>LIHTC/MKT</t>
        </is>
      </c>
      <c r="C35" s="67" t="inlineStr">
        <is>
          <t>50%</t>
        </is>
      </c>
      <c r="D35" s="68" t="inlineStr">
        <is>
          <t>UAP</t>
        </is>
      </c>
      <c r="E35" s="69" t="inlineStr">
        <is>
          <t>NET</t>
        </is>
      </c>
    </row>
    <row r="36" ht="15" customHeight="1" s="95">
      <c r="A36" s="70" t="inlineStr">
        <is>
          <t>2BD</t>
        </is>
      </c>
      <c r="B36" s="71" t="n">
        <v>1447</v>
      </c>
      <c r="C36" s="71" t="n">
        <v>1301</v>
      </c>
      <c r="D36" s="72" t="n">
        <v>146</v>
      </c>
      <c r="E36" s="73" t="n">
        <v>1155</v>
      </c>
    </row>
    <row r="37" ht="15" customHeight="1" s="95">
      <c r="A37" s="74" t="inlineStr">
        <is>
          <t>3BD</t>
        </is>
      </c>
      <c r="B37" s="75" t="n">
        <v>1671</v>
      </c>
      <c r="C37" s="75" t="n">
        <v>1497</v>
      </c>
      <c r="D37" s="72" t="n">
        <v>174</v>
      </c>
      <c r="E37" s="73" t="n">
        <v>1323</v>
      </c>
    </row>
    <row r="38" ht="15" customHeight="1" s="95">
      <c r="A38" s="70" t="inlineStr">
        <is>
          <t>4BD</t>
        </is>
      </c>
      <c r="B38" s="71" t="n">
        <v>1865</v>
      </c>
      <c r="C38" s="71" t="n">
        <v>1656</v>
      </c>
      <c r="D38" s="72" t="n">
        <v>209</v>
      </c>
      <c r="E38" s="73" t="n">
        <v>1447</v>
      </c>
    </row>
    <row r="39" ht="15" customHeight="1" s="95">
      <c r="A39" s="74" t="inlineStr">
        <is>
          <t>5BD</t>
        </is>
      </c>
      <c r="B39" s="75" t="n">
        <v>2058</v>
      </c>
      <c r="C39" s="75" t="n">
        <v>1822</v>
      </c>
      <c r="D39" s="72" t="n">
        <v>236</v>
      </c>
      <c r="E39" s="73" t="n">
        <v>1586</v>
      </c>
    </row>
    <row r="40" ht="15" customHeight="1" s="95">
      <c r="A40" s="64" t="n"/>
      <c r="B40" s="65" t="inlineStr">
        <is>
          <t>LIHTC/MKT</t>
        </is>
      </c>
      <c r="C40" s="67" t="inlineStr">
        <is>
          <t>55%</t>
        </is>
      </c>
      <c r="D40" s="68" t="inlineStr">
        <is>
          <t>UAP</t>
        </is>
      </c>
      <c r="E40" s="69" t="inlineStr">
        <is>
          <t>NET</t>
        </is>
      </c>
    </row>
    <row r="41" ht="15" customHeight="1" s="95">
      <c r="A41" s="70" t="inlineStr">
        <is>
          <t>3BD</t>
        </is>
      </c>
      <c r="B41" s="71" t="n">
        <v>1839</v>
      </c>
      <c r="C41" s="71" t="n">
        <v>1665</v>
      </c>
      <c r="D41" s="72" t="n">
        <v>174</v>
      </c>
      <c r="E41" s="73" t="n">
        <v>1491</v>
      </c>
    </row>
    <row r="42" ht="15" customHeight="1" s="95">
      <c r="A42" s="74" t="inlineStr">
        <is>
          <t>4BD</t>
        </is>
      </c>
      <c r="B42" s="75" t="n">
        <v>2051</v>
      </c>
      <c r="C42" s="75" t="n">
        <v>1842</v>
      </c>
      <c r="D42" s="72" t="n">
        <v>209</v>
      </c>
      <c r="E42" s="73" t="n">
        <v>1633</v>
      </c>
    </row>
    <row r="43" ht="15" customHeight="1" s="95">
      <c r="A43" s="70" t="inlineStr">
        <is>
          <t>5BD</t>
        </is>
      </c>
      <c r="B43" s="71" t="n">
        <v>2263</v>
      </c>
      <c r="C43" s="71" t="n">
        <v>2227</v>
      </c>
      <c r="D43" s="72" t="n">
        <v>236</v>
      </c>
      <c r="E43" s="73" t="n">
        <v>1991</v>
      </c>
    </row>
    <row r="46" ht="15" customHeight="1" s="95">
      <c r="A46" s="61" t="inlineStr">
        <is>
          <t>HAP, CoStar, NET</t>
        </is>
      </c>
      <c r="B46" s="101" t="n"/>
      <c r="C46" s="102" t="n"/>
    </row>
    <row r="47" ht="15" customHeight="1" s="95">
      <c r="A47" s="64" t="n"/>
      <c r="B47" s="68" t="inlineStr">
        <is>
          <t>HAP</t>
        </is>
      </c>
      <c r="C47" s="65" t="inlineStr">
        <is>
          <t>CoStar</t>
        </is>
      </c>
    </row>
    <row r="48" ht="15" customHeight="1" s="95">
      <c r="A48" s="70" t="inlineStr">
        <is>
          <t>2BD</t>
        </is>
      </c>
      <c r="B48" s="103" t="n">
        <v>0</v>
      </c>
      <c r="C48" s="104" t="n">
        <v>2087</v>
      </c>
    </row>
    <row r="49" ht="15" customHeight="1" s="95">
      <c r="A49" s="74" t="inlineStr">
        <is>
          <t>3BD</t>
        </is>
      </c>
      <c r="B49" s="103" t="n">
        <v>0</v>
      </c>
      <c r="C49" s="104" t="n">
        <v>2427</v>
      </c>
    </row>
    <row r="50" ht="15" customHeight="1" s="95">
      <c r="A50" s="70" t="inlineStr">
        <is>
          <t>4BD</t>
        </is>
      </c>
      <c r="B50" s="103" t="n">
        <v>0</v>
      </c>
      <c r="C50" s="104" t="n">
        <v>2335</v>
      </c>
    </row>
    <row r="51" ht="15" customHeight="1" s="95">
      <c r="A51" s="74" t="inlineStr">
        <is>
          <t>5BD</t>
        </is>
      </c>
      <c r="B51" s="103" t="n">
        <v>0</v>
      </c>
      <c r="C51" s="104" t="n">
        <v>2601</v>
      </c>
    </row>
  </sheetData>
  <mergeCells count="7">
    <mergeCell ref="A2:AI2"/>
    <mergeCell ref="A29:E29"/>
    <mergeCell ref="A46:C46"/>
    <mergeCell ref="A18:AI18"/>
    <mergeCell ref="A3:AI3"/>
    <mergeCell ref="A4:AI4"/>
    <mergeCell ref="A21:F21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I42"/>
  <sheetViews>
    <sheetView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8.00390625" customWidth="1" style="3" min="1" max="1"/>
    <col width="14.00390625" customWidth="1" style="3" min="2" max="2"/>
    <col width="28.00390625" customWidth="1" style="3" min="3" max="3"/>
    <col width="22.00390625" customWidth="1" style="3" min="4" max="4"/>
    <col width="16.00390625" customWidth="1" style="3" min="5" max="5"/>
    <col width="10.00390625" customWidth="1" style="3" min="6" max="6"/>
    <col width="8.00390625" customWidth="1" style="3" min="7" max="7"/>
    <col width="11.00390625" customWidth="1" style="3" min="8" max="8"/>
    <col width="10.00390625" customWidth="1" style="3" min="9" max="11"/>
    <col width="12.00390625" customWidth="1" style="3" min="12" max="12"/>
    <col width="10.00390625" customWidth="1" style="3" min="13" max="15"/>
    <col width="12.00390625" customWidth="1" style="3" min="16" max="16"/>
    <col width="10.00390625" customWidth="1" style="3" min="17" max="19"/>
    <col width="12.00390625" customWidth="1" style="3" min="20" max="20"/>
    <col width="10.00390625" customWidth="1" style="3" min="21" max="23"/>
    <col width="12.00390625" customWidth="1" style="3" min="24" max="24"/>
    <col width="8.00390625" customWidth="1" style="3" min="25" max="25"/>
    <col width="10.00390625" customWidth="1" style="3" min="26" max="26"/>
    <col width="7.00390625" customWidth="1" style="3" min="27" max="27"/>
    <col width="12.00390625" customWidth="1" style="3" min="28" max="29"/>
    <col width="8.00390625" customWidth="1" style="3" min="30" max="31"/>
    <col width="10.00390625" customWidth="1" style="3" min="32" max="32"/>
    <col width="16.00390625" customWidth="1" style="3" min="33" max="33"/>
    <col width="45.00390625" customWidth="1" style="3" min="34" max="34"/>
    <col width="28.00390625" customWidth="1" style="3" min="35" max="35"/>
  </cols>
  <sheetData>
    <row r="1" ht="15" customHeight="1" s="95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</row>
    <row r="2" ht="24" customFormat="1" customHeight="1" s="3">
      <c r="A2" s="17" t="inlineStr">
        <is>
          <t>COMPETITIVE RENT ANALYSIS — SILVER SPRINGS TERRACE | GREEN = Affordable Comps | BLUE = Market Rate Comps</t>
        </is>
      </c>
    </row>
    <row r="3" ht="20.25" customFormat="1" customHeight="1" s="3">
      <c r="A3" s="18" t="inlineStr">
        <is>
          <t>SUBJECT: Silver Springs Terrace | 950 NE 20th Street, Hickory, NC 28601 | 100 units | Program: Layered HUD/LIHTC | Bedroom Mix: 1BR / 2BR / 3BR / 4BR | County AMI: $77,600 | FMR Area: Hickory-Lenoir-Morganton MSA</t>
        </is>
      </c>
    </row>
    <row r="4" ht="90" customFormat="1" customHeight="1" s="3">
      <c r="A4" s="19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5" ht="30" customFormat="1" customHeight="1" s="3">
      <c r="A5" s="20" t="inlineStr">
        <is>
          <t>Rank</t>
        </is>
      </c>
      <c r="B5" s="20" t="inlineStr">
        <is>
          <t>Type</t>
        </is>
      </c>
      <c r="C5" s="20" t="inlineStr">
        <is>
          <t>Property Name</t>
        </is>
      </c>
      <c r="D5" s="20" t="inlineStr">
        <is>
          <t>Address</t>
        </is>
      </c>
      <c r="E5" s="20" t="inlineStr">
        <is>
          <t>City</t>
        </is>
      </c>
      <c r="F5" s="20" t="inlineStr">
        <is>
          <t>State</t>
        </is>
      </c>
      <c r="G5" s="20" t="inlineStr">
        <is>
          <t>ZIP</t>
        </is>
      </c>
      <c r="H5" s="20" t="inlineStr">
        <is>
          <t>Distance (mi)</t>
        </is>
      </c>
      <c r="I5" s="20" t="inlineStr">
        <is>
          <t>1BR Low ($)</t>
        </is>
      </c>
      <c r="J5" s="20" t="inlineStr">
        <is>
          <t>1BR Mid ($)</t>
        </is>
      </c>
      <c r="K5" s="21" t="inlineStr">
        <is>
          <t>1BR FMR ($)</t>
        </is>
      </c>
      <c r="L5" s="22" t="inlineStr">
        <is>
          <t>1BR Actual ($)</t>
        </is>
      </c>
      <c r="M5" s="20" t="inlineStr">
        <is>
          <t>2BR Low ($)</t>
        </is>
      </c>
      <c r="N5" s="20" t="inlineStr">
        <is>
          <t>2BR Mid ($)</t>
        </is>
      </c>
      <c r="O5" s="21" t="inlineStr">
        <is>
          <t>2BR FMR ($)</t>
        </is>
      </c>
      <c r="P5" s="22" t="inlineStr">
        <is>
          <t>2BR Actual ($)</t>
        </is>
      </c>
      <c r="Q5" s="20" t="inlineStr">
        <is>
          <t>3BR Low ($)</t>
        </is>
      </c>
      <c r="R5" s="20" t="inlineStr">
        <is>
          <t>3BR Mid ($)</t>
        </is>
      </c>
      <c r="S5" s="21" t="inlineStr">
        <is>
          <t>3BR FMR ($)</t>
        </is>
      </c>
      <c r="T5" s="22" t="inlineStr">
        <is>
          <t>3BR Actual ($)</t>
        </is>
      </c>
      <c r="U5" s="20" t="inlineStr">
        <is>
          <t>4BR Low ($)</t>
        </is>
      </c>
      <c r="V5" s="20" t="inlineStr">
        <is>
          <t>4BR Mid ($)</t>
        </is>
      </c>
      <c r="W5" s="21" t="inlineStr">
        <is>
          <t>4BR FMR ($)</t>
        </is>
      </c>
      <c r="X5" s="22" t="inlineStr">
        <is>
          <t>4BR Actual ($)</t>
        </is>
      </c>
      <c r="Y5" s="20" t="inlineStr">
        <is>
          <t># Units</t>
        </is>
      </c>
      <c r="Z5" s="20" t="inlineStr">
        <is>
          <t>Year Built</t>
        </is>
      </c>
      <c r="AA5" s="20" t="inlineStr">
        <is>
          <t>Yr Diff</t>
        </is>
      </c>
      <c r="AB5" s="20" t="inlineStr">
        <is>
          <t>Utilities Incl.</t>
        </is>
      </c>
      <c r="AC5" s="20" t="inlineStr">
        <is>
          <t>Pet Friendly</t>
        </is>
      </c>
      <c r="AD5" s="20" t="inlineStr">
        <is>
          <t>Gated</t>
        </is>
      </c>
      <c r="AE5" s="20" t="inlineStr">
        <is>
          <t>Pool</t>
        </is>
      </c>
      <c r="AF5" s="20" t="inlineStr">
        <is>
          <t>W/D In-Unit</t>
        </is>
      </c>
      <c r="AG5" s="20" t="inlineStr">
        <is>
          <t>Competition Level</t>
        </is>
      </c>
      <c r="AH5" s="20" t="inlineStr">
        <is>
          <t>Why Competitive</t>
        </is>
      </c>
      <c r="AI5" s="20" t="inlineStr">
        <is>
          <t>Data Source</t>
        </is>
      </c>
    </row>
    <row r="6" ht="54.75" customFormat="1" customHeight="1" s="3">
      <c r="A6" s="23" t="inlineStr">
        <is>
          <t>—</t>
        </is>
      </c>
      <c r="B6" s="23" t="inlineStr">
        <is>
          <t>SUBJECT</t>
        </is>
      </c>
      <c r="C6" s="24" t="inlineStr">
        <is>
          <t>Silver Springs Terrace (SUBJECT)</t>
        </is>
      </c>
      <c r="D6" s="23" t="inlineStr">
        <is>
          <t>950 NE 20th Street</t>
        </is>
      </c>
      <c r="E6" s="23" t="inlineStr">
        <is>
          <t>Hickory</t>
        </is>
      </c>
      <c r="F6" s="23" t="inlineStr">
        <is>
          <t>NC</t>
        </is>
      </c>
      <c r="G6" s="23" t="inlineStr">
        <is>
          <t>28601</t>
        </is>
      </c>
      <c r="H6" s="23" t="inlineStr">
        <is>
          <t>0.0 mi</t>
        </is>
      </c>
      <c r="I6" s="23" t="inlineStr">
        <is>
          <t>$2,426</t>
        </is>
      </c>
      <c r="J6" s="23" t="inlineStr">
        <is>
          <t>$2,912</t>
        </is>
      </c>
      <c r="K6" s="25" t="inlineStr">
        <is>
          <t>$663</t>
        </is>
      </c>
      <c r="L6" s="26" t="inlineStr">
        <is>
          <t>N/A</t>
        </is>
      </c>
      <c r="M6" s="23" t="inlineStr">
        <is>
          <t>$2,912</t>
        </is>
      </c>
      <c r="N6" s="23" t="inlineStr">
        <is>
          <t>$3,495</t>
        </is>
      </c>
      <c r="O6" s="25" t="inlineStr">
        <is>
          <t>$908</t>
        </is>
      </c>
      <c r="P6" s="26" t="inlineStr">
        <is>
          <t>N/A</t>
        </is>
      </c>
      <c r="Q6" s="23" t="inlineStr">
        <is>
          <t>$3,233</t>
        </is>
      </c>
      <c r="R6" s="23" t="inlineStr">
        <is>
          <t>$3,880</t>
        </is>
      </c>
      <c r="S6" s="25" t="inlineStr">
        <is>
          <t>$1,372</t>
        </is>
      </c>
      <c r="T6" s="26" t="inlineStr">
        <is>
          <t>N/A</t>
        </is>
      </c>
      <c r="U6" s="23" t="inlineStr">
        <is>
          <t>$3,495</t>
        </is>
      </c>
      <c r="V6" s="23" t="inlineStr">
        <is>
          <t>$4,195</t>
        </is>
      </c>
      <c r="W6" s="25" t="inlineStr">
        <is>
          <t>$1,586</t>
        </is>
      </c>
      <c r="X6" s="26" t="inlineStr">
        <is>
          <t>N/A</t>
        </is>
      </c>
      <c r="Y6" s="23" t="inlineStr">
        <is>
          <t>100</t>
        </is>
      </c>
      <c r="Z6" s="23" t="inlineStr">
        <is>
          <t>1971</t>
        </is>
      </c>
      <c r="AA6" s="23" t="inlineStr">
        <is>
          <t>0</t>
        </is>
      </c>
      <c r="AB6" s="23" t="inlineStr">
        <is>
          <t>Yes</t>
        </is>
      </c>
      <c r="AC6" s="23" t="inlineStr">
        <is>
          <t>No</t>
        </is>
      </c>
      <c r="AD6" s="23" t="inlineStr">
        <is>
          <t>No</t>
        </is>
      </c>
      <c r="AE6" s="23" t="inlineStr">
        <is>
          <t>No</t>
        </is>
      </c>
      <c r="AF6" s="23" t="inlineStr">
        <is>
          <t>No</t>
        </is>
      </c>
      <c r="AG6" s="27" t="inlineStr">
        <is>
          <t>SUBJECT</t>
        </is>
      </c>
      <c r="AH6" s="24" t="inlineStr">
        <is>
          <t>100 units | Layered HUD/LIHTC property. Year built: 1971. Subject property for market context.</t>
        </is>
      </c>
      <c r="AI6" s="23" t="inlineStr">
        <is>
          <t>Apartment Corp Records</t>
        </is>
      </c>
    </row>
    <row r="7" ht="54.75" customFormat="1" customHeight="1" s="3">
      <c r="A7" s="28" t="inlineStr">
        <is>
          <t>1</t>
        </is>
      </c>
      <c r="B7" s="28" t="inlineStr">
        <is>
          <t>AFFORDABLE</t>
        </is>
      </c>
      <c r="C7" s="29" t="inlineStr">
        <is>
          <t>Catawba Valley Homes</t>
        </is>
      </c>
      <c r="D7" s="28" t="inlineStr">
        <is>
          <t>1200 9th Ave Dr NW</t>
        </is>
      </c>
      <c r="E7" s="28" t="inlineStr">
        <is>
          <t>Hickory</t>
        </is>
      </c>
      <c r="F7" s="28" t="inlineStr">
        <is>
          <t>NC</t>
        </is>
      </c>
      <c r="G7" s="28" t="inlineStr">
        <is>
          <t>28601</t>
        </is>
      </c>
      <c r="H7" s="28" t="inlineStr">
        <is>
          <t>2.5 mi</t>
        </is>
      </c>
      <c r="I7" s="28" t="inlineStr">
        <is>
          <t>$2,426</t>
        </is>
      </c>
      <c r="J7" s="28" t="inlineStr">
        <is>
          <t>$2,912</t>
        </is>
      </c>
      <c r="K7" s="30" t="inlineStr">
        <is>
          <t>$663</t>
        </is>
      </c>
      <c r="L7" s="31" t="inlineStr">
        <is>
          <t>Not Listed</t>
        </is>
      </c>
      <c r="M7" s="28" t="inlineStr">
        <is>
          <t>$2,912</t>
        </is>
      </c>
      <c r="N7" s="28" t="inlineStr">
        <is>
          <t>$3,495</t>
        </is>
      </c>
      <c r="O7" s="30" t="inlineStr">
        <is>
          <t>$908</t>
        </is>
      </c>
      <c r="P7" s="31" t="inlineStr">
        <is>
          <t>Not Listed</t>
        </is>
      </c>
      <c r="Q7" s="28" t="inlineStr">
        <is>
          <t>$3,233</t>
        </is>
      </c>
      <c r="R7" s="28" t="inlineStr">
        <is>
          <t>$3,880</t>
        </is>
      </c>
      <c r="S7" s="30" t="inlineStr">
        <is>
          <t>$1,372</t>
        </is>
      </c>
      <c r="T7" s="31" t="inlineStr">
        <is>
          <t>Not Listed</t>
        </is>
      </c>
      <c r="U7" s="28" t="inlineStr">
        <is>
          <t>$3,495</t>
        </is>
      </c>
      <c r="V7" s="28" t="inlineStr">
        <is>
          <t>$4,195</t>
        </is>
      </c>
      <c r="W7" s="30" t="inlineStr">
        <is>
          <t>$1,586</t>
        </is>
      </c>
      <c r="X7" s="31" t="inlineStr">
        <is>
          <t>Not Listed</t>
        </is>
      </c>
      <c r="Y7" s="28" t="inlineStr">
        <is>
          <t>96</t>
        </is>
      </c>
      <c r="Z7" s="28" t="inlineStr">
        <is>
          <t>1972</t>
        </is>
      </c>
      <c r="AA7" s="28" t="inlineStr">
        <is>
          <t>1</t>
        </is>
      </c>
      <c r="AB7" s="28" t="inlineStr">
        <is>
          <t>Yes</t>
        </is>
      </c>
      <c r="AC7" s="28" t="inlineStr">
        <is>
          <t>No</t>
        </is>
      </c>
      <c r="AD7" s="28" t="inlineStr">
        <is>
          <t>No</t>
        </is>
      </c>
      <c r="AE7" s="28" t="inlineStr">
        <is>
          <t>No</t>
        </is>
      </c>
      <c r="AF7" s="28" t="inlineStr">
        <is>
          <t>No</t>
        </is>
      </c>
      <c r="AG7" s="32" t="inlineStr">
        <is>
          <t>HIGH</t>
        </is>
      </c>
      <c r="AH7" s="29" t="inlineStr">
        <is>
          <t>Affordable Comp #1: Section 8/HUD property, 1972 vintage (1 yr diff), 96 units, 2.5 mi from subject. Same income-eligible renter pool.</t>
        </is>
      </c>
      <c r="AI7" s="28" t="inlineStr">
        <is>
          <t>HUD Multifamily Assisted Housing</t>
        </is>
      </c>
    </row>
    <row r="8" ht="54.75" customFormat="1" customHeight="1" s="3">
      <c r="A8" s="33" t="inlineStr">
        <is>
          <t>2</t>
        </is>
      </c>
      <c r="B8" s="33" t="inlineStr">
        <is>
          <t>AFFORDABLE</t>
        </is>
      </c>
      <c r="C8" s="34" t="inlineStr">
        <is>
          <t>Lenoir Housing Authority - Granite Falls Homes</t>
        </is>
      </c>
      <c r="D8" s="33" t="inlineStr">
        <is>
          <t>300 Pennton Ave SW</t>
        </is>
      </c>
      <c r="E8" s="33" t="inlineStr">
        <is>
          <t>Lenoir</t>
        </is>
      </c>
      <c r="F8" s="33" t="inlineStr">
        <is>
          <t>NC</t>
        </is>
      </c>
      <c r="G8" s="33" t="inlineStr">
        <is>
          <t>28645</t>
        </is>
      </c>
      <c r="H8" s="33" t="inlineStr">
        <is>
          <t>22.0 mi</t>
        </is>
      </c>
      <c r="I8" s="33" t="inlineStr">
        <is>
          <t>$2,426</t>
        </is>
      </c>
      <c r="J8" s="33" t="inlineStr">
        <is>
          <t>$2,912</t>
        </is>
      </c>
      <c r="K8" s="30" t="inlineStr">
        <is>
          <t>$663</t>
        </is>
      </c>
      <c r="L8" s="31" t="inlineStr">
        <is>
          <t>Not Listed</t>
        </is>
      </c>
      <c r="M8" s="33" t="inlineStr">
        <is>
          <t>$2,912</t>
        </is>
      </c>
      <c r="N8" s="33" t="inlineStr">
        <is>
          <t>$3,495</t>
        </is>
      </c>
      <c r="O8" s="30" t="inlineStr">
        <is>
          <t>$908</t>
        </is>
      </c>
      <c r="P8" s="31" t="inlineStr">
        <is>
          <t>Not Listed</t>
        </is>
      </c>
      <c r="Q8" s="33" t="inlineStr">
        <is>
          <t>$3,233</t>
        </is>
      </c>
      <c r="R8" s="33" t="inlineStr">
        <is>
          <t>$3,880</t>
        </is>
      </c>
      <c r="S8" s="30" t="inlineStr">
        <is>
          <t>$1,372</t>
        </is>
      </c>
      <c r="T8" s="31" t="inlineStr">
        <is>
          <t>Not Listed</t>
        </is>
      </c>
      <c r="U8" s="33" t="inlineStr">
        <is>
          <t>$3,495</t>
        </is>
      </c>
      <c r="V8" s="33" t="inlineStr">
        <is>
          <t>$4,195</t>
        </is>
      </c>
      <c r="W8" s="30" t="inlineStr">
        <is>
          <t>$1,586</t>
        </is>
      </c>
      <c r="X8" s="31" t="inlineStr">
        <is>
          <t>Not Listed</t>
        </is>
      </c>
      <c r="Y8" s="33" t="inlineStr">
        <is>
          <t>100</t>
        </is>
      </c>
      <c r="Z8" s="33" t="inlineStr">
        <is>
          <t>1970</t>
        </is>
      </c>
      <c r="AA8" s="33" t="inlineStr">
        <is>
          <t>1</t>
        </is>
      </c>
      <c r="AB8" s="33" t="inlineStr">
        <is>
          <t>Yes</t>
        </is>
      </c>
      <c r="AC8" s="33" t="inlineStr">
        <is>
          <t>No</t>
        </is>
      </c>
      <c r="AD8" s="33" t="inlineStr">
        <is>
          <t>No</t>
        </is>
      </c>
      <c r="AE8" s="33" t="inlineStr">
        <is>
          <t>No</t>
        </is>
      </c>
      <c r="AF8" s="33" t="inlineStr">
        <is>
          <t>No</t>
        </is>
      </c>
      <c r="AG8" s="93" t="inlineStr">
        <is>
          <t>MODERATE-HIGH</t>
        </is>
      </c>
      <c r="AH8" s="34" t="inlineStr">
        <is>
          <t>Affordable Comp #2: Public Housing/HUD property, 1970 vintage (1 yr diff), 100 units, 22.0 mi from subject. Same income-eligible renter pool.</t>
        </is>
      </c>
      <c r="AI8" s="33" t="inlineStr">
        <is>
          <t>Lenoir Housing Authority</t>
        </is>
      </c>
    </row>
    <row r="9" ht="54.75" customFormat="1" customHeight="1" s="3">
      <c r="A9" s="36" t="inlineStr">
        <is>
          <t>3</t>
        </is>
      </c>
      <c r="B9" s="36" t="inlineStr">
        <is>
          <t>AFFORDABLE</t>
        </is>
      </c>
      <c r="C9" s="37" t="inlineStr">
        <is>
          <t>Statesville Manor Apartments</t>
        </is>
      </c>
      <c r="D9" s="36" t="inlineStr">
        <is>
          <t>500 Davie Ave</t>
        </is>
      </c>
      <c r="E9" s="36" t="inlineStr">
        <is>
          <t>Statesville</t>
        </is>
      </c>
      <c r="F9" s="36" t="inlineStr">
        <is>
          <t>NC</t>
        </is>
      </c>
      <c r="G9" s="36" t="inlineStr">
        <is>
          <t>28677</t>
        </is>
      </c>
      <c r="H9" s="36" t="inlineStr">
        <is>
          <t>28.0 mi</t>
        </is>
      </c>
      <c r="I9" s="36" t="inlineStr">
        <is>
          <t>$2,426</t>
        </is>
      </c>
      <c r="J9" s="36" t="inlineStr">
        <is>
          <t>$2,912</t>
        </is>
      </c>
      <c r="K9" s="30" t="inlineStr">
        <is>
          <t>$663</t>
        </is>
      </c>
      <c r="L9" s="31" t="inlineStr">
        <is>
          <t>Not Listed</t>
        </is>
      </c>
      <c r="M9" s="36" t="inlineStr">
        <is>
          <t>$2,912</t>
        </is>
      </c>
      <c r="N9" s="36" t="inlineStr">
        <is>
          <t>$3,495</t>
        </is>
      </c>
      <c r="O9" s="30" t="inlineStr">
        <is>
          <t>$908</t>
        </is>
      </c>
      <c r="P9" s="31" t="inlineStr">
        <is>
          <t>Not Listed</t>
        </is>
      </c>
      <c r="Q9" s="36" t="inlineStr">
        <is>
          <t>$3,233</t>
        </is>
      </c>
      <c r="R9" s="36" t="inlineStr">
        <is>
          <t>$3,880</t>
        </is>
      </c>
      <c r="S9" s="30" t="inlineStr">
        <is>
          <t>$1,372</t>
        </is>
      </c>
      <c r="T9" s="31" t="inlineStr">
        <is>
          <t>Not Listed</t>
        </is>
      </c>
      <c r="U9" s="36" t="inlineStr">
        <is>
          <t>$3,495</t>
        </is>
      </c>
      <c r="V9" s="36" t="inlineStr">
        <is>
          <t>$4,195</t>
        </is>
      </c>
      <c r="W9" s="30" t="inlineStr">
        <is>
          <t>$1,586</t>
        </is>
      </c>
      <c r="X9" s="31" t="inlineStr">
        <is>
          <t>Not Listed</t>
        </is>
      </c>
      <c r="Y9" s="36" t="inlineStr">
        <is>
          <t>108</t>
        </is>
      </c>
      <c r="Z9" s="36" t="inlineStr">
        <is>
          <t>1973</t>
        </is>
      </c>
      <c r="AA9" s="36" t="inlineStr">
        <is>
          <t>2</t>
        </is>
      </c>
      <c r="AB9" s="36" t="inlineStr">
        <is>
          <t>Yes</t>
        </is>
      </c>
      <c r="AC9" s="36" t="inlineStr">
        <is>
          <t>No</t>
        </is>
      </c>
      <c r="AD9" s="36" t="inlineStr">
        <is>
          <t>No</t>
        </is>
      </c>
      <c r="AE9" s="36" t="inlineStr">
        <is>
          <t>No</t>
        </is>
      </c>
      <c r="AF9" s="36" t="inlineStr">
        <is>
          <t>No</t>
        </is>
      </c>
      <c r="AG9" s="38" t="inlineStr">
        <is>
          <t>MODERATE-HIGH</t>
        </is>
      </c>
      <c r="AH9" s="37" t="inlineStr">
        <is>
          <t>Affordable Comp #3: Section 8/HUD property, 1973 vintage (2 yr diff), 108 units, 28.0 mi from subject. Same income-eligible renter pool.</t>
        </is>
      </c>
      <c r="AI9" s="36" t="inlineStr">
        <is>
          <t>HUD Multifamily Assisted Housing</t>
        </is>
      </c>
    </row>
    <row r="10" ht="54.75" customFormat="1" customHeight="1" s="3">
      <c r="A10" s="28" t="inlineStr">
        <is>
          <t>4</t>
        </is>
      </c>
      <c r="B10" s="28" t="inlineStr">
        <is>
          <t>AFFORDABLE</t>
        </is>
      </c>
      <c r="C10" s="29" t="inlineStr">
        <is>
          <t>Hickory Housing Authority - Ridgeview Homes</t>
        </is>
      </c>
      <c r="D10" s="28" t="inlineStr">
        <is>
          <t>400 Ridgeview Rd NE</t>
        </is>
      </c>
      <c r="E10" s="28" t="inlineStr">
        <is>
          <t>Hickory</t>
        </is>
      </c>
      <c r="F10" s="28" t="inlineStr">
        <is>
          <t>NC</t>
        </is>
      </c>
      <c r="G10" s="28" t="inlineStr">
        <is>
          <t>28601</t>
        </is>
      </c>
      <c r="H10" s="28" t="inlineStr">
        <is>
          <t>1.8 mi</t>
        </is>
      </c>
      <c r="I10" s="28" t="inlineStr">
        <is>
          <t>$2,426</t>
        </is>
      </c>
      <c r="J10" s="28" t="inlineStr">
        <is>
          <t>$2,912</t>
        </is>
      </c>
      <c r="K10" s="30" t="inlineStr">
        <is>
          <t>$663</t>
        </is>
      </c>
      <c r="L10" s="31" t="inlineStr">
        <is>
          <t>Not Listed</t>
        </is>
      </c>
      <c r="M10" s="28" t="inlineStr">
        <is>
          <t>$2,912</t>
        </is>
      </c>
      <c r="N10" s="28" t="inlineStr">
        <is>
          <t>$3,495</t>
        </is>
      </c>
      <c r="O10" s="30" t="inlineStr">
        <is>
          <t>$908</t>
        </is>
      </c>
      <c r="P10" s="31" t="inlineStr">
        <is>
          <t>Not Listed</t>
        </is>
      </c>
      <c r="Q10" s="28" t="inlineStr">
        <is>
          <t>$3,233</t>
        </is>
      </c>
      <c r="R10" s="28" t="inlineStr">
        <is>
          <t>$3,880</t>
        </is>
      </c>
      <c r="S10" s="30" t="inlineStr">
        <is>
          <t>$1,372</t>
        </is>
      </c>
      <c r="T10" s="31" t="inlineStr">
        <is>
          <t>Not Listed</t>
        </is>
      </c>
      <c r="U10" s="28" t="inlineStr">
        <is>
          <t>$3,495</t>
        </is>
      </c>
      <c r="V10" s="28" t="inlineStr">
        <is>
          <t>$4,195</t>
        </is>
      </c>
      <c r="W10" s="30" t="inlineStr">
        <is>
          <t>$1,586</t>
        </is>
      </c>
      <c r="X10" s="31" t="inlineStr">
        <is>
          <t>Not Listed</t>
        </is>
      </c>
      <c r="Y10" s="28" t="inlineStr">
        <is>
          <t>96</t>
        </is>
      </c>
      <c r="Z10" s="28" t="inlineStr">
        <is>
          <t>1970</t>
        </is>
      </c>
      <c r="AA10" s="28" t="inlineStr">
        <is>
          <t>1</t>
        </is>
      </c>
      <c r="AB10" s="28" t="inlineStr">
        <is>
          <t>Yes</t>
        </is>
      </c>
      <c r="AC10" s="28" t="inlineStr">
        <is>
          <t>No</t>
        </is>
      </c>
      <c r="AD10" s="28" t="inlineStr">
        <is>
          <t>No</t>
        </is>
      </c>
      <c r="AE10" s="28" t="inlineStr">
        <is>
          <t>No</t>
        </is>
      </c>
      <c r="AF10" s="28" t="inlineStr">
        <is>
          <t>No</t>
        </is>
      </c>
      <c r="AG10" s="32" t="inlineStr">
        <is>
          <t>HIGH</t>
        </is>
      </c>
      <c r="AH10" s="29" t="inlineStr">
        <is>
          <t>Affordable Comp #4: Public Housing/HUD property, 1970 vintage (1 yr diff), 96 units, 1.8 mi from subject. Same income-eligible renter pool.</t>
        </is>
      </c>
      <c r="AI10" s="28" t="inlineStr">
        <is>
          <t>Hickory Housing Authority</t>
        </is>
      </c>
    </row>
    <row r="11" ht="54.75" customFormat="1" customHeight="1" s="3">
      <c r="A11" s="39" t="inlineStr">
        <is>
          <t>1</t>
        </is>
      </c>
      <c r="B11" s="39" t="inlineStr">
        <is>
          <t>MARKET RATE</t>
        </is>
      </c>
      <c r="C11" s="40" t="inlineStr">
        <is>
          <t>Hickory Market Rate (FMR Benchmark)</t>
        </is>
      </c>
      <c r="D11" s="39" t="inlineStr">
        <is>
          <t>Hickory, NC area</t>
        </is>
      </c>
      <c r="E11" s="39" t="inlineStr">
        <is>
          <t>NC area</t>
        </is>
      </c>
      <c r="F11" s="39" t="inlineStr">
        <is>
          <t>NC</t>
        </is>
      </c>
      <c r="G11" s="39" t="n"/>
      <c r="H11" s="39" t="inlineStr">
        <is>
          <t>N/A</t>
        </is>
      </c>
      <c r="I11" s="39" t="inlineStr">
        <is>
          <t>N/A (Market Rate)</t>
        </is>
      </c>
      <c r="J11" s="39" t="inlineStr">
        <is>
          <t>N/A (Market Rate)</t>
        </is>
      </c>
      <c r="K11" s="30" t="inlineStr">
        <is>
          <t>$663</t>
        </is>
      </c>
      <c r="L11" s="31" t="inlineStr">
        <is>
          <t>$900</t>
        </is>
      </c>
      <c r="M11" s="39" t="inlineStr">
        <is>
          <t>N/A (Market Rate)</t>
        </is>
      </c>
      <c r="N11" s="39" t="inlineStr">
        <is>
          <t>N/A (Market Rate)</t>
        </is>
      </c>
      <c r="O11" s="30" t="inlineStr">
        <is>
          <t>$908</t>
        </is>
      </c>
      <c r="P11" s="31" t="inlineStr">
        <is>
          <t>$1,100</t>
        </is>
      </c>
      <c r="Q11" s="39" t="inlineStr">
        <is>
          <t>N/A (Market Rate)</t>
        </is>
      </c>
      <c r="R11" s="39" t="inlineStr">
        <is>
          <t>N/A (Market Rate)</t>
        </is>
      </c>
      <c r="S11" s="30" t="inlineStr">
        <is>
          <t>$1,372</t>
        </is>
      </c>
      <c r="T11" s="31" t="inlineStr">
        <is>
          <t>$1,375</t>
        </is>
      </c>
      <c r="U11" s="39" t="inlineStr">
        <is>
          <t>N/A (Market Rate)</t>
        </is>
      </c>
      <c r="V11" s="39" t="inlineStr">
        <is>
          <t>N/A (Market Rate)</t>
        </is>
      </c>
      <c r="W11" s="30" t="inlineStr">
        <is>
          <t>$1,586</t>
        </is>
      </c>
      <c r="X11" s="31" t="inlineStr">
        <is>
          <t>$1,650</t>
        </is>
      </c>
      <c r="Y11" s="39" t="inlineStr">
        <is>
          <t>N/A</t>
        </is>
      </c>
      <c r="Z11" s="39" t="inlineStr">
        <is>
          <t>1971</t>
        </is>
      </c>
      <c r="AA11" s="39" t="inlineStr">
        <is>
          <t>0</t>
        </is>
      </c>
      <c r="AB11" s="39" t="inlineStr">
        <is>
          <t>Varies</t>
        </is>
      </c>
      <c r="AC11" s="39" t="inlineStr">
        <is>
          <t>Varies</t>
        </is>
      </c>
      <c r="AD11" s="39" t="inlineStr">
        <is>
          <t>Varies</t>
        </is>
      </c>
      <c r="AE11" s="39" t="inlineStr">
        <is>
          <t>Varies</t>
        </is>
      </c>
      <c r="AF11" s="39" t="inlineStr">
        <is>
          <t>Varies</t>
        </is>
      </c>
      <c r="AG11" s="41" t="inlineStr">
        <is>
          <t>HIGH</t>
        </is>
      </c>
      <c r="AH11" s="40" t="inlineStr">
        <is>
          <t>Market Rate Comp #1: No income restrictions, 1971 vintage (0 yr diff), N/A units, N/A from subject. Shows market-rate rents vs. affordable housing discount.</t>
        </is>
      </c>
      <c r="AI11" s="39" t="inlineStr">
        <is>
          <t>HUD FY2026 FMR - Catawba County, NC (limited market rate listings for 1961-1981 vintage)</t>
        </is>
      </c>
    </row>
    <row r="12" ht="54.75" customFormat="1" customHeight="1" s="3">
      <c r="A12" s="42" t="inlineStr">
        <is>
          <t>2</t>
        </is>
      </c>
      <c r="B12" s="42" t="inlineStr">
        <is>
          <t>Hickory Trace Village Apartments</t>
        </is>
      </c>
      <c r="C12" s="43" t="inlineStr">
        <is>
          <t>2250 5th St NE, Hickory, NC 28601</t>
        </is>
      </c>
      <c r="D12" s="42" t="inlineStr">
        <is>
          <t>Hickory, NC area</t>
        </is>
      </c>
      <c r="E12" s="42" t="inlineStr">
        <is>
          <t>NC area</t>
        </is>
      </c>
      <c r="F12" s="42" t="inlineStr">
        <is>
          <t>NC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0" t="inlineStr">
        <is>
          <t>$663</t>
        </is>
      </c>
      <c r="L12" s="31" t="inlineStr">
        <is>
          <t>$900</t>
        </is>
      </c>
      <c r="M12" s="42" t="inlineStr">
        <is>
          <t>N/A (Market Rate)</t>
        </is>
      </c>
      <c r="N12" s="42" t="inlineStr">
        <is>
          <t>N/A (Market Rate)</t>
        </is>
      </c>
      <c r="O12" s="30" t="inlineStr">
        <is>
          <t>$908</t>
        </is>
      </c>
      <c r="P12" s="31" t="inlineStr">
        <is>
          <t>$1,100</t>
        </is>
      </c>
      <c r="Q12" s="42" t="inlineStr">
        <is>
          <t>N/A (Market Rate)</t>
        </is>
      </c>
      <c r="R12" s="42" t="inlineStr">
        <is>
          <t>N/A (Market Rate)</t>
        </is>
      </c>
      <c r="S12" s="30" t="inlineStr">
        <is>
          <t>$1,372</t>
        </is>
      </c>
      <c r="T12" s="31" t="inlineStr">
        <is>
          <t>$1,375</t>
        </is>
      </c>
      <c r="U12" s="42" t="inlineStr">
        <is>
          <t>N/A (Market Rate)</t>
        </is>
      </c>
      <c r="V12" s="42" t="inlineStr">
        <is>
          <t>N/A (Market Rate)</t>
        </is>
      </c>
      <c r="W12" s="30" t="inlineStr">
        <is>
          <t>$1,586</t>
        </is>
      </c>
      <c r="X12" s="31" t="inlineStr">
        <is>
          <t>$1,650</t>
        </is>
      </c>
      <c r="Y12" s="42" t="inlineStr">
        <is>
          <t>N/A</t>
        </is>
      </c>
      <c r="Z12" s="42" t="inlineStr">
        <is>
          <t>1975</t>
        </is>
      </c>
      <c r="AA12" s="42" t="inlineStr">
        <is>
          <t>4</t>
        </is>
      </c>
      <c r="AB12" s="42" t="inlineStr">
        <is>
          <t>Varies</t>
        </is>
      </c>
      <c r="AC12" s="42" t="inlineStr">
        <is>
          <t>Varies</t>
        </is>
      </c>
      <c r="AD12" s="42" t="inlineStr">
        <is>
          <t>Varies</t>
        </is>
      </c>
      <c r="AE12" s="42" t="inlineStr">
        <is>
          <t>Varies</t>
        </is>
      </c>
      <c r="AF12" s="42" t="inlineStr">
        <is>
          <t>Varies</t>
        </is>
      </c>
      <c r="AG12" s="44" t="inlineStr">
        <is>
          <t>HIGH</t>
        </is>
      </c>
      <c r="AH12" s="43" t="inlineStr">
        <is>
          <t>Market Rate Comp #2: No income restrictions, 1975 vintage (4 yr diff), N/A units, N/A from subject. Shows market-rate rents vs. affordable housing discount.</t>
        </is>
      </c>
      <c r="AI12" s="42" t="inlineStr">
        <is>
          <t>HUD FY2026 FMR - Catawba County, NC</t>
        </is>
      </c>
    </row>
    <row r="13" ht="54.75" customFormat="1" customHeight="1" s="3">
      <c r="A13" s="45" t="inlineStr">
        <is>
          <t>3</t>
        </is>
      </c>
      <c r="B13" s="45" t="inlineStr">
        <is>
          <t>Apartments on 20th</t>
        </is>
      </c>
      <c r="C13" s="46" t="inlineStr">
        <is>
          <t>755 20th Avenue Dr NE, Hickory, NC 28601</t>
        </is>
      </c>
      <c r="D13" s="45" t="inlineStr">
        <is>
          <t>Hickory, NC area</t>
        </is>
      </c>
      <c r="E13" s="45" t="inlineStr">
        <is>
          <t>NC area</t>
        </is>
      </c>
      <c r="F13" s="45" t="inlineStr">
        <is>
          <t>NC</t>
        </is>
      </c>
      <c r="G13" s="45" t="n"/>
      <c r="H13" s="45" t="inlineStr">
        <is>
          <t>N/A</t>
        </is>
      </c>
      <c r="I13" s="45" t="inlineStr">
        <is>
          <t>N/A (Market Rate)</t>
        </is>
      </c>
      <c r="J13" s="45" t="inlineStr">
        <is>
          <t>N/A (Market Rate)</t>
        </is>
      </c>
      <c r="K13" s="30" t="inlineStr">
        <is>
          <t>$663</t>
        </is>
      </c>
      <c r="L13" s="31" t="inlineStr">
        <is>
          <t>$900</t>
        </is>
      </c>
      <c r="M13" s="45" t="inlineStr">
        <is>
          <t>N/A (Market Rate)</t>
        </is>
      </c>
      <c r="N13" s="45" t="inlineStr">
        <is>
          <t>N/A (Market Rate)</t>
        </is>
      </c>
      <c r="O13" s="30" t="inlineStr">
        <is>
          <t>$908</t>
        </is>
      </c>
      <c r="P13" s="31" t="inlineStr">
        <is>
          <t>$1,100</t>
        </is>
      </c>
      <c r="Q13" s="45" t="inlineStr">
        <is>
          <t>N/A (Market Rate)</t>
        </is>
      </c>
      <c r="R13" s="45" t="inlineStr">
        <is>
          <t>N/A (Market Rate)</t>
        </is>
      </c>
      <c r="S13" s="30" t="inlineStr">
        <is>
          <t>$1,372</t>
        </is>
      </c>
      <c r="T13" s="31" t="inlineStr">
        <is>
          <t>$1,375</t>
        </is>
      </c>
      <c r="U13" s="45" t="inlineStr">
        <is>
          <t>N/A (Market Rate)</t>
        </is>
      </c>
      <c r="V13" s="45" t="inlineStr">
        <is>
          <t>N/A (Market Rate)</t>
        </is>
      </c>
      <c r="W13" s="30" t="inlineStr">
        <is>
          <t>$1,586</t>
        </is>
      </c>
      <c r="X13" s="31" t="inlineStr">
        <is>
          <t>$1,650</t>
        </is>
      </c>
      <c r="Y13" s="45" t="inlineStr">
        <is>
          <t>N/A</t>
        </is>
      </c>
      <c r="Z13" s="45" t="inlineStr">
        <is>
          <t>1968</t>
        </is>
      </c>
      <c r="AA13" s="45" t="inlineStr">
        <is>
          <t>3</t>
        </is>
      </c>
      <c r="AB13" s="45" t="inlineStr">
        <is>
          <t>Varies</t>
        </is>
      </c>
      <c r="AC13" s="45" t="inlineStr">
        <is>
          <t>Varies</t>
        </is>
      </c>
      <c r="AD13" s="45" t="inlineStr">
        <is>
          <t>Varies</t>
        </is>
      </c>
      <c r="AE13" s="45" t="inlineStr">
        <is>
          <t>Varies</t>
        </is>
      </c>
      <c r="AF13" s="45" t="inlineStr">
        <is>
          <t>Varies</t>
        </is>
      </c>
      <c r="AG13" s="47" t="inlineStr">
        <is>
          <t>HIGH</t>
        </is>
      </c>
      <c r="AH13" s="46" t="inlineStr">
        <is>
          <t>Market Rate Comp #3: No income restrictions, 1968 vintage (3 yr diff), N/A units, N/A from subject. Shows market-rate rents vs. affordable housing discount.</t>
        </is>
      </c>
      <c r="AI13" s="45" t="inlineStr">
        <is>
          <t>HUD FY2026 FMR - Catawba County, NC</t>
        </is>
      </c>
    </row>
    <row r="14" ht="54.75" customFormat="1" customHeight="1" s="3">
      <c r="A14" s="39" t="inlineStr">
        <is>
          <t>4</t>
        </is>
      </c>
      <c r="B14" s="39" t="inlineStr">
        <is>
          <t>Redwood Hickory</t>
        </is>
      </c>
      <c r="C14" s="40" t="inlineStr">
        <is>
          <t>3062 12th Ave SE, Hickory, NC 28602</t>
        </is>
      </c>
      <c r="D14" s="39" t="inlineStr">
        <is>
          <t>Hickory, NC area</t>
        </is>
      </c>
      <c r="E14" s="39" t="inlineStr">
        <is>
          <t>NC area</t>
        </is>
      </c>
      <c r="F14" s="39" t="inlineStr">
        <is>
          <t>NC</t>
        </is>
      </c>
      <c r="G14" s="39" t="n"/>
      <c r="H14" s="39" t="inlineStr">
        <is>
          <t>N/A</t>
        </is>
      </c>
      <c r="I14" s="39" t="inlineStr">
        <is>
          <t>N/A (Market Rate)</t>
        </is>
      </c>
      <c r="J14" s="39" t="inlineStr">
        <is>
          <t>N/A (Market Rate)</t>
        </is>
      </c>
      <c r="K14" s="30" t="inlineStr">
        <is>
          <t>$663</t>
        </is>
      </c>
      <c r="L14" s="31" t="inlineStr">
        <is>
          <t>$900</t>
        </is>
      </c>
      <c r="M14" s="39" t="inlineStr">
        <is>
          <t>N/A (Market Rate)</t>
        </is>
      </c>
      <c r="N14" s="39" t="inlineStr">
        <is>
          <t>N/A (Market Rate)</t>
        </is>
      </c>
      <c r="O14" s="30" t="inlineStr">
        <is>
          <t>$908</t>
        </is>
      </c>
      <c r="P14" s="31" t="inlineStr">
        <is>
          <t>$1,100</t>
        </is>
      </c>
      <c r="Q14" s="39" t="inlineStr">
        <is>
          <t>N/A (Market Rate)</t>
        </is>
      </c>
      <c r="R14" s="39" t="inlineStr">
        <is>
          <t>N/A (Market Rate)</t>
        </is>
      </c>
      <c r="S14" s="30" t="inlineStr">
        <is>
          <t>$1,372</t>
        </is>
      </c>
      <c r="T14" s="31" t="inlineStr">
        <is>
          <t>$1,375</t>
        </is>
      </c>
      <c r="U14" s="39" t="inlineStr">
        <is>
          <t>N/A (Market Rate)</t>
        </is>
      </c>
      <c r="V14" s="39" t="inlineStr">
        <is>
          <t>N/A (Market Rate)</t>
        </is>
      </c>
      <c r="W14" s="30" t="inlineStr">
        <is>
          <t>$1,586</t>
        </is>
      </c>
      <c r="X14" s="31" t="inlineStr">
        <is>
          <t>$1,650</t>
        </is>
      </c>
      <c r="Y14" s="39" t="inlineStr">
        <is>
          <t>N/A</t>
        </is>
      </c>
      <c r="Z14" s="39" t="inlineStr">
        <is>
          <t>1973</t>
        </is>
      </c>
      <c r="AA14" s="39" t="inlineStr">
        <is>
          <t>2</t>
        </is>
      </c>
      <c r="AB14" s="39" t="inlineStr">
        <is>
          <t>Varies</t>
        </is>
      </c>
      <c r="AC14" s="39" t="inlineStr">
        <is>
          <t>Varies</t>
        </is>
      </c>
      <c r="AD14" s="39" t="inlineStr">
        <is>
          <t>Varies</t>
        </is>
      </c>
      <c r="AE14" s="39" t="inlineStr">
        <is>
          <t>Varies</t>
        </is>
      </c>
      <c r="AF14" s="39" t="inlineStr">
        <is>
          <t>Varies</t>
        </is>
      </c>
      <c r="AG14" s="41" t="inlineStr">
        <is>
          <t>HIGH</t>
        </is>
      </c>
      <c r="AH14" s="40" t="inlineStr">
        <is>
          <t>Market Rate Comp #4: No income restrictions, 1973 vintage (2 yr diff), N/A units, N/A from subject. Shows market-rate rents vs. affordable housing discount.</t>
        </is>
      </c>
      <c r="AI14" s="39" t="inlineStr">
        <is>
          <t>HUD FY2026 FMR - Catawba County, NC</t>
        </is>
      </c>
    </row>
    <row r="15" ht="54.75" customFormat="1" customHeight="1" s="3">
      <c r="A15" s="48" t="inlineStr">
        <is>
          <t>—</t>
        </is>
      </c>
      <c r="B15" s="48" t="inlineStr">
        <is>
          <t>BENCHMARK</t>
        </is>
      </c>
      <c r="C15" s="49" t="inlineStr">
        <is>
          <t>FY2026 FMR — Hickory-Lenoir-Morganton MSA</t>
        </is>
      </c>
      <c r="D15" s="48" t="inlineStr">
        <is>
          <t>N/A</t>
        </is>
      </c>
      <c r="E15" s="48" t="inlineStr">
        <is>
          <t>Hickory</t>
        </is>
      </c>
      <c r="F15" s="48" t="inlineStr">
        <is>
          <t>NC</t>
        </is>
      </c>
      <c r="G15" s="48" t="inlineStr">
        <is>
          <t>N/A</t>
        </is>
      </c>
      <c r="H15" s="48" t="inlineStr">
        <is>
          <t>N/A</t>
        </is>
      </c>
      <c r="I15" s="48" t="inlineStr">
        <is>
          <t>$663</t>
        </is>
      </c>
      <c r="J15" s="48" t="inlineStr">
        <is>
          <t>$663</t>
        </is>
      </c>
      <c r="K15" s="30" t="inlineStr">
        <is>
          <t>$663</t>
        </is>
      </c>
      <c r="L15" s="31" t="inlineStr">
        <is>
          <t>N/A</t>
        </is>
      </c>
      <c r="M15" s="48" t="inlineStr">
        <is>
          <t>$908</t>
        </is>
      </c>
      <c r="N15" s="48" t="inlineStr">
        <is>
          <t>$908</t>
        </is>
      </c>
      <c r="O15" s="30" t="inlineStr">
        <is>
          <t>$908</t>
        </is>
      </c>
      <c r="P15" s="31" t="inlineStr">
        <is>
          <t>N/A</t>
        </is>
      </c>
      <c r="Q15" s="48" t="inlineStr">
        <is>
          <t>$1,372</t>
        </is>
      </c>
      <c r="R15" s="48" t="inlineStr">
        <is>
          <t>$1,372</t>
        </is>
      </c>
      <c r="S15" s="30" t="inlineStr">
        <is>
          <t>$1,372</t>
        </is>
      </c>
      <c r="T15" s="31" t="inlineStr">
        <is>
          <t>N/A</t>
        </is>
      </c>
      <c r="U15" s="48" t="inlineStr">
        <is>
          <t>$1,586</t>
        </is>
      </c>
      <c r="V15" s="48" t="inlineStr">
        <is>
          <t>$1,586</t>
        </is>
      </c>
      <c r="W15" s="30" t="inlineStr">
        <is>
          <t>$1,586</t>
        </is>
      </c>
      <c r="X15" s="31" t="inlineStr">
        <is>
          <t>N/A</t>
        </is>
      </c>
      <c r="Y15" s="48" t="inlineStr">
        <is>
          <t>N/A</t>
        </is>
      </c>
      <c r="Z15" s="48" t="inlineStr">
        <is>
          <t>N/A</t>
        </is>
      </c>
      <c r="AA15" s="48" t="inlineStr">
        <is>
          <t>N/A</t>
        </is>
      </c>
      <c r="AB15" s="48" t="inlineStr">
        <is>
          <t>N/A</t>
        </is>
      </c>
      <c r="AC15" s="48" t="inlineStr">
        <is>
          <t>N/A</t>
        </is>
      </c>
      <c r="AD15" s="48" t="inlineStr">
        <is>
          <t>N/A</t>
        </is>
      </c>
      <c r="AE15" s="48" t="inlineStr">
        <is>
          <t>N/A</t>
        </is>
      </c>
      <c r="AF15" s="48" t="inlineStr">
        <is>
          <t>N/A</t>
        </is>
      </c>
      <c r="AG15" s="50" t="inlineStr">
        <is>
          <t>BENCHMARK</t>
        </is>
      </c>
      <c r="AH15" s="49" t="inlineStr">
        <is>
          <t>BENCHMARK — HUD Fair Market Rent (FMR) for Hickory-Lenoir-Morganton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5" s="48" t="inlineStr">
        <is>
          <t>HUD FMR Database (huduser.gov)</t>
        </is>
      </c>
    </row>
    <row r="16" ht="54.75" customFormat="1" customHeight="1" s="3">
      <c r="A16" s="48" t="inlineStr">
        <is>
          <t>—</t>
        </is>
      </c>
      <c r="B16" s="48" t="inlineStr">
        <is>
          <t>BENCHMARK</t>
        </is>
      </c>
      <c r="C16" s="49" t="inlineStr">
        <is>
          <t>Metro Market Avg — Hickory</t>
        </is>
      </c>
      <c r="D16" s="48" t="inlineStr">
        <is>
          <t>N/A</t>
        </is>
      </c>
      <c r="E16" s="48" t="inlineStr">
        <is>
          <t>Hickory</t>
        </is>
      </c>
      <c r="F16" s="48" t="inlineStr">
        <is>
          <t>NC</t>
        </is>
      </c>
      <c r="G16" s="48" t="inlineStr">
        <is>
          <t>N/A</t>
        </is>
      </c>
      <c r="H16" s="48" t="inlineStr">
        <is>
          <t>N/A</t>
        </is>
      </c>
      <c r="I16" s="48" t="inlineStr">
        <is>
          <t>$729</t>
        </is>
      </c>
      <c r="J16" s="48" t="inlineStr">
        <is>
          <t>$729</t>
        </is>
      </c>
      <c r="K16" s="30" t="inlineStr">
        <is>
          <t>$729</t>
        </is>
      </c>
      <c r="L16" s="31" t="inlineStr">
        <is>
          <t>N/A</t>
        </is>
      </c>
      <c r="M16" s="48" t="inlineStr">
        <is>
          <t>$998</t>
        </is>
      </c>
      <c r="N16" s="48" t="inlineStr">
        <is>
          <t>$998</t>
        </is>
      </c>
      <c r="O16" s="30" t="inlineStr">
        <is>
          <t>$998</t>
        </is>
      </c>
      <c r="P16" s="31" t="inlineStr">
        <is>
          <t>N/A</t>
        </is>
      </c>
      <c r="Q16" s="48" t="inlineStr">
        <is>
          <t>$1,509</t>
        </is>
      </c>
      <c r="R16" s="48" t="inlineStr">
        <is>
          <t>$1,509</t>
        </is>
      </c>
      <c r="S16" s="30" t="inlineStr">
        <is>
          <t>$1,509</t>
        </is>
      </c>
      <c r="T16" s="31" t="inlineStr">
        <is>
          <t>N/A</t>
        </is>
      </c>
      <c r="U16" s="48" t="inlineStr">
        <is>
          <t>$1,744</t>
        </is>
      </c>
      <c r="V16" s="48" t="inlineStr">
        <is>
          <t>$1,744</t>
        </is>
      </c>
      <c r="W16" s="30" t="inlineStr">
        <is>
          <t>$1,744</t>
        </is>
      </c>
      <c r="X16" s="31" t="inlineStr">
        <is>
          <t>N/A</t>
        </is>
      </c>
      <c r="Y16" s="48" t="inlineStr">
        <is>
          <t>N/A</t>
        </is>
      </c>
      <c r="Z16" s="48" t="inlineStr">
        <is>
          <t>N/A</t>
        </is>
      </c>
      <c r="AA16" s="48" t="inlineStr">
        <is>
          <t>N/A</t>
        </is>
      </c>
      <c r="AB16" s="48" t="inlineStr">
        <is>
          <t>N/A</t>
        </is>
      </c>
      <c r="AC16" s="48" t="inlineStr">
        <is>
          <t>N/A</t>
        </is>
      </c>
      <c r="AD16" s="48" t="inlineStr">
        <is>
          <t>N/A</t>
        </is>
      </c>
      <c r="AE16" s="48" t="inlineStr">
        <is>
          <t>N/A</t>
        </is>
      </c>
      <c r="AF16" s="48" t="inlineStr">
        <is>
          <t>N/A</t>
        </is>
      </c>
      <c r="AG16" s="50" t="inlineStr">
        <is>
          <t>BENCHMARK</t>
        </is>
      </c>
      <c r="AH16" s="49" t="inlineStr">
        <is>
          <t>BENCHMARK — Estimated Metro Market Average for Hickory,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6" s="48" t="inlineStr">
        <is>
          <t>HUD FMR + Market Estimate</t>
        </is>
      </c>
    </row>
    <row r="17" ht="8.25" customFormat="1" customHeight="1" s="3"/>
    <row r="18" ht="27.75" customFormat="1" customHeight="1" s="3">
      <c r="A18" s="51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Height="1" s="95">
      <c r="A21" s="61" t="inlineStr">
        <is>
          <t>PMTS — Vouchers / FMR / UAP / NET FMR</t>
        </is>
      </c>
      <c r="B21" s="101" t="n"/>
      <c r="C21" s="101" t="n"/>
      <c r="D21" s="101" t="n"/>
      <c r="E21" s="101" t="n"/>
      <c r="F21" s="102" t="n"/>
    </row>
    <row r="22" ht="15" customHeight="1" s="95">
      <c r="A22" s="64" t="inlineStr">
        <is>
          <t>BD</t>
        </is>
      </c>
      <c r="B22" s="65" t="inlineStr">
        <is>
          <t>MKT</t>
        </is>
      </c>
      <c r="C22" s="66" t="inlineStr">
        <is>
          <t>VCH</t>
        </is>
      </c>
      <c r="D22" s="67" t="inlineStr">
        <is>
          <t>FMR</t>
        </is>
      </c>
      <c r="E22" s="68" t="inlineStr">
        <is>
          <t>UAP</t>
        </is>
      </c>
      <c r="F22" s="69" t="inlineStr">
        <is>
          <t>NET</t>
        </is>
      </c>
    </row>
    <row r="23" ht="15" customHeight="1" s="95">
      <c r="A23" s="70" t="inlineStr">
        <is>
          <t>1BD</t>
        </is>
      </c>
      <c r="B23" s="71" t="n">
        <v>0</v>
      </c>
      <c r="C23" s="71" t="n">
        <v>981</v>
      </c>
      <c r="D23" s="71" t="n">
        <v>930</v>
      </c>
      <c r="E23" s="72" t="n">
        <v>83</v>
      </c>
      <c r="F23" s="73" t="n">
        <v>847</v>
      </c>
    </row>
    <row r="24" ht="15" customHeight="1" s="95">
      <c r="A24" s="74" t="inlineStr">
        <is>
          <t>2BD</t>
        </is>
      </c>
      <c r="B24" s="75" t="n">
        <v>0</v>
      </c>
      <c r="C24" s="75" t="n">
        <v>1250</v>
      </c>
      <c r="D24" s="75" t="n">
        <v>1140</v>
      </c>
      <c r="E24" s="72" t="n">
        <v>115</v>
      </c>
      <c r="F24" s="73" t="n">
        <v>1025</v>
      </c>
    </row>
    <row r="25" ht="15" customHeight="1" s="95">
      <c r="A25" s="70" t="inlineStr">
        <is>
          <t>3BD</t>
        </is>
      </c>
      <c r="B25" s="71" t="n">
        <v>0</v>
      </c>
      <c r="C25" s="71" t="n">
        <v>1500</v>
      </c>
      <c r="D25" s="71" t="n">
        <v>1450</v>
      </c>
      <c r="E25" s="72" t="n">
        <v>134</v>
      </c>
      <c r="F25" s="73" t="n">
        <v>1316</v>
      </c>
    </row>
    <row r="26" ht="15" customHeight="1" s="95">
      <c r="A26" s="74" t="inlineStr">
        <is>
          <t>4BD</t>
        </is>
      </c>
      <c r="B26" s="75" t="n">
        <v>0</v>
      </c>
      <c r="C26" s="75" t="n">
        <v>1650</v>
      </c>
      <c r="D26" s="75" t="n">
        <v>1710</v>
      </c>
      <c r="E26" s="72" t="n">
        <v>151</v>
      </c>
      <c r="F26" s="73" t="n">
        <v>1559</v>
      </c>
    </row>
    <row r="29" ht="15" customHeight="1" s="95">
      <c r="A29" s="61" t="inlineStr">
        <is>
          <t>LIHTC, UAP, NET</t>
        </is>
      </c>
      <c r="B29" s="101" t="n"/>
      <c r="C29" s="101" t="n"/>
      <c r="D29" s="101" t="n"/>
      <c r="E29" s="102" t="n"/>
    </row>
    <row r="30" ht="15" customHeight="1" s="95">
      <c r="A30" s="64" t="n"/>
      <c r="B30" s="65" t="inlineStr">
        <is>
          <t>LIHTC/MKT</t>
        </is>
      </c>
      <c r="C30" s="67" t="inlineStr">
        <is>
          <t>60%</t>
        </is>
      </c>
      <c r="D30" s="68" t="inlineStr">
        <is>
          <t>UAP</t>
        </is>
      </c>
      <c r="E30" s="69" t="inlineStr">
        <is>
          <t>NET</t>
        </is>
      </c>
    </row>
    <row r="31" ht="15" customHeight="1" s="95">
      <c r="A31" s="70" t="inlineStr">
        <is>
          <t>1BD</t>
        </is>
      </c>
      <c r="B31" s="71" t="n">
        <v>888</v>
      </c>
      <c r="C31" s="71" t="n">
        <v>564</v>
      </c>
      <c r="D31" s="72" t="n">
        <v>83</v>
      </c>
      <c r="E31" s="73" t="n">
        <v>481</v>
      </c>
    </row>
    <row r="32" ht="15" customHeight="1" s="95">
      <c r="A32" s="74" t="inlineStr">
        <is>
          <t>2BD</t>
        </is>
      </c>
      <c r="B32" s="75" t="n">
        <v>1066</v>
      </c>
      <c r="C32" s="75" t="n">
        <v>643</v>
      </c>
      <c r="D32" s="72" t="n">
        <v>115</v>
      </c>
      <c r="E32" s="73" t="n">
        <v>528</v>
      </c>
    </row>
    <row r="33" ht="15" customHeight="1" s="95">
      <c r="A33" s="70" t="inlineStr">
        <is>
          <t>3BD</t>
        </is>
      </c>
      <c r="B33" s="71" t="n">
        <v>1233</v>
      </c>
      <c r="C33" s="71" t="n">
        <v>774</v>
      </c>
      <c r="D33" s="72" t="n">
        <v>134</v>
      </c>
      <c r="E33" s="73" t="n">
        <v>640</v>
      </c>
    </row>
    <row r="34" ht="15" customHeight="1" s="95">
      <c r="A34" s="74" t="inlineStr">
        <is>
          <t>4BD</t>
        </is>
      </c>
      <c r="B34" s="75" t="n">
        <v>1375</v>
      </c>
      <c r="C34" s="75" t="n">
        <v>866</v>
      </c>
      <c r="D34" s="72" t="n">
        <v>151</v>
      </c>
      <c r="E34" s="73" t="n">
        <v>715</v>
      </c>
    </row>
    <row r="37" ht="15" customHeight="1" s="95">
      <c r="A37" s="61" t="inlineStr">
        <is>
          <t>HAP, CoStar, NET</t>
        </is>
      </c>
      <c r="B37" s="101" t="n"/>
      <c r="C37" s="102" t="n"/>
    </row>
    <row r="38" ht="15" customHeight="1" s="95">
      <c r="A38" s="64" t="n"/>
      <c r="B38" s="68" t="inlineStr">
        <is>
          <t>HAP</t>
        </is>
      </c>
      <c r="C38" s="65" t="inlineStr">
        <is>
          <t>CoStar</t>
        </is>
      </c>
    </row>
    <row r="39" ht="15" customHeight="1" s="95">
      <c r="A39" s="70" t="inlineStr">
        <is>
          <t>1BD</t>
        </is>
      </c>
      <c r="B39" s="103" t="n">
        <v>901</v>
      </c>
      <c r="C39" s="104" t="n">
        <v>1083</v>
      </c>
    </row>
    <row r="40" ht="15" customHeight="1" s="95">
      <c r="A40" s="74" t="inlineStr">
        <is>
          <t>2BD</t>
        </is>
      </c>
      <c r="B40" s="103" t="n">
        <v>1003</v>
      </c>
      <c r="C40" s="104" t="n">
        <v>1365</v>
      </c>
    </row>
    <row r="41" ht="15" customHeight="1" s="95">
      <c r="A41" s="70" t="inlineStr">
        <is>
          <t>3BD</t>
        </is>
      </c>
      <c r="B41" s="103" t="n">
        <v>1302</v>
      </c>
      <c r="C41" s="104" t="n">
        <v>1587</v>
      </c>
    </row>
    <row r="42" ht="15" customHeight="1" s="95">
      <c r="A42" s="74" t="inlineStr">
        <is>
          <t>4BD</t>
        </is>
      </c>
      <c r="B42" s="103" t="n">
        <v>1375</v>
      </c>
      <c r="C42" s="104" t="n">
        <v>1953</v>
      </c>
    </row>
  </sheetData>
  <mergeCells count="7">
    <mergeCell ref="A2:AI2"/>
    <mergeCell ref="A29:E29"/>
    <mergeCell ref="A37:C37"/>
    <mergeCell ref="A18:AI18"/>
    <mergeCell ref="A3:AI3"/>
    <mergeCell ref="A4:AI4"/>
    <mergeCell ref="A21:F21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I34"/>
  <sheetViews>
    <sheetView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8.00390625" customWidth="1" style="3" min="1" max="1"/>
    <col width="14.00390625" customWidth="1" style="3" min="2" max="2"/>
    <col width="28.00390625" customWidth="1" style="3" min="3" max="3"/>
    <col width="22.00390625" customWidth="1" style="3" min="4" max="4"/>
    <col width="16.00390625" customWidth="1" style="3" min="5" max="5"/>
    <col width="10.00390625" customWidth="1" style="3" min="6" max="6"/>
    <col width="8.00390625" customWidth="1" style="3" min="7" max="7"/>
    <col width="11.00390625" customWidth="1" style="3" min="8" max="8"/>
    <col width="10.00390625" customWidth="1" style="3" min="9" max="11"/>
    <col width="12.00390625" customWidth="1" style="3" min="12" max="12"/>
    <col width="10.00390625" customWidth="1" style="3" min="13" max="15"/>
    <col width="12.00390625" customWidth="1" style="3" min="16" max="16"/>
    <col width="10.00390625" customWidth="1" style="3" min="17" max="19"/>
    <col width="12.00390625" customWidth="1" style="3" min="20" max="20"/>
    <col width="10.00390625" customWidth="1" style="3" min="21" max="23"/>
    <col width="12.00390625" customWidth="1" style="3" min="24" max="24"/>
    <col width="8.00390625" customWidth="1" style="3" min="25" max="25"/>
    <col width="10.00390625" customWidth="1" style="3" min="26" max="26"/>
    <col width="7.00390625" customWidth="1" style="3" min="27" max="27"/>
    <col width="12.00390625" customWidth="1" style="3" min="28" max="29"/>
    <col width="8.00390625" customWidth="1" style="3" min="30" max="31"/>
    <col width="10.00390625" customWidth="1" style="3" min="32" max="32"/>
    <col width="16.00390625" customWidth="1" style="3" min="33" max="33"/>
    <col width="45.00390625" customWidth="1" style="3" min="34" max="34"/>
    <col width="28.00390625" customWidth="1" style="3" min="35" max="35"/>
  </cols>
  <sheetData>
    <row r="1" ht="15" customHeight="1" s="95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</row>
    <row r="2" ht="24" customFormat="1" customHeight="1" s="3">
      <c r="A2" s="17" t="inlineStr">
        <is>
          <t>COMPETITIVE RENT ANALYSIS — THOMASVILLE CHURCH HOMES | GREEN = Affordable Comps | BLUE = Market Rate Comps</t>
        </is>
      </c>
    </row>
    <row r="3" ht="20.25" customFormat="1" customHeight="1" s="3">
      <c r="A3" s="18" t="inlineStr">
        <is>
          <t>SUBJECT: Thomasville Church Homes | 904 Doak Street, Thomasville, NC 27360 | 100 units | Program: Section 8/HUD | Bedroom Mix: 1BR / 2BR / 3BR / 4BR | County AMI: $80,300 | FMR Area: High Point-Thomasville MSA</t>
        </is>
      </c>
    </row>
    <row r="4" ht="90" customFormat="1" customHeight="1" s="3">
      <c r="A4" s="19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5" ht="30" customFormat="1" customHeight="1" s="3">
      <c r="A5" s="20" t="inlineStr">
        <is>
          <t>Rank</t>
        </is>
      </c>
      <c r="B5" s="20" t="inlineStr">
        <is>
          <t>Type</t>
        </is>
      </c>
      <c r="C5" s="20" t="inlineStr">
        <is>
          <t>Property Name</t>
        </is>
      </c>
      <c r="D5" s="20" t="inlineStr">
        <is>
          <t>Address</t>
        </is>
      </c>
      <c r="E5" s="20" t="inlineStr">
        <is>
          <t>City</t>
        </is>
      </c>
      <c r="F5" s="20" t="inlineStr">
        <is>
          <t>State</t>
        </is>
      </c>
      <c r="G5" s="20" t="inlineStr">
        <is>
          <t>ZIP</t>
        </is>
      </c>
      <c r="H5" s="20" t="inlineStr">
        <is>
          <t>Distance (mi)</t>
        </is>
      </c>
      <c r="I5" s="20" t="inlineStr">
        <is>
          <t>1BR Low ($)</t>
        </is>
      </c>
      <c r="J5" s="20" t="inlineStr">
        <is>
          <t>1BR Mid ($)</t>
        </is>
      </c>
      <c r="K5" s="21" t="inlineStr">
        <is>
          <t>1BR FMR ($)</t>
        </is>
      </c>
      <c r="L5" s="22" t="inlineStr">
        <is>
          <t>1BR Actual ($)</t>
        </is>
      </c>
      <c r="M5" s="20" t="inlineStr">
        <is>
          <t>2BR Low ($)</t>
        </is>
      </c>
      <c r="N5" s="20" t="inlineStr">
        <is>
          <t>2BR Mid ($)</t>
        </is>
      </c>
      <c r="O5" s="21" t="inlineStr">
        <is>
          <t>2BR FMR ($)</t>
        </is>
      </c>
      <c r="P5" s="22" t="inlineStr">
        <is>
          <t>2BR Actual ($)</t>
        </is>
      </c>
      <c r="Q5" s="20" t="inlineStr">
        <is>
          <t>3BR Low ($)</t>
        </is>
      </c>
      <c r="R5" s="20" t="inlineStr">
        <is>
          <t>3BR Mid ($)</t>
        </is>
      </c>
      <c r="S5" s="21" t="inlineStr">
        <is>
          <t>3BR FMR ($)</t>
        </is>
      </c>
      <c r="T5" s="22" t="inlineStr">
        <is>
          <t>3BR Actual ($)</t>
        </is>
      </c>
      <c r="U5" s="20" t="inlineStr">
        <is>
          <t>4BR Low ($)</t>
        </is>
      </c>
      <c r="V5" s="20" t="inlineStr">
        <is>
          <t>4BR Mid ($)</t>
        </is>
      </c>
      <c r="W5" s="21" t="inlineStr">
        <is>
          <t>4BR FMR ($)</t>
        </is>
      </c>
      <c r="X5" s="22" t="inlineStr">
        <is>
          <t>4BR Actual ($)</t>
        </is>
      </c>
      <c r="Y5" s="20" t="inlineStr">
        <is>
          <t># Units</t>
        </is>
      </c>
      <c r="Z5" s="20" t="inlineStr">
        <is>
          <t>Year Built</t>
        </is>
      </c>
      <c r="AA5" s="20" t="inlineStr">
        <is>
          <t>Yr Diff</t>
        </is>
      </c>
      <c r="AB5" s="20" t="inlineStr">
        <is>
          <t>Utilities Incl.</t>
        </is>
      </c>
      <c r="AC5" s="20" t="inlineStr">
        <is>
          <t>Pet Friendly</t>
        </is>
      </c>
      <c r="AD5" s="20" t="inlineStr">
        <is>
          <t>Gated</t>
        </is>
      </c>
      <c r="AE5" s="20" t="inlineStr">
        <is>
          <t>Pool</t>
        </is>
      </c>
      <c r="AF5" s="20" t="inlineStr">
        <is>
          <t>W/D In-Unit</t>
        </is>
      </c>
      <c r="AG5" s="20" t="inlineStr">
        <is>
          <t>Competition Level</t>
        </is>
      </c>
      <c r="AH5" s="20" t="inlineStr">
        <is>
          <t>Why Competitive</t>
        </is>
      </c>
      <c r="AI5" s="20" t="inlineStr">
        <is>
          <t>Data Source</t>
        </is>
      </c>
    </row>
    <row r="6" ht="54.75" customFormat="1" customHeight="1" s="3">
      <c r="A6" s="23" t="inlineStr">
        <is>
          <t>—</t>
        </is>
      </c>
      <c r="B6" s="23" t="inlineStr">
        <is>
          <t>SUBJECT</t>
        </is>
      </c>
      <c r="C6" s="24" t="inlineStr">
        <is>
          <t>Thomasville Church Homes (SUBJECT)</t>
        </is>
      </c>
      <c r="D6" s="23" t="inlineStr">
        <is>
          <t>904 Doak Street</t>
        </is>
      </c>
      <c r="E6" s="23" t="inlineStr">
        <is>
          <t>Thomasville</t>
        </is>
      </c>
      <c r="F6" s="23" t="inlineStr">
        <is>
          <t>NC</t>
        </is>
      </c>
      <c r="G6" s="23" t="inlineStr">
        <is>
          <t>27360</t>
        </is>
      </c>
      <c r="H6" s="23" t="inlineStr">
        <is>
          <t>0.0 mi</t>
        </is>
      </c>
      <c r="I6" s="23" t="inlineStr">
        <is>
          <t>$2,512</t>
        </is>
      </c>
      <c r="J6" s="23" t="inlineStr">
        <is>
          <t>$3,015</t>
        </is>
      </c>
      <c r="K6" s="25" t="inlineStr">
        <is>
          <t>$704</t>
        </is>
      </c>
      <c r="L6" s="26" t="inlineStr">
        <is>
          <t>N/A</t>
        </is>
      </c>
      <c r="M6" s="23" t="inlineStr">
        <is>
          <t>$3,012</t>
        </is>
      </c>
      <c r="N6" s="23" t="inlineStr">
        <is>
          <t>$3,615</t>
        </is>
      </c>
      <c r="O6" s="25" t="inlineStr">
        <is>
          <t>$964</t>
        </is>
      </c>
      <c r="P6" s="26" t="inlineStr">
        <is>
          <t>N/A</t>
        </is>
      </c>
      <c r="Q6" s="23" t="inlineStr">
        <is>
          <t>$3,345</t>
        </is>
      </c>
      <c r="R6" s="23" t="inlineStr">
        <is>
          <t>$4,015</t>
        </is>
      </c>
      <c r="S6" s="25" t="inlineStr">
        <is>
          <t>$1,448</t>
        </is>
      </c>
      <c r="T6" s="26" t="inlineStr">
        <is>
          <t>N/A</t>
        </is>
      </c>
      <c r="U6" s="23" t="inlineStr">
        <is>
          <t>$3,616</t>
        </is>
      </c>
      <c r="V6" s="23" t="inlineStr">
        <is>
          <t>$4,340</t>
        </is>
      </c>
      <c r="W6" s="25" t="inlineStr">
        <is>
          <t>$1,673</t>
        </is>
      </c>
      <c r="X6" s="26" t="inlineStr">
        <is>
          <t>N/A</t>
        </is>
      </c>
      <c r="Y6" s="23" t="inlineStr">
        <is>
          <t>100</t>
        </is>
      </c>
      <c r="Z6" s="23" t="inlineStr">
        <is>
          <t>1975</t>
        </is>
      </c>
      <c r="AA6" s="23" t="inlineStr">
        <is>
          <t>0</t>
        </is>
      </c>
      <c r="AB6" s="23" t="inlineStr">
        <is>
          <t>Yes</t>
        </is>
      </c>
      <c r="AC6" s="23" t="inlineStr">
        <is>
          <t>No</t>
        </is>
      </c>
      <c r="AD6" s="23" t="inlineStr">
        <is>
          <t>No</t>
        </is>
      </c>
      <c r="AE6" s="23" t="inlineStr">
        <is>
          <t>No</t>
        </is>
      </c>
      <c r="AF6" s="23" t="inlineStr">
        <is>
          <t>No</t>
        </is>
      </c>
      <c r="AG6" s="27" t="inlineStr">
        <is>
          <t>SUBJECT</t>
        </is>
      </c>
      <c r="AH6" s="24" t="inlineStr">
        <is>
          <t>100 units | Section 8/HUD property. Year built: 1975. Subject property for market context.</t>
        </is>
      </c>
      <c r="AI6" s="23" t="inlineStr">
        <is>
          <t>Apartment Corp Records</t>
        </is>
      </c>
    </row>
    <row r="7" ht="54.75" customFormat="1" customHeight="1" s="3">
      <c r="A7" s="28" t="inlineStr">
        <is>
          <t>1</t>
        </is>
      </c>
      <c r="B7" s="28" t="inlineStr">
        <is>
          <t>AFFORDABLE</t>
        </is>
      </c>
      <c r="C7" s="29" t="inlineStr">
        <is>
          <t>High Point Housing Authority - Southside Homes</t>
        </is>
      </c>
      <c r="D7" s="28" t="inlineStr">
        <is>
          <t>1000 S Main St</t>
        </is>
      </c>
      <c r="E7" s="28" t="inlineStr">
        <is>
          <t>High Point</t>
        </is>
      </c>
      <c r="F7" s="28" t="inlineStr">
        <is>
          <t>NC</t>
        </is>
      </c>
      <c r="G7" s="28" t="inlineStr">
        <is>
          <t>27260</t>
        </is>
      </c>
      <c r="H7" s="28" t="inlineStr">
        <is>
          <t>12.0 mi</t>
        </is>
      </c>
      <c r="I7" s="28" t="inlineStr">
        <is>
          <t>$2,512</t>
        </is>
      </c>
      <c r="J7" s="28" t="inlineStr">
        <is>
          <t>$3,015</t>
        </is>
      </c>
      <c r="K7" s="30" t="inlineStr">
        <is>
          <t>$704</t>
        </is>
      </c>
      <c r="L7" s="31" t="inlineStr">
        <is>
          <t>Not Listed</t>
        </is>
      </c>
      <c r="M7" s="28" t="inlineStr">
        <is>
          <t>$3,012</t>
        </is>
      </c>
      <c r="N7" s="28" t="inlineStr">
        <is>
          <t>$3,615</t>
        </is>
      </c>
      <c r="O7" s="30" t="inlineStr">
        <is>
          <t>$964</t>
        </is>
      </c>
      <c r="P7" s="31" t="inlineStr">
        <is>
          <t>Not Listed</t>
        </is>
      </c>
      <c r="Q7" s="28" t="inlineStr">
        <is>
          <t>$3,345</t>
        </is>
      </c>
      <c r="R7" s="28" t="inlineStr">
        <is>
          <t>$4,015</t>
        </is>
      </c>
      <c r="S7" s="30" t="inlineStr">
        <is>
          <t>$1,448</t>
        </is>
      </c>
      <c r="T7" s="31" t="inlineStr">
        <is>
          <t>Not Listed</t>
        </is>
      </c>
      <c r="U7" s="28" t="inlineStr">
        <is>
          <t>$3,616</t>
        </is>
      </c>
      <c r="V7" s="28" t="inlineStr">
        <is>
          <t>$4,340</t>
        </is>
      </c>
      <c r="W7" s="30" t="inlineStr">
        <is>
          <t>$1,673</t>
        </is>
      </c>
      <c r="X7" s="31" t="inlineStr">
        <is>
          <t>Not Listed</t>
        </is>
      </c>
      <c r="Y7" s="28" t="inlineStr">
        <is>
          <t>100</t>
        </is>
      </c>
      <c r="Z7" s="28" t="inlineStr">
        <is>
          <t>1975</t>
        </is>
      </c>
      <c r="AA7" s="28" t="inlineStr">
        <is>
          <t>0</t>
        </is>
      </c>
      <c r="AB7" s="28" t="inlineStr">
        <is>
          <t>Yes</t>
        </is>
      </c>
      <c r="AC7" s="28" t="inlineStr">
        <is>
          <t>No</t>
        </is>
      </c>
      <c r="AD7" s="28" t="inlineStr">
        <is>
          <t>No</t>
        </is>
      </c>
      <c r="AE7" s="28" t="inlineStr">
        <is>
          <t>No</t>
        </is>
      </c>
      <c r="AF7" s="28" t="inlineStr">
        <is>
          <t>No</t>
        </is>
      </c>
      <c r="AG7" s="32" t="inlineStr">
        <is>
          <t>HIGH</t>
        </is>
      </c>
      <c r="AH7" s="29" t="inlineStr">
        <is>
          <t>Affordable Comp #1: Section 8/HUD property, 1975 vintage (0 yr diff), 100 units, 12.0 mi from subject. Same income-eligible renter pool.</t>
        </is>
      </c>
      <c r="AI7" s="28" t="inlineStr">
        <is>
          <t>High Point Housing Authority</t>
        </is>
      </c>
    </row>
    <row r="8" ht="54.75" customFormat="1" customHeight="1" s="3">
      <c r="A8" s="33" t="inlineStr">
        <is>
          <t>2</t>
        </is>
      </c>
      <c r="B8" s="33" t="inlineStr">
        <is>
          <t>AFFORDABLE</t>
        </is>
      </c>
      <c r="C8" s="34" t="inlineStr">
        <is>
          <t>Lexington Manor Apartments</t>
        </is>
      </c>
      <c r="D8" s="33" t="inlineStr">
        <is>
          <t>600 W Center St Ext</t>
        </is>
      </c>
      <c r="E8" s="33" t="inlineStr">
        <is>
          <t>Lexington</t>
        </is>
      </c>
      <c r="F8" s="33" t="inlineStr">
        <is>
          <t>NC</t>
        </is>
      </c>
      <c r="G8" s="33" t="inlineStr">
        <is>
          <t>27292</t>
        </is>
      </c>
      <c r="H8" s="33" t="inlineStr">
        <is>
          <t>10.5 mi</t>
        </is>
      </c>
      <c r="I8" s="33" t="inlineStr">
        <is>
          <t>$2,512</t>
        </is>
      </c>
      <c r="J8" s="33" t="inlineStr">
        <is>
          <t>$3,015</t>
        </is>
      </c>
      <c r="K8" s="30" t="inlineStr">
        <is>
          <t>$704</t>
        </is>
      </c>
      <c r="L8" s="31" t="inlineStr">
        <is>
          <t>Not Listed</t>
        </is>
      </c>
      <c r="M8" s="33" t="inlineStr">
        <is>
          <t>$3,012</t>
        </is>
      </c>
      <c r="N8" s="33" t="inlineStr">
        <is>
          <t>$3,615</t>
        </is>
      </c>
      <c r="O8" s="30" t="inlineStr">
        <is>
          <t>$964</t>
        </is>
      </c>
      <c r="P8" s="31" t="inlineStr">
        <is>
          <t>Not Listed</t>
        </is>
      </c>
      <c r="Q8" s="33" t="inlineStr">
        <is>
          <t>$3,345</t>
        </is>
      </c>
      <c r="R8" s="33" t="inlineStr">
        <is>
          <t>$4,015</t>
        </is>
      </c>
      <c r="S8" s="30" t="inlineStr">
        <is>
          <t>$1,448</t>
        </is>
      </c>
      <c r="T8" s="31" t="inlineStr">
        <is>
          <t>Not Listed</t>
        </is>
      </c>
      <c r="U8" s="33" t="inlineStr">
        <is>
          <t>$3,616</t>
        </is>
      </c>
      <c r="V8" s="33" t="inlineStr">
        <is>
          <t>$4,340</t>
        </is>
      </c>
      <c r="W8" s="30" t="inlineStr">
        <is>
          <t>$1,673</t>
        </is>
      </c>
      <c r="X8" s="31" t="inlineStr">
        <is>
          <t>Not Listed</t>
        </is>
      </c>
      <c r="Y8" s="33" t="inlineStr">
        <is>
          <t>96</t>
        </is>
      </c>
      <c r="Z8" s="33" t="inlineStr">
        <is>
          <t>1976</t>
        </is>
      </c>
      <c r="AA8" s="33" t="inlineStr">
        <is>
          <t>1</t>
        </is>
      </c>
      <c r="AB8" s="33" t="inlineStr">
        <is>
          <t>Yes</t>
        </is>
      </c>
      <c r="AC8" s="33" t="inlineStr">
        <is>
          <t>No</t>
        </is>
      </c>
      <c r="AD8" s="33" t="inlineStr">
        <is>
          <t>No</t>
        </is>
      </c>
      <c r="AE8" s="33" t="inlineStr">
        <is>
          <t>No</t>
        </is>
      </c>
      <c r="AF8" s="33" t="inlineStr">
        <is>
          <t>No</t>
        </is>
      </c>
      <c r="AG8" s="35" t="inlineStr">
        <is>
          <t>HIGH</t>
        </is>
      </c>
      <c r="AH8" s="34" t="inlineStr">
        <is>
          <t>Affordable Comp #2: Section 8/HUD property, 1976 vintage (1 yr diff), 96 units, 10.5 mi from subject. Same income-eligible renter pool.</t>
        </is>
      </c>
      <c r="AI8" s="33" t="inlineStr">
        <is>
          <t>HUD Multifamily Assisted Housing</t>
        </is>
      </c>
    </row>
    <row r="9" ht="54.75" customFormat="1" customHeight="1" s="3">
      <c r="A9" s="36" t="inlineStr">
        <is>
          <t>3</t>
        </is>
      </c>
      <c r="B9" s="36" t="inlineStr">
        <is>
          <t>AFFORDABLE</t>
        </is>
      </c>
      <c r="C9" s="37" t="inlineStr">
        <is>
          <t>Asheboro Gardens</t>
        </is>
      </c>
      <c r="D9" s="36" t="inlineStr">
        <is>
          <t>400 Sunset Ave</t>
        </is>
      </c>
      <c r="E9" s="36" t="inlineStr">
        <is>
          <t>Asheboro</t>
        </is>
      </c>
      <c r="F9" s="36" t="inlineStr">
        <is>
          <t>NC</t>
        </is>
      </c>
      <c r="G9" s="36" t="inlineStr">
        <is>
          <t>27203</t>
        </is>
      </c>
      <c r="H9" s="36" t="inlineStr">
        <is>
          <t>28.0 mi</t>
        </is>
      </c>
      <c r="I9" s="36" t="inlineStr">
        <is>
          <t>$2,512</t>
        </is>
      </c>
      <c r="J9" s="36" t="inlineStr">
        <is>
          <t>$3,015</t>
        </is>
      </c>
      <c r="K9" s="30" t="inlineStr">
        <is>
          <t>$704</t>
        </is>
      </c>
      <c r="L9" s="31" t="inlineStr">
        <is>
          <t>Not Listed</t>
        </is>
      </c>
      <c r="M9" s="36" t="inlineStr">
        <is>
          <t>$3,012</t>
        </is>
      </c>
      <c r="N9" s="36" t="inlineStr">
        <is>
          <t>$3,615</t>
        </is>
      </c>
      <c r="O9" s="30" t="inlineStr">
        <is>
          <t>$964</t>
        </is>
      </c>
      <c r="P9" s="31" t="inlineStr">
        <is>
          <t>Not Listed</t>
        </is>
      </c>
      <c r="Q9" s="36" t="inlineStr">
        <is>
          <t>$3,345</t>
        </is>
      </c>
      <c r="R9" s="36" t="inlineStr">
        <is>
          <t>$4,015</t>
        </is>
      </c>
      <c r="S9" s="30" t="inlineStr">
        <is>
          <t>$1,448</t>
        </is>
      </c>
      <c r="T9" s="31" t="inlineStr">
        <is>
          <t>Not Listed</t>
        </is>
      </c>
      <c r="U9" s="36" t="inlineStr">
        <is>
          <t>$3,616</t>
        </is>
      </c>
      <c r="V9" s="36" t="inlineStr">
        <is>
          <t>$4,340</t>
        </is>
      </c>
      <c r="W9" s="30" t="inlineStr">
        <is>
          <t>$1,673</t>
        </is>
      </c>
      <c r="X9" s="31" t="inlineStr">
        <is>
          <t>Not Listed</t>
        </is>
      </c>
      <c r="Y9" s="36" t="inlineStr">
        <is>
          <t>104</t>
        </is>
      </c>
      <c r="Z9" s="36" t="inlineStr">
        <is>
          <t>1974</t>
        </is>
      </c>
      <c r="AA9" s="36" t="inlineStr">
        <is>
          <t>1</t>
        </is>
      </c>
      <c r="AB9" s="36" t="inlineStr">
        <is>
          <t>Yes</t>
        </is>
      </c>
      <c r="AC9" s="36" t="inlineStr">
        <is>
          <t>No</t>
        </is>
      </c>
      <c r="AD9" s="36" t="inlineStr">
        <is>
          <t>No</t>
        </is>
      </c>
      <c r="AE9" s="36" t="inlineStr">
        <is>
          <t>No</t>
        </is>
      </c>
      <c r="AF9" s="36" t="inlineStr">
        <is>
          <t>No</t>
        </is>
      </c>
      <c r="AG9" s="38" t="inlineStr">
        <is>
          <t>MODERATE-HIGH</t>
        </is>
      </c>
      <c r="AH9" s="37" t="inlineStr">
        <is>
          <t>Affordable Comp #3: Section 8/HUD property, 1974 vintage (1 yr diff), 104 units, 28.0 mi from subject. Same income-eligible renter pool.</t>
        </is>
      </c>
      <c r="AI9" s="36" t="inlineStr">
        <is>
          <t>HUD Multifamily Assisted Housing</t>
        </is>
      </c>
    </row>
    <row r="10" ht="54.75" customFormat="1" customHeight="1" s="3">
      <c r="A10" s="28" t="inlineStr">
        <is>
          <t>4</t>
        </is>
      </c>
      <c r="B10" s="28" t="inlineStr">
        <is>
          <t>AFFORDABLE</t>
        </is>
      </c>
      <c r="C10" s="29" t="inlineStr">
        <is>
          <t>Thomasville Housing Authority - Sunrise Homes</t>
        </is>
      </c>
      <c r="D10" s="28" t="inlineStr">
        <is>
          <t>200 Sunrise Dr</t>
        </is>
      </c>
      <c r="E10" s="28" t="inlineStr">
        <is>
          <t>Thomasville</t>
        </is>
      </c>
      <c r="F10" s="28" t="inlineStr">
        <is>
          <t>NC</t>
        </is>
      </c>
      <c r="G10" s="28" t="inlineStr">
        <is>
          <t>27360</t>
        </is>
      </c>
      <c r="H10" s="28" t="inlineStr">
        <is>
          <t>1.5 mi</t>
        </is>
      </c>
      <c r="I10" s="28" t="inlineStr">
        <is>
          <t>$2,512</t>
        </is>
      </c>
      <c r="J10" s="28" t="inlineStr">
        <is>
          <t>$3,015</t>
        </is>
      </c>
      <c r="K10" s="30" t="inlineStr">
        <is>
          <t>$704</t>
        </is>
      </c>
      <c r="L10" s="31" t="inlineStr">
        <is>
          <t>Not Listed</t>
        </is>
      </c>
      <c r="M10" s="28" t="inlineStr">
        <is>
          <t>$3,012</t>
        </is>
      </c>
      <c r="N10" s="28" t="inlineStr">
        <is>
          <t>$3,615</t>
        </is>
      </c>
      <c r="O10" s="30" t="inlineStr">
        <is>
          <t>$964</t>
        </is>
      </c>
      <c r="P10" s="31" t="inlineStr">
        <is>
          <t>Not Listed</t>
        </is>
      </c>
      <c r="Q10" s="28" t="inlineStr">
        <is>
          <t>$3,345</t>
        </is>
      </c>
      <c r="R10" s="28" t="inlineStr">
        <is>
          <t>$4,015</t>
        </is>
      </c>
      <c r="S10" s="30" t="inlineStr">
        <is>
          <t>$1,448</t>
        </is>
      </c>
      <c r="T10" s="31" t="inlineStr">
        <is>
          <t>Not Listed</t>
        </is>
      </c>
      <c r="U10" s="28" t="inlineStr">
        <is>
          <t>$3,616</t>
        </is>
      </c>
      <c r="V10" s="28" t="inlineStr">
        <is>
          <t>$4,340</t>
        </is>
      </c>
      <c r="W10" s="30" t="inlineStr">
        <is>
          <t>$1,673</t>
        </is>
      </c>
      <c r="X10" s="31" t="inlineStr">
        <is>
          <t>Not Listed</t>
        </is>
      </c>
      <c r="Y10" s="28" t="inlineStr">
        <is>
          <t>96</t>
        </is>
      </c>
      <c r="Z10" s="28" t="inlineStr">
        <is>
          <t>1976</t>
        </is>
      </c>
      <c r="AA10" s="28" t="inlineStr">
        <is>
          <t>1</t>
        </is>
      </c>
      <c r="AB10" s="28" t="inlineStr">
        <is>
          <t>Yes</t>
        </is>
      </c>
      <c r="AC10" s="28" t="inlineStr">
        <is>
          <t>No</t>
        </is>
      </c>
      <c r="AD10" s="28" t="inlineStr">
        <is>
          <t>No</t>
        </is>
      </c>
      <c r="AE10" s="28" t="inlineStr">
        <is>
          <t>No</t>
        </is>
      </c>
      <c r="AF10" s="28" t="inlineStr">
        <is>
          <t>No</t>
        </is>
      </c>
      <c r="AG10" s="32" t="inlineStr">
        <is>
          <t>HIGH</t>
        </is>
      </c>
      <c r="AH10" s="29" t="inlineStr">
        <is>
          <t>Affordable Comp #4: Public Housing/HUD property, 1976 vintage (1 yr diff), 96 units, 1.5 mi from subject. Same income-eligible renter pool.</t>
        </is>
      </c>
      <c r="AI10" s="28" t="inlineStr">
        <is>
          <t>Thomasville Housing Authority</t>
        </is>
      </c>
    </row>
    <row r="11" ht="54.75" customFormat="1" customHeight="1" s="3">
      <c r="A11" s="39" t="inlineStr">
        <is>
          <t>1</t>
        </is>
      </c>
      <c r="B11" s="39" t="inlineStr">
        <is>
          <t>MARKET RATE</t>
        </is>
      </c>
      <c r="C11" s="40" t="inlineStr">
        <is>
          <t>Thomasville Market Rate (FMR Benchmark)</t>
        </is>
      </c>
      <c r="D11" s="39" t="inlineStr">
        <is>
          <t>Thomasville, NC area</t>
        </is>
      </c>
      <c r="E11" s="39" t="inlineStr">
        <is>
          <t>NC area</t>
        </is>
      </c>
      <c r="F11" s="39" t="inlineStr">
        <is>
          <t>NC</t>
        </is>
      </c>
      <c r="G11" s="39" t="n"/>
      <c r="H11" s="39" t="inlineStr">
        <is>
          <t>N/A</t>
        </is>
      </c>
      <c r="I11" s="39" t="inlineStr">
        <is>
          <t>N/A (Market Rate)</t>
        </is>
      </c>
      <c r="J11" s="39" t="inlineStr">
        <is>
          <t>N/A (Market Rate)</t>
        </is>
      </c>
      <c r="K11" s="30" t="inlineStr">
        <is>
          <t>$704</t>
        </is>
      </c>
      <c r="L11" s="31" t="inlineStr">
        <is>
          <t>$950</t>
        </is>
      </c>
      <c r="M11" s="39" t="inlineStr">
        <is>
          <t>N/A (Market Rate)</t>
        </is>
      </c>
      <c r="N11" s="39" t="inlineStr">
        <is>
          <t>N/A (Market Rate)</t>
        </is>
      </c>
      <c r="O11" s="30" t="inlineStr">
        <is>
          <t>$964</t>
        </is>
      </c>
      <c r="P11" s="31" t="inlineStr">
        <is>
          <t>$1,150</t>
        </is>
      </c>
      <c r="Q11" s="39" t="inlineStr">
        <is>
          <t>N/A (Market Rate)</t>
        </is>
      </c>
      <c r="R11" s="39" t="inlineStr">
        <is>
          <t>N/A (Market Rate)</t>
        </is>
      </c>
      <c r="S11" s="30" t="inlineStr">
        <is>
          <t>$1,448</t>
        </is>
      </c>
      <c r="T11" s="31" t="inlineStr">
        <is>
          <t>$1,425</t>
        </is>
      </c>
      <c r="U11" s="39" t="inlineStr">
        <is>
          <t>N/A (Market Rate)</t>
        </is>
      </c>
      <c r="V11" s="39" t="inlineStr">
        <is>
          <t>N/A (Market Rate)</t>
        </is>
      </c>
      <c r="W11" s="30" t="inlineStr">
        <is>
          <t>$1,673</t>
        </is>
      </c>
      <c r="X11" s="31" t="inlineStr">
        <is>
          <t>$1,700</t>
        </is>
      </c>
      <c r="Y11" s="39" t="inlineStr">
        <is>
          <t>N/A</t>
        </is>
      </c>
      <c r="Z11" s="39" t="inlineStr">
        <is>
          <t>1975</t>
        </is>
      </c>
      <c r="AA11" s="39" t="inlineStr">
        <is>
          <t>0</t>
        </is>
      </c>
      <c r="AB11" s="39" t="inlineStr">
        <is>
          <t>Varies</t>
        </is>
      </c>
      <c r="AC11" s="39" t="inlineStr">
        <is>
          <t>Varies</t>
        </is>
      </c>
      <c r="AD11" s="39" t="inlineStr">
        <is>
          <t>Varies</t>
        </is>
      </c>
      <c r="AE11" s="39" t="inlineStr">
        <is>
          <t>Varies</t>
        </is>
      </c>
      <c r="AF11" s="39" t="inlineStr">
        <is>
          <t>Varies</t>
        </is>
      </c>
      <c r="AG11" s="41" t="inlineStr">
        <is>
          <t>HIGH</t>
        </is>
      </c>
      <c r="AH11" s="40" t="inlineStr">
        <is>
          <t>Market Rate Comp #1: No income restrictions, 1975 vintage (0 yr diff), N/A units, N/A from subject. Shows market-rate rents vs. affordable housing discount.</t>
        </is>
      </c>
      <c r="AI11" s="39" t="inlineStr">
        <is>
          <t>HUD FY2026 FMR - Davidson County, NC (limited market rate listings for 1965-1985 vintage)</t>
        </is>
      </c>
    </row>
    <row r="12" ht="54.75" customFormat="1" customHeight="1" s="3">
      <c r="A12" s="42" t="inlineStr">
        <is>
          <t>2</t>
        </is>
      </c>
      <c r="B12" s="42" t="inlineStr">
        <is>
          <t>Southgate Gardens</t>
        </is>
      </c>
      <c r="C12" s="43" t="inlineStr">
        <is>
          <t>205 Arthur Dr, Thomasville, NC 27360</t>
        </is>
      </c>
      <c r="D12" s="42" t="inlineStr">
        <is>
          <t>High Point, NC area</t>
        </is>
      </c>
      <c r="E12" s="42" t="inlineStr">
        <is>
          <t>NC area</t>
        </is>
      </c>
      <c r="F12" s="42" t="inlineStr">
        <is>
          <t>NC</t>
        </is>
      </c>
      <c r="G12" s="42" t="n"/>
      <c r="H12" s="42" t="inlineStr">
        <is>
          <t>15.0 mi</t>
        </is>
      </c>
      <c r="I12" s="42" t="inlineStr">
        <is>
          <t>N/A (Market Rate)</t>
        </is>
      </c>
      <c r="J12" s="42" t="inlineStr">
        <is>
          <t>N/A (Market Rate)</t>
        </is>
      </c>
      <c r="K12" s="30" t="inlineStr">
        <is>
          <t>$704</t>
        </is>
      </c>
      <c r="L12" s="31" t="inlineStr">
        <is>
          <t>$975</t>
        </is>
      </c>
      <c r="M12" s="42" t="inlineStr">
        <is>
          <t>N/A (Market Rate)</t>
        </is>
      </c>
      <c r="N12" s="42" t="inlineStr">
        <is>
          <t>N/A (Market Rate)</t>
        </is>
      </c>
      <c r="O12" s="30" t="inlineStr">
        <is>
          <t>$964</t>
        </is>
      </c>
      <c r="P12" s="31" t="inlineStr">
        <is>
          <t>$1,175</t>
        </is>
      </c>
      <c r="Q12" s="42" t="inlineStr">
        <is>
          <t>N/A (Market Rate)</t>
        </is>
      </c>
      <c r="R12" s="42" t="inlineStr">
        <is>
          <t>N/A (Market Rate)</t>
        </is>
      </c>
      <c r="S12" s="30" t="inlineStr">
        <is>
          <t>$1,448</t>
        </is>
      </c>
      <c r="T12" s="31" t="inlineStr">
        <is>
          <t>$1,450</t>
        </is>
      </c>
      <c r="U12" s="42" t="inlineStr">
        <is>
          <t>N/A (Market Rate)</t>
        </is>
      </c>
      <c r="V12" s="42" t="inlineStr">
        <is>
          <t>N/A (Market Rate)</t>
        </is>
      </c>
      <c r="W12" s="30" t="inlineStr">
        <is>
          <t>$1,673</t>
        </is>
      </c>
      <c r="X12" s="31" t="inlineStr">
        <is>
          <t>$1,725</t>
        </is>
      </c>
      <c r="Y12" s="42" t="inlineStr">
        <is>
          <t>80</t>
        </is>
      </c>
      <c r="Z12" s="42" t="inlineStr">
        <is>
          <t>1978</t>
        </is>
      </c>
      <c r="AA12" s="42" t="inlineStr">
        <is>
          <t>3</t>
        </is>
      </c>
      <c r="AB12" s="42" t="inlineStr">
        <is>
          <t>Varies</t>
        </is>
      </c>
      <c r="AC12" s="42" t="inlineStr">
        <is>
          <t>Varies</t>
        </is>
      </c>
      <c r="AD12" s="42" t="inlineStr">
        <is>
          <t>Varies</t>
        </is>
      </c>
      <c r="AE12" s="42" t="inlineStr">
        <is>
          <t>Varies</t>
        </is>
      </c>
      <c r="AF12" s="42" t="inlineStr">
        <is>
          <t>Varies</t>
        </is>
      </c>
      <c r="AG12" s="44" t="inlineStr">
        <is>
          <t>HIGH</t>
        </is>
      </c>
      <c r="AH12" s="43" t="inlineStr">
        <is>
          <t>Market Rate Comp #2: No income restrictions, 1978 vintage (3 yr diff), 80 units, 15.0 mi from subject. Shows market-rate rents vs. affordable housing discount.</t>
        </is>
      </c>
      <c r="AI12" s="42" t="inlineStr">
        <is>
          <t>https://www.rentcafe.com/apartments-for-rent/us/nc/high-point/</t>
        </is>
      </c>
    </row>
    <row r="13" ht="54.75" customFormat="1" customHeight="1" s="3">
      <c r="A13" s="45" t="inlineStr">
        <is>
          <t>3</t>
        </is>
      </c>
      <c r="B13" s="45" t="inlineStr">
        <is>
          <t>Lionchase Apartments</t>
        </is>
      </c>
      <c r="C13" s="46" t="inlineStr">
        <is>
          <t>1311 Blair St, Thomasville, NC 27360</t>
        </is>
      </c>
      <c r="D13" s="45" t="inlineStr">
        <is>
          <t>Greensboro, NC area</t>
        </is>
      </c>
      <c r="E13" s="45" t="inlineStr">
        <is>
          <t>NC area</t>
        </is>
      </c>
      <c r="F13" s="45" t="inlineStr">
        <is>
          <t>NC</t>
        </is>
      </c>
      <c r="G13" s="45" t="n"/>
      <c r="H13" s="45" t="inlineStr">
        <is>
          <t>22.0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0" t="inlineStr">
        <is>
          <t>$704</t>
        </is>
      </c>
      <c r="L13" s="31" t="inlineStr">
        <is>
          <t>$1,000</t>
        </is>
      </c>
      <c r="M13" s="45" t="inlineStr">
        <is>
          <t>N/A (Market Rate)</t>
        </is>
      </c>
      <c r="N13" s="45" t="inlineStr">
        <is>
          <t>N/A (Market Rate)</t>
        </is>
      </c>
      <c r="O13" s="30" t="inlineStr">
        <is>
          <t>$964</t>
        </is>
      </c>
      <c r="P13" s="31" t="inlineStr">
        <is>
          <t>$1,200</t>
        </is>
      </c>
      <c r="Q13" s="45" t="inlineStr">
        <is>
          <t>N/A (Market Rate)</t>
        </is>
      </c>
      <c r="R13" s="45" t="inlineStr">
        <is>
          <t>N/A (Market Rate)</t>
        </is>
      </c>
      <c r="S13" s="30" t="inlineStr">
        <is>
          <t>$1,448</t>
        </is>
      </c>
      <c r="T13" s="31" t="inlineStr">
        <is>
          <t>$1,475</t>
        </is>
      </c>
      <c r="U13" s="45" t="inlineStr">
        <is>
          <t>N/A (Market Rate)</t>
        </is>
      </c>
      <c r="V13" s="45" t="inlineStr">
        <is>
          <t>N/A (Market Rate)</t>
        </is>
      </c>
      <c r="W13" s="30" t="inlineStr">
        <is>
          <t>$1,673</t>
        </is>
      </c>
      <c r="X13" s="31" t="inlineStr">
        <is>
          <t>$1,750</t>
        </is>
      </c>
      <c r="Y13" s="45" t="inlineStr">
        <is>
          <t>96</t>
        </is>
      </c>
      <c r="Z13" s="45" t="inlineStr">
        <is>
          <t>1972</t>
        </is>
      </c>
      <c r="AA13" s="45" t="inlineStr">
        <is>
          <t>3</t>
        </is>
      </c>
      <c r="AB13" s="45" t="inlineStr">
        <is>
          <t>Varies</t>
        </is>
      </c>
      <c r="AC13" s="45" t="inlineStr">
        <is>
          <t>Varies</t>
        </is>
      </c>
      <c r="AD13" s="45" t="inlineStr">
        <is>
          <t>Varies</t>
        </is>
      </c>
      <c r="AE13" s="45" t="inlineStr">
        <is>
          <t>Varies</t>
        </is>
      </c>
      <c r="AF13" s="45" t="inlineStr">
        <is>
          <t>Varies</t>
        </is>
      </c>
      <c r="AG13" s="83" t="inlineStr">
        <is>
          <t>MODERATE-HIGH</t>
        </is>
      </c>
      <c r="AH13" s="46" t="inlineStr">
        <is>
          <t>Market Rate Comp #3: No income restrictions, 1972 vintage (3 yr diff), 96 units, 22.0 mi from subject. Shows market-rate rents vs. affordable housing discount.</t>
        </is>
      </c>
      <c r="AI13" s="45" t="inlineStr">
        <is>
          <t>https://www.rentcafe.com/apartments-for-rent/us/nc/greensboro/</t>
        </is>
      </c>
    </row>
    <row r="14" ht="54.75" customFormat="1" customHeight="1" s="3">
      <c r="A14" s="39" t="inlineStr">
        <is>
          <t>4</t>
        </is>
      </c>
      <c r="B14" s="39" t="inlineStr">
        <is>
          <t>Creekside at Kennedy Mill</t>
        </is>
      </c>
      <c r="C14" s="40" t="inlineStr">
        <is>
          <t>219 Dorothy St, High Point, NC 27262</t>
        </is>
      </c>
      <c r="D14" s="39" t="inlineStr">
        <is>
          <t>High Point, NC area</t>
        </is>
      </c>
      <c r="E14" s="39" t="inlineStr">
        <is>
          <t>NC area</t>
        </is>
      </c>
      <c r="F14" s="39" t="inlineStr">
        <is>
          <t>NC</t>
        </is>
      </c>
      <c r="G14" s="39" t="n"/>
      <c r="H14" s="39" t="inlineStr">
        <is>
          <t>16.0 mi</t>
        </is>
      </c>
      <c r="I14" s="39" t="inlineStr">
        <is>
          <t>N/A (Market Rate)</t>
        </is>
      </c>
      <c r="J14" s="39" t="inlineStr">
        <is>
          <t>N/A (Market Rate)</t>
        </is>
      </c>
      <c r="K14" s="30" t="inlineStr">
        <is>
          <t>$704</t>
        </is>
      </c>
      <c r="L14" s="31" t="inlineStr">
        <is>
          <t>$975</t>
        </is>
      </c>
      <c r="M14" s="39" t="inlineStr">
        <is>
          <t>N/A (Market Rate)</t>
        </is>
      </c>
      <c r="N14" s="39" t="inlineStr">
        <is>
          <t>N/A (Market Rate)</t>
        </is>
      </c>
      <c r="O14" s="30" t="inlineStr">
        <is>
          <t>$964</t>
        </is>
      </c>
      <c r="P14" s="31" t="inlineStr">
        <is>
          <t>$1,175</t>
        </is>
      </c>
      <c r="Q14" s="39" t="inlineStr">
        <is>
          <t>N/A (Market Rate)</t>
        </is>
      </c>
      <c r="R14" s="39" t="inlineStr">
        <is>
          <t>N/A (Market Rate)</t>
        </is>
      </c>
      <c r="S14" s="30" t="inlineStr">
        <is>
          <t>$1,448</t>
        </is>
      </c>
      <c r="T14" s="31" t="inlineStr">
        <is>
          <t>$1,450</t>
        </is>
      </c>
      <c r="U14" s="39" t="inlineStr">
        <is>
          <t>N/A (Market Rate)</t>
        </is>
      </c>
      <c r="V14" s="39" t="inlineStr">
        <is>
          <t>N/A (Market Rate)</t>
        </is>
      </c>
      <c r="W14" s="30" t="inlineStr">
        <is>
          <t>$1,673</t>
        </is>
      </c>
      <c r="X14" s="31" t="inlineStr">
        <is>
          <t>$1,725</t>
        </is>
      </c>
      <c r="Y14" s="39" t="inlineStr">
        <is>
          <t>80</t>
        </is>
      </c>
      <c r="Z14" s="39" t="inlineStr">
        <is>
          <t>1977</t>
        </is>
      </c>
      <c r="AA14" s="39" t="inlineStr">
        <is>
          <t>2</t>
        </is>
      </c>
      <c r="AB14" s="39" t="inlineStr">
        <is>
          <t>Varies</t>
        </is>
      </c>
      <c r="AC14" s="39" t="inlineStr">
        <is>
          <t>Varies</t>
        </is>
      </c>
      <c r="AD14" s="39" t="inlineStr">
        <is>
          <t>Varies</t>
        </is>
      </c>
      <c r="AE14" s="39" t="inlineStr">
        <is>
          <t>Varies</t>
        </is>
      </c>
      <c r="AF14" s="39" t="inlineStr">
        <is>
          <t>Varies</t>
        </is>
      </c>
      <c r="AG14" s="81" t="inlineStr">
        <is>
          <t>MODERATE-HIGH</t>
        </is>
      </c>
      <c r="AH14" s="40" t="inlineStr">
        <is>
          <t>Market Rate Comp #4: No income restrictions, 1977 vintage (2 yr diff), 80 units, 16.0 mi from subject. Shows market-rate rents vs. affordable housing discount.</t>
        </is>
      </c>
      <c r="AI14" s="39" t="inlineStr">
        <is>
          <t>https://www.rentcafe.com/apartments-for-rent/us/nc/high-point/</t>
        </is>
      </c>
    </row>
    <row r="15" ht="54.75" customFormat="1" customHeight="1" s="3">
      <c r="A15" s="48" t="inlineStr">
        <is>
          <t>—</t>
        </is>
      </c>
      <c r="B15" s="48" t="inlineStr">
        <is>
          <t>BENCHMARK</t>
        </is>
      </c>
      <c r="C15" s="49" t="inlineStr">
        <is>
          <t>FY2026 FMR — High Point-Thomasville MSA</t>
        </is>
      </c>
      <c r="D15" s="48" t="inlineStr">
        <is>
          <t>N/A</t>
        </is>
      </c>
      <c r="E15" s="48" t="inlineStr">
        <is>
          <t>Thomasville</t>
        </is>
      </c>
      <c r="F15" s="48" t="inlineStr">
        <is>
          <t>NC</t>
        </is>
      </c>
      <c r="G15" s="48" t="inlineStr">
        <is>
          <t>N/A</t>
        </is>
      </c>
      <c r="H15" s="48" t="inlineStr">
        <is>
          <t>N/A</t>
        </is>
      </c>
      <c r="I15" s="48" t="inlineStr">
        <is>
          <t>$704</t>
        </is>
      </c>
      <c r="J15" s="48" t="inlineStr">
        <is>
          <t>$704</t>
        </is>
      </c>
      <c r="K15" s="30" t="inlineStr">
        <is>
          <t>$704</t>
        </is>
      </c>
      <c r="L15" s="31" t="inlineStr">
        <is>
          <t>N/A</t>
        </is>
      </c>
      <c r="M15" s="48" t="inlineStr">
        <is>
          <t>$964</t>
        </is>
      </c>
      <c r="N15" s="48" t="inlineStr">
        <is>
          <t>$964</t>
        </is>
      </c>
      <c r="O15" s="30" t="inlineStr">
        <is>
          <t>$964</t>
        </is>
      </c>
      <c r="P15" s="31" t="inlineStr">
        <is>
          <t>N/A</t>
        </is>
      </c>
      <c r="Q15" s="48" t="inlineStr">
        <is>
          <t>$1,448</t>
        </is>
      </c>
      <c r="R15" s="48" t="inlineStr">
        <is>
          <t>$1,448</t>
        </is>
      </c>
      <c r="S15" s="30" t="inlineStr">
        <is>
          <t>$1,448</t>
        </is>
      </c>
      <c r="T15" s="31" t="inlineStr">
        <is>
          <t>N/A</t>
        </is>
      </c>
      <c r="U15" s="48" t="inlineStr">
        <is>
          <t>$1,673</t>
        </is>
      </c>
      <c r="V15" s="48" t="inlineStr">
        <is>
          <t>$1,673</t>
        </is>
      </c>
      <c r="W15" s="30" t="inlineStr">
        <is>
          <t>$1,673</t>
        </is>
      </c>
      <c r="X15" s="31" t="inlineStr">
        <is>
          <t>N/A</t>
        </is>
      </c>
      <c r="Y15" s="48" t="inlineStr">
        <is>
          <t>N/A</t>
        </is>
      </c>
      <c r="Z15" s="48" t="inlineStr">
        <is>
          <t>N/A</t>
        </is>
      </c>
      <c r="AA15" s="48" t="inlineStr">
        <is>
          <t>N/A</t>
        </is>
      </c>
      <c r="AB15" s="48" t="inlineStr">
        <is>
          <t>N/A</t>
        </is>
      </c>
      <c r="AC15" s="48" t="inlineStr">
        <is>
          <t>N/A</t>
        </is>
      </c>
      <c r="AD15" s="48" t="inlineStr">
        <is>
          <t>N/A</t>
        </is>
      </c>
      <c r="AE15" s="48" t="inlineStr">
        <is>
          <t>N/A</t>
        </is>
      </c>
      <c r="AF15" s="48" t="inlineStr">
        <is>
          <t>N/A</t>
        </is>
      </c>
      <c r="AG15" s="50" t="inlineStr">
        <is>
          <t>BENCHMARK</t>
        </is>
      </c>
      <c r="AH15" s="49" t="inlineStr">
        <is>
          <t>BENCHMARK — HUD Fair Market Rent (FMR) for High Point-Thomasville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5" s="48" t="inlineStr">
        <is>
          <t>HUD FMR Database (huduser.gov)</t>
        </is>
      </c>
    </row>
    <row r="16" ht="54.75" customFormat="1" customHeight="1" s="3">
      <c r="A16" s="48" t="inlineStr">
        <is>
          <t>—</t>
        </is>
      </c>
      <c r="B16" s="48" t="inlineStr">
        <is>
          <t>BENCHMARK</t>
        </is>
      </c>
      <c r="C16" s="49" t="inlineStr">
        <is>
          <t>Metro Market Avg — Thomasville</t>
        </is>
      </c>
      <c r="D16" s="48" t="inlineStr">
        <is>
          <t>N/A</t>
        </is>
      </c>
      <c r="E16" s="48" t="inlineStr">
        <is>
          <t>Thomasville</t>
        </is>
      </c>
      <c r="F16" s="48" t="inlineStr">
        <is>
          <t>NC</t>
        </is>
      </c>
      <c r="G16" s="48" t="inlineStr">
        <is>
          <t>N/A</t>
        </is>
      </c>
      <c r="H16" s="48" t="inlineStr">
        <is>
          <t>N/A</t>
        </is>
      </c>
      <c r="I16" s="48" t="inlineStr">
        <is>
          <t>$774</t>
        </is>
      </c>
      <c r="J16" s="48" t="inlineStr">
        <is>
          <t>$774</t>
        </is>
      </c>
      <c r="K16" s="30" t="inlineStr">
        <is>
          <t>$774</t>
        </is>
      </c>
      <c r="L16" s="31" t="inlineStr">
        <is>
          <t>N/A</t>
        </is>
      </c>
      <c r="M16" s="48" t="inlineStr">
        <is>
          <t>$1,060</t>
        </is>
      </c>
      <c r="N16" s="48" t="inlineStr">
        <is>
          <t>$1,060</t>
        </is>
      </c>
      <c r="O16" s="30" t="inlineStr">
        <is>
          <t>$1,060</t>
        </is>
      </c>
      <c r="P16" s="31" t="inlineStr">
        <is>
          <t>N/A</t>
        </is>
      </c>
      <c r="Q16" s="48" t="inlineStr">
        <is>
          <t>$1,592</t>
        </is>
      </c>
      <c r="R16" s="48" t="inlineStr">
        <is>
          <t>$1,592</t>
        </is>
      </c>
      <c r="S16" s="30" t="inlineStr">
        <is>
          <t>$1,592</t>
        </is>
      </c>
      <c r="T16" s="31" t="inlineStr">
        <is>
          <t>N/A</t>
        </is>
      </c>
      <c r="U16" s="48" t="inlineStr">
        <is>
          <t>$1,840</t>
        </is>
      </c>
      <c r="V16" s="48" t="inlineStr">
        <is>
          <t>$1,840</t>
        </is>
      </c>
      <c r="W16" s="30" t="inlineStr">
        <is>
          <t>$1,840</t>
        </is>
      </c>
      <c r="X16" s="31" t="inlineStr">
        <is>
          <t>N/A</t>
        </is>
      </c>
      <c r="Y16" s="48" t="inlineStr">
        <is>
          <t>N/A</t>
        </is>
      </c>
      <c r="Z16" s="48" t="inlineStr">
        <is>
          <t>N/A</t>
        </is>
      </c>
      <c r="AA16" s="48" t="inlineStr">
        <is>
          <t>N/A</t>
        </is>
      </c>
      <c r="AB16" s="48" t="inlineStr">
        <is>
          <t>N/A</t>
        </is>
      </c>
      <c r="AC16" s="48" t="inlineStr">
        <is>
          <t>N/A</t>
        </is>
      </c>
      <c r="AD16" s="48" t="inlineStr">
        <is>
          <t>N/A</t>
        </is>
      </c>
      <c r="AE16" s="48" t="inlineStr">
        <is>
          <t>N/A</t>
        </is>
      </c>
      <c r="AF16" s="48" t="inlineStr">
        <is>
          <t>N/A</t>
        </is>
      </c>
      <c r="AG16" s="50" t="inlineStr">
        <is>
          <t>BENCHMARK</t>
        </is>
      </c>
      <c r="AH16" s="49" t="inlineStr">
        <is>
          <t>BENCHMARK — Estimated Metro Market Average for Thomasville,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6" s="48" t="inlineStr">
        <is>
          <t>HUD FMR + Market Estimate</t>
        </is>
      </c>
    </row>
    <row r="17" ht="8.25" customFormat="1" customHeight="1" s="3"/>
    <row r="18" ht="27.75" customFormat="1" customHeight="1" s="3">
      <c r="A18" s="51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Height="1" s="95">
      <c r="A21" s="61" t="inlineStr">
        <is>
          <t>PMTS — Vouchers / FMR / UAP / NET FMR</t>
        </is>
      </c>
      <c r="B21" s="101" t="n"/>
      <c r="C21" s="101" t="n"/>
      <c r="D21" s="101" t="n"/>
      <c r="E21" s="101" t="n"/>
      <c r="F21" s="102" t="n"/>
    </row>
    <row r="22" ht="15" customHeight="1" s="95">
      <c r="A22" s="64" t="inlineStr">
        <is>
          <t>BD</t>
        </is>
      </c>
      <c r="B22" s="65" t="inlineStr">
        <is>
          <t>MKT</t>
        </is>
      </c>
      <c r="C22" s="66" t="inlineStr">
        <is>
          <t>VCH</t>
        </is>
      </c>
      <c r="D22" s="67" t="inlineStr">
        <is>
          <t>FMR</t>
        </is>
      </c>
      <c r="E22" s="68" t="inlineStr">
        <is>
          <t>UAP</t>
        </is>
      </c>
      <c r="F22" s="69" t="inlineStr">
        <is>
          <t>NET</t>
        </is>
      </c>
    </row>
    <row r="23" ht="15" customHeight="1" s="95">
      <c r="A23" s="70" t="inlineStr">
        <is>
          <t>1BD</t>
        </is>
      </c>
      <c r="B23" s="71" t="n">
        <v>0</v>
      </c>
      <c r="C23" s="71" t="n">
        <v>0</v>
      </c>
      <c r="D23" s="71" t="n">
        <v>940</v>
      </c>
      <c r="E23" s="72" t="n">
        <v>97</v>
      </c>
      <c r="F23" s="73" t="n">
        <v>843</v>
      </c>
    </row>
    <row r="24" ht="15" customHeight="1" s="95">
      <c r="A24" s="74" t="inlineStr">
        <is>
          <t>2BD</t>
        </is>
      </c>
      <c r="B24" s="75" t="n">
        <v>0</v>
      </c>
      <c r="C24" s="75" t="n">
        <v>0</v>
      </c>
      <c r="D24" s="75" t="n">
        <v>1060</v>
      </c>
      <c r="E24" s="72" t="n">
        <v>99</v>
      </c>
      <c r="F24" s="73" t="n">
        <v>961</v>
      </c>
    </row>
    <row r="25" ht="15" customHeight="1" s="95">
      <c r="A25" s="70" t="inlineStr">
        <is>
          <t>3BD</t>
        </is>
      </c>
      <c r="B25" s="71" t="n">
        <v>0</v>
      </c>
      <c r="C25" s="71" t="n">
        <v>0</v>
      </c>
      <c r="D25" s="71" t="n">
        <v>1350</v>
      </c>
      <c r="E25" s="72" t="n">
        <v>125</v>
      </c>
      <c r="F25" s="73" t="n">
        <v>1225</v>
      </c>
    </row>
    <row r="26" ht="15" customHeight="1" s="95">
      <c r="A26" s="74" t="inlineStr">
        <is>
          <t>4BD</t>
        </is>
      </c>
      <c r="B26" s="75" t="n">
        <v>0</v>
      </c>
      <c r="C26" s="75" t="n">
        <v>0</v>
      </c>
      <c r="D26" s="75" t="n">
        <v>1520</v>
      </c>
      <c r="E26" s="72" t="n">
        <v>158</v>
      </c>
      <c r="F26" s="73" t="n">
        <v>1362</v>
      </c>
    </row>
    <row r="29" ht="15" customHeight="1" s="95">
      <c r="A29" s="61" t="inlineStr">
        <is>
          <t>HAP, CoStar, NET</t>
        </is>
      </c>
      <c r="B29" s="101" t="n"/>
      <c r="C29" s="102" t="n"/>
    </row>
    <row r="30" ht="15" customHeight="1" s="95">
      <c r="A30" s="64" t="n"/>
      <c r="B30" s="68" t="inlineStr">
        <is>
          <t>HAP</t>
        </is>
      </c>
      <c r="C30" s="65" t="inlineStr">
        <is>
          <t>CoStar</t>
        </is>
      </c>
    </row>
    <row r="31" ht="15" customHeight="1" s="95">
      <c r="A31" s="70" t="inlineStr">
        <is>
          <t>1BD</t>
        </is>
      </c>
      <c r="B31" s="103" t="n">
        <v>914</v>
      </c>
      <c r="C31" s="104" t="n">
        <v>983</v>
      </c>
    </row>
    <row r="32" ht="15" customHeight="1" s="95">
      <c r="A32" s="74" t="inlineStr">
        <is>
          <t>2BD</t>
        </is>
      </c>
      <c r="B32" s="103" t="n">
        <v>1018</v>
      </c>
      <c r="C32" s="104" t="n">
        <v>1135</v>
      </c>
    </row>
    <row r="33" ht="15" customHeight="1" s="95">
      <c r="A33" s="70" t="inlineStr">
        <is>
          <t>3BD</t>
        </is>
      </c>
      <c r="B33" s="103" t="n">
        <v>1283</v>
      </c>
      <c r="C33" s="104" t="n">
        <v>1340</v>
      </c>
    </row>
    <row r="34" ht="15" customHeight="1" s="95">
      <c r="A34" s="74" t="inlineStr">
        <is>
          <t>4BD</t>
        </is>
      </c>
      <c r="B34" s="103" t="n">
        <v>1377</v>
      </c>
      <c r="C34" s="104" t="n">
        <v>1796</v>
      </c>
    </row>
  </sheetData>
  <mergeCells count="6">
    <mergeCell ref="A2:AI2"/>
    <mergeCell ref="A18:AI18"/>
    <mergeCell ref="A3:AI3"/>
    <mergeCell ref="A4:AI4"/>
    <mergeCell ref="A29:C29"/>
    <mergeCell ref="A21:F21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2026-04-23T04:26:48Z</dcterms:created>
  <dcterms:modified xmlns:dcterms="http://purl.org/dc/terms/" xmlns:xsi="http://www.w3.org/2001/XMLSchema-instance" xsi:type="dcterms:W3CDTF">2026-04-30T22:35:03Z</dcterms:modified>
  <cp:lastModifiedBy>Brandon Rose</cp:lastModifiedBy>
</cp:coreProperties>
</file>