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6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95959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color rgb="00000000"/>
      <sz val="10"/>
    </font>
  </fonts>
  <fills count="3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DCE4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0" fillId="0" borderId="0" pivotButton="0" quotePrefix="0" xfId="0"/>
    <xf numFmtId="0" fontId="19" fillId="2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0" fillId="21" borderId="8" applyAlignment="1" pivotButton="0" quotePrefix="0" xfId="0">
      <alignment horizontal="center" vertical="center"/>
    </xf>
    <xf numFmtId="0" fontId="20" fillId="22" borderId="8" applyAlignment="1" pivotButton="0" quotePrefix="0" xfId="0">
      <alignment horizontal="center" vertical="center"/>
    </xf>
    <xf numFmtId="0" fontId="20" fillId="23" borderId="8" applyAlignment="1" pivotButton="0" quotePrefix="0" xfId="0">
      <alignment horizontal="center" vertical="center"/>
    </xf>
    <xf numFmtId="0" fontId="20" fillId="24" borderId="8" applyAlignment="1" pivotButton="0" quotePrefix="0" xfId="0">
      <alignment horizontal="center" vertical="center"/>
    </xf>
    <xf numFmtId="0" fontId="20" fillId="25" borderId="8" applyAlignment="1" pivotButton="0" quotePrefix="0" xfId="0">
      <alignment horizontal="center" vertical="center"/>
    </xf>
    <xf numFmtId="0" fontId="20" fillId="26" borderId="8" applyAlignment="1" pivotButton="0" quotePrefix="0" xfId="0">
      <alignment horizontal="center" vertical="center"/>
    </xf>
    <xf numFmtId="0" fontId="7" fillId="21" borderId="8" applyAlignment="1" pivotButton="0" quotePrefix="0" xfId="0">
      <alignment horizontal="center" vertical="center"/>
    </xf>
    <xf numFmtId="0" fontId="9" fillId="21" borderId="8" applyAlignment="1" pivotButton="0" quotePrefix="0" xfId="0">
      <alignment horizontal="center" vertical="center"/>
    </xf>
    <xf numFmtId="0" fontId="21" fillId="25" borderId="8" applyAlignment="1" pivotButton="0" quotePrefix="0" xfId="0">
      <alignment horizontal="center" vertical="center"/>
    </xf>
    <xf numFmtId="0" fontId="21" fillId="26" borderId="8" applyAlignment="1" pivotButton="0" quotePrefix="0" xfId="0">
      <alignment horizontal="center" vertical="center"/>
    </xf>
    <xf numFmtId="0" fontId="7" fillId="27" borderId="8" applyAlignment="1" pivotButton="0" quotePrefix="0" xfId="0">
      <alignment horizontal="center" vertical="center"/>
    </xf>
    <xf numFmtId="0" fontId="9" fillId="27" borderId="8" applyAlignment="1" pivotButton="0" quotePrefix="0" xfId="0">
      <alignment horizontal="center" vertical="center"/>
    </xf>
    <xf numFmtId="164" fontId="21" fillId="25" borderId="8" applyAlignment="1" pivotButton="0" quotePrefix="0" xfId="0">
      <alignment horizontal="center" vertical="center"/>
    </xf>
    <xf numFmtId="164" fontId="21" fillId="22" borderId="8" applyAlignment="1" pivotButton="0" quotePrefix="0" xfId="0">
      <alignment horizontal="center" vertical="center"/>
    </xf>
    <xf numFmtId="0" fontId="22" fillId="20" borderId="9" applyAlignment="1" pivotButton="0" quotePrefix="0" xfId="0">
      <alignment horizontal="center" vertical="center"/>
    </xf>
    <xf numFmtId="0" fontId="23" fillId="28" borderId="9" applyAlignment="1" pivotButton="0" quotePrefix="0" xfId="0">
      <alignment horizontal="center" vertical="center"/>
    </xf>
    <xf numFmtId="0" fontId="22" fillId="28" borderId="9" applyAlignment="1" pivotButton="0" quotePrefix="0" xfId="0">
      <alignment horizontal="center" vertical="center"/>
    </xf>
    <xf numFmtId="0" fontId="24" fillId="29" borderId="9" applyAlignment="1" pivotButton="0" quotePrefix="0" xfId="0">
      <alignment horizontal="center" vertical="center"/>
    </xf>
    <xf numFmtId="164" fontId="25" fillId="30" borderId="9" applyAlignment="1" pivotButton="0" quotePrefix="0" xfId="0">
      <alignment horizontal="center" vertical="center"/>
    </xf>
    <xf numFmtId="164" fontId="24" fillId="31" borderId="9" applyAlignment="1" pivotButton="0" quotePrefix="0" xfId="0">
      <alignment horizontal="center" vertical="center"/>
    </xf>
    <xf numFmtId="164" fontId="24" fillId="32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5" min="1" max="1"/>
    <col width="32" customWidth="1" style="65" min="2" max="2"/>
    <col width="22" customWidth="1" style="65" min="3" max="3"/>
    <col width="12" customWidth="1" style="65" min="4" max="4"/>
    <col width="8" customWidth="1" style="65" min="5" max="5"/>
    <col width="18.28515625" bestFit="1" customWidth="1" style="65" min="6" max="6"/>
    <col width="21.42578125" bestFit="1" customWidth="1" style="65" min="7" max="7"/>
    <col width="20" customWidth="1" style="65" min="8" max="8"/>
    <col width="28.28515625" customWidth="1" style="65" min="9" max="9"/>
    <col width="10.5703125" customWidth="1" style="65" min="10" max="10"/>
    <col width="9.140625" customWidth="1" style="57" min="11" max="31"/>
  </cols>
  <sheetData>
    <row r="1" ht="27.95" customHeight="1" s="65">
      <c r="A1" s="62" t="inlineStr">
        <is>
          <t>APARTMENT CORP — COMPETITIVE RENT COMP ANALYSIS 2026</t>
        </is>
      </c>
    </row>
    <row r="2" ht="44.25" customHeight="1" s="65">
      <c r="A2" s="63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4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9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BOCA CIEGA | GREEN = Affordable Comps | BLUE = Market Rate Comps</t>
        </is>
      </c>
    </row>
    <row r="2" ht="20.1" customHeight="1" s="65">
      <c r="A2" s="6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2"/>
    <row r="23"/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2170</v>
      </c>
      <c r="E26" s="77" t="n">
        <v>191</v>
      </c>
      <c r="F26" s="78" t="n">
        <v>1979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2780</v>
      </c>
      <c r="E27" s="77" t="n">
        <v>268</v>
      </c>
      <c r="F27" s="78" t="n">
        <v>2512</v>
      </c>
    </row>
    <row r="28"/>
    <row r="29"/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2BD</t>
        </is>
      </c>
      <c r="B32" s="76" t="n">
        <v>1408</v>
      </c>
      <c r="C32" s="76" t="n">
        <v>1100</v>
      </c>
      <c r="D32" s="77" t="n">
        <v>191</v>
      </c>
      <c r="E32" s="78" t="n">
        <v>909</v>
      </c>
    </row>
    <row r="33"/>
    <row r="34"/>
    <row r="35">
      <c r="A35" s="66" t="inlineStr">
        <is>
          <t>HAP, CoStar, NET</t>
        </is>
      </c>
      <c r="B35" s="67" t="n"/>
      <c r="C35" s="68" t="n"/>
      <c r="L35" s="83" t="inlineStr">
        <is>
          <t>Current vs. Market Rent Comparison</t>
        </is>
      </c>
    </row>
    <row r="36">
      <c r="A36" s="69" t="inlineStr"/>
      <c r="B36" s="73" t="inlineStr">
        <is>
          <t>HAP</t>
        </is>
      </c>
      <c r="C36" s="70" t="inlineStr">
        <is>
          <t>CoStar</t>
        </is>
      </c>
      <c r="L36" s="84" t="inlineStr">
        <is>
          <t>Market Rents = Avg of 4 Market-Rate Comps</t>
        </is>
      </c>
    </row>
    <row r="37">
      <c r="A37" s="75" t="inlineStr">
        <is>
          <t>2BD</t>
        </is>
      </c>
      <c r="B37" s="81" t="n">
        <v>1541</v>
      </c>
      <c r="C37" s="82" t="n">
        <v>1563</v>
      </c>
      <c r="L37" s="85" t="inlineStr"/>
      <c r="M37" s="85" t="inlineStr">
        <is>
          <t>Current Rent</t>
        </is>
      </c>
      <c r="N37" s="85" t="inlineStr">
        <is>
          <t>Market Rents</t>
        </is>
      </c>
      <c r="O37" s="85" t="inlineStr">
        <is>
          <t>Difference</t>
        </is>
      </c>
    </row>
    <row r="38">
      <c r="A38" s="79" t="inlineStr">
        <is>
          <t>3BD</t>
        </is>
      </c>
      <c r="B38" s="81" t="n">
        <v>1918</v>
      </c>
      <c r="C38" s="82" t="n">
        <v>1944</v>
      </c>
      <c r="L38" s="86" t="inlineStr">
        <is>
          <t>2BD</t>
        </is>
      </c>
      <c r="M38" s="87" t="n"/>
      <c r="N38" s="88" t="n">
        <v>1306</v>
      </c>
      <c r="O38" s="89">
        <f>IF(M38="","",N38-M38)</f>
        <v/>
      </c>
    </row>
    <row r="39">
      <c r="L39" s="86" t="inlineStr">
        <is>
          <t>3BD</t>
        </is>
      </c>
      <c r="M39" s="87" t="n"/>
      <c r="N39" s="88" t="n">
        <v>1638</v>
      </c>
      <c r="O39" s="89">
        <f>IF(M39="","",N39-M39)</f>
        <v/>
      </c>
    </row>
  </sheetData>
  <mergeCells count="9">
    <mergeCell ref="A24:F24"/>
    <mergeCell ref="A30:E30"/>
    <mergeCell ref="A17:AA17"/>
    <mergeCell ref="L36:O36"/>
    <mergeCell ref="A3:AA3"/>
    <mergeCell ref="A2:AA2"/>
    <mergeCell ref="L35:O35"/>
    <mergeCell ref="A35:C35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9"/>
  <sheetViews>
    <sheetView workbookViewId="0">
      <pane ySplit="4" topLeftCell="A14" activePane="bottomLeft" state="frozen"/>
      <selection pane="bottomLeft" activeCell="B19" sqref="B19:E21"/>
      <selection activeCell="Q29" sqref="Q29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JEFFERSON ARMS | GREEN = Affordable Comps | BLUE = Market Rate Comps</t>
        </is>
      </c>
    </row>
    <row r="2" ht="20.1" customHeight="1" s="65">
      <c r="A2" s="61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5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5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5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2"/>
    <row r="23"/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1210</v>
      </c>
      <c r="E26" s="77" t="n">
        <v>177</v>
      </c>
      <c r="F26" s="78" t="n">
        <v>1033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1540</v>
      </c>
      <c r="E27" s="77" t="n">
        <v>232</v>
      </c>
      <c r="F27" s="78" t="n">
        <v>1308</v>
      </c>
    </row>
    <row r="28"/>
    <row r="29"/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970</v>
      </c>
      <c r="C32" s="82" t="n">
        <v>1375</v>
      </c>
    </row>
    <row r="33">
      <c r="A33" s="79" t="inlineStr">
        <is>
          <t>3BD</t>
        </is>
      </c>
      <c r="B33" s="81" t="n">
        <v>1096</v>
      </c>
      <c r="C33" s="82" t="n">
        <v>1548</v>
      </c>
    </row>
    <row r="35">
      <c r="L35" s="83" t="inlineStr">
        <is>
          <t>Current vs. Market Rent Comparison</t>
        </is>
      </c>
    </row>
    <row r="36">
      <c r="L36" s="84" t="inlineStr">
        <is>
          <t>Market Rents = Avg of 4 Market-Rate Comps</t>
        </is>
      </c>
    </row>
    <row r="37">
      <c r="L37" s="85" t="inlineStr"/>
      <c r="M37" s="85" t="inlineStr">
        <is>
          <t>Current Rent</t>
        </is>
      </c>
      <c r="N37" s="85" t="inlineStr">
        <is>
          <t>Market Rents</t>
        </is>
      </c>
      <c r="O37" s="85" t="inlineStr">
        <is>
          <t>Difference</t>
        </is>
      </c>
    </row>
    <row r="38">
      <c r="L38" s="86" t="inlineStr">
        <is>
          <t>2BD</t>
        </is>
      </c>
      <c r="M38" s="87" t="n"/>
      <c r="N38" s="88" t="n">
        <v>1295</v>
      </c>
      <c r="O38" s="89">
        <f>IF(M38="","",N38-M38)</f>
        <v/>
      </c>
    </row>
    <row r="39">
      <c r="L39" s="86" t="inlineStr">
        <is>
          <t>3BD</t>
        </is>
      </c>
      <c r="M39" s="87" t="n"/>
      <c r="N39" s="88" t="n">
        <v>1625</v>
      </c>
      <c r="O39" s="89">
        <f>IF(M39="","",N39-M39)</f>
        <v/>
      </c>
    </row>
  </sheetData>
  <mergeCells count="8">
    <mergeCell ref="A24:F24"/>
    <mergeCell ref="A17:AA17"/>
    <mergeCell ref="L36:O36"/>
    <mergeCell ref="A3:AA3"/>
    <mergeCell ref="A2:AA2"/>
    <mergeCell ref="L35:O35"/>
    <mergeCell ref="A30:C30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40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OPA LOCKA 135TH ST | GREEN = Affordable Comps | BLUE = Market Rate Comps</t>
        </is>
      </c>
    </row>
    <row r="2" ht="20.1" customHeight="1" s="65">
      <c r="A2" s="6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2"/>
    <row r="23"/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1470</v>
      </c>
      <c r="E26" s="77" t="n">
        <v>0</v>
      </c>
      <c r="F26" s="78" t="n">
        <v>1470</v>
      </c>
    </row>
    <row r="27">
      <c r="A27" s="79" t="inlineStr">
        <is>
          <t>2BD</t>
        </is>
      </c>
      <c r="B27" s="80" t="n">
        <v>1900</v>
      </c>
      <c r="C27" s="80" t="n">
        <v>0</v>
      </c>
      <c r="D27" s="80" t="n">
        <v>1800</v>
      </c>
      <c r="E27" s="77" t="n">
        <v>0</v>
      </c>
      <c r="F27" s="78" t="n">
        <v>1800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2320</v>
      </c>
      <c r="E28" s="77" t="n">
        <v>0</v>
      </c>
      <c r="F28" s="78" t="n">
        <v>2320</v>
      </c>
    </row>
    <row r="29"/>
    <row r="30"/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1365</v>
      </c>
      <c r="C33" s="82" t="n">
        <v>1443</v>
      </c>
    </row>
    <row r="34">
      <c r="A34" s="79" t="inlineStr">
        <is>
          <t>2BD</t>
        </is>
      </c>
      <c r="B34" s="81" t="n">
        <v>1501</v>
      </c>
      <c r="C34" s="82" t="n">
        <v>1665</v>
      </c>
    </row>
    <row r="35">
      <c r="A35" s="75" t="inlineStr">
        <is>
          <t>3BD</t>
        </is>
      </c>
      <c r="B35" s="81" t="n">
        <v>1750</v>
      </c>
      <c r="C35" s="82" t="n">
        <v>1705</v>
      </c>
      <c r="L35" s="83" t="inlineStr">
        <is>
          <t>Current vs. Market Rent Comparison</t>
        </is>
      </c>
    </row>
    <row r="36">
      <c r="L36" s="84" t="inlineStr">
        <is>
          <t>Market Rents = Avg of 4 Market-Rate Comps</t>
        </is>
      </c>
    </row>
    <row r="37">
      <c r="L37" s="85" t="inlineStr"/>
      <c r="M37" s="85" t="inlineStr">
        <is>
          <t>Current Rent</t>
        </is>
      </c>
      <c r="N37" s="85" t="inlineStr">
        <is>
          <t>Market Rents</t>
        </is>
      </c>
      <c r="O37" s="85" t="inlineStr">
        <is>
          <t>Difference</t>
        </is>
      </c>
    </row>
    <row r="38">
      <c r="L38" s="86" t="inlineStr">
        <is>
          <t>1BD</t>
        </is>
      </c>
      <c r="M38" s="87" t="n"/>
      <c r="N38" s="88" t="n">
        <v>1325</v>
      </c>
      <c r="O38" s="89">
        <f>IF(M38="","",N38-M38)</f>
        <v/>
      </c>
    </row>
    <row r="39">
      <c r="L39" s="86" t="inlineStr">
        <is>
          <t>2BD</t>
        </is>
      </c>
      <c r="M39" s="87" t="n"/>
      <c r="N39" s="88" t="n">
        <v>1625</v>
      </c>
      <c r="O39" s="89">
        <f>IF(M39="","",N39-M39)</f>
        <v/>
      </c>
    </row>
    <row r="40">
      <c r="L40" s="86" t="inlineStr">
        <is>
          <t>3BD</t>
        </is>
      </c>
      <c r="M40" s="87" t="n"/>
      <c r="N40" s="88" t="n">
        <v>1962</v>
      </c>
      <c r="O40" s="89">
        <f>IF(M40="","",N40-M40)</f>
        <v/>
      </c>
    </row>
  </sheetData>
  <mergeCells count="8">
    <mergeCell ref="A24:F24"/>
    <mergeCell ref="L36:O36"/>
    <mergeCell ref="A2:AE2"/>
    <mergeCell ref="A31:C31"/>
    <mergeCell ref="A1:AE1"/>
    <mergeCell ref="L35:O35"/>
    <mergeCell ref="A17:AE17"/>
    <mergeCell ref="A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9"/>
  <sheetViews>
    <sheetView workbookViewId="0">
      <pane ySplit="4" topLeftCell="A5" activePane="bottomLeft" state="frozen"/>
      <selection pane="bottomLeft" activeCell="G11" sqref="G1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4" customWidth="1" style="65" min="13" max="15"/>
    <col width="14" customWidth="1" style="65" min="14" max="14"/>
    <col width="14" customWidth="1" style="65" min="15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MACEDONIA GARDEN | GREEN = Affordable Comps | BLUE = Market Rate Comps</t>
        </is>
      </c>
    </row>
    <row r="2" ht="20.1" customHeight="1" s="65">
      <c r="A2" s="6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/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2"/>
    <row r="23"/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1620</v>
      </c>
      <c r="E26" s="77" t="n">
        <v>127</v>
      </c>
      <c r="F26" s="78" t="n">
        <v>1493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2150</v>
      </c>
      <c r="E27" s="77" t="n">
        <v>150</v>
      </c>
      <c r="F27" s="78" t="n">
        <v>2000</v>
      </c>
    </row>
    <row r="28"/>
    <row r="29"/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1390</v>
      </c>
      <c r="C32" s="82" t="n">
        <v>1401</v>
      </c>
    </row>
    <row r="33">
      <c r="A33" s="79" t="inlineStr">
        <is>
          <t>3BD</t>
        </is>
      </c>
      <c r="B33" s="81" t="n">
        <v>1545</v>
      </c>
      <c r="C33" s="82" t="n">
        <v>1614</v>
      </c>
    </row>
    <row r="35">
      <c r="L35" s="83" t="inlineStr">
        <is>
          <t>Current vs. Market Rent Comparison</t>
        </is>
      </c>
    </row>
    <row r="36">
      <c r="L36" s="84" t="inlineStr">
        <is>
          <t>Market Rents = Avg of 4 Market-Rate Comps</t>
        </is>
      </c>
    </row>
    <row r="37">
      <c r="L37" s="85" t="inlineStr"/>
      <c r="M37" s="85" t="inlineStr">
        <is>
          <t>Current Rent</t>
        </is>
      </c>
      <c r="N37" s="85" t="inlineStr">
        <is>
          <t>Market Rents</t>
        </is>
      </c>
      <c r="O37" s="85" t="inlineStr">
        <is>
          <t>Difference</t>
        </is>
      </c>
    </row>
    <row r="38">
      <c r="L38" s="86" t="inlineStr">
        <is>
          <t>2BD</t>
        </is>
      </c>
      <c r="M38" s="87" t="n"/>
      <c r="N38" s="88" t="n">
        <v>1062</v>
      </c>
      <c r="O38" s="89">
        <f>IF(M38="","",N38-M38)</f>
        <v/>
      </c>
    </row>
    <row r="39">
      <c r="L39" s="86" t="inlineStr">
        <is>
          <t>3BD</t>
        </is>
      </c>
      <c r="M39" s="87" t="n"/>
      <c r="N39" s="88" t="n">
        <v>1356</v>
      </c>
      <c r="O39" s="89">
        <f>IF(M39="","",N39-M39)</f>
        <v/>
      </c>
    </row>
  </sheetData>
  <mergeCells count="8">
    <mergeCell ref="A24:F24"/>
    <mergeCell ref="A17:AA17"/>
    <mergeCell ref="L36:O36"/>
    <mergeCell ref="A3:AA3"/>
    <mergeCell ref="A2:AA2"/>
    <mergeCell ref="L35:O35"/>
    <mergeCell ref="A30:C30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5"/>
  <sheetViews>
    <sheetView workbookViewId="0">
      <pane ySplit="4" topLeftCell="A14" activePane="bottomLeft" state="frozen"/>
      <selection pane="bottomLeft" activeCell="K14" sqref="K1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CORAL VILLAGE | GREEN = Affordable Comps | BLUE = Market Rate Comps</t>
        </is>
      </c>
    </row>
    <row r="2" ht="20.1" customHeight="1" s="65">
      <c r="A2" s="61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1375</v>
      </c>
      <c r="C26" s="76" t="n">
        <v>1425</v>
      </c>
      <c r="D26" s="76" t="n">
        <v>1650</v>
      </c>
      <c r="E26" s="77" t="n">
        <v>89</v>
      </c>
      <c r="F26" s="78" t="n">
        <v>1561</v>
      </c>
    </row>
    <row r="27">
      <c r="A27" s="79" t="inlineStr">
        <is>
          <t>2BD</t>
        </is>
      </c>
      <c r="B27" s="80" t="n">
        <v>0</v>
      </c>
      <c r="C27" s="80" t="n">
        <v>1625</v>
      </c>
      <c r="D27" s="80" t="n">
        <v>2040</v>
      </c>
      <c r="E27" s="77" t="n">
        <v>115</v>
      </c>
      <c r="F27" s="78" t="n">
        <v>1925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35%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670</v>
      </c>
      <c r="C32" s="76" t="n">
        <v>525</v>
      </c>
      <c r="D32" s="77" t="n">
        <v>89</v>
      </c>
      <c r="E32" s="78" t="n">
        <v>436</v>
      </c>
    </row>
    <row r="33">
      <c r="A33" s="79" t="inlineStr">
        <is>
          <t>2BD</t>
        </is>
      </c>
      <c r="B33" s="80" t="n">
        <v>804</v>
      </c>
      <c r="C33" s="80" t="n">
        <v>621</v>
      </c>
      <c r="D33" s="77" t="n">
        <v>115</v>
      </c>
      <c r="E33" s="78" t="n">
        <v>506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1BD</t>
        </is>
      </c>
      <c r="B35" s="76" t="n">
        <v>958</v>
      </c>
      <c r="C35" s="76" t="n">
        <v>788</v>
      </c>
      <c r="D35" s="77" t="n">
        <v>89</v>
      </c>
      <c r="E35" s="78" t="n">
        <v>699</v>
      </c>
    </row>
    <row r="36">
      <c r="A36" s="79" t="inlineStr">
        <is>
          <t>2BD</t>
        </is>
      </c>
      <c r="B36" s="80" t="n">
        <v>1148</v>
      </c>
      <c r="C36" s="80" t="n">
        <v>937</v>
      </c>
      <c r="D36" s="77" t="n">
        <v>115</v>
      </c>
      <c r="E36" s="78" t="n">
        <v>822</v>
      </c>
    </row>
    <row r="37">
      <c r="A37" s="69" t="inlineStr"/>
      <c r="B37" s="70" t="inlineStr">
        <is>
          <t>LIHTC/MKT</t>
        </is>
      </c>
      <c r="C37" s="72" t="inlineStr">
        <is>
          <t>60%</t>
        </is>
      </c>
      <c r="D37" s="73" t="inlineStr">
        <is>
          <t>UAP</t>
        </is>
      </c>
      <c r="E37" s="74" t="inlineStr">
        <is>
          <t>NET</t>
        </is>
      </c>
    </row>
    <row r="38">
      <c r="A38" s="75" t="inlineStr">
        <is>
          <t>1BD</t>
        </is>
      </c>
      <c r="B38" s="76" t="n">
        <v>1149</v>
      </c>
      <c r="C38" s="76" t="n">
        <v>964</v>
      </c>
      <c r="D38" s="77" t="n">
        <v>89</v>
      </c>
      <c r="E38" s="78" t="n">
        <v>875</v>
      </c>
    </row>
    <row r="39">
      <c r="A39" s="79" t="inlineStr">
        <is>
          <t>2BD</t>
        </is>
      </c>
      <c r="B39" s="80" t="n">
        <v>1378</v>
      </c>
      <c r="C39" s="80" t="n">
        <v>1148</v>
      </c>
      <c r="D39" s="77" t="n">
        <v>115</v>
      </c>
      <c r="E39" s="78" t="n">
        <v>1033</v>
      </c>
    </row>
    <row r="42">
      <c r="A42" s="66" t="inlineStr">
        <is>
          <t>HAP, CoStar, NET</t>
        </is>
      </c>
      <c r="B42" s="67" t="n"/>
      <c r="C42" s="68" t="n"/>
    </row>
    <row r="43">
      <c r="A43" s="69" t="inlineStr"/>
      <c r="B43" s="73" t="inlineStr">
        <is>
          <t>HAP</t>
        </is>
      </c>
      <c r="C43" s="70" t="inlineStr">
        <is>
          <t>CoStar</t>
        </is>
      </c>
    </row>
    <row r="44">
      <c r="A44" s="75" t="inlineStr">
        <is>
          <t>1BD</t>
        </is>
      </c>
      <c r="B44" s="81" t="n">
        <v>1469</v>
      </c>
      <c r="C44" s="82" t="n">
        <v>1470</v>
      </c>
    </row>
    <row r="45">
      <c r="A45" s="79" t="inlineStr">
        <is>
          <t>2BD</t>
        </is>
      </c>
      <c r="B45" s="81" t="n">
        <v>1821</v>
      </c>
      <c r="C45" s="82" t="n">
        <v>1790</v>
      </c>
    </row>
  </sheetData>
  <mergeCells count="7">
    <mergeCell ref="A24:F24"/>
    <mergeCell ref="A42:C42"/>
    <mergeCell ref="A17:AA17"/>
    <mergeCell ref="A30:E30"/>
    <mergeCell ref="A3:AA3"/>
    <mergeCell ref="A2:AA2"/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7"/>
  <sheetViews>
    <sheetView tabSelected="1" workbookViewId="0">
      <pane ySplit="4" topLeftCell="A11" activePane="bottomLeft" state="frozen"/>
      <selection pane="bottomLeft" activeCell="I22" sqref="I22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HOLIDAY APTS | GREEN = Affordable Comps | BLUE = Market Rate Comps</t>
        </is>
      </c>
    </row>
    <row r="2" ht="20.1" customHeight="1" s="65">
      <c r="A2" s="6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29">
      <c r="A29" s="79" t="inlineStr">
        <is>
          <t>5BD</t>
        </is>
      </c>
      <c r="B29" s="80" t="n">
        <v>0</v>
      </c>
      <c r="C29" s="80" t="n">
        <v>0</v>
      </c>
      <c r="D29" s="80" t="n">
        <v>1426</v>
      </c>
      <c r="E29" s="77" t="n">
        <v>235</v>
      </c>
      <c r="F29" s="78" t="n">
        <v>1191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885</v>
      </c>
      <c r="C34" s="82" t="n">
        <v>826</v>
      </c>
    </row>
    <row r="35">
      <c r="A35" s="79" t="inlineStr">
        <is>
          <t>3BD</t>
        </is>
      </c>
      <c r="B35" s="81" t="n">
        <v>1015</v>
      </c>
      <c r="C35" s="82" t="n">
        <v>895</v>
      </c>
    </row>
    <row r="36">
      <c r="A36" s="75" t="inlineStr">
        <is>
          <t>4BD</t>
        </is>
      </c>
      <c r="B36" s="81" t="n">
        <v>1085</v>
      </c>
      <c r="C36" s="82" t="n">
        <v>1131</v>
      </c>
    </row>
    <row r="37">
      <c r="A37" s="79" t="inlineStr">
        <is>
          <t>5BD</t>
        </is>
      </c>
      <c r="B37" s="81" t="n">
        <v>1180</v>
      </c>
      <c r="C37" s="82" t="n">
        <v>1474</v>
      </c>
    </row>
  </sheetData>
  <mergeCells count="6">
    <mergeCell ref="A24:F24"/>
    <mergeCell ref="A2:AI2"/>
    <mergeCell ref="A32:C32"/>
    <mergeCell ref="A1:AI1"/>
    <mergeCell ref="A17:AI17"/>
    <mergeCell ref="A3:A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6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CUMBERLAND | GREEN = Affordable Comps | BLUE = Market Rate Comps</t>
        </is>
      </c>
    </row>
    <row r="2" ht="20.1" customHeight="1" s="65">
      <c r="A2" s="6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800</v>
      </c>
      <c r="E26" s="77" t="n">
        <v>116</v>
      </c>
      <c r="F26" s="78" t="n">
        <v>684</v>
      </c>
    </row>
    <row r="27">
      <c r="A27" s="79" t="inlineStr">
        <is>
          <t>2BD</t>
        </is>
      </c>
      <c r="B27" s="80" t="n">
        <v>0</v>
      </c>
      <c r="C27" s="80" t="n">
        <v>0</v>
      </c>
      <c r="D27" s="80" t="n">
        <v>930</v>
      </c>
      <c r="E27" s="77" t="n">
        <v>131</v>
      </c>
      <c r="F27" s="78" t="n">
        <v>799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1120</v>
      </c>
      <c r="E28" s="77" t="n">
        <v>0</v>
      </c>
      <c r="F28" s="78" t="n">
        <v>1120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1027</v>
      </c>
      <c r="C33" s="82" t="n">
        <v>943</v>
      </c>
    </row>
    <row r="34">
      <c r="A34" s="79" t="inlineStr">
        <is>
          <t>2BD</t>
        </is>
      </c>
      <c r="B34" s="81" t="n">
        <v>1115</v>
      </c>
      <c r="C34" s="82" t="n">
        <v>1063</v>
      </c>
    </row>
    <row r="35">
      <c r="A35" s="75" t="inlineStr">
        <is>
          <t>3BD</t>
        </is>
      </c>
      <c r="B35" s="81" t="n">
        <v>1233</v>
      </c>
      <c r="C35" s="82" t="n">
        <v>1219</v>
      </c>
    </row>
    <row r="36">
      <c r="A36" s="79" t="inlineStr">
        <is>
          <t>4BD</t>
        </is>
      </c>
      <c r="B36" s="81" t="n">
        <v>1380</v>
      </c>
      <c r="C36" s="82" t="n">
        <v>1131</v>
      </c>
    </row>
  </sheetData>
  <mergeCells count="6">
    <mergeCell ref="A24:F24"/>
    <mergeCell ref="A2:AI2"/>
    <mergeCell ref="A31:C31"/>
    <mergeCell ref="A1:AI1"/>
    <mergeCell ref="A17:AI17"/>
    <mergeCell ref="A3:A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VILLAGE GREEN | GREEN = Affordable Comps | BLUE = Market Rate Comps</t>
        </is>
      </c>
    </row>
    <row r="2" ht="20.1" customHeight="1" s="65">
      <c r="A2" s="61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755</v>
      </c>
      <c r="C26" s="76" t="n">
        <v>0</v>
      </c>
      <c r="D26" s="76" t="n">
        <v>840</v>
      </c>
      <c r="E26" s="77" t="n">
        <v>0</v>
      </c>
      <c r="F26" s="78" t="n">
        <v>840</v>
      </c>
    </row>
    <row r="27">
      <c r="A27" s="79" t="inlineStr">
        <is>
          <t>2BD</t>
        </is>
      </c>
      <c r="B27" s="80" t="n">
        <v>800</v>
      </c>
      <c r="C27" s="80" t="n">
        <v>0</v>
      </c>
      <c r="D27" s="80" t="n">
        <v>940</v>
      </c>
      <c r="E27" s="77" t="n">
        <v>148</v>
      </c>
      <c r="F27" s="78" t="n">
        <v>792</v>
      </c>
    </row>
    <row r="28">
      <c r="A28" s="75" t="inlineStr">
        <is>
          <t>3BD</t>
        </is>
      </c>
      <c r="B28" s="76" t="n">
        <v>880</v>
      </c>
      <c r="C28" s="76" t="n">
        <v>0</v>
      </c>
      <c r="D28" s="76" t="n">
        <v>1240</v>
      </c>
      <c r="E28" s="77" t="n">
        <v>0</v>
      </c>
      <c r="F28" s="78" t="n">
        <v>1240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0</v>
      </c>
      <c r="C33" s="82" t="n">
        <v>762</v>
      </c>
    </row>
    <row r="34">
      <c r="A34" s="79" t="inlineStr">
        <is>
          <t>2BD</t>
        </is>
      </c>
      <c r="B34" s="81" t="n">
        <v>886</v>
      </c>
      <c r="C34" s="82" t="n">
        <v>829</v>
      </c>
    </row>
    <row r="35">
      <c r="A35" s="75" t="inlineStr">
        <is>
          <t>3BD</t>
        </is>
      </c>
      <c r="B35" s="81" t="n">
        <v>0</v>
      </c>
      <c r="C35" s="82" t="n">
        <v>901</v>
      </c>
    </row>
  </sheetData>
  <mergeCells count="6">
    <mergeCell ref="A24:F24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0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WALNUT HILL | GREEN = Affordable Comps | BLUE = Market Rate Comps</t>
        </is>
      </c>
    </row>
    <row r="2" ht="20.1" customHeight="1" s="65">
      <c r="A2" s="61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1533</v>
      </c>
      <c r="C33" s="76" t="n">
        <v>1346</v>
      </c>
      <c r="D33" s="77" t="n">
        <v>151</v>
      </c>
      <c r="E33" s="78" t="n">
        <v>1195</v>
      </c>
    </row>
    <row r="34">
      <c r="A34" s="79" t="inlineStr">
        <is>
          <t>3BD</t>
        </is>
      </c>
      <c r="B34" s="80" t="n">
        <v>1770</v>
      </c>
      <c r="C34" s="80" t="n">
        <v>1518</v>
      </c>
      <c r="D34" s="77" t="n">
        <v>254</v>
      </c>
      <c r="E34" s="78" t="n">
        <v>1264</v>
      </c>
    </row>
    <row r="37">
      <c r="A37" s="66" t="inlineStr">
        <is>
          <t>HAP, CoStar, NET</t>
        </is>
      </c>
      <c r="B37" s="67" t="n"/>
      <c r="C37" s="68" t="n"/>
    </row>
    <row r="38">
      <c r="A38" s="69" t="inlineStr"/>
      <c r="B38" s="73" t="inlineStr">
        <is>
          <t>HAP</t>
        </is>
      </c>
      <c r="C38" s="70" t="inlineStr">
        <is>
          <t>CoStar</t>
        </is>
      </c>
    </row>
    <row r="39">
      <c r="A39" s="75" t="inlineStr">
        <is>
          <t>2BD</t>
        </is>
      </c>
      <c r="B39" s="81" t="n">
        <v>0</v>
      </c>
      <c r="C39" s="82" t="n">
        <v>1464</v>
      </c>
    </row>
    <row r="40">
      <c r="A40" s="79" t="inlineStr">
        <is>
          <t>3BD</t>
        </is>
      </c>
      <c r="B40" s="81" t="n">
        <v>0</v>
      </c>
      <c r="C40" s="82" t="n">
        <v>1736</v>
      </c>
    </row>
  </sheetData>
  <mergeCells count="7">
    <mergeCell ref="A24:F24"/>
    <mergeCell ref="A17:AA17"/>
    <mergeCell ref="A3:AA3"/>
    <mergeCell ref="A37:C37"/>
    <mergeCell ref="A2:AA2"/>
    <mergeCell ref="A31:E31"/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2"/>
  <sheetViews>
    <sheetView workbookViewId="0">
      <pane ySplit="4" topLeftCell="A14" activePane="bottomLeft" state="frozen"/>
      <selection pane="bottomLeft" activeCell="G24" sqref="G2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RIVER POINTE | GREEN = Affordable Comps | BLUE = Market Rate Comps</t>
        </is>
      </c>
    </row>
    <row r="2" ht="20.1" customHeight="1" s="65">
      <c r="A2" s="61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1400</v>
      </c>
      <c r="D26" s="76" t="n">
        <v>1350</v>
      </c>
      <c r="E26" s="77" t="n">
        <v>130</v>
      </c>
      <c r="F26" s="78" t="n">
        <v>1220</v>
      </c>
    </row>
    <row r="27">
      <c r="A27" s="79" t="inlineStr">
        <is>
          <t>3BD</t>
        </is>
      </c>
      <c r="B27" s="80" t="n">
        <v>0</v>
      </c>
      <c r="C27" s="80" t="n">
        <v>1600</v>
      </c>
      <c r="D27" s="80" t="n">
        <v>1630</v>
      </c>
      <c r="E27" s="77" t="n">
        <v>170</v>
      </c>
      <c r="F27" s="78" t="n">
        <v>1460</v>
      </c>
    </row>
    <row r="28">
      <c r="A28" s="75" t="inlineStr">
        <is>
          <t>4BD</t>
        </is>
      </c>
      <c r="B28" s="76" t="n">
        <v>0</v>
      </c>
      <c r="C28" s="76" t="n">
        <v>1700</v>
      </c>
      <c r="D28" s="76" t="n">
        <v>1810</v>
      </c>
      <c r="E28" s="77" t="n">
        <v>209</v>
      </c>
      <c r="F28" s="78" t="n">
        <v>1601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50%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1226</v>
      </c>
      <c r="C33" s="76" t="n">
        <v>1018</v>
      </c>
      <c r="D33" s="77" t="n">
        <v>130</v>
      </c>
      <c r="E33" s="78" t="n">
        <v>888</v>
      </c>
    </row>
    <row r="34">
      <c r="A34" s="79" t="inlineStr">
        <is>
          <t>3BD</t>
        </is>
      </c>
      <c r="B34" s="80" t="n">
        <v>1417</v>
      </c>
      <c r="C34" s="80" t="n">
        <v>1162</v>
      </c>
      <c r="D34" s="77" t="n">
        <v>170</v>
      </c>
      <c r="E34" s="78" t="n">
        <v>992</v>
      </c>
    </row>
    <row r="35">
      <c r="A35" s="75" t="inlineStr">
        <is>
          <t>4BD</t>
        </is>
      </c>
      <c r="B35" s="76" t="n">
        <v>1581</v>
      </c>
      <c r="C35" s="76" t="n">
        <v>1282</v>
      </c>
      <c r="D35" s="77" t="n">
        <v>209</v>
      </c>
      <c r="E35" s="78" t="n">
        <v>1073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1272</v>
      </c>
    </row>
    <row r="41">
      <c r="A41" s="79" t="inlineStr">
        <is>
          <t>3BD</t>
        </is>
      </c>
      <c r="B41" s="81" t="n">
        <v>0</v>
      </c>
      <c r="C41" s="82" t="n">
        <v>1570</v>
      </c>
    </row>
    <row r="42">
      <c r="A42" s="75" t="inlineStr">
        <is>
          <t>4BD</t>
        </is>
      </c>
      <c r="B42" s="81" t="n">
        <v>0</v>
      </c>
      <c r="C42" s="82" t="n">
        <v>2685</v>
      </c>
    </row>
  </sheetData>
  <mergeCells count="7">
    <mergeCell ref="A24:F24"/>
    <mergeCell ref="A17:AA17"/>
    <mergeCell ref="A3:AA3"/>
    <mergeCell ref="A2:AA2"/>
    <mergeCell ref="A31:E31"/>
    <mergeCell ref="A1:AA1"/>
    <mergeCell ref="A38:C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41"/>
  <sheetViews>
    <sheetView workbookViewId="0">
      <pane ySplit="4" topLeftCell="A17" activePane="bottomLeft" state="frozen"/>
      <selection pane="bottomLeft" activeCell="B19" sqref="B19:E21"/>
      <selection activeCell="N32" sqref="N3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BRECKENRIDGE VILLAGE | GREEN = Affordable Comps | BLUE = Market Rate Comps</t>
        </is>
      </c>
    </row>
    <row r="2" ht="20.1" customHeight="1" s="65">
      <c r="A2" s="61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1520</v>
      </c>
      <c r="E26" s="77" t="n">
        <v>477</v>
      </c>
      <c r="F26" s="78" t="n">
        <v>1043</v>
      </c>
    </row>
    <row r="27">
      <c r="A27" s="79" t="inlineStr">
        <is>
          <t>4BD</t>
        </is>
      </c>
      <c r="B27" s="80" t="n">
        <v>0</v>
      </c>
      <c r="C27" s="80" t="n">
        <v>1618</v>
      </c>
      <c r="D27" s="80" t="n">
        <v>2440</v>
      </c>
      <c r="E27" s="77" t="n">
        <v>477</v>
      </c>
      <c r="F27" s="78" t="n">
        <v>1963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50%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4BD</t>
        </is>
      </c>
      <c r="B32" s="76" t="n">
        <v>1746</v>
      </c>
      <c r="C32" s="76" t="n">
        <v>1269</v>
      </c>
      <c r="D32" s="77" t="n">
        <v>477</v>
      </c>
      <c r="E32" s="78" t="n">
        <v>792</v>
      </c>
    </row>
    <row r="33">
      <c r="A33" s="69" t="inlineStr"/>
      <c r="B33" s="70" t="inlineStr">
        <is>
          <t>LIHTC/MKT</t>
        </is>
      </c>
      <c r="C33" s="72" t="inlineStr">
        <is>
          <t>60%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2BD</t>
        </is>
      </c>
      <c r="B34" s="76" t="n">
        <v>1626</v>
      </c>
      <c r="C34" s="76" t="n">
        <v>1275</v>
      </c>
      <c r="D34" s="77" t="n">
        <v>477</v>
      </c>
      <c r="E34" s="78" t="n">
        <v>798</v>
      </c>
    </row>
    <row r="35">
      <c r="A35" s="79" t="inlineStr">
        <is>
          <t>4BD</t>
        </is>
      </c>
      <c r="B35" s="80" t="n">
        <v>2095</v>
      </c>
      <c r="C35" s="80" t="n">
        <v>1618</v>
      </c>
      <c r="D35" s="77" t="n">
        <v>477</v>
      </c>
      <c r="E35" s="78" t="n">
        <v>1141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1368</v>
      </c>
    </row>
    <row r="41">
      <c r="A41" s="79" t="inlineStr">
        <is>
          <t>4BD</t>
        </is>
      </c>
      <c r="B41" s="81" t="n">
        <v>0</v>
      </c>
      <c r="C41" s="82" t="n">
        <v>1766</v>
      </c>
    </row>
  </sheetData>
  <mergeCells count="7">
    <mergeCell ref="A24:F24"/>
    <mergeCell ref="A30:E30"/>
    <mergeCell ref="A17:AA17"/>
    <mergeCell ref="A3:AA3"/>
    <mergeCell ref="A2:AA2"/>
    <mergeCell ref="A1:AA1"/>
    <mergeCell ref="A38:C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LEXINGTON ARMS | GREEN = Affordable Comps | BLUE = Market Rate Comps</t>
        </is>
      </c>
    </row>
    <row r="2" ht="20.1" customHeight="1" s="65">
      <c r="A2" s="61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0</v>
      </c>
      <c r="D28" s="76" t="n">
        <v>1560</v>
      </c>
      <c r="E28" s="77" t="n">
        <v>477</v>
      </c>
      <c r="F28" s="78" t="n">
        <v>1083</v>
      </c>
    </row>
    <row r="29">
      <c r="A29" s="79" t="inlineStr">
        <is>
          <t>4BD</t>
        </is>
      </c>
      <c r="B29" s="80" t="n">
        <v>0</v>
      </c>
      <c r="C29" s="80" t="n">
        <v>1618</v>
      </c>
      <c r="D29" s="80" t="n">
        <v>2510</v>
      </c>
      <c r="E29" s="77" t="n">
        <v>477</v>
      </c>
      <c r="F29" s="78" t="n">
        <v>2033</v>
      </c>
    </row>
    <row r="32">
      <c r="A32" s="66" t="inlineStr">
        <is>
          <t>LIHTC, UAP, NET</t>
        </is>
      </c>
      <c r="B32" s="67" t="n"/>
      <c r="C32" s="67" t="n"/>
      <c r="D32" s="67" t="n"/>
      <c r="E32" s="68" t="n"/>
    </row>
    <row r="33">
      <c r="A33" s="69" t="inlineStr"/>
      <c r="B33" s="70" t="inlineStr">
        <is>
          <t>LIHTC/MKT</t>
        </is>
      </c>
      <c r="C33" s="72" t="inlineStr">
        <is>
          <t>50%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4BD</t>
        </is>
      </c>
      <c r="B34" s="76" t="n">
        <v>1746</v>
      </c>
      <c r="C34" s="76" t="n">
        <v>1269</v>
      </c>
      <c r="D34" s="77" t="n">
        <v>477</v>
      </c>
      <c r="E34" s="78" t="n">
        <v>792</v>
      </c>
    </row>
    <row r="35">
      <c r="A35" s="69" t="inlineStr"/>
      <c r="B35" s="70" t="inlineStr">
        <is>
          <t>LIHTC/MKT</t>
        </is>
      </c>
      <c r="C35" s="72" t="inlineStr">
        <is>
          <t>60%</t>
        </is>
      </c>
      <c r="D35" s="73" t="inlineStr">
        <is>
          <t>UAP</t>
        </is>
      </c>
      <c r="E35" s="74" t="inlineStr">
        <is>
          <t>NET</t>
        </is>
      </c>
    </row>
    <row r="36">
      <c r="A36" s="75" t="inlineStr">
        <is>
          <t>2BD</t>
        </is>
      </c>
      <c r="B36" s="76" t="n">
        <v>1626</v>
      </c>
      <c r="C36" s="76" t="n">
        <v>1125</v>
      </c>
      <c r="D36" s="77" t="n">
        <v>477</v>
      </c>
      <c r="E36" s="78" t="n">
        <v>648</v>
      </c>
    </row>
    <row r="37">
      <c r="A37" s="79" t="inlineStr">
        <is>
          <t>4BD</t>
        </is>
      </c>
      <c r="B37" s="80" t="n">
        <v>2095</v>
      </c>
      <c r="C37" s="80" t="n">
        <v>1618</v>
      </c>
      <c r="D37" s="77" t="n">
        <v>477</v>
      </c>
      <c r="E37" s="78" t="n">
        <v>1141</v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1537</v>
      </c>
    </row>
    <row r="43">
      <c r="A43" s="79" t="inlineStr">
        <is>
          <t>4BD</t>
        </is>
      </c>
      <c r="B43" s="81" t="n">
        <v>0</v>
      </c>
      <c r="C43" s="82" t="n">
        <v>1840</v>
      </c>
    </row>
  </sheetData>
  <mergeCells count="7">
    <mergeCell ref="A17:AA17"/>
    <mergeCell ref="A3:AA3"/>
    <mergeCell ref="A2:AA2"/>
    <mergeCell ref="A40:C40"/>
    <mergeCell ref="A32:E32"/>
    <mergeCell ref="A26:F26"/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2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GRACE TOWNHOMES | GREEN = Affordable Comps | BLUE = Market Rate Comps</t>
        </is>
      </c>
    </row>
    <row r="2" ht="20.1" customHeight="1" s="65">
      <c r="A2" s="61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1198</v>
      </c>
      <c r="D26" s="76" t="n">
        <v>1290</v>
      </c>
      <c r="E26" s="77" t="n">
        <v>157</v>
      </c>
      <c r="F26" s="78" t="n">
        <v>1133</v>
      </c>
    </row>
    <row r="27">
      <c r="A27" s="79" t="inlineStr">
        <is>
          <t>2BD</t>
        </is>
      </c>
      <c r="B27" s="80" t="n">
        <v>0</v>
      </c>
      <c r="C27" s="80" t="n">
        <v>1430</v>
      </c>
      <c r="D27" s="80" t="n">
        <v>1520</v>
      </c>
      <c r="E27" s="77" t="n">
        <v>196</v>
      </c>
      <c r="F27" s="78" t="n">
        <v>1324</v>
      </c>
    </row>
    <row r="28">
      <c r="A28" s="75" t="inlineStr">
        <is>
          <t>3BD</t>
        </is>
      </c>
      <c r="B28" s="76" t="n">
        <v>0</v>
      </c>
      <c r="C28" s="76" t="n">
        <v>1645</v>
      </c>
      <c r="D28" s="76" t="n">
        <v>1900</v>
      </c>
      <c r="E28" s="77" t="n">
        <v>233</v>
      </c>
      <c r="F28" s="78" t="n">
        <v>1667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1355</v>
      </c>
      <c r="C33" s="76" t="n">
        <v>1198</v>
      </c>
      <c r="D33" s="77" t="n">
        <v>157</v>
      </c>
      <c r="E33" s="78" t="n">
        <v>1041</v>
      </c>
    </row>
    <row r="34">
      <c r="A34" s="79" t="inlineStr">
        <is>
          <t>2BD</t>
        </is>
      </c>
      <c r="B34" s="80" t="n">
        <v>1626</v>
      </c>
      <c r="C34" s="80" t="n">
        <v>1430</v>
      </c>
      <c r="D34" s="77" t="n">
        <v>196</v>
      </c>
      <c r="E34" s="78" t="n">
        <v>1234</v>
      </c>
    </row>
    <row r="35">
      <c r="A35" s="75" t="inlineStr">
        <is>
          <t>3BD</t>
        </is>
      </c>
      <c r="B35" s="76" t="n">
        <v>1878</v>
      </c>
      <c r="C35" s="76" t="n">
        <v>1645</v>
      </c>
      <c r="D35" s="77" t="n">
        <v>233</v>
      </c>
      <c r="E35" s="78" t="n">
        <v>1412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1248</v>
      </c>
    </row>
    <row r="41">
      <c r="A41" s="79" t="inlineStr">
        <is>
          <t>2BD</t>
        </is>
      </c>
      <c r="B41" s="81" t="n">
        <v>0</v>
      </c>
      <c r="C41" s="82" t="n">
        <v>1463</v>
      </c>
    </row>
    <row r="42">
      <c r="A42" s="75" t="inlineStr">
        <is>
          <t>3BD</t>
        </is>
      </c>
      <c r="B42" s="81" t="n">
        <v>0</v>
      </c>
      <c r="C42" s="82" t="n">
        <v>1798</v>
      </c>
    </row>
  </sheetData>
  <mergeCells count="7">
    <mergeCell ref="A24:F24"/>
    <mergeCell ref="A2:AE2"/>
    <mergeCell ref="A1:AE1"/>
    <mergeCell ref="A38:C38"/>
    <mergeCell ref="A31:E31"/>
    <mergeCell ref="A17:AE17"/>
    <mergeCell ref="A3:A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GROVE PARK TERRACE | GREEN = Affordable Comps | BLUE = Market Rate Comps</t>
        </is>
      </c>
    </row>
    <row r="2" ht="20.1" customHeight="1" s="65">
      <c r="A2" s="6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800</v>
      </c>
      <c r="E22" s="77" t="n">
        <v>116</v>
      </c>
      <c r="F22" s="78" t="n">
        <v>684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930</v>
      </c>
      <c r="E23" s="77" t="n">
        <v>131</v>
      </c>
      <c r="F23" s="78" t="n">
        <v>799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1061</v>
      </c>
      <c r="C28" s="82" t="n">
        <v>1122</v>
      </c>
    </row>
    <row r="29">
      <c r="A29" s="79" t="inlineStr">
        <is>
          <t>2BD</t>
        </is>
      </c>
      <c r="B29" s="81" t="n">
        <v>1211</v>
      </c>
      <c r="C29" s="82" t="n">
        <v>1332</v>
      </c>
    </row>
    <row r="30">
      <c r="A30" s="75" t="inlineStr">
        <is>
          <t>3BD</t>
        </is>
      </c>
      <c r="B30" s="81" t="n">
        <v>1552</v>
      </c>
      <c r="C30" s="82" t="n">
        <v>1548</v>
      </c>
    </row>
  </sheetData>
  <mergeCells count="6">
    <mergeCell ref="A2:AE2"/>
    <mergeCell ref="A1:AE1"/>
    <mergeCell ref="A17:AE17"/>
    <mergeCell ref="A20:F20"/>
    <mergeCell ref="A26:C26"/>
    <mergeCell ref="A3:A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LA PROMESA | GREEN = Affordable Comps | BLUE = Market Rate Comps</t>
        </is>
      </c>
    </row>
    <row r="2" ht="20.1" customHeight="1" s="65">
      <c r="A2" s="61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5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5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5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0</v>
      </c>
      <c r="F22" s="78" t="n">
        <v>1070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0</v>
      </c>
      <c r="F23" s="78" t="n">
        <v>1290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2BD</t>
        </is>
      </c>
      <c r="B28" s="81" t="n">
        <v>1515</v>
      </c>
      <c r="C28" s="82" t="n">
        <v>1315</v>
      </c>
    </row>
    <row r="29">
      <c r="A29" s="79" t="inlineStr">
        <is>
          <t>2BD HC</t>
        </is>
      </c>
      <c r="B29" s="81" t="n">
        <v>1570</v>
      </c>
      <c r="C29" s="82" t="n">
        <v>1315</v>
      </c>
    </row>
    <row r="30">
      <c r="A30" s="75" t="inlineStr">
        <is>
          <t>2BD TH</t>
        </is>
      </c>
      <c r="B30" s="81" t="n">
        <v>1720</v>
      </c>
      <c r="C30" s="82" t="n">
        <v>1315</v>
      </c>
    </row>
    <row r="31">
      <c r="A31" s="79" t="inlineStr">
        <is>
          <t>3BD</t>
        </is>
      </c>
      <c r="B31" s="81" t="n">
        <v>1845</v>
      </c>
      <c r="C31" s="82" t="n">
        <v>1630</v>
      </c>
    </row>
  </sheetData>
  <mergeCells count="6">
    <mergeCell ref="A17:AA17"/>
    <mergeCell ref="A3:AA3"/>
    <mergeCell ref="A2:AA2"/>
    <mergeCell ref="A20:F20"/>
    <mergeCell ref="A1:AA1"/>
    <mergeCell ref="A26:C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NEW WILMINGTON ARMS | GREEN = Affordable Comps | BLUE = Market Rate Comps</t>
        </is>
      </c>
    </row>
    <row r="2" ht="20.1" customHeight="1" s="65">
      <c r="A2" s="6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73</v>
      </c>
      <c r="F22" s="78" t="n">
        <v>1737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79</v>
      </c>
      <c r="F23" s="78" t="n">
        <v>2211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2940</v>
      </c>
      <c r="E24" s="77" t="n">
        <v>137</v>
      </c>
      <c r="F24" s="78" t="n">
        <v>2803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3240</v>
      </c>
      <c r="E25" s="77" t="n">
        <v>187</v>
      </c>
      <c r="F25" s="78" t="n">
        <v>3053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1172</v>
      </c>
      <c r="C30" s="82" t="n">
        <v>1929</v>
      </c>
    </row>
    <row r="31">
      <c r="A31" s="79" t="inlineStr">
        <is>
          <t>2BD</t>
        </is>
      </c>
      <c r="B31" s="81" t="n">
        <v>1500</v>
      </c>
      <c r="C31" s="82" t="n">
        <v>2232</v>
      </c>
    </row>
    <row r="32">
      <c r="A32" s="75" t="inlineStr">
        <is>
          <t>3BD</t>
        </is>
      </c>
      <c r="B32" s="81" t="n">
        <v>1747</v>
      </c>
      <c r="C32" s="82" t="n">
        <v>2508</v>
      </c>
    </row>
    <row r="33">
      <c r="A33" s="79" t="inlineStr">
        <is>
          <t>4BD</t>
        </is>
      </c>
      <c r="B33" s="81" t="n">
        <v>2042</v>
      </c>
      <c r="C33" s="82" t="n">
        <v>2894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6"/>
  <sheetViews>
    <sheetView workbookViewId="0">
      <pane ySplit="4" topLeftCell="A14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30.28515625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GATES ON MANHATTAN | GREEN = Affordable Comps | BLUE = Market Rate Comps</t>
        </is>
      </c>
    </row>
    <row r="2" ht="20.1" customHeight="1" s="65">
      <c r="A2" s="6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1BD</t>
        </is>
      </c>
      <c r="B27" s="76" t="n">
        <v>1000</v>
      </c>
      <c r="C27" s="76" t="n">
        <v>1000</v>
      </c>
      <c r="D27" s="76" t="n">
        <v>1250</v>
      </c>
      <c r="E27" s="77" t="n">
        <v>0</v>
      </c>
      <c r="F27" s="78" t="n">
        <v>1250</v>
      </c>
    </row>
    <row r="28">
      <c r="A28" s="79" t="inlineStr">
        <is>
          <t>2BD</t>
        </is>
      </c>
      <c r="B28" s="80" t="n">
        <v>1200</v>
      </c>
      <c r="C28" s="80" t="n">
        <v>1200</v>
      </c>
      <c r="D28" s="80" t="n">
        <v>1490</v>
      </c>
      <c r="E28" s="77" t="n">
        <v>0</v>
      </c>
      <c r="F28" s="78" t="n">
        <v>1490</v>
      </c>
    </row>
    <row r="29">
      <c r="A29" s="75" t="inlineStr">
        <is>
          <t>3BD</t>
        </is>
      </c>
      <c r="B29" s="76" t="n">
        <v>1300</v>
      </c>
      <c r="C29" s="76" t="n">
        <v>1300</v>
      </c>
      <c r="D29" s="76" t="n">
        <v>1900</v>
      </c>
      <c r="E29" s="77" t="n">
        <v>0</v>
      </c>
      <c r="F29" s="78" t="n">
        <v>1900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1095</v>
      </c>
    </row>
    <row r="35">
      <c r="A35" s="79" t="inlineStr">
        <is>
          <t>2BD</t>
        </is>
      </c>
      <c r="B35" s="81" t="n">
        <v>0</v>
      </c>
      <c r="C35" s="82" t="n">
        <v>1415</v>
      </c>
    </row>
    <row r="36">
      <c r="A36" s="75" t="inlineStr">
        <is>
          <t>3BD</t>
        </is>
      </c>
      <c r="B36" s="81" t="n">
        <v>0</v>
      </c>
      <c r="C36" s="82" t="n">
        <v>1655</v>
      </c>
    </row>
  </sheetData>
  <mergeCells count="6">
    <mergeCell ref="A2:AE2"/>
    <mergeCell ref="A32:C32"/>
    <mergeCell ref="A1:AE1"/>
    <mergeCell ref="A17:AE17"/>
    <mergeCell ref="A3:AE3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1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RUBY DIAMOND | GREEN = Affordable Comps | BLUE = Market Rate Comps</t>
        </is>
      </c>
    </row>
    <row r="2" ht="20.1" customHeight="1" s="65">
      <c r="A2" s="61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3BD</t>
        </is>
      </c>
      <c r="B27" s="76" t="n">
        <v>0</v>
      </c>
      <c r="C27" s="76" t="n">
        <v>1500</v>
      </c>
      <c r="D27" s="76" t="n">
        <v>1900</v>
      </c>
      <c r="E27" s="77" t="n">
        <v>289</v>
      </c>
      <c r="F27" s="78" t="n">
        <v>1611</v>
      </c>
    </row>
    <row r="28">
      <c r="A28" s="79" t="inlineStr">
        <is>
          <t>4BD</t>
        </is>
      </c>
      <c r="B28" s="80" t="n">
        <v>0</v>
      </c>
      <c r="C28" s="80" t="n">
        <v>1550</v>
      </c>
      <c r="D28" s="80" t="n">
        <v>2240</v>
      </c>
      <c r="E28" s="77" t="n">
        <v>374</v>
      </c>
      <c r="F28" s="78" t="n">
        <v>1866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3BD</t>
        </is>
      </c>
      <c r="B33" s="76" t="n">
        <v>1401</v>
      </c>
      <c r="C33" s="76" t="n">
        <v>1112</v>
      </c>
      <c r="D33" s="77" t="n">
        <v>289</v>
      </c>
      <c r="E33" s="78" t="n">
        <v>823</v>
      </c>
    </row>
    <row r="34">
      <c r="A34" s="79" t="inlineStr">
        <is>
          <t>4BD</t>
        </is>
      </c>
      <c r="B34" s="80" t="n">
        <v>1563</v>
      </c>
      <c r="C34" s="80" t="n">
        <v>1189</v>
      </c>
      <c r="D34" s="77" t="n">
        <v>374</v>
      </c>
      <c r="E34" s="78" t="n">
        <v>815</v>
      </c>
    </row>
    <row r="37">
      <c r="A37" s="66" t="inlineStr">
        <is>
          <t>HAP, CoStar, NET</t>
        </is>
      </c>
      <c r="B37" s="67" t="n"/>
      <c r="C37" s="68" t="n"/>
    </row>
    <row r="38">
      <c r="A38" s="69" t="inlineStr"/>
      <c r="B38" s="73" t="inlineStr">
        <is>
          <t>HAP</t>
        </is>
      </c>
      <c r="C38" s="70" t="inlineStr">
        <is>
          <t>CoStar</t>
        </is>
      </c>
    </row>
    <row r="39">
      <c r="A39" s="75" t="inlineStr">
        <is>
          <t>2BD</t>
        </is>
      </c>
      <c r="B39" s="81" t="n">
        <v>0</v>
      </c>
      <c r="C39" s="82" t="n">
        <v>1451</v>
      </c>
    </row>
    <row r="40">
      <c r="A40" s="79" t="inlineStr">
        <is>
          <t>3BD</t>
        </is>
      </c>
      <c r="B40" s="81" t="n">
        <v>0</v>
      </c>
      <c r="C40" s="82" t="n">
        <v>1614</v>
      </c>
    </row>
    <row r="41">
      <c r="A41" s="75" t="inlineStr">
        <is>
          <t>4BD</t>
        </is>
      </c>
      <c r="B41" s="81" t="n">
        <v>0</v>
      </c>
      <c r="C41" s="82" t="n">
        <v>1727</v>
      </c>
    </row>
  </sheetData>
  <mergeCells count="7">
    <mergeCell ref="A17:AA17"/>
    <mergeCell ref="A3:AA3"/>
    <mergeCell ref="A37:C37"/>
    <mergeCell ref="A2:AA2"/>
    <mergeCell ref="A31:E31"/>
    <mergeCell ref="A1:AA1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4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STAR HOMES | GREEN = Affordable Comps | BLUE = Market Rate Comps</t>
        </is>
      </c>
    </row>
    <row r="2" ht="20.1" customHeight="1" s="65">
      <c r="A2" s="61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1200</v>
      </c>
      <c r="D28" s="76" t="n">
        <v>1490</v>
      </c>
      <c r="E28" s="77" t="n">
        <v>204</v>
      </c>
      <c r="F28" s="78" t="n">
        <v>1286</v>
      </c>
    </row>
    <row r="29">
      <c r="A29" s="79" t="inlineStr">
        <is>
          <t>3BD</t>
        </is>
      </c>
      <c r="B29" s="80" t="n">
        <v>0</v>
      </c>
      <c r="C29" s="80" t="n">
        <v>1500</v>
      </c>
      <c r="D29" s="80" t="n">
        <v>1900</v>
      </c>
      <c r="E29" s="77" t="n">
        <v>289</v>
      </c>
      <c r="F29" s="78" t="n">
        <v>1611</v>
      </c>
    </row>
    <row r="30">
      <c r="A30" s="75" t="inlineStr">
        <is>
          <t>4BD</t>
        </is>
      </c>
      <c r="B30" s="76" t="n">
        <v>0</v>
      </c>
      <c r="C30" s="76" t="n">
        <v>1550</v>
      </c>
      <c r="D30" s="76" t="n">
        <v>2240</v>
      </c>
      <c r="E30" s="77" t="n">
        <v>374</v>
      </c>
      <c r="F30" s="78" t="n">
        <v>1866</v>
      </c>
    </row>
    <row r="33">
      <c r="A33" s="66" t="inlineStr">
        <is>
          <t>LIHTC, UAP, NET</t>
        </is>
      </c>
      <c r="B33" s="67" t="n"/>
      <c r="C33" s="67" t="n"/>
      <c r="D33" s="67" t="n"/>
      <c r="E33" s="68" t="n"/>
    </row>
    <row r="34">
      <c r="A34" s="69" t="inlineStr"/>
      <c r="B34" s="70" t="inlineStr">
        <is>
          <t>LIHTC/MKT</t>
        </is>
      </c>
      <c r="C34" s="72" t="inlineStr">
        <is>
          <t>60%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1213</v>
      </c>
      <c r="C35" s="76" t="n">
        <v>1009</v>
      </c>
      <c r="D35" s="77" t="n">
        <v>204</v>
      </c>
      <c r="E35" s="78" t="n">
        <v>805</v>
      </c>
    </row>
    <row r="36">
      <c r="A36" s="79" t="inlineStr">
        <is>
          <t>3BD</t>
        </is>
      </c>
      <c r="B36" s="80" t="n">
        <v>1401</v>
      </c>
      <c r="C36" s="80" t="n">
        <v>1112</v>
      </c>
      <c r="D36" s="77" t="n">
        <v>289</v>
      </c>
      <c r="E36" s="78" t="n">
        <v>823</v>
      </c>
    </row>
    <row r="37">
      <c r="A37" s="75" t="inlineStr">
        <is>
          <t>4BD</t>
        </is>
      </c>
      <c r="B37" s="76" t="n">
        <v>1563</v>
      </c>
      <c r="C37" s="76" t="n">
        <v>1189</v>
      </c>
      <c r="D37" s="77" t="n">
        <v>374</v>
      </c>
      <c r="E37" s="78" t="n">
        <v>815</v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1451</v>
      </c>
    </row>
    <row r="43">
      <c r="A43" s="79" t="inlineStr">
        <is>
          <t>3BD</t>
        </is>
      </c>
      <c r="B43" s="81" t="n">
        <v>0</v>
      </c>
      <c r="C43" s="82" t="n">
        <v>1614</v>
      </c>
    </row>
    <row r="44">
      <c r="A44" s="75" t="inlineStr">
        <is>
          <t>4BD</t>
        </is>
      </c>
      <c r="B44" s="81" t="n">
        <v>0</v>
      </c>
      <c r="C44" s="82" t="n">
        <v>1727</v>
      </c>
    </row>
  </sheetData>
  <mergeCells count="7">
    <mergeCell ref="A2:AE2"/>
    <mergeCell ref="A33:E33"/>
    <mergeCell ref="A1:AE1"/>
    <mergeCell ref="A40:C40"/>
    <mergeCell ref="A26:F26"/>
    <mergeCell ref="A17:AE17"/>
    <mergeCell ref="A3:A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COLONIAL ESTATES | GREEN = Affordable Comps | BLUE = Market Rate Comps</t>
        </is>
      </c>
    </row>
    <row r="2" ht="20.1" customHeight="1" s="65">
      <c r="A2" s="6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5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5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800</v>
      </c>
      <c r="C22" s="76" t="n">
        <v>800</v>
      </c>
      <c r="D22" s="76" t="n">
        <v>930</v>
      </c>
      <c r="E22" s="77" t="n">
        <v>0</v>
      </c>
      <c r="F22" s="78" t="n">
        <v>930</v>
      </c>
    </row>
    <row r="23">
      <c r="A23" s="79" t="inlineStr">
        <is>
          <t>2BD</t>
        </is>
      </c>
      <c r="B23" s="80" t="n">
        <v>900</v>
      </c>
      <c r="C23" s="80" t="n">
        <v>900</v>
      </c>
      <c r="D23" s="80" t="n">
        <v>1140</v>
      </c>
      <c r="E23" s="77" t="n">
        <v>0</v>
      </c>
      <c r="F23" s="78" t="n">
        <v>1140</v>
      </c>
    </row>
    <row r="24">
      <c r="A24" s="75" t="inlineStr">
        <is>
          <t>3BD</t>
        </is>
      </c>
      <c r="B24" s="76" t="n">
        <v>1000</v>
      </c>
      <c r="C24" s="76" t="n">
        <v>1000</v>
      </c>
      <c r="D24" s="76" t="n">
        <v>1380</v>
      </c>
      <c r="E24" s="77" t="n">
        <v>0</v>
      </c>
      <c r="F24" s="78" t="n">
        <v>1380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0</v>
      </c>
      <c r="C29" s="82" t="n">
        <v>926</v>
      </c>
    </row>
    <row r="30">
      <c r="A30" s="79" t="inlineStr">
        <is>
          <t>2BD</t>
        </is>
      </c>
      <c r="B30" s="81" t="n">
        <v>0</v>
      </c>
      <c r="C30" s="82" t="n">
        <v>1116</v>
      </c>
    </row>
    <row r="31">
      <c r="A31" s="75" t="inlineStr">
        <is>
          <t>3BD</t>
        </is>
      </c>
      <c r="B31" s="81" t="n">
        <v>0</v>
      </c>
      <c r="C31" s="82" t="n">
        <v>1224</v>
      </c>
    </row>
  </sheetData>
  <mergeCells count="6"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36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MARRERO 3 | GREEN = Affordable Comps | BLUE = Market Rate Comps</t>
        </is>
      </c>
    </row>
    <row r="2" ht="20.1" customHeight="1" s="65">
      <c r="A2" s="61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1500</v>
      </c>
      <c r="D22" s="76" t="n">
        <v>1900</v>
      </c>
      <c r="E22" s="77" t="n">
        <v>289</v>
      </c>
      <c r="F22" s="78" t="n">
        <v>1611</v>
      </c>
    </row>
    <row r="23">
      <c r="A23" s="79" t="inlineStr">
        <is>
          <t>4BD</t>
        </is>
      </c>
      <c r="B23" s="80" t="n">
        <v>0</v>
      </c>
      <c r="C23" s="80" t="n">
        <v>1550</v>
      </c>
      <c r="D23" s="80" t="n">
        <v>2240</v>
      </c>
      <c r="E23" s="77" t="n">
        <v>374</v>
      </c>
      <c r="F23" s="78" t="n">
        <v>1866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1401</v>
      </c>
      <c r="C28" s="76" t="n">
        <v>1112</v>
      </c>
      <c r="D28" s="77" t="n">
        <v>289</v>
      </c>
      <c r="E28" s="78" t="n">
        <v>823</v>
      </c>
    </row>
    <row r="29">
      <c r="A29" s="79" t="inlineStr">
        <is>
          <t>4BD</t>
        </is>
      </c>
      <c r="B29" s="80" t="n">
        <v>1563</v>
      </c>
      <c r="C29" s="80" t="n">
        <v>1189</v>
      </c>
      <c r="D29" s="77" t="n">
        <v>374</v>
      </c>
      <c r="E29" s="78" t="n">
        <v>815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0</v>
      </c>
      <c r="C34" s="82" t="n">
        <v>1451</v>
      </c>
    </row>
    <row r="35">
      <c r="A35" s="79" t="inlineStr">
        <is>
          <t>3BD</t>
        </is>
      </c>
      <c r="B35" s="81" t="n">
        <v>0</v>
      </c>
      <c r="C35" s="82" t="n">
        <v>1614</v>
      </c>
    </row>
    <row r="36">
      <c r="A36" s="75" t="inlineStr">
        <is>
          <t>4BD</t>
        </is>
      </c>
      <c r="B36" s="81" t="n">
        <v>0</v>
      </c>
      <c r="C36" s="82" t="n">
        <v>1727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ARBOR CREST | GREEN = Affordable Comps | BLUE = Market Rate Comps</t>
        </is>
      </c>
    </row>
    <row r="2" ht="20.1" customHeight="1" s="65">
      <c r="A2" s="61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920</v>
      </c>
      <c r="D22" s="76" t="n">
        <v>1070</v>
      </c>
      <c r="E22" s="77" t="n">
        <v>73</v>
      </c>
      <c r="F22" s="78" t="n">
        <v>997</v>
      </c>
    </row>
    <row r="23">
      <c r="A23" s="79" t="inlineStr">
        <is>
          <t>2BD</t>
        </is>
      </c>
      <c r="B23" s="80" t="n">
        <v>0</v>
      </c>
      <c r="C23" s="80" t="n">
        <v>1098</v>
      </c>
      <c r="D23" s="80" t="n">
        <v>1210</v>
      </c>
      <c r="E23" s="77" t="n">
        <v>93</v>
      </c>
      <c r="F23" s="78" t="n">
        <v>1117</v>
      </c>
    </row>
    <row r="24">
      <c r="A24" s="75" t="inlineStr">
        <is>
          <t>3BD</t>
        </is>
      </c>
      <c r="B24" s="76" t="n">
        <v>0</v>
      </c>
      <c r="C24" s="76" t="n">
        <v>1260</v>
      </c>
      <c r="D24" s="76" t="n">
        <v>1540</v>
      </c>
      <c r="E24" s="77" t="n">
        <v>112</v>
      </c>
      <c r="F24" s="78" t="n">
        <v>1428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30%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519</v>
      </c>
      <c r="C29" s="76" t="n">
        <v>415</v>
      </c>
      <c r="D29" s="77" t="n">
        <v>73</v>
      </c>
      <c r="E29" s="78" t="n">
        <v>342</v>
      </c>
    </row>
    <row r="30">
      <c r="A30" s="79" t="inlineStr">
        <is>
          <t>2BD</t>
        </is>
      </c>
      <c r="B30" s="80" t="n">
        <v>623</v>
      </c>
      <c r="C30" s="80" t="n">
        <v>492</v>
      </c>
      <c r="D30" s="77" t="n">
        <v>93</v>
      </c>
      <c r="E30" s="78" t="n">
        <v>399</v>
      </c>
    </row>
    <row r="31">
      <c r="A31" s="75" t="inlineStr">
        <is>
          <t>3BD</t>
        </is>
      </c>
      <c r="B31" s="76" t="n">
        <v>720</v>
      </c>
      <c r="C31" s="76" t="n">
        <v>560</v>
      </c>
      <c r="D31" s="77" t="n">
        <v>112</v>
      </c>
      <c r="E31" s="78" t="n">
        <v>448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1039</v>
      </c>
      <c r="C33" s="76" t="n">
        <v>920</v>
      </c>
      <c r="D33" s="77" t="n">
        <v>73</v>
      </c>
      <c r="E33" s="78" t="n">
        <v>847</v>
      </c>
    </row>
    <row r="34">
      <c r="A34" s="79" t="inlineStr">
        <is>
          <t>2BD</t>
        </is>
      </c>
      <c r="B34" s="80" t="n">
        <v>1246</v>
      </c>
      <c r="C34" s="80" t="n">
        <v>1098</v>
      </c>
      <c r="D34" s="77" t="n">
        <v>93</v>
      </c>
      <c r="E34" s="78" t="n">
        <v>1005</v>
      </c>
    </row>
    <row r="35">
      <c r="A35" s="75" t="inlineStr">
        <is>
          <t>3BD</t>
        </is>
      </c>
      <c r="B35" s="76" t="n">
        <v>1440</v>
      </c>
      <c r="C35" s="76" t="n">
        <v>1260</v>
      </c>
      <c r="D35" s="77" t="n">
        <v>112</v>
      </c>
      <c r="E35" s="78" t="n">
        <v>1148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1385</v>
      </c>
    </row>
    <row r="41">
      <c r="A41" s="79" t="inlineStr">
        <is>
          <t>2BD</t>
        </is>
      </c>
      <c r="B41" s="81" t="n">
        <v>0</v>
      </c>
      <c r="C41" s="82" t="n">
        <v>1459</v>
      </c>
    </row>
    <row r="42">
      <c r="A42" s="75" t="inlineStr">
        <is>
          <t>3BD</t>
        </is>
      </c>
      <c r="B42" s="81" t="n">
        <v>0</v>
      </c>
      <c r="C42" s="82" t="n">
        <v>1569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WINDSOR/YORKSHIRE | GREEN = Affordable Comps | BLUE = Market Rate Comps</t>
        </is>
      </c>
    </row>
    <row r="2" ht="20.1" customHeight="1" s="65">
      <c r="A2" s="6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875</v>
      </c>
      <c r="D22" s="76" t="n">
        <v>860</v>
      </c>
      <c r="E22" s="77" t="n">
        <v>76</v>
      </c>
      <c r="F22" s="78" t="n">
        <v>784</v>
      </c>
    </row>
    <row r="23">
      <c r="A23" s="79" t="inlineStr">
        <is>
          <t>2BD</t>
        </is>
      </c>
      <c r="B23" s="80" t="n">
        <v>0</v>
      </c>
      <c r="C23" s="80" t="n">
        <v>1075</v>
      </c>
      <c r="D23" s="80" t="n">
        <v>980</v>
      </c>
      <c r="E23" s="77" t="n">
        <v>102</v>
      </c>
      <c r="F23" s="78" t="n">
        <v>878</v>
      </c>
    </row>
    <row r="24">
      <c r="A24" s="75" t="inlineStr">
        <is>
          <t>4BD</t>
        </is>
      </c>
      <c r="B24" s="76" t="n">
        <v>0</v>
      </c>
      <c r="C24" s="76" t="n">
        <v>1100</v>
      </c>
      <c r="D24" s="76" t="n">
        <v>1340</v>
      </c>
      <c r="E24" s="77" t="n">
        <v>152</v>
      </c>
      <c r="F24" s="78" t="n">
        <v>1188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919</v>
      </c>
      <c r="C29" s="76" t="n">
        <v>702</v>
      </c>
      <c r="D29" s="77" t="n">
        <v>76</v>
      </c>
      <c r="E29" s="78" t="n">
        <v>626</v>
      </c>
    </row>
    <row r="30">
      <c r="A30" s="79" t="inlineStr">
        <is>
          <t>2BD</t>
        </is>
      </c>
      <c r="B30" s="80" t="n">
        <v>1104</v>
      </c>
      <c r="C30" s="80" t="n">
        <v>834</v>
      </c>
      <c r="D30" s="77" t="n">
        <v>102</v>
      </c>
      <c r="E30" s="78" t="n">
        <v>732</v>
      </c>
    </row>
    <row r="31">
      <c r="A31" s="75" t="inlineStr">
        <is>
          <t>4BD</t>
        </is>
      </c>
      <c r="B31" s="76" t="n">
        <v>1422</v>
      </c>
      <c r="C31" s="76" t="n">
        <v>1054</v>
      </c>
      <c r="D31" s="77" t="n">
        <v>152</v>
      </c>
      <c r="E31" s="78" t="n">
        <v>902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</row>
    <row r="36">
      <c r="A36" s="75" t="inlineStr">
        <is>
          <t>1BD</t>
        </is>
      </c>
      <c r="B36" s="81" t="n">
        <v>0</v>
      </c>
      <c r="C36" s="82" t="n">
        <v>939</v>
      </c>
    </row>
    <row r="37">
      <c r="A37" s="79" t="inlineStr">
        <is>
          <t>2BD</t>
        </is>
      </c>
      <c r="B37" s="81" t="n">
        <v>0</v>
      </c>
      <c r="C37" s="82" t="n">
        <v>1289</v>
      </c>
    </row>
    <row r="38">
      <c r="A38" s="75" t="inlineStr">
        <is>
          <t>4BD</t>
        </is>
      </c>
      <c r="B38" s="81" t="n">
        <v>0</v>
      </c>
      <c r="C38" s="82" t="n">
        <v>850</v>
      </c>
    </row>
  </sheetData>
  <mergeCells count="7"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NORTH POINTE | GREEN = Affordable Comps | BLUE = Market Rate Comps</t>
        </is>
      </c>
    </row>
    <row r="2" ht="20.1" customHeight="1" s="65">
      <c r="A2" s="61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1100</v>
      </c>
      <c r="D22" s="76" t="n">
        <v>980</v>
      </c>
      <c r="E22" s="77" t="n">
        <v>169</v>
      </c>
      <c r="F22" s="78" t="n">
        <v>811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1270</v>
      </c>
      <c r="E23" s="77" t="n">
        <v>212</v>
      </c>
      <c r="F23" s="78" t="n">
        <v>1058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1340</v>
      </c>
      <c r="E24" s="77" t="n">
        <v>258</v>
      </c>
      <c r="F24" s="78" t="n">
        <v>1082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1104</v>
      </c>
      <c r="C29" s="76" t="n">
        <v>865</v>
      </c>
      <c r="D29" s="77" t="n">
        <v>169</v>
      </c>
      <c r="E29" s="78" t="n">
        <v>696</v>
      </c>
    </row>
    <row r="30">
      <c r="A30" s="79" t="inlineStr">
        <is>
          <t>3BD</t>
        </is>
      </c>
      <c r="B30" s="80" t="n">
        <v>1275</v>
      </c>
      <c r="C30" s="80" t="n">
        <v>961</v>
      </c>
      <c r="D30" s="77" t="n">
        <v>212</v>
      </c>
      <c r="E30" s="78" t="n">
        <v>749</v>
      </c>
    </row>
    <row r="31">
      <c r="A31" s="75" t="inlineStr">
        <is>
          <t>4BD</t>
        </is>
      </c>
      <c r="B31" s="76" t="n">
        <v>1422</v>
      </c>
      <c r="C31" s="76" t="n">
        <v>1051</v>
      </c>
      <c r="D31" s="77" t="n">
        <v>258</v>
      </c>
      <c r="E31" s="78" t="n">
        <v>793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</row>
    <row r="36">
      <c r="A36" s="75" t="inlineStr">
        <is>
          <t>2BD</t>
        </is>
      </c>
      <c r="B36" s="81" t="n">
        <v>0</v>
      </c>
      <c r="C36" s="82" t="n">
        <v>891</v>
      </c>
    </row>
    <row r="37">
      <c r="A37" s="79" t="inlineStr">
        <is>
          <t>3BD</t>
        </is>
      </c>
      <c r="B37" s="81" t="n">
        <v>0</v>
      </c>
      <c r="C37" s="82" t="n">
        <v>1039</v>
      </c>
    </row>
    <row r="38">
      <c r="A38" s="75" t="inlineStr">
        <is>
          <t>4BD</t>
        </is>
      </c>
      <c r="B38" s="81" t="n">
        <v>0</v>
      </c>
      <c r="C38" s="82" t="n">
        <v>850</v>
      </c>
    </row>
  </sheetData>
  <mergeCells count="7"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BAYOU | GREEN = Affordable Comps | BLUE = Market Rate Comps</t>
        </is>
      </c>
    </row>
    <row r="2" ht="20.1" customHeight="1" s="65">
      <c r="A2" s="61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1300</v>
      </c>
      <c r="D22" s="76" t="n">
        <v>1230</v>
      </c>
      <c r="E22" s="77" t="n">
        <v>212</v>
      </c>
      <c r="F22" s="78" t="n">
        <v>1018</v>
      </c>
    </row>
    <row r="23">
      <c r="A23" s="79" t="inlineStr">
        <is>
          <t>4BD</t>
        </is>
      </c>
      <c r="B23" s="80" t="n">
        <v>0</v>
      </c>
      <c r="C23" s="80" t="n">
        <v>1400</v>
      </c>
      <c r="D23" s="80" t="n">
        <v>1340</v>
      </c>
      <c r="E23" s="77" t="n">
        <v>258</v>
      </c>
      <c r="F23" s="78" t="n">
        <v>1082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1275</v>
      </c>
      <c r="C28" s="76" t="n">
        <v>961</v>
      </c>
      <c r="D28" s="77" t="n">
        <v>212</v>
      </c>
      <c r="E28" s="78" t="n">
        <v>749</v>
      </c>
    </row>
    <row r="29">
      <c r="A29" s="79" t="inlineStr">
        <is>
          <t>4BD</t>
        </is>
      </c>
      <c r="B29" s="80" t="n">
        <v>1422</v>
      </c>
      <c r="C29" s="80" t="n">
        <v>1051</v>
      </c>
      <c r="D29" s="77" t="n">
        <v>258</v>
      </c>
      <c r="E29" s="78" t="n">
        <v>793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3BD</t>
        </is>
      </c>
      <c r="B34" s="81" t="n">
        <v>0</v>
      </c>
      <c r="C34" s="82" t="n">
        <v>1267</v>
      </c>
    </row>
    <row r="35">
      <c r="A35" s="79" t="inlineStr">
        <is>
          <t>4BD</t>
        </is>
      </c>
      <c r="B35" s="81" t="n">
        <v>0</v>
      </c>
      <c r="C35" s="82" t="n">
        <v>850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ST. CHARLES PLACE | GREEN = Affordable Comps | BLUE = Market Rate Comps</t>
        </is>
      </c>
    </row>
    <row r="2" ht="20.1" customHeight="1" s="65">
      <c r="A2" s="6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86</v>
      </c>
      <c r="F22" s="78" t="n">
        <v>984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125</v>
      </c>
      <c r="F23" s="78" t="n">
        <v>1165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1230</v>
      </c>
      <c r="C28" s="76" t="n">
        <v>725</v>
      </c>
      <c r="D28" s="77" t="n">
        <v>86</v>
      </c>
      <c r="E28" s="78" t="n">
        <v>639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2BD</t>
        </is>
      </c>
      <c r="B33" s="81" t="n">
        <v>1050</v>
      </c>
      <c r="C33" s="82" t="n">
        <v>937</v>
      </c>
    </row>
    <row r="34">
      <c r="A34" s="79" t="inlineStr">
        <is>
          <t>3BD</t>
        </is>
      </c>
      <c r="B34" s="81" t="n">
        <v>1350</v>
      </c>
      <c r="C34" s="82" t="n">
        <v>1096</v>
      </c>
    </row>
  </sheetData>
  <mergeCells count="7">
    <mergeCell ref="A17:AA17"/>
    <mergeCell ref="A3:AA3"/>
    <mergeCell ref="A26:E26"/>
    <mergeCell ref="A31:C31"/>
    <mergeCell ref="A2:AA2"/>
    <mergeCell ref="A20:F20"/>
    <mergeCell ref="A1:AA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PELICAN BAY | GREEN = Affordable Comps | BLUE = Market Rate Comps</t>
        </is>
      </c>
    </row>
    <row r="2" ht="20.1" customHeight="1" s="65">
      <c r="A2" s="6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874</v>
      </c>
      <c r="D22" s="76" t="n">
        <v>1060</v>
      </c>
      <c r="E22" s="77" t="n">
        <v>77</v>
      </c>
      <c r="F22" s="78" t="n">
        <v>983</v>
      </c>
    </row>
    <row r="23">
      <c r="A23" s="79" t="inlineStr">
        <is>
          <t>2BD</t>
        </is>
      </c>
      <c r="B23" s="80" t="n">
        <v>0</v>
      </c>
      <c r="C23" s="80" t="n">
        <v>1040</v>
      </c>
      <c r="D23" s="80" t="n">
        <v>1200</v>
      </c>
      <c r="E23" s="77" t="n">
        <v>102</v>
      </c>
      <c r="F23" s="78" t="n">
        <v>1098</v>
      </c>
    </row>
    <row r="24">
      <c r="A24" s="75" t="inlineStr">
        <is>
          <t>3BD</t>
        </is>
      </c>
      <c r="B24" s="76" t="n">
        <v>0</v>
      </c>
      <c r="C24" s="76" t="n">
        <v>1194</v>
      </c>
      <c r="D24" s="76" t="n">
        <v>1500</v>
      </c>
      <c r="E24" s="77" t="n">
        <v>121</v>
      </c>
      <c r="F24" s="78" t="n">
        <v>1379</v>
      </c>
    </row>
    <row r="25">
      <c r="A25" s="79" t="inlineStr">
        <is>
          <t>4BD</t>
        </is>
      </c>
      <c r="B25" s="80" t="n">
        <v>0</v>
      </c>
      <c r="C25" s="80" t="n">
        <v>1321</v>
      </c>
      <c r="D25" s="80" t="n">
        <v>1990</v>
      </c>
      <c r="E25" s="77" t="n">
        <v>149</v>
      </c>
      <c r="F25" s="78" t="n">
        <v>1841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1040</v>
      </c>
      <c r="D31" s="77" t="n">
        <v>102</v>
      </c>
      <c r="E31" s="78" t="n">
        <v>938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1184</v>
      </c>
    </row>
    <row r="39">
      <c r="A39" s="79" t="inlineStr">
        <is>
          <t>2BD</t>
        </is>
      </c>
      <c r="B39" s="81" t="n">
        <v>0</v>
      </c>
      <c r="C39" s="82" t="n">
        <v>1326</v>
      </c>
    </row>
    <row r="40">
      <c r="A40" s="75" t="inlineStr">
        <is>
          <t>3BD</t>
        </is>
      </c>
      <c r="B40" s="81" t="n">
        <v>0</v>
      </c>
      <c r="C40" s="82" t="n">
        <v>1530</v>
      </c>
    </row>
    <row r="41">
      <c r="A41" s="79" t="inlineStr">
        <is>
          <t>4BD</t>
        </is>
      </c>
      <c r="B41" s="81" t="n">
        <v>0</v>
      </c>
      <c r="C41" s="82" t="n">
        <v>1253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HOWELL PLACE | GREEN = Affordable Comps | BLUE = Market Rate Comps</t>
        </is>
      </c>
    </row>
    <row r="2" ht="20.1" customHeight="1" s="65">
      <c r="A2" s="6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1142</v>
      </c>
    </row>
    <row r="39">
      <c r="A39" s="79" t="inlineStr">
        <is>
          <t>2BD</t>
        </is>
      </c>
      <c r="B39" s="81" t="n">
        <v>0</v>
      </c>
      <c r="C39" s="82" t="n">
        <v>1377</v>
      </c>
    </row>
    <row r="40">
      <c r="A40" s="75" t="inlineStr">
        <is>
          <t>3BD</t>
        </is>
      </c>
      <c r="B40" s="81" t="n">
        <v>0</v>
      </c>
      <c r="C40" s="82" t="n">
        <v>1458</v>
      </c>
    </row>
    <row r="41">
      <c r="A41" s="79" t="inlineStr">
        <is>
          <t>4BD</t>
        </is>
      </c>
      <c r="B41" s="81" t="n">
        <v>0</v>
      </c>
      <c r="C41" s="82" t="n">
        <v>1486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PIRATES BEND | GREEN = Affordable Comps | BLUE = Market Rate Comps</t>
        </is>
      </c>
    </row>
    <row r="2" ht="20.1" customHeight="1" s="65">
      <c r="A2" s="6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1205</v>
      </c>
    </row>
    <row r="39">
      <c r="A39" s="79" t="inlineStr">
        <is>
          <t>2BD</t>
        </is>
      </c>
      <c r="B39" s="81" t="n">
        <v>0</v>
      </c>
      <c r="C39" s="82" t="n">
        <v>1461</v>
      </c>
    </row>
    <row r="40">
      <c r="A40" s="75" t="inlineStr">
        <is>
          <t>3BD</t>
        </is>
      </c>
      <c r="B40" s="81" t="n">
        <v>0</v>
      </c>
      <c r="C40" s="82" t="n">
        <v>1579</v>
      </c>
    </row>
    <row r="41">
      <c r="A41" s="79" t="inlineStr">
        <is>
          <t>4BD</t>
        </is>
      </c>
      <c r="B41" s="81" t="n">
        <v>0</v>
      </c>
      <c r="C41" s="82" t="n">
        <v>1599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ANAHEIM | GREEN = Affordable Comps | BLUE = Market Rate Comps</t>
        </is>
      </c>
    </row>
    <row r="2" ht="20.1" customHeight="1" s="65">
      <c r="A2" s="61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0</v>
      </c>
      <c r="F22" s="78" t="n">
        <v>1810</v>
      </c>
    </row>
    <row r="23">
      <c r="A23" s="79" t="inlineStr">
        <is>
          <t>2BD</t>
        </is>
      </c>
      <c r="B23" s="80" t="n">
        <v>0</v>
      </c>
      <c r="C23" s="80" t="n">
        <v>1419</v>
      </c>
      <c r="D23" s="80" t="n">
        <v>2290</v>
      </c>
      <c r="E23" s="77" t="n">
        <v>0</v>
      </c>
      <c r="F23" s="78" t="n">
        <v>2290</v>
      </c>
    </row>
    <row r="24">
      <c r="A24" s="75" t="inlineStr">
        <is>
          <t>3BD</t>
        </is>
      </c>
      <c r="B24" s="76" t="n">
        <v>1825</v>
      </c>
      <c r="C24" s="76" t="n">
        <v>535</v>
      </c>
      <c r="D24" s="76" t="n">
        <v>2940</v>
      </c>
      <c r="E24" s="77" t="n">
        <v>0</v>
      </c>
      <c r="F24" s="78" t="n">
        <v>2940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3374</v>
      </c>
      <c r="C29" s="82" t="n">
        <v>1731</v>
      </c>
    </row>
    <row r="30">
      <c r="A30" s="79" t="inlineStr">
        <is>
          <t>2BD</t>
        </is>
      </c>
      <c r="B30" s="81" t="n">
        <v>3979</v>
      </c>
      <c r="C30" s="82" t="n">
        <v>2242</v>
      </c>
    </row>
    <row r="31">
      <c r="A31" s="75" t="inlineStr">
        <is>
          <t>3BD</t>
        </is>
      </c>
      <c r="B31" s="81" t="n">
        <v>4973</v>
      </c>
      <c r="C31" s="82" t="n">
        <v>2816</v>
      </c>
    </row>
  </sheetData>
  <mergeCells count="6"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FAIRFAX | GREEN = Affordable Comps | BLUE = Market Rate Comps</t>
        </is>
      </c>
    </row>
    <row r="2" ht="20.1" customHeight="1" s="65">
      <c r="A2" s="61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1300</v>
      </c>
      <c r="C22" s="76" t="n">
        <v>0</v>
      </c>
      <c r="D22" s="76" t="n">
        <v>0</v>
      </c>
      <c r="E22" s="77" t="n">
        <v>0</v>
      </c>
      <c r="F22" s="78" t="n">
        <v>0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3080</v>
      </c>
      <c r="E23" s="77" t="n">
        <v>54</v>
      </c>
      <c r="F23" s="78" t="n">
        <v>3026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2793</v>
      </c>
      <c r="C28" s="82" t="n">
        <v>2258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URBAN 1 &amp; 2 | GREEN = Affordable Comps | BLUE = Market Rate Comps</t>
        </is>
      </c>
    </row>
    <row r="2" ht="20.1" customHeight="1" s="65">
      <c r="A2" s="61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10</v>
      </c>
      <c r="F22" s="78" t="n">
        <v>1590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88</v>
      </c>
      <c r="F23" s="78" t="n">
        <v>2202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1389</v>
      </c>
      <c r="C28" s="82" t="n">
        <v>1287</v>
      </c>
    </row>
    <row r="29">
      <c r="A29" s="79" t="inlineStr">
        <is>
          <t>2BD</t>
        </is>
      </c>
      <c r="B29" s="81" t="n">
        <v>1842</v>
      </c>
      <c r="C29" s="82" t="n">
        <v>1682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MIDTOWN MANOR | GREEN = Affordable Comps | BLUE = Market Rate Comps</t>
        </is>
      </c>
    </row>
    <row r="2" ht="20.1" customHeight="1" s="65">
      <c r="A2" s="61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32</v>
      </c>
      <c r="F22" s="78" t="n">
        <v>1568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1810</v>
      </c>
      <c r="E23" s="77" t="n">
        <v>35</v>
      </c>
      <c r="F23" s="78" t="n">
        <v>1775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1612</v>
      </c>
      <c r="C28" s="82" t="n">
        <v>963</v>
      </c>
    </row>
    <row r="29">
      <c r="A29" s="79" t="inlineStr">
        <is>
          <t>1BD</t>
        </is>
      </c>
      <c r="B29" s="81" t="n">
        <v>1769</v>
      </c>
      <c r="C29" s="82" t="n">
        <v>1057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PACIFIC POINTE | GREEN = Affordable Comps | BLUE = Market Rate Comps</t>
        </is>
      </c>
    </row>
    <row r="2" ht="20.1" customHeight="1" s="65">
      <c r="A2" s="61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1397</v>
      </c>
      <c r="D22" s="76" t="n">
        <v>1330</v>
      </c>
      <c r="E22" s="77" t="n">
        <v>148</v>
      </c>
      <c r="F22" s="78" t="n">
        <v>1182</v>
      </c>
    </row>
    <row r="23">
      <c r="A23" s="79" t="inlineStr">
        <is>
          <t>2BD</t>
        </is>
      </c>
      <c r="B23" s="80" t="n">
        <v>0</v>
      </c>
      <c r="C23" s="80" t="n">
        <v>1789</v>
      </c>
      <c r="D23" s="80" t="n">
        <v>1700</v>
      </c>
      <c r="E23" s="77" t="n">
        <v>195</v>
      </c>
      <c r="F23" s="78" t="n">
        <v>1505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1177</v>
      </c>
      <c r="C28" s="76" t="n">
        <v>1011</v>
      </c>
      <c r="D28" s="77" t="n">
        <v>148</v>
      </c>
      <c r="E28" s="78" t="n">
        <v>863</v>
      </c>
    </row>
    <row r="29">
      <c r="A29" s="79" t="inlineStr">
        <is>
          <t>2BD</t>
        </is>
      </c>
      <c r="B29" s="80" t="n">
        <v>1413</v>
      </c>
      <c r="C29" s="80" t="n">
        <v>1198</v>
      </c>
      <c r="D29" s="77" t="n">
        <v>195</v>
      </c>
      <c r="E29" s="78" t="n">
        <v>1003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1296</v>
      </c>
    </row>
    <row r="35">
      <c r="A35" s="79" t="inlineStr">
        <is>
          <t>2BD</t>
        </is>
      </c>
      <c r="B35" s="81" t="n">
        <v>0</v>
      </c>
      <c r="C35" s="82" t="n">
        <v>1618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9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RIDGE | GREEN = Affordable Comps | BLUE = Market Rate Comps</t>
        </is>
      </c>
    </row>
    <row r="2" ht="20.1" customHeight="1" s="65">
      <c r="A2" s="61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1260</v>
      </c>
      <c r="D26" s="76" t="n">
        <v>1200</v>
      </c>
      <c r="E26" s="77" t="n">
        <v>192</v>
      </c>
      <c r="F26" s="78" t="n">
        <v>1008</v>
      </c>
    </row>
    <row r="27">
      <c r="A27" s="79" t="inlineStr">
        <is>
          <t>2BD</t>
        </is>
      </c>
      <c r="B27" s="80" t="n">
        <v>0</v>
      </c>
      <c r="C27" s="80" t="n">
        <v>1607</v>
      </c>
      <c r="D27" s="80" t="n">
        <v>1530</v>
      </c>
      <c r="E27" s="77" t="n">
        <v>251</v>
      </c>
      <c r="F27" s="78" t="n">
        <v>1279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1177</v>
      </c>
      <c r="C32" s="76" t="n">
        <v>985</v>
      </c>
      <c r="D32" s="77" t="n">
        <v>192</v>
      </c>
      <c r="E32" s="78" t="n">
        <v>793</v>
      </c>
    </row>
    <row r="33">
      <c r="A33" s="79" t="inlineStr">
        <is>
          <t>2BD</t>
        </is>
      </c>
      <c r="B33" s="80" t="n">
        <v>1413</v>
      </c>
      <c r="C33" s="80" t="n">
        <v>1162</v>
      </c>
      <c r="D33" s="77" t="n">
        <v>251</v>
      </c>
      <c r="E33" s="78" t="n">
        <v>911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1261</v>
      </c>
    </row>
    <row r="39">
      <c r="A39" s="79" t="inlineStr">
        <is>
          <t>2BD</t>
        </is>
      </c>
      <c r="B39" s="81" t="n">
        <v>0</v>
      </c>
      <c r="C39" s="82" t="n">
        <v>1442</v>
      </c>
    </row>
  </sheetData>
  <mergeCells count="7">
    <mergeCell ref="A24:F24"/>
    <mergeCell ref="A30:E30"/>
    <mergeCell ref="A17:AA17"/>
    <mergeCell ref="A36:C36"/>
    <mergeCell ref="A3:AA3"/>
    <mergeCell ref="A2:AA2"/>
    <mergeCell ref="A1:AA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COLUMBIA VILLAGE | GREEN = Affordable Comps | BLUE = Market Rate Comps</t>
        </is>
      </c>
    </row>
    <row r="2" ht="20.1" customHeight="1" s="65">
      <c r="A2" s="6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1520</v>
      </c>
      <c r="E22" s="77" t="n">
        <v>138</v>
      </c>
      <c r="F22" s="78" t="n">
        <v>1382</v>
      </c>
    </row>
    <row r="23">
      <c r="A23" s="79" t="inlineStr">
        <is>
          <t>3BD</t>
        </is>
      </c>
      <c r="B23" s="80" t="n">
        <v>0</v>
      </c>
      <c r="C23" s="80" t="n">
        <v>1314</v>
      </c>
      <c r="D23" s="80" t="n">
        <v>2000</v>
      </c>
      <c r="E23" s="77" t="n">
        <v>299</v>
      </c>
      <c r="F23" s="78" t="n">
        <v>1701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2550</v>
      </c>
      <c r="E24" s="77" t="n">
        <v>353</v>
      </c>
      <c r="F24" s="78" t="n">
        <v>2197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40%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915</v>
      </c>
      <c r="C29" s="76" t="n">
        <v>749</v>
      </c>
      <c r="D29" s="77" t="n">
        <v>138</v>
      </c>
      <c r="E29" s="78" t="n">
        <v>611</v>
      </c>
    </row>
    <row r="30">
      <c r="A30" s="79" t="inlineStr">
        <is>
          <t>3BD</t>
        </is>
      </c>
      <c r="B30" s="80" t="n">
        <v>1057</v>
      </c>
      <c r="C30" s="80" t="n">
        <v>735</v>
      </c>
      <c r="D30" s="77" t="n">
        <v>299</v>
      </c>
      <c r="E30" s="78" t="n">
        <v>436</v>
      </c>
    </row>
    <row r="31">
      <c r="A31" s="75" t="inlineStr">
        <is>
          <t>4BD</t>
        </is>
      </c>
      <c r="B31" s="76" t="n">
        <v>1179</v>
      </c>
      <c r="C31" s="76" t="n">
        <v>849</v>
      </c>
      <c r="D31" s="77" t="n">
        <v>353</v>
      </c>
      <c r="E31" s="78" t="n">
        <v>496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1372</v>
      </c>
      <c r="C33" s="76" t="n">
        <v>1185</v>
      </c>
      <c r="D33" s="77" t="n">
        <v>138</v>
      </c>
      <c r="E33" s="78" t="n">
        <v>1047</v>
      </c>
    </row>
    <row r="34">
      <c r="A34" s="79" t="inlineStr">
        <is>
          <t>3BD</t>
        </is>
      </c>
      <c r="B34" s="80" t="n">
        <v>1585</v>
      </c>
      <c r="C34" s="80" t="n">
        <v>1239</v>
      </c>
      <c r="D34" s="77" t="n">
        <v>299</v>
      </c>
      <c r="E34" s="78" t="n">
        <v>940</v>
      </c>
    </row>
    <row r="35">
      <c r="A35" s="75" t="inlineStr">
        <is>
          <t>4BD</t>
        </is>
      </c>
      <c r="B35" s="76" t="n">
        <v>1768</v>
      </c>
      <c r="C35" s="76" t="n">
        <v>1364</v>
      </c>
      <c r="D35" s="77" t="n">
        <v>353</v>
      </c>
      <c r="E35" s="78" t="n">
        <v>1011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2005</v>
      </c>
    </row>
    <row r="41">
      <c r="A41" s="79" t="inlineStr">
        <is>
          <t>3BD</t>
        </is>
      </c>
      <c r="B41" s="81" t="n">
        <v>0</v>
      </c>
      <c r="C41" s="82" t="n">
        <v>2360</v>
      </c>
    </row>
    <row r="42">
      <c r="A42" s="75" t="inlineStr">
        <is>
          <t>4BD</t>
        </is>
      </c>
      <c r="B42" s="81" t="n">
        <v>0</v>
      </c>
      <c r="C42" s="82" t="n">
        <v>2682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FOREST VIEW SENIOR | GREEN = Affordable Comps | BLUE = Market Rate Comps</t>
        </is>
      </c>
    </row>
    <row r="2" ht="20.1" customHeight="1" s="65">
      <c r="A2" s="61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1000</v>
      </c>
      <c r="D22" s="76" t="n">
        <v>1190</v>
      </c>
      <c r="E22" s="77" t="n">
        <v>73</v>
      </c>
      <c r="F22" s="78" t="n">
        <v>1117</v>
      </c>
    </row>
    <row r="23">
      <c r="A23" s="79" t="inlineStr">
        <is>
          <t>2BD</t>
        </is>
      </c>
      <c r="B23" s="80" t="n">
        <v>0</v>
      </c>
      <c r="C23" s="80" t="n">
        <v>1150</v>
      </c>
      <c r="D23" s="80" t="n">
        <v>1520</v>
      </c>
      <c r="E23" s="77" t="n">
        <v>105</v>
      </c>
      <c r="F23" s="78" t="n">
        <v>1415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762</v>
      </c>
      <c r="C28" s="76" t="n">
        <v>663</v>
      </c>
      <c r="D28" s="77" t="n">
        <v>73</v>
      </c>
      <c r="E28" s="78" t="n">
        <v>590</v>
      </c>
    </row>
    <row r="29">
      <c r="A29" s="79" t="inlineStr">
        <is>
          <t>2BD</t>
        </is>
      </c>
      <c r="B29" s="80" t="n">
        <v>915</v>
      </c>
      <c r="C29" s="80" t="n">
        <v>782</v>
      </c>
      <c r="D29" s="77" t="n">
        <v>105</v>
      </c>
      <c r="E29" s="78" t="n">
        <v>677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1203</v>
      </c>
    </row>
    <row r="35">
      <c r="A35" s="79" t="inlineStr">
        <is>
          <t>2BD</t>
        </is>
      </c>
      <c r="B35" s="81" t="n">
        <v>0</v>
      </c>
      <c r="C35" s="82" t="n">
        <v>1335</v>
      </c>
    </row>
  </sheetData>
  <mergeCells count="7">
    <mergeCell ref="A2:AE2"/>
    <mergeCell ref="A26:E26"/>
    <mergeCell ref="A32:C3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OAK HILLS | GREEN = Affordable Comps | BLUE = Market Rate Comps</t>
        </is>
      </c>
    </row>
    <row r="2" ht="20.1" customHeight="1" s="65">
      <c r="A2" s="61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1270</v>
      </c>
      <c r="E22" s="77" t="n">
        <v>138</v>
      </c>
      <c r="F22" s="78" t="n">
        <v>1132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1670</v>
      </c>
      <c r="E23" s="77" t="n">
        <v>177</v>
      </c>
      <c r="F23" s="78" t="n">
        <v>1493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915</v>
      </c>
      <c r="C28" s="76" t="n">
        <v>749</v>
      </c>
      <c r="D28" s="77" t="n">
        <v>138</v>
      </c>
      <c r="E28" s="78" t="n">
        <v>611</v>
      </c>
    </row>
    <row r="29">
      <c r="A29" s="79" t="inlineStr">
        <is>
          <t>3BD</t>
        </is>
      </c>
      <c r="B29" s="80" t="n">
        <v>1057</v>
      </c>
      <c r="C29" s="80" t="n">
        <v>849</v>
      </c>
      <c r="D29" s="77" t="n">
        <v>177</v>
      </c>
      <c r="E29" s="78" t="n">
        <v>672</v>
      </c>
    </row>
    <row r="30">
      <c r="A30" s="69" t="inlineStr"/>
      <c r="B30" s="70" t="inlineStr">
        <is>
          <t>LIHTC/MKT</t>
        </is>
      </c>
      <c r="C30" s="72" t="inlineStr">
        <is>
          <t>60%</t>
        </is>
      </c>
      <c r="D30" s="73" t="inlineStr">
        <is>
          <t>UAP</t>
        </is>
      </c>
      <c r="E30" s="74" t="inlineStr">
        <is>
          <t>NET</t>
        </is>
      </c>
    </row>
    <row r="31">
      <c r="A31" s="75" t="inlineStr">
        <is>
          <t>2BD</t>
        </is>
      </c>
      <c r="B31" s="76" t="n">
        <v>1372</v>
      </c>
      <c r="C31" s="76" t="n">
        <v>1185</v>
      </c>
      <c r="D31" s="77" t="n">
        <v>138</v>
      </c>
      <c r="E31" s="78" t="n">
        <v>1047</v>
      </c>
    </row>
    <row r="32">
      <c r="A32" s="79" t="inlineStr">
        <is>
          <t>3BD</t>
        </is>
      </c>
      <c r="B32" s="80" t="n">
        <v>1585</v>
      </c>
      <c r="C32" s="80" t="n">
        <v>1353</v>
      </c>
      <c r="D32" s="77" t="n">
        <v>177</v>
      </c>
      <c r="E32" s="78" t="n">
        <v>1176</v>
      </c>
    </row>
    <row r="35">
      <c r="A35" s="66" t="inlineStr">
        <is>
          <t>HAP, CoStar, NET</t>
        </is>
      </c>
      <c r="B35" s="67" t="n"/>
      <c r="C35" s="68" t="n"/>
    </row>
    <row r="36">
      <c r="A36" s="69" t="inlineStr"/>
      <c r="B36" s="73" t="inlineStr">
        <is>
          <t>HAP</t>
        </is>
      </c>
      <c r="C36" s="70" t="inlineStr">
        <is>
          <t>CoStar</t>
        </is>
      </c>
    </row>
    <row r="37">
      <c r="A37" s="75" t="inlineStr">
        <is>
          <t>2BD</t>
        </is>
      </c>
      <c r="B37" s="81" t="n">
        <v>0</v>
      </c>
      <c r="C37" s="82" t="n">
        <v>1855</v>
      </c>
    </row>
    <row r="38">
      <c r="A38" s="79" t="inlineStr">
        <is>
          <t>3BD</t>
        </is>
      </c>
      <c r="B38" s="81" t="n">
        <v>0</v>
      </c>
      <c r="C38" s="82" t="n">
        <v>2363</v>
      </c>
    </row>
  </sheetData>
  <mergeCells count="7">
    <mergeCell ref="A17:AA17"/>
    <mergeCell ref="A3:AA3"/>
    <mergeCell ref="A26:E26"/>
    <mergeCell ref="A20:F20"/>
    <mergeCell ref="A2:AA2"/>
    <mergeCell ref="A35:C35"/>
    <mergeCell ref="A1:AA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RIVER GARDEN | GREEN = Affordable Comps | BLUE = Market Rate Comps</t>
        </is>
      </c>
    </row>
    <row r="2" ht="20.1" customHeight="1" s="65">
      <c r="A2" s="61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2486</v>
      </c>
      <c r="D22" s="76" t="n">
        <v>2370</v>
      </c>
      <c r="E22" s="77" t="n">
        <v>146</v>
      </c>
      <c r="F22" s="78" t="n">
        <v>2224</v>
      </c>
    </row>
    <row r="23">
      <c r="A23" s="79" t="inlineStr">
        <is>
          <t>3BD</t>
        </is>
      </c>
      <c r="B23" s="80" t="n">
        <v>0</v>
      </c>
      <c r="C23" s="80" t="n">
        <v>3465</v>
      </c>
      <c r="D23" s="80" t="n">
        <v>3210</v>
      </c>
      <c r="E23" s="77" t="n">
        <v>174</v>
      </c>
      <c r="F23" s="78" t="n">
        <v>3036</v>
      </c>
    </row>
    <row r="24">
      <c r="A24" s="75" t="inlineStr">
        <is>
          <t>4BD</t>
        </is>
      </c>
      <c r="B24" s="76" t="n">
        <v>0</v>
      </c>
      <c r="C24" s="76" t="n">
        <v>3982</v>
      </c>
      <c r="D24" s="76" t="n">
        <v>3710</v>
      </c>
      <c r="E24" s="77" t="n">
        <v>209</v>
      </c>
      <c r="F24" s="78" t="n">
        <v>3501</v>
      </c>
    </row>
    <row r="25">
      <c r="A25" s="79" t="inlineStr">
        <is>
          <t>5BD</t>
        </is>
      </c>
      <c r="B25" s="80" t="n">
        <v>0</v>
      </c>
      <c r="C25" s="80" t="n">
        <v>4579</v>
      </c>
      <c r="D25" s="80" t="n">
        <v>4267</v>
      </c>
      <c r="E25" s="77" t="n">
        <v>236</v>
      </c>
      <c r="F25" s="78" t="n">
        <v>4031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35%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2BD</t>
        </is>
      </c>
      <c r="B30" s="76" t="n">
        <v>1013</v>
      </c>
      <c r="C30" s="76" t="n">
        <v>867</v>
      </c>
      <c r="D30" s="77" t="n">
        <v>146</v>
      </c>
      <c r="E30" s="78" t="n">
        <v>721</v>
      </c>
    </row>
    <row r="31">
      <c r="A31" s="79" t="inlineStr">
        <is>
          <t>3BD</t>
        </is>
      </c>
      <c r="B31" s="80" t="n">
        <v>1170</v>
      </c>
      <c r="C31" s="80" t="n">
        <v>996</v>
      </c>
      <c r="D31" s="77" t="n">
        <v>174</v>
      </c>
      <c r="E31" s="78" t="n">
        <v>822</v>
      </c>
    </row>
    <row r="32">
      <c r="A32" s="75" t="inlineStr">
        <is>
          <t>4BD</t>
        </is>
      </c>
      <c r="B32" s="76" t="n">
        <v>1305</v>
      </c>
      <c r="C32" s="76" t="n">
        <v>1096</v>
      </c>
      <c r="D32" s="77" t="n">
        <v>209</v>
      </c>
      <c r="E32" s="78" t="n">
        <v>887</v>
      </c>
    </row>
    <row r="33">
      <c r="A33" s="79" t="inlineStr">
        <is>
          <t>5BD</t>
        </is>
      </c>
      <c r="B33" s="80" t="n">
        <v>1440</v>
      </c>
      <c r="C33" s="80" t="n">
        <v>1204</v>
      </c>
      <c r="D33" s="77" t="n">
        <v>236</v>
      </c>
      <c r="E33" s="78" t="n">
        <v>968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1447</v>
      </c>
      <c r="C35" s="76" t="n">
        <v>1301</v>
      </c>
      <c r="D35" s="77" t="n">
        <v>146</v>
      </c>
      <c r="E35" s="78" t="n">
        <v>1155</v>
      </c>
    </row>
    <row r="36">
      <c r="A36" s="79" t="inlineStr">
        <is>
          <t>3BD</t>
        </is>
      </c>
      <c r="B36" s="80" t="n">
        <v>1671</v>
      </c>
      <c r="C36" s="80" t="n">
        <v>1497</v>
      </c>
      <c r="D36" s="77" t="n">
        <v>174</v>
      </c>
      <c r="E36" s="78" t="n">
        <v>1323</v>
      </c>
    </row>
    <row r="37">
      <c r="A37" s="75" t="inlineStr">
        <is>
          <t>4BD</t>
        </is>
      </c>
      <c r="B37" s="76" t="n">
        <v>1865</v>
      </c>
      <c r="C37" s="76" t="n">
        <v>1656</v>
      </c>
      <c r="D37" s="77" t="n">
        <v>209</v>
      </c>
      <c r="E37" s="78" t="n">
        <v>1447</v>
      </c>
    </row>
    <row r="38">
      <c r="A38" s="79" t="inlineStr">
        <is>
          <t>5BD</t>
        </is>
      </c>
      <c r="B38" s="80" t="n">
        <v>2058</v>
      </c>
      <c r="C38" s="80" t="n">
        <v>1822</v>
      </c>
      <c r="D38" s="77" t="n">
        <v>236</v>
      </c>
      <c r="E38" s="78" t="n">
        <v>1586</v>
      </c>
    </row>
    <row r="39">
      <c r="A39" s="69" t="inlineStr"/>
      <c r="B39" s="70" t="inlineStr">
        <is>
          <t>LIHTC/MKT</t>
        </is>
      </c>
      <c r="C39" s="72" t="inlineStr">
        <is>
          <t>55%</t>
        </is>
      </c>
      <c r="D39" s="73" t="inlineStr">
        <is>
          <t>UAP</t>
        </is>
      </c>
      <c r="E39" s="74" t="inlineStr">
        <is>
          <t>NET</t>
        </is>
      </c>
    </row>
    <row r="40">
      <c r="A40" s="75" t="inlineStr">
        <is>
          <t>3BD</t>
        </is>
      </c>
      <c r="B40" s="76" t="n">
        <v>1839</v>
      </c>
      <c r="C40" s="76" t="n">
        <v>1665</v>
      </c>
      <c r="D40" s="77" t="n">
        <v>174</v>
      </c>
      <c r="E40" s="78" t="n">
        <v>1491</v>
      </c>
    </row>
    <row r="41">
      <c r="A41" s="79" t="inlineStr">
        <is>
          <t>4BD</t>
        </is>
      </c>
      <c r="B41" s="80" t="n">
        <v>2051</v>
      </c>
      <c r="C41" s="80" t="n">
        <v>1842</v>
      </c>
      <c r="D41" s="77" t="n">
        <v>209</v>
      </c>
      <c r="E41" s="78" t="n">
        <v>1633</v>
      </c>
    </row>
    <row r="42">
      <c r="A42" s="75" t="inlineStr">
        <is>
          <t>5BD</t>
        </is>
      </c>
      <c r="B42" s="76" t="n">
        <v>2263</v>
      </c>
      <c r="C42" s="76" t="n">
        <v>2227</v>
      </c>
      <c r="D42" s="77" t="n">
        <v>236</v>
      </c>
      <c r="E42" s="78" t="n">
        <v>1991</v>
      </c>
    </row>
    <row r="45">
      <c r="A45" s="66" t="inlineStr">
        <is>
          <t>HAP, CoStar, NET</t>
        </is>
      </c>
      <c r="B45" s="67" t="n"/>
      <c r="C45" s="68" t="n"/>
    </row>
    <row r="46">
      <c r="A46" s="69" t="inlineStr"/>
      <c r="B46" s="73" t="inlineStr">
        <is>
          <t>HAP</t>
        </is>
      </c>
      <c r="C46" s="70" t="inlineStr">
        <is>
          <t>CoStar</t>
        </is>
      </c>
    </row>
    <row r="47">
      <c r="A47" s="75" t="inlineStr">
        <is>
          <t>2BD</t>
        </is>
      </c>
      <c r="B47" s="81" t="n">
        <v>0</v>
      </c>
      <c r="C47" s="82" t="n">
        <v>2087</v>
      </c>
    </row>
    <row r="48">
      <c r="A48" s="79" t="inlineStr">
        <is>
          <t>3BD</t>
        </is>
      </c>
      <c r="B48" s="81" t="n">
        <v>0</v>
      </c>
      <c r="C48" s="82" t="n">
        <v>2427</v>
      </c>
    </row>
    <row r="49">
      <c r="A49" s="75" t="inlineStr">
        <is>
          <t>4BD</t>
        </is>
      </c>
      <c r="B49" s="81" t="n">
        <v>0</v>
      </c>
      <c r="C49" s="82" t="n">
        <v>2335</v>
      </c>
    </row>
    <row r="50">
      <c r="A50" s="79" t="inlineStr">
        <is>
          <t>5BD</t>
        </is>
      </c>
      <c r="B50" s="81" t="n">
        <v>0</v>
      </c>
      <c r="C50" s="82" t="n">
        <v>2601</v>
      </c>
    </row>
  </sheetData>
  <mergeCells count="7">
    <mergeCell ref="A2:AI2"/>
    <mergeCell ref="A45:C45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SILVER SPRINGS TERRACE | GREEN = Affordable Comps | BLUE = Market Rate Comps</t>
        </is>
      </c>
    </row>
    <row r="2" ht="20.1" customHeight="1" s="65">
      <c r="A2" s="6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5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5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5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981</v>
      </c>
      <c r="D22" s="76" t="n">
        <v>930</v>
      </c>
      <c r="E22" s="77" t="n">
        <v>83</v>
      </c>
      <c r="F22" s="78" t="n">
        <v>847</v>
      </c>
    </row>
    <row r="23">
      <c r="A23" s="79" t="inlineStr">
        <is>
          <t>2BD</t>
        </is>
      </c>
      <c r="B23" s="80" t="n">
        <v>0</v>
      </c>
      <c r="C23" s="80" t="n">
        <v>1250</v>
      </c>
      <c r="D23" s="80" t="n">
        <v>1140</v>
      </c>
      <c r="E23" s="77" t="n">
        <v>115</v>
      </c>
      <c r="F23" s="78" t="n">
        <v>1025</v>
      </c>
    </row>
    <row r="24">
      <c r="A24" s="75" t="inlineStr">
        <is>
          <t>3BD</t>
        </is>
      </c>
      <c r="B24" s="76" t="n">
        <v>0</v>
      </c>
      <c r="C24" s="76" t="n">
        <v>1500</v>
      </c>
      <c r="D24" s="76" t="n">
        <v>1450</v>
      </c>
      <c r="E24" s="77" t="n">
        <v>134</v>
      </c>
      <c r="F24" s="78" t="n">
        <v>1316</v>
      </c>
    </row>
    <row r="25">
      <c r="A25" s="79" t="inlineStr">
        <is>
          <t>4BD</t>
        </is>
      </c>
      <c r="B25" s="80" t="n">
        <v>0</v>
      </c>
      <c r="C25" s="80" t="n">
        <v>1650</v>
      </c>
      <c r="D25" s="80" t="n">
        <v>1710</v>
      </c>
      <c r="E25" s="77" t="n">
        <v>151</v>
      </c>
      <c r="F25" s="78" t="n">
        <v>1559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888</v>
      </c>
      <c r="C30" s="76" t="n">
        <v>564</v>
      </c>
      <c r="D30" s="77" t="n">
        <v>83</v>
      </c>
      <c r="E30" s="78" t="n">
        <v>481</v>
      </c>
    </row>
    <row r="31">
      <c r="A31" s="79" t="inlineStr">
        <is>
          <t>2BD</t>
        </is>
      </c>
      <c r="B31" s="80" t="n">
        <v>1066</v>
      </c>
      <c r="C31" s="80" t="n">
        <v>643</v>
      </c>
      <c r="D31" s="77" t="n">
        <v>115</v>
      </c>
      <c r="E31" s="78" t="n">
        <v>528</v>
      </c>
    </row>
    <row r="32">
      <c r="A32" s="75" t="inlineStr">
        <is>
          <t>3BD</t>
        </is>
      </c>
      <c r="B32" s="76" t="n">
        <v>1233</v>
      </c>
      <c r="C32" s="76" t="n">
        <v>774</v>
      </c>
      <c r="D32" s="77" t="n">
        <v>134</v>
      </c>
      <c r="E32" s="78" t="n">
        <v>640</v>
      </c>
    </row>
    <row r="33">
      <c r="A33" s="79" t="inlineStr">
        <is>
          <t>4BD</t>
        </is>
      </c>
      <c r="B33" s="80" t="n">
        <v>1375</v>
      </c>
      <c r="C33" s="80" t="n">
        <v>866</v>
      </c>
      <c r="D33" s="77" t="n">
        <v>151</v>
      </c>
      <c r="E33" s="78" t="n">
        <v>715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901</v>
      </c>
      <c r="C38" s="82" t="n">
        <v>1083</v>
      </c>
    </row>
    <row r="39">
      <c r="A39" s="79" t="inlineStr">
        <is>
          <t>2BD</t>
        </is>
      </c>
      <c r="B39" s="81" t="n">
        <v>1003</v>
      </c>
      <c r="C39" s="82" t="n">
        <v>1365</v>
      </c>
    </row>
    <row r="40">
      <c r="A40" s="75" t="inlineStr">
        <is>
          <t>3BD</t>
        </is>
      </c>
      <c r="B40" s="81" t="n">
        <v>1302</v>
      </c>
      <c r="C40" s="82" t="n">
        <v>1587</v>
      </c>
    </row>
    <row r="41">
      <c r="A41" s="79" t="inlineStr">
        <is>
          <t>4BD</t>
        </is>
      </c>
      <c r="B41" s="81" t="n">
        <v>1375</v>
      </c>
      <c r="C41" s="82" t="n">
        <v>1953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THOMASVILLE CHURCH HOMES | GREEN = Affordable Comps | BLUE = Market Rate Comps</t>
        </is>
      </c>
    </row>
    <row r="2" ht="20.1" customHeight="1" s="65">
      <c r="A2" s="6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5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5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940</v>
      </c>
      <c r="E22" s="77" t="n">
        <v>97</v>
      </c>
      <c r="F22" s="78" t="n">
        <v>843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1060</v>
      </c>
      <c r="E23" s="77" t="n">
        <v>99</v>
      </c>
      <c r="F23" s="78" t="n">
        <v>961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1350</v>
      </c>
      <c r="E24" s="77" t="n">
        <v>125</v>
      </c>
      <c r="F24" s="78" t="n">
        <v>1225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1520</v>
      </c>
      <c r="E25" s="77" t="n">
        <v>158</v>
      </c>
      <c r="F25" s="78" t="n">
        <v>1362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914</v>
      </c>
      <c r="C30" s="82" t="n">
        <v>983</v>
      </c>
    </row>
    <row r="31">
      <c r="A31" s="79" t="inlineStr">
        <is>
          <t>2BD</t>
        </is>
      </c>
      <c r="B31" s="81" t="n">
        <v>1018</v>
      </c>
      <c r="C31" s="82" t="n">
        <v>1135</v>
      </c>
    </row>
    <row r="32">
      <c r="A32" s="75" t="inlineStr">
        <is>
          <t>3BD</t>
        </is>
      </c>
      <c r="B32" s="81" t="n">
        <v>1283</v>
      </c>
      <c r="C32" s="82" t="n">
        <v>1340</v>
      </c>
    </row>
    <row r="33">
      <c r="A33" s="79" t="inlineStr">
        <is>
          <t>4BD</t>
        </is>
      </c>
      <c r="B33" s="81" t="n">
        <v>1377</v>
      </c>
      <c r="C33" s="82" t="n">
        <v>1796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2026-04-30T16:59:56Z</dcterms:modified>
  <cp:lastModifiedBy>Brandon Rose</cp:lastModifiedBy>
</cp:coreProperties>
</file>