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</numFmts>
  <fonts count="80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b val="1"/>
      <color rgb="FFFFFFFF"/>
      <sz val="9"/>
    </font>
    <font>
      <name val="Calibri"/>
      <b val="1"/>
      <color rgb="FF1F1F1F"/>
      <sz val="9"/>
    </font>
    <font>
      <name val="Calibri"/>
      <b val="1"/>
      <color rgb="FFFFFFFF"/>
      <sz val="8"/>
    </font>
    <font>
      <name val="Calibri"/>
      <color rgb="FF1F1F1F"/>
      <sz val="9"/>
    </font>
    <font>
      <name val="Calibri"/>
      <color rgb="FF375623"/>
      <sz val="9"/>
    </font>
    <font>
      <name val="Calibri"/>
      <color rgb="FFC00000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b val="1"/>
      <color rgb="FFC00000"/>
      <sz val="10"/>
    </font>
    <font>
      <name val="Calibri"/>
      <b val="1"/>
      <color rgb="FF1F1F1F"/>
      <sz val="8"/>
    </font>
    <font>
      <name val="Calibri"/>
      <b val="1"/>
      <color rgb="FF375623"/>
      <sz val="10"/>
    </font>
    <font>
      <name val="Calibri"/>
      <b val="1"/>
      <color rgb="FFFFFFFF"/>
      <sz val="14"/>
    </font>
    <font>
      <name val="Calibri"/>
      <i val="1"/>
      <color rgb="FFFFFFFF"/>
      <sz val="9"/>
    </font>
    <font>
      <name val="Calibri"/>
      <b val="1"/>
      <color rgb="FFFFFFFF"/>
      <sz val="15"/>
    </font>
    <font>
      <name val="Calibri"/>
      <color rgb="FFFFFFFF"/>
      <sz val="9"/>
    </font>
    <font>
      <name val="Calibri"/>
      <color rgb="FFAAAACC"/>
      <sz val="10"/>
    </font>
    <font>
      <name val="Calibri"/>
      <b val="1"/>
      <i val="1"/>
      <color rgb="FF555555"/>
      <sz val="8"/>
    </font>
    <font>
      <name val="Calibri"/>
      <b val="1"/>
      <color theme="1"/>
      <sz val="14"/>
      <scheme val="minor"/>
    </font>
    <font>
      <name val="Calibri"/>
      <b val="1"/>
      <color rgb="FFFFFFFF"/>
      <sz val="20"/>
    </font>
    <font>
      <name val="Calibri"/>
      <color theme="1"/>
      <sz val="20"/>
      <scheme val="minor"/>
    </font>
    <font>
      <name val="Calibri"/>
      <b val="1"/>
      <color theme="7" tint="0.6"/>
      <sz val="18"/>
    </font>
    <font>
      <name val="Calibri"/>
      <b val="1"/>
      <color rgb="FF2E75B6"/>
      <sz val="8"/>
    </font>
    <font>
      <name val="Calibri"/>
      <b val="1"/>
      <color rgb="FFFFFF00"/>
      <sz val="14"/>
    </font>
    <font>
      <name val="Calibri"/>
      <b val="1"/>
      <i val="1"/>
      <color rgb="FF555555"/>
      <sz val="10"/>
    </font>
    <font>
      <name val="Calibri"/>
      <b val="1"/>
      <color theme="1"/>
      <sz val="10"/>
      <scheme val="minor"/>
    </font>
    <font>
      <name val="Calibri"/>
      <b val="1"/>
      <color rgb="FFFFFFFF"/>
      <sz val="12"/>
    </font>
    <font>
      <name val="Calibri"/>
      <b val="1"/>
      <color rgb="FFFFFFFF"/>
      <sz val="16"/>
    </font>
    <font>
      <name val="Calibri"/>
      <b val="1"/>
      <color rgb="FF1F1F1F"/>
      <sz val="12"/>
    </font>
    <font>
      <name val="Calibri"/>
      <b val="1"/>
      <color rgb="FF1F1F1F"/>
      <sz val="14"/>
    </font>
    <font>
      <name val="Calibri"/>
      <b val="1"/>
      <color rgb="FFC00000"/>
      <sz val="16"/>
    </font>
    <font>
      <name val="Calibri"/>
      <b val="1"/>
      <color rgb="FF1F1F1F"/>
      <sz val="11"/>
    </font>
    <font>
      <name val="Calibri"/>
      <b val="1"/>
      <color theme="9" tint="0.4"/>
      <sz val="14"/>
    </font>
    <font>
      <name val="Calibri"/>
      <color rgb="FF1F1F1F"/>
      <sz val="14"/>
    </font>
    <font>
      <name val="Book Antiqua"/>
      <b val="1"/>
      <color rgb="FF555555"/>
      <sz val="8"/>
    </font>
    <font>
      <name val="Dubai Medium"/>
      <b val="1"/>
      <color rgb="FF92D050"/>
      <sz val="14"/>
    </font>
    <font>
      <name val="Arial Black"/>
      <b val="1"/>
      <color rgb="FFFFFF00"/>
      <sz val="9"/>
    </font>
    <font>
      <name val="Noto Sans KR Bold"/>
      <b val="1"/>
      <color rgb="FFFFFF00"/>
      <sz val="12"/>
    </font>
    <font>
      <name val="Dubai Medium"/>
      <b val="1"/>
      <color rgb="FF5CDE3E"/>
      <sz val="14"/>
    </font>
    <font>
      <name val="Calibri"/>
      <b val="1"/>
      <i val="1"/>
      <color auto="1"/>
      <sz val="12"/>
    </font>
    <font>
      <name val="Calibri"/>
      <color auto="1"/>
      <sz val="11"/>
      <scheme val="minor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i val="1"/>
      <color rgb="FF555555"/>
      <sz val="12"/>
    </font>
    <font>
      <name val="Dubai"/>
      <b val="1"/>
      <color theme="1"/>
      <sz val="11"/>
    </font>
    <font>
      <name val="Dubai"/>
      <b val="1"/>
      <color rgb="FFFFFFFF"/>
      <sz val="11"/>
    </font>
    <font>
      <name val="Kurale"/>
      <i val="1"/>
      <color rgb="FF555555"/>
      <sz val="11"/>
    </font>
    <font>
      <name val="Kurale"/>
      <i val="1"/>
      <color theme="1"/>
      <sz val="11"/>
    </font>
    <font>
      <name val="Calibri"/>
      <color rgb="FFFFFF00"/>
      <sz val="14"/>
      <scheme val="minor"/>
    </font>
    <font>
      <name val="Corbel"/>
      <b val="1"/>
      <color theme="1"/>
      <sz val="11"/>
    </font>
    <font>
      <name val="Corbel"/>
      <b val="1"/>
      <color rgb="FF555555"/>
      <sz val="8"/>
    </font>
    <font>
      <name val="Calibri"/>
      <b val="1"/>
      <color theme="0"/>
      <sz val="12"/>
    </font>
    <font>
      <name val="Calibri"/>
      <b val="1"/>
      <color theme="0"/>
      <sz val="8"/>
    </font>
    <font>
      <name val="Calibri"/>
      <color rgb="FF2E75B6"/>
      <sz val="10"/>
    </font>
    <font>
      <name val="Leelawadee UI Semilight"/>
      <b val="1"/>
      <i val="1"/>
      <color rgb="FF555555"/>
      <sz val="10"/>
    </font>
    <font>
      <name val="Californian FB"/>
      <b val="1"/>
      <color theme="0"/>
      <sz val="16"/>
    </font>
    <font>
      <name val="Calibri"/>
      <b val="1"/>
      <color rgb="FFFFFF00"/>
      <sz val="18"/>
    </font>
    <font>
      <name val="Calibri"/>
      <b val="1"/>
      <color rgb="FFFFFF00"/>
      <sz val="16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Calibri"/>
      <b val="1"/>
      <color auto="1"/>
      <sz val="18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auto="1"/>
      <sz val="16"/>
    </font>
    <font>
      <name val="Calibri"/>
      <b val="1"/>
      <color auto="1"/>
      <sz val="12"/>
    </font>
    <font>
      <name val="Calibri"/>
      <b val="1"/>
      <color rgb="FFFFFF00"/>
      <sz val="9"/>
    </font>
    <font>
      <name val="Calibri"/>
      <b val="1"/>
      <color theme="0"/>
      <sz val="16"/>
    </font>
    <font>
      <name val="Calibri"/>
      <color theme="1"/>
      <sz val="11"/>
    </font>
  </fonts>
  <fills count="32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F4B942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theme="1"/>
      </patternFill>
    </fill>
    <fill>
      <patternFill patternType="solid">
        <fgColor theme="1" tint="0.35"/>
      </patternFill>
    </fill>
    <fill>
      <patternFill patternType="solid">
        <fgColor theme="3" tint="-0.25"/>
      </patternFill>
    </fill>
    <fill>
      <patternFill patternType="solid">
        <fgColor theme="9" tint="0.6"/>
      </patternFill>
    </fill>
    <fill>
      <patternFill patternType="solid">
        <fgColor rgb="FFF5F884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1F4E79"/>
      </patternFill>
    </fill>
    <fill>
      <patternFill patternType="solid">
        <fgColor theme="5" tint="-0.5"/>
      </patternFill>
    </fill>
  </fills>
  <borders count="4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 style="medium">
        <color rgb="FF000000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385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0" fillId="2" borderId="1" pivotButton="0" quotePrefix="0" xfId="0"/>
    <xf numFmtId="0" fontId="45" fillId="26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bottom"/>
    </xf>
    <xf numFmtId="0" fontId="1" fillId="3" borderId="4" applyAlignment="1" pivotButton="0" quotePrefix="0" xfId="0">
      <alignment horizontal="center" vertical="bottom"/>
    </xf>
    <xf numFmtId="0" fontId="0" fillId="4" borderId="2" applyAlignment="1" pivotButton="0" quotePrefix="0" xfId="0">
      <alignment horizontal="center" vertical="bottom"/>
    </xf>
    <xf numFmtId="0" fontId="0" fillId="4" borderId="2" pivotButton="0" quotePrefix="0" xfId="0"/>
    <xf numFmtId="0" fontId="0" fillId="4" borderId="1" pivotButton="0" quotePrefix="0" xfId="0"/>
    <xf numFmtId="0" fontId="0" fillId="5" borderId="2" applyAlignment="1" pivotButton="0" quotePrefix="0" xfId="0">
      <alignment horizontal="center" vertical="bottom"/>
    </xf>
    <xf numFmtId="0" fontId="0" fillId="5" borderId="2" pivotButton="0" quotePrefix="0" xfId="0"/>
    <xf numFmtId="0" fontId="2" fillId="5" borderId="2" pivotButton="0" quotePrefix="0" xfId="0"/>
    <xf numFmtId="0" fontId="0" fillId="5" borderId="1" pivotButton="0" quotePrefix="0" xfId="0"/>
    <xf numFmtId="0" fontId="20" fillId="6" borderId="1" applyAlignment="1" pivotButton="0" quotePrefix="0" xfId="0">
      <alignment horizontal="center" vertical="center"/>
    </xf>
    <xf numFmtId="0" fontId="1" fillId="23" borderId="3" applyAlignment="1" pivotButton="0" quotePrefix="0" xfId="0">
      <alignment horizontal="center" vertical="center"/>
    </xf>
    <xf numFmtId="0" fontId="18" fillId="30" borderId="3" applyAlignment="1" pivotButton="0" quotePrefix="0" xfId="0">
      <alignment horizontal="center" vertical="center"/>
    </xf>
    <xf numFmtId="0" fontId="32" fillId="23" borderId="3" applyAlignment="1" pivotButton="0" quotePrefix="0" xfId="0">
      <alignment horizontal="center" vertical="center"/>
    </xf>
    <xf numFmtId="0" fontId="51" fillId="3" borderId="1" applyAlignment="1" pivotButton="0" quotePrefix="0" xfId="0">
      <alignment horizontal="center" vertical="center"/>
    </xf>
    <xf numFmtId="0" fontId="0" fillId="23" borderId="1" pivotButton="0" quotePrefix="0" xfId="0"/>
    <xf numFmtId="0" fontId="49" fillId="17" borderId="18" applyAlignment="1" pivotButton="0" quotePrefix="0" xfId="0">
      <alignment horizontal="center" vertical="center"/>
    </xf>
    <xf numFmtId="0" fontId="0" fillId="0" borderId="18" pivotButton="0" quotePrefix="0" xfId="0"/>
    <xf numFmtId="0" fontId="3" fillId="6" borderId="3" applyAlignment="1" pivotButton="0" quotePrefix="0" xfId="0">
      <alignment horizontal="center" vertical="center" wrapText="1"/>
    </xf>
    <xf numFmtId="164" fontId="47" fillId="23" borderId="3" applyAlignment="1" pivotButton="0" quotePrefix="0" xfId="0">
      <alignment horizontal="center" vertical="center"/>
    </xf>
    <xf numFmtId="0" fontId="47" fillId="15" borderId="3" applyAlignment="1" pivotButton="0" quotePrefix="0" xfId="0">
      <alignment horizontal="left" vertical="center"/>
    </xf>
    <xf numFmtId="0" fontId="48" fillId="15" borderId="3" applyAlignment="1" pivotButton="0" quotePrefix="0" xfId="0">
      <alignment horizontal="center" vertical="center"/>
    </xf>
    <xf numFmtId="164" fontId="47" fillId="27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center" vertical="center"/>
    </xf>
    <xf numFmtId="165" fontId="4" fillId="8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47" fillId="9" borderId="3" applyAlignment="1" pivotButton="0" quotePrefix="0" xfId="0">
      <alignment horizontal="left" vertical="center"/>
    </xf>
    <xf numFmtId="0" fontId="48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left" vertical="center"/>
    </xf>
    <xf numFmtId="0" fontId="47" fillId="28" borderId="3" applyAlignment="1" pivotButton="0" quotePrefix="0" xfId="0">
      <alignment horizontal="left" vertical="center"/>
    </xf>
    <xf numFmtId="0" fontId="48" fillId="28" borderId="3" applyAlignment="1" pivotButton="0" quotePrefix="0" xfId="0">
      <alignment horizontal="center" vertical="center"/>
    </xf>
    <xf numFmtId="0" fontId="47" fillId="29" borderId="3" applyAlignment="1" pivotButton="0" quotePrefix="0" xfId="0">
      <alignment horizontal="left" vertical="center"/>
    </xf>
    <xf numFmtId="0" fontId="48" fillId="29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7" fillId="5" borderId="3" applyAlignment="1" pivotButton="0" quotePrefix="0" xfId="0">
      <alignment horizontal="left" vertical="center"/>
    </xf>
    <xf numFmtId="0" fontId="48" fillId="5" borderId="3" applyAlignment="1" pivotButton="0" quotePrefix="0" xfId="0">
      <alignment horizontal="center" vertical="center"/>
    </xf>
    <xf numFmtId="164" fontId="47" fillId="2" borderId="3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27" fillId="6" borderId="3" applyAlignment="1" pivotButton="0" quotePrefix="0" xfId="0">
      <alignment horizontal="right" vertical="center"/>
    </xf>
    <xf numFmtId="0" fontId="18" fillId="3" borderId="3" applyAlignment="1" pivotButton="0" quotePrefix="0" xfId="0">
      <alignment horizontal="center" vertical="center"/>
    </xf>
    <xf numFmtId="0" fontId="56" fillId="20" borderId="3" applyAlignment="1" pivotButton="0" quotePrefix="0" xfId="0">
      <alignment horizontal="center" vertical="center"/>
    </xf>
    <xf numFmtId="0" fontId="52" fillId="21" borderId="3" applyAlignment="1" pivotButton="0" quotePrefix="0" xfId="0">
      <alignment horizontal="left" vertical="center" wrapText="1"/>
    </xf>
    <xf numFmtId="0" fontId="33" fillId="6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44" fillId="6" borderId="3" applyAlignment="1" pivotButton="0" quotePrefix="0" xfId="0">
      <alignment horizontal="center" vertical="center"/>
    </xf>
    <xf numFmtId="0" fontId="41" fillId="6" borderId="3" applyAlignment="1" pivotButton="0" quotePrefix="0" xfId="0">
      <alignment horizontal="center" vertical="center"/>
    </xf>
    <xf numFmtId="0" fontId="32" fillId="6" borderId="3" applyAlignment="1" pivotButton="0" quotePrefix="0" xfId="0">
      <alignment horizontal="center" vertical="center" wrapText="1"/>
    </xf>
    <xf numFmtId="0" fontId="62" fillId="22" borderId="3" applyAlignment="1" pivotButton="0" quotePrefix="0" xfId="0">
      <alignment horizontal="center" vertical="center"/>
    </xf>
    <xf numFmtId="0" fontId="29" fillId="22" borderId="3" applyAlignment="1" pivotButton="0" quotePrefix="0" xfId="0">
      <alignment horizontal="center" vertical="center"/>
    </xf>
    <xf numFmtId="0" fontId="43" fillId="22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165" fontId="63" fillId="22" borderId="3" applyAlignment="1" pivotButton="0" quotePrefix="0" xfId="0">
      <alignment horizontal="center" vertical="center"/>
    </xf>
    <xf numFmtId="0" fontId="35" fillId="8" borderId="3" applyAlignment="1" pivotButton="0" quotePrefix="0" xfId="0">
      <alignment horizontal="center" vertical="center"/>
    </xf>
    <xf numFmtId="0" fontId="66" fillId="8" borderId="3" applyAlignment="1" pivotButton="0" quotePrefix="0" xfId="0">
      <alignment horizontal="center" vertical="center"/>
    </xf>
    <xf numFmtId="0" fontId="67" fillId="8" borderId="3" applyAlignment="1" pivotButton="0" quotePrefix="0" xfId="0">
      <alignment horizontal="center" vertical="center"/>
    </xf>
    <xf numFmtId="0" fontId="60" fillId="8" borderId="3" applyAlignment="1" pivotButton="0" quotePrefix="0" xfId="0">
      <alignment horizontal="left" vertical="center" wrapText="1"/>
    </xf>
    <xf numFmtId="0" fontId="59" fillId="8" borderId="3" applyAlignment="1" pivotButton="0" quotePrefix="0" xfId="0">
      <alignment horizontal="left" vertical="center" wrapText="1"/>
    </xf>
    <xf numFmtId="0" fontId="8" fillId="11" borderId="3" applyAlignment="1" pivotButton="0" quotePrefix="0" xfId="0">
      <alignment horizontal="center" vertical="center"/>
    </xf>
    <xf numFmtId="0" fontId="32" fillId="12" borderId="3" applyAlignment="1" pivotButton="0" quotePrefix="0" xfId="0">
      <alignment horizontal="center" vertical="center"/>
    </xf>
    <xf numFmtId="0" fontId="37" fillId="11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66" fillId="11" borderId="3" applyAlignment="1" pivotButton="0" quotePrefix="0" xfId="0">
      <alignment horizontal="center" vertical="center"/>
    </xf>
    <xf numFmtId="0" fontId="67" fillId="11" borderId="3" applyAlignment="1" pivotButton="0" quotePrefix="0" xfId="0">
      <alignment horizontal="center" vertical="center"/>
    </xf>
    <xf numFmtId="0" fontId="58" fillId="31" borderId="3" applyAlignment="1" pivotButton="0" quotePrefix="0" xfId="0">
      <alignment horizontal="center" vertical="center"/>
    </xf>
    <xf numFmtId="0" fontId="60" fillId="11" borderId="3" applyAlignment="1" pivotButton="0" quotePrefix="0" xfId="0">
      <alignment horizontal="left" vertical="center" wrapText="1"/>
    </xf>
    <xf numFmtId="0" fontId="59" fillId="11" borderId="3" applyAlignment="1" pivotButton="0" quotePrefix="0" xfId="0">
      <alignment horizontal="left" vertical="center" wrapText="1"/>
    </xf>
    <xf numFmtId="0" fontId="8" fillId="11" borderId="8" applyAlignment="1" pivotButton="0" quotePrefix="0" xfId="0">
      <alignment horizontal="center" vertical="center"/>
    </xf>
    <xf numFmtId="0" fontId="32" fillId="12" borderId="8" applyAlignment="1" pivotButton="0" quotePrefix="0" xfId="0">
      <alignment horizontal="center" vertical="center"/>
    </xf>
    <xf numFmtId="0" fontId="37" fillId="11" borderId="8" applyAlignment="1" pivotButton="0" quotePrefix="0" xfId="0">
      <alignment horizontal="center" vertical="center"/>
    </xf>
    <xf numFmtId="0" fontId="0" fillId="0" borderId="25" pivotButton="0" quotePrefix="0" xfId="0"/>
    <xf numFmtId="0" fontId="10" fillId="11" borderId="8" applyAlignment="1" pivotButton="0" quotePrefix="0" xfId="0">
      <alignment horizontal="center" vertical="center"/>
    </xf>
    <xf numFmtId="0" fontId="66" fillId="11" borderId="8" applyAlignment="1" pivotButton="0" quotePrefix="0" xfId="0">
      <alignment horizontal="center" vertical="center"/>
    </xf>
    <xf numFmtId="0" fontId="67" fillId="11" borderId="8" applyAlignment="1" pivotButton="0" quotePrefix="0" xfId="0">
      <alignment horizontal="center" vertical="center"/>
    </xf>
    <xf numFmtId="0" fontId="9" fillId="14" borderId="8" applyAlignment="1" pivotButton="0" quotePrefix="0" xfId="0">
      <alignment horizontal="center" vertical="center"/>
    </xf>
    <xf numFmtId="0" fontId="60" fillId="11" borderId="8" applyAlignment="1" pivotButton="0" quotePrefix="0" xfId="0">
      <alignment horizontal="left" vertical="center" wrapText="1"/>
    </xf>
    <xf numFmtId="0" fontId="59" fillId="11" borderId="8" applyAlignment="1" pivotButton="0" quotePrefix="0" xfId="0">
      <alignment horizontal="left" vertical="center" wrapText="1"/>
    </xf>
    <xf numFmtId="0" fontId="35" fillId="15" borderId="12" applyAlignment="1" pivotButton="0" quotePrefix="0" xfId="0">
      <alignment horizontal="center" vertical="center"/>
    </xf>
    <xf numFmtId="0" fontId="32" fillId="3" borderId="10" applyAlignment="1" pivotButton="0" quotePrefix="0" xfId="0">
      <alignment horizontal="center" vertical="center"/>
    </xf>
    <xf numFmtId="0" fontId="61" fillId="31" borderId="10" applyAlignment="1" pivotButton="0" quotePrefix="0" xfId="0">
      <alignment horizontal="center" vertical="center"/>
    </xf>
    <xf numFmtId="0" fontId="42" fillId="25" borderId="26" applyAlignment="1" pivotButton="0" quotePrefix="0" xfId="0">
      <alignment horizontal="center" vertical="center" textRotation="255"/>
    </xf>
    <xf numFmtId="0" fontId="34" fillId="15" borderId="10" applyAlignment="1" pivotButton="0" quotePrefix="0" xfId="0">
      <alignment horizontal="center" vertical="center"/>
    </xf>
    <xf numFmtId="0" fontId="10" fillId="15" borderId="10" applyAlignment="1" pivotButton="0" quotePrefix="0" xfId="0">
      <alignment horizontal="center" vertical="center"/>
    </xf>
    <xf numFmtId="0" fontId="37" fillId="15" borderId="10" applyAlignment="1" pivotButton="0" quotePrefix="0" xfId="0">
      <alignment horizontal="center" vertical="center"/>
    </xf>
    <xf numFmtId="165" fontId="35" fillId="10" borderId="10" applyAlignment="1" pivotButton="0" quotePrefix="0" xfId="0">
      <alignment horizontal="center" vertical="center"/>
    </xf>
    <xf numFmtId="0" fontId="39" fillId="15" borderId="10" applyAlignment="1" pivotButton="0" quotePrefix="0" xfId="0">
      <alignment horizontal="center" vertical="center"/>
    </xf>
    <xf numFmtId="0" fontId="64" fillId="15" borderId="10" applyAlignment="1" pivotButton="0" quotePrefix="0" xfId="0">
      <alignment horizontal="center" vertical="center"/>
    </xf>
    <xf numFmtId="0" fontId="65" fillId="15" borderId="10" applyAlignment="1" pivotButton="0" quotePrefix="0" xfId="0">
      <alignment horizontal="center" vertical="center"/>
    </xf>
    <xf numFmtId="0" fontId="57" fillId="31" borderId="10" applyAlignment="1" pivotButton="0" quotePrefix="0" xfId="0">
      <alignment horizontal="center" vertical="center"/>
    </xf>
    <xf numFmtId="0" fontId="60" fillId="15" borderId="10" applyAlignment="1" pivotButton="0" quotePrefix="0" xfId="0">
      <alignment horizontal="left" vertical="center" wrapText="1"/>
    </xf>
    <xf numFmtId="0" fontId="59" fillId="15" borderId="19" applyAlignment="1" pivotButton="0" quotePrefix="0" xfId="0">
      <alignment horizontal="left" vertical="center" wrapText="1"/>
    </xf>
    <xf numFmtId="0" fontId="35" fillId="15" borderId="13" applyAlignment="1" pivotButton="0" quotePrefix="0" xfId="0">
      <alignment horizontal="center" vertical="center"/>
    </xf>
    <xf numFmtId="0" fontId="32" fillId="3" borderId="3" applyAlignment="1" pivotButton="0" quotePrefix="0" xfId="0">
      <alignment horizontal="center" vertical="center"/>
    </xf>
    <xf numFmtId="0" fontId="61" fillId="31" borderId="3" applyAlignment="1" pivotButton="0" quotePrefix="0" xfId="0">
      <alignment horizontal="center" vertical="center"/>
    </xf>
    <xf numFmtId="0" fontId="0" fillId="0" borderId="16" pivotButton="0" quotePrefix="0" xfId="0"/>
    <xf numFmtId="0" fontId="34" fillId="15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center" vertical="center"/>
    </xf>
    <xf numFmtId="0" fontId="37" fillId="15" borderId="3" applyAlignment="1" pivotButton="0" quotePrefix="0" xfId="0">
      <alignment horizontal="center" vertical="center"/>
    </xf>
    <xf numFmtId="165" fontId="35" fillId="10" borderId="3" applyAlignment="1" pivotButton="0" quotePrefix="0" xfId="0">
      <alignment horizontal="center" vertical="center"/>
    </xf>
    <xf numFmtId="0" fontId="39" fillId="15" borderId="3" applyAlignment="1" pivotButton="0" quotePrefix="0" xfId="0">
      <alignment horizontal="center" vertical="center"/>
    </xf>
    <xf numFmtId="0" fontId="35" fillId="10" borderId="3" applyAlignment="1" pivotButton="0" quotePrefix="0" xfId="0">
      <alignment horizontal="center" vertical="center"/>
    </xf>
    <xf numFmtId="0" fontId="64" fillId="15" borderId="3" applyAlignment="1" pivotButton="0" quotePrefix="0" xfId="0">
      <alignment horizontal="center" vertical="center"/>
    </xf>
    <xf numFmtId="0" fontId="65" fillId="15" borderId="3" applyAlignment="1" pivotButton="0" quotePrefix="0" xfId="0">
      <alignment horizontal="center" vertical="center"/>
    </xf>
    <xf numFmtId="0" fontId="57" fillId="31" borderId="3" applyAlignment="1" pivotButton="0" quotePrefix="0" xfId="0">
      <alignment horizontal="center" vertical="center"/>
    </xf>
    <xf numFmtId="0" fontId="60" fillId="15" borderId="3" applyAlignment="1" pivotButton="0" quotePrefix="0" xfId="0">
      <alignment horizontal="left" vertical="center" wrapText="1"/>
    </xf>
    <xf numFmtId="0" fontId="59" fillId="15" borderId="20" applyAlignment="1" pivotButton="0" quotePrefix="0" xfId="0">
      <alignment horizontal="left" vertical="center" wrapText="1"/>
    </xf>
    <xf numFmtId="0" fontId="35" fillId="15" borderId="14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/>
    </xf>
    <xf numFmtId="0" fontId="61" fillId="31" borderId="11" applyAlignment="1" pivotButton="0" quotePrefix="0" xfId="0">
      <alignment horizontal="center" vertical="center"/>
    </xf>
    <xf numFmtId="0" fontId="0" fillId="0" borderId="17" pivotButton="0" quotePrefix="0" xfId="0"/>
    <xf numFmtId="0" fontId="34" fillId="15" borderId="11" applyAlignment="1" pivotButton="0" quotePrefix="0" xfId="0">
      <alignment horizontal="center" vertical="center"/>
    </xf>
    <xf numFmtId="0" fontId="10" fillId="15" borderId="11" applyAlignment="1" pivotButton="0" quotePrefix="0" xfId="0">
      <alignment horizontal="center" vertical="center"/>
    </xf>
    <xf numFmtId="0" fontId="37" fillId="15" borderId="11" applyAlignment="1" pivotButton="0" quotePrefix="0" xfId="0">
      <alignment horizontal="center" vertical="center"/>
    </xf>
    <xf numFmtId="165" fontId="35" fillId="10" borderId="11" applyAlignment="1" pivotButton="0" quotePrefix="0" xfId="0">
      <alignment horizontal="center" vertical="center"/>
    </xf>
    <xf numFmtId="0" fontId="39" fillId="15" borderId="11" applyAlignment="1" pivotButton="0" quotePrefix="0" xfId="0">
      <alignment horizontal="center" vertical="center"/>
    </xf>
    <xf numFmtId="0" fontId="64" fillId="15" borderId="11" applyAlignment="1" pivotButton="0" quotePrefix="0" xfId="0">
      <alignment horizontal="center" vertical="center"/>
    </xf>
    <xf numFmtId="0" fontId="65" fillId="15" borderId="11" applyAlignment="1" pivotButton="0" quotePrefix="0" xfId="0">
      <alignment horizontal="center" vertical="center"/>
    </xf>
    <xf numFmtId="0" fontId="57" fillId="31" borderId="11" applyAlignment="1" pivotButton="0" quotePrefix="0" xfId="0">
      <alignment horizontal="center" vertical="center"/>
    </xf>
    <xf numFmtId="0" fontId="60" fillId="15" borderId="11" applyAlignment="1" pivotButton="0" quotePrefix="0" xfId="0">
      <alignment horizontal="left" vertical="center" wrapText="1"/>
    </xf>
    <xf numFmtId="0" fontId="59" fillId="15" borderId="21" applyAlignment="1" pivotButton="0" quotePrefix="0" xfId="0">
      <alignment horizontal="left" vertical="center" wrapText="1"/>
    </xf>
    <xf numFmtId="0" fontId="8" fillId="7" borderId="9" applyAlignment="1" pivotButton="0" quotePrefix="0" xfId="0">
      <alignment horizontal="center" vertical="center"/>
    </xf>
    <xf numFmtId="0" fontId="32" fillId="24" borderId="9" applyAlignment="1" pivotButton="0" quotePrefix="0" xfId="0">
      <alignment horizontal="center" vertical="center"/>
    </xf>
    <xf numFmtId="0" fontId="37" fillId="7" borderId="9" applyAlignment="1" pivotButton="0" quotePrefix="0" xfId="0">
      <alignment horizontal="center" vertical="center"/>
    </xf>
    <xf numFmtId="0" fontId="0" fillId="0" borderId="23" pivotButton="0" quotePrefix="0" xfId="0"/>
    <xf numFmtId="0" fontId="32" fillId="3" borderId="9" applyAlignment="1" pivotButton="0" quotePrefix="0" xfId="0">
      <alignment horizontal="center" vertical="center"/>
    </xf>
    <xf numFmtId="0" fontId="40" fillId="7" borderId="9" applyAlignment="1" pivotButton="0" quotePrefix="0" xfId="0">
      <alignment horizontal="left" vertical="center" wrapText="1"/>
    </xf>
    <xf numFmtId="0" fontId="28" fillId="7" borderId="9" applyAlignment="1" pivotButton="0" quotePrefix="0" xfId="0">
      <alignment horizontal="left" vertical="center" wrapText="1"/>
    </xf>
    <xf numFmtId="0" fontId="8" fillId="17" borderId="3" applyAlignment="1" pivotButton="0" quotePrefix="0" xfId="0">
      <alignment horizontal="center" vertical="center"/>
    </xf>
    <xf numFmtId="0" fontId="32" fillId="24" borderId="3" applyAlignment="1" pivotButton="0" quotePrefix="0" xfId="0">
      <alignment horizontal="center" vertical="center"/>
    </xf>
    <xf numFmtId="0" fontId="37" fillId="17" borderId="3" applyAlignment="1" pivotButton="0" quotePrefix="0" xfId="0">
      <alignment horizontal="center" vertical="center"/>
    </xf>
    <xf numFmtId="0" fontId="38" fillId="24" borderId="3" applyAlignment="1" pivotButton="0" quotePrefix="0" xfId="0">
      <alignment horizontal="center" vertical="center"/>
    </xf>
    <xf numFmtId="0" fontId="40" fillId="17" borderId="3" applyAlignment="1" pivotButton="0" quotePrefix="0" xfId="0">
      <alignment horizontal="left" vertical="center" wrapText="1"/>
    </xf>
    <xf numFmtId="0" fontId="28" fillId="17" borderId="3" applyAlignment="1" pivotButton="0" quotePrefix="0" xfId="0">
      <alignment horizontal="left" vertical="center" wrapText="1"/>
    </xf>
    <xf numFmtId="0" fontId="30" fillId="20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/>
    </xf>
    <xf numFmtId="0" fontId="23" fillId="20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166" fontId="29" fillId="22" borderId="3" applyAlignment="1" pivotButton="0" quotePrefix="0" xfId="0">
      <alignment horizontal="center" vertical="center"/>
    </xf>
    <xf numFmtId="166" fontId="37" fillId="7" borderId="3" applyAlignment="1" pivotButton="0" quotePrefix="0" xfId="0">
      <alignment horizontal="center" vertical="center"/>
    </xf>
    <xf numFmtId="166" fontId="36" fillId="10" borderId="3" applyAlignment="1" pivotButton="0" quotePrefix="0" xfId="0">
      <alignment horizontal="center" vertical="center"/>
    </xf>
    <xf numFmtId="0" fontId="2" fillId="0" borderId="1" pivotButton="0" quotePrefix="0" xfId="0"/>
    <xf numFmtId="0" fontId="25" fillId="6" borderId="28" applyAlignment="1" pivotButton="0" quotePrefix="0" xfId="0">
      <alignment horizontal="center" vertical="center"/>
    </xf>
    <xf numFmtId="0" fontId="68" fillId="6" borderId="28" applyAlignment="1" pivotButton="0" quotePrefix="0" xfId="0">
      <alignment horizontal="right" vertical="center"/>
    </xf>
    <xf numFmtId="0" fontId="18" fillId="3" borderId="28" applyAlignment="1" pivotButton="0" quotePrefix="0" xfId="0">
      <alignment horizontal="center" vertical="center"/>
    </xf>
    <xf numFmtId="0" fontId="69" fillId="20" borderId="28" applyAlignment="1" pivotButton="0" quotePrefix="0" xfId="0">
      <alignment horizontal="center" vertical="center"/>
    </xf>
    <xf numFmtId="0" fontId="70" fillId="21" borderId="28" applyAlignment="1" pivotButton="0" quotePrefix="0" xfId="0">
      <alignment horizontal="left" vertical="center" wrapText="1"/>
    </xf>
    <xf numFmtId="0" fontId="33" fillId="6" borderId="28" applyAlignment="1" pivotButton="0" quotePrefix="0" xfId="0">
      <alignment horizontal="center" vertical="center"/>
    </xf>
    <xf numFmtId="0" fontId="0" fillId="0" borderId="28" pivotButton="0" quotePrefix="0" xfId="0"/>
    <xf numFmtId="0" fontId="7" fillId="6" borderId="28" applyAlignment="1" pivotButton="0" quotePrefix="0" xfId="0">
      <alignment horizontal="center" vertical="center"/>
    </xf>
    <xf numFmtId="0" fontId="7" fillId="6" borderId="28" applyAlignment="1" pivotButton="0" quotePrefix="0" xfId="0">
      <alignment horizontal="center" vertical="center" wrapText="1"/>
    </xf>
    <xf numFmtId="0" fontId="71" fillId="6" borderId="28" applyAlignment="1" pivotButton="0" quotePrefix="0" xfId="0">
      <alignment horizontal="center" vertical="center"/>
    </xf>
    <xf numFmtId="0" fontId="72" fillId="6" borderId="28" applyAlignment="1" pivotButton="0" quotePrefix="0" xfId="0">
      <alignment horizontal="center" vertical="center"/>
    </xf>
    <xf numFmtId="0" fontId="3" fillId="6" borderId="28" applyAlignment="1" pivotButton="0" quotePrefix="0" xfId="0">
      <alignment horizontal="center" vertical="center"/>
    </xf>
    <xf numFmtId="0" fontId="3" fillId="6" borderId="28" applyAlignment="1" pivotButton="0" quotePrefix="0" xfId="0">
      <alignment horizontal="center" vertical="center" wrapText="1"/>
    </xf>
    <xf numFmtId="0" fontId="32" fillId="6" borderId="28" applyAlignment="1" pivotButton="0" quotePrefix="0" xfId="0">
      <alignment horizontal="center" vertical="center" wrapText="1"/>
    </xf>
    <xf numFmtId="0" fontId="62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73" fillId="0" borderId="28" applyAlignment="1" pivotButton="0" quotePrefix="0" xfId="0">
      <alignment horizontal="center" vertical="center"/>
    </xf>
    <xf numFmtId="0" fontId="8" fillId="8" borderId="28" applyAlignment="1" pivotButton="0" quotePrefix="0" xfId="0">
      <alignment horizontal="center" vertical="center"/>
    </xf>
    <xf numFmtId="165" fontId="63" fillId="0" borderId="28" applyAlignment="1" pivotButton="0" quotePrefix="0" xfId="0">
      <alignment horizontal="center" vertical="center"/>
    </xf>
    <xf numFmtId="0" fontId="35" fillId="8" borderId="28" applyAlignment="1" pivotButton="0" quotePrefix="0" xfId="0">
      <alignment horizontal="center" vertical="center"/>
    </xf>
    <xf numFmtId="0" fontId="66" fillId="8" borderId="28" applyAlignment="1" pivotButton="0" quotePrefix="0" xfId="0">
      <alignment horizontal="center" vertical="center"/>
    </xf>
    <xf numFmtId="0" fontId="67" fillId="8" borderId="28" applyAlignment="1" pivotButton="0" quotePrefix="0" xfId="0">
      <alignment horizontal="center" vertical="center"/>
    </xf>
    <xf numFmtId="0" fontId="74" fillId="8" borderId="28" applyAlignment="1" pivotButton="0" quotePrefix="0" xfId="0">
      <alignment horizontal="left" vertical="center" wrapText="1"/>
    </xf>
    <xf numFmtId="0" fontId="59" fillId="8" borderId="28" applyAlignment="1" pivotButton="0" quotePrefix="0" xfId="0">
      <alignment horizontal="left" vertical="center" wrapText="1"/>
    </xf>
    <xf numFmtId="0" fontId="8" fillId="11" borderId="28" applyAlignment="1" pivotButton="0" quotePrefix="0" xfId="0">
      <alignment horizontal="center" vertical="center"/>
    </xf>
    <xf numFmtId="0" fontId="32" fillId="12" borderId="28" applyAlignment="1" pivotButton="0" quotePrefix="0" xfId="0">
      <alignment horizontal="center" vertical="center"/>
    </xf>
    <xf numFmtId="0" fontId="37" fillId="11" borderId="28" applyAlignment="1" pivotButton="0" quotePrefix="0" xfId="0">
      <alignment horizontal="center" vertical="center"/>
    </xf>
    <xf numFmtId="0" fontId="10" fillId="11" borderId="28" applyAlignment="1" pivotButton="0" quotePrefix="0" xfId="0">
      <alignment horizontal="center" vertical="center"/>
    </xf>
    <xf numFmtId="0" fontId="66" fillId="11" borderId="28" applyAlignment="1" pivotButton="0" quotePrefix="0" xfId="0">
      <alignment horizontal="center" vertical="center"/>
    </xf>
    <xf numFmtId="0" fontId="67" fillId="11" borderId="28" applyAlignment="1" pivotButton="0" quotePrefix="0" xfId="0">
      <alignment horizontal="center" vertical="center"/>
    </xf>
    <xf numFmtId="0" fontId="9" fillId="13" borderId="28" applyAlignment="1" pivotButton="0" quotePrefix="0" xfId="0">
      <alignment horizontal="center" vertical="center"/>
    </xf>
    <xf numFmtId="0" fontId="74" fillId="11" borderId="28" applyAlignment="1" pivotButton="0" quotePrefix="0" xfId="0">
      <alignment horizontal="left" vertical="center" wrapText="1"/>
    </xf>
    <xf numFmtId="0" fontId="59" fillId="11" borderId="28" applyAlignment="1" pivotButton="0" quotePrefix="0" xfId="0">
      <alignment horizontal="left" vertical="center" wrapText="1"/>
    </xf>
    <xf numFmtId="0" fontId="9" fillId="14" borderId="28" applyAlignment="1" pivotButton="0" quotePrefix="0" xfId="0">
      <alignment horizontal="center" vertical="center"/>
    </xf>
    <xf numFmtId="0" fontId="35" fillId="15" borderId="28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75" fillId="0" borderId="28" applyAlignment="1" pivotButton="0" quotePrefix="0" xfId="0">
      <alignment horizontal="center" vertical="center"/>
    </xf>
    <xf numFmtId="0" fontId="34" fillId="15" borderId="28" applyAlignment="1" pivotButton="0" quotePrefix="0" xfId="0">
      <alignment horizontal="center" vertical="center"/>
    </xf>
    <xf numFmtId="0" fontId="10" fillId="15" borderId="28" applyAlignment="1" pivotButton="0" quotePrefix="0" xfId="0">
      <alignment horizontal="center" vertical="center"/>
    </xf>
    <xf numFmtId="0" fontId="37" fillId="15" borderId="28" applyAlignment="1" pivotButton="0" quotePrefix="0" xfId="0">
      <alignment horizontal="center" vertical="center"/>
    </xf>
    <xf numFmtId="165" fontId="35" fillId="10" borderId="28" applyAlignment="1" pivotButton="0" quotePrefix="0" xfId="0">
      <alignment horizontal="center" vertical="center"/>
    </xf>
    <xf numFmtId="0" fontId="39" fillId="15" borderId="28" applyAlignment="1" pivotButton="0" quotePrefix="0" xfId="0">
      <alignment horizontal="center" vertical="center"/>
    </xf>
    <xf numFmtId="0" fontId="64" fillId="15" borderId="28" applyAlignment="1" pivotButton="0" quotePrefix="0" xfId="0">
      <alignment horizontal="center" vertical="center"/>
    </xf>
    <xf numFmtId="0" fontId="65" fillId="15" borderId="28" applyAlignment="1" pivotButton="0" quotePrefix="0" xfId="0">
      <alignment horizontal="center" vertical="center"/>
    </xf>
    <xf numFmtId="0" fontId="76" fillId="0" borderId="28" applyAlignment="1" pivotButton="0" quotePrefix="0" xfId="0">
      <alignment horizontal="center" vertical="center"/>
    </xf>
    <xf numFmtId="0" fontId="74" fillId="15" borderId="28" applyAlignment="1" pivotButton="0" quotePrefix="0" xfId="0">
      <alignment horizontal="left" vertical="center" wrapText="1"/>
    </xf>
    <xf numFmtId="0" fontId="59" fillId="15" borderId="28" applyAlignment="1" pivotButton="0" quotePrefix="0" xfId="0">
      <alignment horizontal="left" vertical="center" wrapText="1"/>
    </xf>
    <xf numFmtId="0" fontId="32" fillId="14" borderId="28" applyAlignment="1" pivotButton="0" quotePrefix="0" xfId="0">
      <alignment horizontal="center" vertical="center"/>
    </xf>
    <xf numFmtId="0" fontId="35" fillId="10" borderId="28" applyAlignment="1" pivotButton="0" quotePrefix="0" xfId="0">
      <alignment horizontal="center" vertical="center"/>
    </xf>
    <xf numFmtId="0" fontId="8" fillId="7" borderId="28" applyAlignment="1" pivotButton="0" quotePrefix="0" xfId="0">
      <alignment horizontal="center" vertical="center"/>
    </xf>
    <xf numFmtId="0" fontId="32" fillId="0" borderId="28" applyAlignment="1" pivotButton="0" quotePrefix="0" xfId="0">
      <alignment horizontal="center" vertical="center"/>
    </xf>
    <xf numFmtId="0" fontId="37" fillId="7" borderId="28" applyAlignment="1" pivotButton="0" quotePrefix="0" xfId="0">
      <alignment horizontal="center" vertical="center"/>
    </xf>
    <xf numFmtId="0" fontId="69" fillId="7" borderId="28" applyAlignment="1" pivotButton="0" quotePrefix="0" xfId="0">
      <alignment horizontal="left" vertical="center" wrapText="1"/>
    </xf>
    <xf numFmtId="0" fontId="28" fillId="7" borderId="28" applyAlignment="1" pivotButton="0" quotePrefix="0" xfId="0">
      <alignment horizontal="left" vertical="center" wrapText="1"/>
    </xf>
    <xf numFmtId="0" fontId="8" fillId="17" borderId="28" applyAlignment="1" pivotButton="0" quotePrefix="0" xfId="0">
      <alignment horizontal="center" vertical="center"/>
    </xf>
    <xf numFmtId="0" fontId="37" fillId="17" borderId="28" applyAlignment="1" pivotButton="0" quotePrefix="0" xfId="0">
      <alignment horizontal="center" vertical="center"/>
    </xf>
    <xf numFmtId="0" fontId="35" fillId="17" borderId="28" applyAlignment="1" pivotButton="0" quotePrefix="0" xfId="0">
      <alignment horizontal="center" vertical="center"/>
    </xf>
    <xf numFmtId="0" fontId="69" fillId="17" borderId="28" applyAlignment="1" pivotButton="0" quotePrefix="0" xfId="0">
      <alignment horizontal="left" vertical="center" wrapText="1"/>
    </xf>
    <xf numFmtId="0" fontId="28" fillId="17" borderId="28" applyAlignment="1" pivotButton="0" quotePrefix="0" xfId="0">
      <alignment horizontal="left" vertical="center" wrapText="1"/>
    </xf>
    <xf numFmtId="0" fontId="74" fillId="20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69" fillId="2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5" fillId="8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horizontal="center" vertical="center"/>
    </xf>
    <xf numFmtId="0" fontId="36" fillId="10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0" fontId="20" fillId="6" borderId="3" applyAlignment="1" pivotButton="0" quotePrefix="0" xfId="0">
      <alignment horizontal="center" vertical="center"/>
    </xf>
    <xf numFmtId="0" fontId="22" fillId="6" borderId="3" applyAlignment="1" pivotButton="0" quotePrefix="0" xfId="0">
      <alignment horizontal="right" vertical="center"/>
    </xf>
    <xf numFmtId="0" fontId="21" fillId="3" borderId="3" applyAlignment="1" pivotButton="0" quotePrefix="0" xfId="0">
      <alignment horizontal="center" vertical="center"/>
    </xf>
    <xf numFmtId="0" fontId="13" fillId="20" borderId="3" applyAlignment="1" pivotButton="0" quotePrefix="0" xfId="0">
      <alignment horizontal="center" vertical="center"/>
    </xf>
    <xf numFmtId="0" fontId="13" fillId="21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left" vertical="center" wrapText="1"/>
    </xf>
    <xf numFmtId="0" fontId="14" fillId="8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left" vertical="center"/>
    </xf>
    <xf numFmtId="0" fontId="11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9" fillId="13" borderId="3" applyAlignment="1" pivotButton="0" quotePrefix="0" xfId="0">
      <alignment horizontal="center" vertical="center"/>
    </xf>
    <xf numFmtId="0" fontId="13" fillId="11" borderId="3" applyAlignment="1" pivotButton="0" quotePrefix="0" xfId="0">
      <alignment horizontal="left" vertical="center" wrapText="1"/>
    </xf>
    <xf numFmtId="0" fontId="14" fillId="11" borderId="3" applyAlignment="1" pivotButton="0" quotePrefix="0" xfId="0">
      <alignment horizontal="left" vertical="center" wrapText="1"/>
    </xf>
    <xf numFmtId="0" fontId="8" fillId="15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3" fillId="15" borderId="3" applyAlignment="1" pivotButton="0" quotePrefix="0" xfId="0">
      <alignment horizontal="left" vertical="center" wrapText="1"/>
    </xf>
    <xf numFmtId="0" fontId="14" fillId="15" borderId="3" applyAlignment="1" pivotButton="0" quotePrefix="0" xfId="0">
      <alignment horizontal="left" vertical="center" wrapText="1"/>
    </xf>
    <xf numFmtId="0" fontId="11" fillId="15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 wrapText="1"/>
    </xf>
    <xf numFmtId="0" fontId="14" fillId="7" borderId="3" applyAlignment="1" pivotButton="0" quotePrefix="0" xfId="0">
      <alignment horizontal="left" vertical="center" wrapText="1"/>
    </xf>
    <xf numFmtId="0" fontId="10" fillId="17" borderId="3" applyAlignment="1" pivotButton="0" quotePrefix="0" xfId="0">
      <alignment horizontal="left" vertical="center"/>
    </xf>
    <xf numFmtId="0" fontId="10" fillId="17" borderId="3" applyAlignment="1" pivotButton="0" quotePrefix="0" xfId="0">
      <alignment horizontal="center" vertical="center"/>
    </xf>
    <xf numFmtId="0" fontId="13" fillId="17" borderId="3" applyAlignment="1" pivotButton="0" quotePrefix="0" xfId="0">
      <alignment horizontal="left" vertical="center" wrapText="1"/>
    </xf>
    <xf numFmtId="0" fontId="14" fillId="17" borderId="3" applyAlignment="1" pivotButton="0" quotePrefix="0" xfId="0">
      <alignment horizontal="left" vertical="center" wrapText="1"/>
    </xf>
    <xf numFmtId="0" fontId="1" fillId="6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166" fontId="4" fillId="8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166" fontId="15" fillId="10" borderId="3" applyAlignment="1" pivotButton="0" quotePrefix="0" xfId="0">
      <alignment horizontal="center" vertical="center"/>
    </xf>
    <xf numFmtId="165" fontId="7" fillId="3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5" fontId="4" fillId="17" borderId="3" applyAlignment="1" pivotButton="0" quotePrefix="0" xfId="0">
      <alignment horizontal="center" vertical="center"/>
    </xf>
    <xf numFmtId="0" fontId="9" fillId="19" borderId="3" applyAlignment="1" pivotButton="0" quotePrefix="0" xfId="0">
      <alignment horizontal="center" vertical="center"/>
    </xf>
    <xf numFmtId="166" fontId="17" fillId="10" borderId="3" applyAlignment="1" pivotButton="0" quotePrefix="0" xfId="0">
      <alignment horizontal="center" vertical="center"/>
    </xf>
    <xf numFmtId="165" fontId="4" fillId="9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17" fillId="10" borderId="3" applyAlignment="1" pivotButton="0" quotePrefix="0" xfId="0">
      <alignment horizontal="center" vertical="center"/>
    </xf>
    <xf numFmtId="165" fontId="0" fillId="0" borderId="1" pivotButton="0" quotePrefix="0" xfId="0"/>
    <xf numFmtId="0" fontId="10" fillId="8" borderId="3" applyAlignment="1" pivotButton="0" quotePrefix="0" xfId="0">
      <alignment horizontal="left" vertical="center"/>
    </xf>
    <xf numFmtId="165" fontId="10" fillId="15" borderId="3" applyAlignment="1" pivotButton="0" quotePrefix="0" xfId="0">
      <alignment horizontal="center" vertical="center"/>
    </xf>
    <xf numFmtId="0" fontId="4" fillId="17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3" pivotButton="0" quotePrefix="0" xfId="0"/>
    <xf numFmtId="164" fontId="47" fillId="23" borderId="3" applyAlignment="1" pivotButton="0" quotePrefix="0" xfId="0">
      <alignment horizontal="center" vertical="center"/>
    </xf>
    <xf numFmtId="164" fontId="47" fillId="27" borderId="3" applyAlignment="1" pivotButton="0" quotePrefix="0" xfId="0">
      <alignment horizontal="center" vertical="center"/>
    </xf>
    <xf numFmtId="165" fontId="4" fillId="8" borderId="3" applyAlignment="1" pivotButton="0" quotePrefix="0" xfId="0">
      <alignment horizontal="center" vertical="center"/>
    </xf>
    <xf numFmtId="165" fontId="4" fillId="2" borderId="3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4" fontId="47" fillId="2" borderId="3" applyAlignment="1" pivotButton="0" quotePrefix="0" xfId="0">
      <alignment horizontal="center" vertical="center"/>
    </xf>
    <xf numFmtId="165" fontId="63" fillId="22" borderId="3" applyAlignment="1" pivotButton="0" quotePrefix="0" xfId="0">
      <alignment horizontal="center" vertical="center"/>
    </xf>
    <xf numFmtId="0" fontId="0" fillId="0" borderId="30" pivotButton="0" quotePrefix="0" xfId="0"/>
    <xf numFmtId="165" fontId="35" fillId="10" borderId="10" applyAlignment="1" pivotButton="0" quotePrefix="0" xfId="0">
      <alignment horizontal="center" vertical="center"/>
    </xf>
    <xf numFmtId="0" fontId="0" fillId="0" borderId="34" pivotButton="0" quotePrefix="0" xfId="0"/>
    <xf numFmtId="165" fontId="35" fillId="10" borderId="3" applyAlignment="1" pivotButton="0" quotePrefix="0" xfId="0">
      <alignment horizontal="center" vertical="center"/>
    </xf>
    <xf numFmtId="0" fontId="0" fillId="0" borderId="35" pivotButton="0" quotePrefix="0" xfId="0"/>
    <xf numFmtId="165" fontId="35" fillId="10" borderId="11" applyAlignment="1" pivotButton="0" quotePrefix="0" xfId="0">
      <alignment horizontal="center" vertical="center"/>
    </xf>
    <xf numFmtId="0" fontId="0" fillId="0" borderId="36" pivotButton="0" quotePrefix="0" xfId="0"/>
    <xf numFmtId="166" fontId="29" fillId="22" borderId="3" applyAlignment="1" pivotButton="0" quotePrefix="0" xfId="0">
      <alignment horizontal="center" vertical="center"/>
    </xf>
    <xf numFmtId="166" fontId="37" fillId="7" borderId="3" applyAlignment="1" pivotButton="0" quotePrefix="0" xfId="0">
      <alignment horizontal="center" vertical="center"/>
    </xf>
    <xf numFmtId="166" fontId="36" fillId="10" borderId="3" applyAlignment="1" pivotButton="0" quotePrefix="0" xfId="0">
      <alignment horizontal="center" vertical="center"/>
    </xf>
    <xf numFmtId="0" fontId="25" fillId="6" borderId="27" applyAlignment="1" pivotButton="0" quotePrefix="0" xfId="0">
      <alignment horizontal="center" vertical="center"/>
    </xf>
    <xf numFmtId="0" fontId="27" fillId="6" borderId="27" applyAlignment="1" pivotButton="0" quotePrefix="0" xfId="0">
      <alignment horizontal="right" vertical="center"/>
    </xf>
    <xf numFmtId="0" fontId="18" fillId="3" borderId="27" applyAlignment="1" pivotButton="0" quotePrefix="0" xfId="0">
      <alignment horizontal="center" vertical="center"/>
    </xf>
    <xf numFmtId="0" fontId="69" fillId="20" borderId="27" applyAlignment="1" pivotButton="0" quotePrefix="0" xfId="0">
      <alignment horizontal="center" vertical="center"/>
    </xf>
    <xf numFmtId="0" fontId="70" fillId="21" borderId="27" applyAlignment="1" pivotButton="0" quotePrefix="0" xfId="0">
      <alignment horizontal="left" vertical="center" wrapText="1"/>
    </xf>
    <xf numFmtId="0" fontId="33" fillId="6" borderId="27" applyAlignment="1" pivotButton="0" quotePrefix="0" xfId="0">
      <alignment horizontal="center" vertical="center" wrapText="1"/>
    </xf>
    <xf numFmtId="0" fontId="0" fillId="0" borderId="39" pivotButton="0" quotePrefix="0" xfId="0"/>
    <xf numFmtId="0" fontId="7" fillId="6" borderId="27" applyAlignment="1" pivotButton="0" quotePrefix="0" xfId="0">
      <alignment horizontal="center" vertical="center" wrapText="1"/>
    </xf>
    <xf numFmtId="0" fontId="71" fillId="6" borderId="27" applyAlignment="1" pivotButton="0" quotePrefix="0" xfId="0">
      <alignment horizontal="center" vertical="center" wrapText="1"/>
    </xf>
    <xf numFmtId="0" fontId="72" fillId="6" borderId="27" applyAlignment="1" pivotButton="0" quotePrefix="0" xfId="0">
      <alignment horizontal="center" vertical="center" wrapText="1"/>
    </xf>
    <xf numFmtId="0" fontId="3" fillId="6" borderId="27" applyAlignment="1" pivotButton="0" quotePrefix="0" xfId="0">
      <alignment horizontal="center" vertical="center" wrapText="1"/>
    </xf>
    <xf numFmtId="0" fontId="32" fillId="6" borderId="27" applyAlignment="1" pivotButton="0" quotePrefix="0" xfId="0">
      <alignment horizontal="center" vertical="center" wrapText="1"/>
    </xf>
    <xf numFmtId="0" fontId="62" fillId="22" borderId="27" applyAlignment="1" pivotButton="0" quotePrefix="0" xfId="0">
      <alignment horizontal="center" vertical="center"/>
    </xf>
    <xf numFmtId="0" fontId="29" fillId="22" borderId="27" applyAlignment="1" pivotButton="0" quotePrefix="0" xfId="0">
      <alignment horizontal="center" vertical="center"/>
    </xf>
    <xf numFmtId="0" fontId="73" fillId="22" borderId="27" applyAlignment="1" pivotButton="0" quotePrefix="0" xfId="0">
      <alignment horizontal="center" vertical="center"/>
    </xf>
    <xf numFmtId="0" fontId="8" fillId="8" borderId="27" applyAlignment="1" pivotButton="0" quotePrefix="0" xfId="0">
      <alignment horizontal="center" vertical="center"/>
    </xf>
    <xf numFmtId="165" fontId="63" fillId="22" borderId="27" applyAlignment="1" pivotButton="0" quotePrefix="0" xfId="0">
      <alignment horizontal="center" vertical="center"/>
    </xf>
    <xf numFmtId="0" fontId="35" fillId="8" borderId="27" applyAlignment="1" pivotButton="0" quotePrefix="0" xfId="0">
      <alignment horizontal="center" vertical="center"/>
    </xf>
    <xf numFmtId="0" fontId="66" fillId="8" borderId="27" applyAlignment="1" pivotButton="0" quotePrefix="0" xfId="0">
      <alignment horizontal="center" vertical="center"/>
    </xf>
    <xf numFmtId="0" fontId="67" fillId="8" borderId="27" applyAlignment="1" pivotButton="0" quotePrefix="0" xfId="0">
      <alignment horizontal="center" vertical="center"/>
    </xf>
    <xf numFmtId="0" fontId="74" fillId="8" borderId="27" applyAlignment="1" pivotButton="0" quotePrefix="0" xfId="0">
      <alignment horizontal="left" vertical="center" wrapText="1"/>
    </xf>
    <xf numFmtId="0" fontId="59" fillId="8" borderId="27" applyAlignment="1" pivotButton="0" quotePrefix="0" xfId="0">
      <alignment horizontal="left" vertical="center" wrapText="1"/>
    </xf>
    <xf numFmtId="0" fontId="8" fillId="11" borderId="27" applyAlignment="1" pivotButton="0" quotePrefix="0" xfId="0">
      <alignment horizontal="center" vertical="center"/>
    </xf>
    <xf numFmtId="0" fontId="32" fillId="12" borderId="27" applyAlignment="1" pivotButton="0" quotePrefix="0" xfId="0">
      <alignment horizontal="center" vertical="center"/>
    </xf>
    <xf numFmtId="0" fontId="37" fillId="11" borderId="27" applyAlignment="1" pivotButton="0" quotePrefix="0" xfId="0">
      <alignment horizontal="center" vertical="center"/>
    </xf>
    <xf numFmtId="0" fontId="10" fillId="11" borderId="27" applyAlignment="1" pivotButton="0" quotePrefix="0" xfId="0">
      <alignment horizontal="center" vertical="center"/>
    </xf>
    <xf numFmtId="0" fontId="66" fillId="11" borderId="27" applyAlignment="1" pivotButton="0" quotePrefix="0" xfId="0">
      <alignment horizontal="center" vertical="center"/>
    </xf>
    <xf numFmtId="0" fontId="67" fillId="11" borderId="27" applyAlignment="1" pivotButton="0" quotePrefix="0" xfId="0">
      <alignment horizontal="center" vertical="center"/>
    </xf>
    <xf numFmtId="0" fontId="58" fillId="31" borderId="27" applyAlignment="1" pivotButton="0" quotePrefix="0" xfId="0">
      <alignment horizontal="center" vertical="center"/>
    </xf>
    <xf numFmtId="0" fontId="74" fillId="11" borderId="27" applyAlignment="1" pivotButton="0" quotePrefix="0" xfId="0">
      <alignment horizontal="left" vertical="center" wrapText="1"/>
    </xf>
    <xf numFmtId="0" fontId="59" fillId="11" borderId="27" applyAlignment="1" pivotButton="0" quotePrefix="0" xfId="0">
      <alignment horizontal="left" vertical="center" wrapText="1"/>
    </xf>
    <xf numFmtId="0" fontId="9" fillId="14" borderId="27" applyAlignment="1" pivotButton="0" quotePrefix="0" xfId="0">
      <alignment horizontal="center" vertical="center"/>
    </xf>
    <xf numFmtId="0" fontId="35" fillId="15" borderId="27" applyAlignment="1" pivotButton="0" quotePrefix="0" xfId="0">
      <alignment horizontal="center" vertical="center"/>
    </xf>
    <xf numFmtId="0" fontId="32" fillId="3" borderId="27" applyAlignment="1" pivotButton="0" quotePrefix="0" xfId="0">
      <alignment horizontal="center" vertical="center"/>
    </xf>
    <xf numFmtId="0" fontId="78" fillId="31" borderId="27" applyAlignment="1" pivotButton="0" quotePrefix="0" xfId="0">
      <alignment horizontal="center" vertical="center"/>
    </xf>
    <xf numFmtId="0" fontId="77" fillId="25" borderId="27" applyAlignment="1" pivotButton="0" quotePrefix="0" xfId="0">
      <alignment horizontal="center" vertical="center"/>
    </xf>
    <xf numFmtId="0" fontId="34" fillId="15" borderId="27" applyAlignment="1" pivotButton="0" quotePrefix="0" xfId="0">
      <alignment horizontal="center" vertical="center"/>
    </xf>
    <xf numFmtId="0" fontId="10" fillId="15" borderId="27" applyAlignment="1" pivotButton="0" quotePrefix="0" xfId="0">
      <alignment horizontal="center" vertical="center"/>
    </xf>
    <xf numFmtId="0" fontId="37" fillId="15" borderId="27" applyAlignment="1" pivotButton="0" quotePrefix="0" xfId="0">
      <alignment horizontal="center" vertical="center"/>
    </xf>
    <xf numFmtId="165" fontId="35" fillId="10" borderId="27" applyAlignment="1" pivotButton="0" quotePrefix="0" xfId="0">
      <alignment horizontal="center" vertical="center"/>
    </xf>
    <xf numFmtId="0" fontId="39" fillId="15" borderId="27" applyAlignment="1" pivotButton="0" quotePrefix="0" xfId="0">
      <alignment horizontal="center" vertical="center"/>
    </xf>
    <xf numFmtId="0" fontId="64" fillId="15" borderId="27" applyAlignment="1" pivotButton="0" quotePrefix="0" xfId="0">
      <alignment horizontal="center" vertical="center"/>
    </xf>
    <xf numFmtId="0" fontId="65" fillId="15" borderId="27" applyAlignment="1" pivotButton="0" quotePrefix="0" xfId="0">
      <alignment horizontal="center" vertical="center"/>
    </xf>
    <xf numFmtId="0" fontId="57" fillId="31" borderId="27" applyAlignment="1" pivotButton="0" quotePrefix="0" xfId="0">
      <alignment horizontal="center" vertical="center"/>
    </xf>
    <xf numFmtId="0" fontId="74" fillId="15" borderId="27" applyAlignment="1" pivotButton="0" quotePrefix="0" xfId="0">
      <alignment horizontal="left" vertical="center" wrapText="1"/>
    </xf>
    <xf numFmtId="0" fontId="59" fillId="15" borderId="27" applyAlignment="1" pivotButton="0" quotePrefix="0" xfId="0">
      <alignment horizontal="left" vertical="center" wrapText="1"/>
    </xf>
    <xf numFmtId="0" fontId="35" fillId="10" borderId="27" applyAlignment="1" pivotButton="0" quotePrefix="0" xfId="0">
      <alignment horizontal="center" vertical="center"/>
    </xf>
    <xf numFmtId="0" fontId="8" fillId="7" borderId="27" applyAlignment="1" pivotButton="0" quotePrefix="0" xfId="0">
      <alignment horizontal="center" vertical="center"/>
    </xf>
    <xf numFmtId="0" fontId="32" fillId="24" borderId="27" applyAlignment="1" pivotButton="0" quotePrefix="0" xfId="0">
      <alignment horizontal="center" vertical="center"/>
    </xf>
    <xf numFmtId="0" fontId="37" fillId="7" borderId="27" applyAlignment="1" pivotButton="0" quotePrefix="0" xfId="0">
      <alignment horizontal="center" vertical="center"/>
    </xf>
    <xf numFmtId="0" fontId="69" fillId="7" borderId="27" applyAlignment="1" pivotButton="0" quotePrefix="0" xfId="0">
      <alignment horizontal="left" vertical="center" wrapText="1"/>
    </xf>
    <xf numFmtId="0" fontId="28" fillId="7" borderId="27" applyAlignment="1" pivotButton="0" quotePrefix="0" xfId="0">
      <alignment horizontal="left" vertical="center" wrapText="1"/>
    </xf>
    <xf numFmtId="0" fontId="8" fillId="17" borderId="27" applyAlignment="1" pivotButton="0" quotePrefix="0" xfId="0">
      <alignment horizontal="center" vertical="center"/>
    </xf>
    <xf numFmtId="0" fontId="37" fillId="17" borderId="27" applyAlignment="1" pivotButton="0" quotePrefix="0" xfId="0">
      <alignment horizontal="center" vertical="center"/>
    </xf>
    <xf numFmtId="0" fontId="38" fillId="24" borderId="27" applyAlignment="1" pivotButton="0" quotePrefix="0" xfId="0">
      <alignment horizontal="center" vertical="center"/>
    </xf>
    <xf numFmtId="0" fontId="69" fillId="17" borderId="27" applyAlignment="1" pivotButton="0" quotePrefix="0" xfId="0">
      <alignment horizontal="left" vertical="center" wrapText="1"/>
    </xf>
    <xf numFmtId="0" fontId="28" fillId="17" borderId="27" applyAlignment="1" pivotButton="0" quotePrefix="0" xfId="0">
      <alignment horizontal="left" vertical="center" wrapText="1"/>
    </xf>
    <xf numFmtId="0" fontId="74" fillId="20" borderId="0" applyAlignment="1" pivotButton="0" quotePrefix="0" xfId="0">
      <alignment horizontal="center" vertical="center"/>
    </xf>
    <xf numFmtId="0" fontId="29" fillId="6" borderId="0" applyAlignment="1" pivotButton="0" quotePrefix="0" xfId="0">
      <alignment horizontal="center" vertical="center"/>
    </xf>
    <xf numFmtId="0" fontId="69" fillId="20" borderId="0" applyAlignment="1" pivotButton="0" quotePrefix="0" xfId="0">
      <alignment horizontal="center" vertical="center"/>
    </xf>
    <xf numFmtId="0" fontId="79" fillId="23" borderId="0" pivotButton="0" quotePrefix="0" xfId="0"/>
    <xf numFmtId="0" fontId="1" fillId="3" borderId="0" applyAlignment="1" pivotButton="0" quotePrefix="0" xfId="0">
      <alignment horizontal="center" vertical="center"/>
    </xf>
    <xf numFmtId="0" fontId="35" fillId="8" borderId="0" applyAlignment="1" pivotButton="0" quotePrefix="0" xfId="0">
      <alignment horizontal="center" vertical="center"/>
    </xf>
    <xf numFmtId="166" fontId="29" fillId="22" borderId="0" applyAlignment="1" pivotButton="0" quotePrefix="0" xfId="0">
      <alignment horizontal="center" vertical="center"/>
    </xf>
    <xf numFmtId="166" fontId="37" fillId="7" borderId="0" applyAlignment="1" pivotButton="0" quotePrefix="0" xfId="0">
      <alignment horizontal="center" vertical="center"/>
    </xf>
    <xf numFmtId="166" fontId="36" fillId="10" borderId="0" applyAlignment="1" pivotButton="0" quotePrefix="0" xfId="0">
      <alignment horizontal="center" vertical="center"/>
    </xf>
    <xf numFmtId="165" fontId="10" fillId="10" borderId="3" applyAlignment="1" pivotButton="0" quotePrefix="0" xfId="0">
      <alignment horizontal="center" vertical="center"/>
    </xf>
    <xf numFmtId="166" fontId="4" fillId="8" borderId="3" applyAlignment="1" pivotButton="0" quotePrefix="0" xfId="0">
      <alignment horizontal="center" vertical="center"/>
    </xf>
    <xf numFmtId="166" fontId="4" fillId="7" borderId="3" applyAlignment="1" pivotButton="0" quotePrefix="0" xfId="0">
      <alignment horizontal="center" vertical="center"/>
    </xf>
    <xf numFmtId="166" fontId="15" fillId="10" borderId="3" applyAlignment="1" pivotButton="0" quotePrefix="0" xfId="0">
      <alignment horizontal="center" vertical="center"/>
    </xf>
    <xf numFmtId="165" fontId="7" fillId="3" borderId="3" applyAlignment="1" pivotButton="0" quotePrefix="0" xfId="0">
      <alignment horizontal="center" vertical="center"/>
    </xf>
    <xf numFmtId="165" fontId="4" fillId="7" borderId="3" applyAlignment="1" pivotButton="0" quotePrefix="0" xfId="0">
      <alignment horizontal="center" vertical="center"/>
    </xf>
    <xf numFmtId="165" fontId="4" fillId="17" borderId="3" applyAlignment="1" pivotButton="0" quotePrefix="0" xfId="0">
      <alignment horizontal="center" vertical="center"/>
    </xf>
    <xf numFmtId="166" fontId="17" fillId="10" borderId="3" applyAlignment="1" pivotButton="0" quotePrefix="0" xfId="0">
      <alignment horizontal="center" vertical="center"/>
    </xf>
    <xf numFmtId="165" fontId="4" fillId="9" borderId="3" applyAlignment="1" pivotButton="0" quotePrefix="0" xfId="0">
      <alignment horizontal="center" vertical="center"/>
    </xf>
    <xf numFmtId="165" fontId="0" fillId="0" borderId="1" pivotButton="0" quotePrefix="0" xfId="0"/>
    <xf numFmtId="165" fontId="10" fillId="15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3" min="1" max="1"/>
    <col width="24.57421875" customWidth="1" style="3" min="2" max="2"/>
    <col width="16.57421875" customWidth="1" style="3" min="3" max="3"/>
    <col width="8.7109375" customWidth="1" style="3" min="4" max="4"/>
    <col width="5.00390625" customWidth="1" style="3" min="5" max="5"/>
    <col width="17.140625" customWidth="1" style="3" min="6" max="6"/>
    <col width="19.8515625" customWidth="1" style="3" min="7" max="7"/>
    <col width="19.140625" customWidth="1" style="3" min="8" max="8"/>
    <col width="37.421875" customWidth="1" style="3" min="9" max="9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</row>
    <row r="3" ht="27.75" customFormat="1" customHeight="1" s="3">
      <c r="A3" s="6" t="inlineStr">
        <is>
          <t>APARTMENT CORP — COMPETITIVE RENT COMP ANALYSIS 2026</t>
        </is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</row>
    <row r="4" ht="44.25" customFormat="1" customHeight="1" s="3">
      <c r="A4" s="8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 ht="15" customFormat="1" customHeight="1" s="3">
      <c r="A5" s="9" t="inlineStr">
        <is>
          <t>#</t>
        </is>
      </c>
      <c r="B5" s="9" t="inlineStr">
        <is>
          <t>Property Name</t>
        </is>
      </c>
      <c r="C5" s="9" t="inlineStr">
        <is>
          <t>City, State</t>
        </is>
      </c>
      <c r="D5" s="9" t="inlineStr">
        <is>
          <t>Year Built</t>
        </is>
      </c>
      <c r="E5" s="9" t="inlineStr">
        <is>
          <t>Units</t>
        </is>
      </c>
      <c r="F5" s="9" t="inlineStr">
        <is>
          <t>Program</t>
        </is>
      </c>
      <c r="G5" s="9" t="inlineStr">
        <is>
          <t>Sheet Name</t>
        </is>
      </c>
      <c r="H5" s="9" t="inlineStr">
        <is>
          <t>Bedroom Mix</t>
        </is>
      </c>
      <c r="I5" s="10" t="inlineStr">
        <is>
          <t>Comp Types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 ht="15" customFormat="1" customHeight="1" s="3">
      <c r="A6" s="11" t="n">
        <v>1</v>
      </c>
      <c r="B6" s="12" t="inlineStr">
        <is>
          <t>Boca Ciega</t>
        </is>
      </c>
      <c r="C6" s="12" t="inlineStr">
        <is>
          <t>St. Petersburg, FL</t>
        </is>
      </c>
      <c r="D6" s="11" t="n">
        <v>1974</v>
      </c>
      <c r="E6" s="11" t="n">
        <v>109</v>
      </c>
      <c r="F6" s="12" t="inlineStr">
        <is>
          <t>Layered HUD/LIHTC</t>
        </is>
      </c>
      <c r="G6" s="12" t="inlineStr">
        <is>
          <t>21 - Boca Ciega</t>
        </is>
      </c>
      <c r="H6" s="12" t="inlineStr">
        <is>
          <t>2BR / 3BR</t>
        </is>
      </c>
      <c r="I6" s="12" t="inlineStr">
        <is>
          <t>3 Affordable (Green) + 6 Market Rate (Blue)</t>
        </is>
      </c>
      <c r="J6" s="13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 ht="15" customFormat="1" customHeight="1" s="3">
      <c r="A7" s="14" t="n">
        <v>2</v>
      </c>
      <c r="B7" s="15" t="inlineStr">
        <is>
          <t>Jefferson Arms</t>
        </is>
      </c>
      <c r="C7" s="15" t="inlineStr">
        <is>
          <t>Monticello, FL</t>
        </is>
      </c>
      <c r="D7" s="14" t="n">
        <v>1971</v>
      </c>
      <c r="E7" s="14" t="n">
        <v>75</v>
      </c>
      <c r="F7" s="16" t="inlineStr">
        <is>
          <t>Section 8/HUD</t>
        </is>
      </c>
      <c r="G7" s="15" t="inlineStr">
        <is>
          <t>13 - Jefferson</t>
        </is>
      </c>
      <c r="H7" s="15" t="inlineStr">
        <is>
          <t>2BR / 3BR</t>
        </is>
      </c>
      <c r="I7" s="15" t="inlineStr">
        <is>
          <t>3 Affordable (Green) + 6 Market Rate (Blue)</t>
        </is>
      </c>
      <c r="J7" s="1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 ht="15" customFormat="1" customHeight="1" s="3">
      <c r="A8" s="14" t="n">
        <v>3</v>
      </c>
      <c r="B8" s="15" t="inlineStr">
        <is>
          <t>Opa Locka 135th St</t>
        </is>
      </c>
      <c r="C8" s="15" t="inlineStr">
        <is>
          <t>Opa Locka, FL</t>
        </is>
      </c>
      <c r="D8" s="14" t="n">
        <v>1968</v>
      </c>
      <c r="E8" s="14" t="n">
        <v>65</v>
      </c>
      <c r="F8" s="16" t="inlineStr">
        <is>
          <t>Section 8/HUD</t>
        </is>
      </c>
      <c r="G8" s="15" t="inlineStr">
        <is>
          <t>18 - Opa Locka</t>
        </is>
      </c>
      <c r="H8" s="15" t="inlineStr">
        <is>
          <t>1BR / 2BR / 3BR</t>
        </is>
      </c>
      <c r="I8" s="15" t="inlineStr">
        <is>
          <t>3 Affordable (Green) + 6 Market Rate (Blue)</t>
        </is>
      </c>
      <c r="J8" s="1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5" customFormat="1" customHeight="1" s="3">
      <c r="A9" s="14" t="n">
        <v>4</v>
      </c>
      <c r="B9" s="15" t="inlineStr">
        <is>
          <t>Macedonia Garden</t>
        </is>
      </c>
      <c r="C9" s="15" t="inlineStr">
        <is>
          <t>Panama City, FL</t>
        </is>
      </c>
      <c r="D9" s="14" t="n">
        <v>1969</v>
      </c>
      <c r="E9" s="14" t="n">
        <v>100</v>
      </c>
      <c r="F9" s="16" t="inlineStr">
        <is>
          <t>Section 8/HUD</t>
        </is>
      </c>
      <c r="G9" s="15" t="inlineStr">
        <is>
          <t>14 - Macedonia</t>
        </is>
      </c>
      <c r="H9" s="15" t="inlineStr">
        <is>
          <t>2BR / 3BR</t>
        </is>
      </c>
      <c r="I9" s="15" t="inlineStr">
        <is>
          <t>3 Affordable (Green) + 6 Market Rate (Blue)</t>
        </is>
      </c>
      <c r="J9" s="1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5" customFormat="1" customHeight="1" s="3">
      <c r="A10" s="14" t="n">
        <v>5</v>
      </c>
      <c r="B10" s="15" t="inlineStr">
        <is>
          <t>Coral Village</t>
        </is>
      </c>
      <c r="C10" s="15" t="inlineStr">
        <is>
          <t>Cape Coral, FL</t>
        </is>
      </c>
      <c r="D10" s="14" t="n">
        <v>1999</v>
      </c>
      <c r="E10" s="14" t="n">
        <v>72</v>
      </c>
      <c r="F10" s="16" t="inlineStr">
        <is>
          <t>Section 8/HUD</t>
        </is>
      </c>
      <c r="G10" s="15" t="inlineStr">
        <is>
          <t>48 - Coral Village</t>
        </is>
      </c>
      <c r="H10" s="15" t="inlineStr">
        <is>
          <t>1BR / 2BR</t>
        </is>
      </c>
      <c r="I10" s="15" t="inlineStr">
        <is>
          <t>3 Affordable (Green) + 6 Market Rate (Blue)</t>
        </is>
      </c>
      <c r="J10" s="1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5" customFormat="1" customHeight="1" s="3">
      <c r="A11" s="14" t="n">
        <v>6</v>
      </c>
      <c r="B11" s="15" t="inlineStr">
        <is>
          <t>Holiday Apts</t>
        </is>
      </c>
      <c r="C11" s="15" t="inlineStr">
        <is>
          <t>Natchez, MS</t>
        </is>
      </c>
      <c r="D11" s="14" t="n">
        <v>1951</v>
      </c>
      <c r="E11" s="14" t="n">
        <v>115</v>
      </c>
      <c r="F11" s="16" t="inlineStr">
        <is>
          <t>Section 8/HUD</t>
        </is>
      </c>
      <c r="G11" s="15" t="inlineStr">
        <is>
          <t>15 - Holiday</t>
        </is>
      </c>
      <c r="H11" s="15" t="inlineStr">
        <is>
          <t>2BR / 3BR / 4BR / 5BR</t>
        </is>
      </c>
      <c r="I11" s="15" t="inlineStr">
        <is>
          <t>3 Affordable (Green) + 6 Market Rate (Blue)</t>
        </is>
      </c>
      <c r="J11" s="1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5" customFormat="1" customHeight="1" s="3">
      <c r="A12" s="14" t="n">
        <v>7</v>
      </c>
      <c r="B12" s="15" t="inlineStr">
        <is>
          <t>Cumberland</t>
        </is>
      </c>
      <c r="C12" s="15" t="inlineStr">
        <is>
          <t>Crystal Springs, MS</t>
        </is>
      </c>
      <c r="D12" s="14" t="n">
        <v>1985</v>
      </c>
      <c r="E12" s="14" t="n">
        <v>68</v>
      </c>
      <c r="F12" s="16" t="inlineStr">
        <is>
          <t>Section 8/HUD</t>
        </is>
      </c>
      <c r="G12" s="15" t="inlineStr">
        <is>
          <t>16 - Cumberland</t>
        </is>
      </c>
      <c r="H12" s="15" t="inlineStr">
        <is>
          <t>1BR / 2BR / 3BR / 4BR</t>
        </is>
      </c>
      <c r="I12" s="15" t="inlineStr">
        <is>
          <t>3 Affordable (Green) + 6 Market Rate (Blue)</t>
        </is>
      </c>
      <c r="J12" s="1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5" customFormat="1" customHeight="1" s="3">
      <c r="A13" s="14" t="n">
        <v>8</v>
      </c>
      <c r="B13" s="15" t="inlineStr">
        <is>
          <t>Village Green</t>
        </is>
      </c>
      <c r="C13" s="15" t="inlineStr">
        <is>
          <t>Natchez, MS</t>
        </is>
      </c>
      <c r="D13" s="14" t="n">
        <v>1977</v>
      </c>
      <c r="E13" s="14" t="n">
        <v>80</v>
      </c>
      <c r="F13" s="16" t="inlineStr">
        <is>
          <t>Section 8/HUD</t>
        </is>
      </c>
      <c r="G13" s="15" t="inlineStr">
        <is>
          <t>17 - Village Green</t>
        </is>
      </c>
      <c r="H13" s="15" t="inlineStr">
        <is>
          <t>1BR / 2BR / 3BR</t>
        </is>
      </c>
      <c r="I13" s="15" t="inlineStr">
        <is>
          <t>3 Affordable (Green) + 6 Market Rate (Blue)</t>
        </is>
      </c>
      <c r="J13" s="1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5" customFormat="1" customHeight="1" s="3">
      <c r="A14" s="14" t="n">
        <v>9</v>
      </c>
      <c r="B14" s="15" t="inlineStr">
        <is>
          <t>Walnut Hill</t>
        </is>
      </c>
      <c r="C14" s="15" t="inlineStr">
        <is>
          <t>Natchez, MS</t>
        </is>
      </c>
      <c r="D14" s="14" t="n">
        <v>1975</v>
      </c>
      <c r="E14" s="14" t="n">
        <v>168</v>
      </c>
      <c r="F14" s="16" t="inlineStr">
        <is>
          <t>Section 8/HUD</t>
        </is>
      </c>
      <c r="G14" s="15" t="inlineStr">
        <is>
          <t>59 - Walnut Hill</t>
        </is>
      </c>
      <c r="H14" s="15" t="inlineStr">
        <is>
          <t>2BR / 3BR</t>
        </is>
      </c>
      <c r="I14" s="15" t="inlineStr">
        <is>
          <t>3 Affordable (Green) + 6 Market Rate (Blue)</t>
        </is>
      </c>
      <c r="J14" s="1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5" customFormat="1" customHeight="1" s="3">
      <c r="A15" s="14" t="n">
        <v>10</v>
      </c>
      <c r="B15" s="15" t="inlineStr">
        <is>
          <t>River Pointe</t>
        </is>
      </c>
      <c r="C15" s="15" t="inlineStr">
        <is>
          <t>Columbus, OH</t>
        </is>
      </c>
      <c r="D15" s="14" t="n">
        <v>1996</v>
      </c>
      <c r="E15" s="14" t="n">
        <v>160</v>
      </c>
      <c r="F15" s="16" t="inlineStr">
        <is>
          <t>Section 8/HUD</t>
        </is>
      </c>
      <c r="G15" s="15" t="inlineStr">
        <is>
          <t>29 - River Pointe</t>
        </is>
      </c>
      <c r="H15" s="15" t="inlineStr">
        <is>
          <t>1BR / 2BR</t>
        </is>
      </c>
      <c r="I15" s="15" t="inlineStr">
        <is>
          <t>3 Affordable (Green) + 6 Market Rate (Blue)</t>
        </is>
      </c>
      <c r="J15" s="1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 ht="15" customFormat="1" customHeight="1" s="3">
      <c r="A16" s="11" t="n">
        <v>11</v>
      </c>
      <c r="B16" s="12" t="inlineStr">
        <is>
          <t>Breckenridge Village</t>
        </is>
      </c>
      <c r="C16" s="12" t="inlineStr">
        <is>
          <t>Ennis, TX</t>
        </is>
      </c>
      <c r="D16" s="11" t="n">
        <v>1997</v>
      </c>
      <c r="E16" s="11" t="n">
        <v>66</v>
      </c>
      <c r="F16" s="12" t="inlineStr">
        <is>
          <t>LIHTC</t>
        </is>
      </c>
      <c r="G16" s="12" t="inlineStr">
        <is>
          <t>12 - Breckenridge</t>
        </is>
      </c>
      <c r="H16" s="12" t="inlineStr">
        <is>
          <t>2BR / 4BR</t>
        </is>
      </c>
      <c r="I16" s="12" t="inlineStr">
        <is>
          <t>3 Affordable (Green) + 6 Market Rate (Blue)</t>
        </is>
      </c>
      <c r="J16" s="13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 ht="15" customFormat="1" customHeight="1" s="3">
      <c r="A17" s="11" t="n">
        <v>12</v>
      </c>
      <c r="B17" s="12" t="inlineStr">
        <is>
          <t>Lexington Arms</t>
        </is>
      </c>
      <c r="C17" s="12" t="inlineStr">
        <is>
          <t>Waxahachie, TX</t>
        </is>
      </c>
      <c r="D17" s="11" t="n">
        <v>1997</v>
      </c>
      <c r="E17" s="11" t="n">
        <v>61</v>
      </c>
      <c r="F17" s="12" t="inlineStr">
        <is>
          <t>LIHTC</t>
        </is>
      </c>
      <c r="G17" s="12" t="inlineStr">
        <is>
          <t>38 - Lexington</t>
        </is>
      </c>
      <c r="H17" s="12" t="inlineStr">
        <is>
          <t>2BR / 4BR</t>
        </is>
      </c>
      <c r="I17" s="12" t="inlineStr">
        <is>
          <t>3 Affordable (Green) + 6 Market Rate (Blue)</t>
        </is>
      </c>
      <c r="J17" s="13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 ht="15" customFormat="1" customHeight="1" s="3">
      <c r="A18" s="11" t="n">
        <v>13</v>
      </c>
      <c r="B18" s="12" t="inlineStr">
        <is>
          <t>Grace Townhomes</t>
        </is>
      </c>
      <c r="C18" s="12" t="inlineStr">
        <is>
          <t>Ennis, TX</t>
        </is>
      </c>
      <c r="D18" s="11" t="n">
        <v>2001</v>
      </c>
      <c r="E18" s="11" t="n">
        <v>112</v>
      </c>
      <c r="F18" s="12" t="inlineStr">
        <is>
          <t>LIHTC</t>
        </is>
      </c>
      <c r="G18" s="12" t="inlineStr">
        <is>
          <t>23 - Grace Townhomes</t>
        </is>
      </c>
      <c r="H18" s="12" t="inlineStr">
        <is>
          <t>1BR / 2BR / 3BR</t>
        </is>
      </c>
      <c r="I18" s="12" t="inlineStr">
        <is>
          <t>3 Affordable (Green) + 6 Market Rate (Blue)</t>
        </is>
      </c>
      <c r="J18" s="13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5" customFormat="1" customHeight="1" s="3">
      <c r="A19" s="11" t="n">
        <v>14</v>
      </c>
      <c r="B19" s="12" t="inlineStr">
        <is>
          <t>Grove Park Terrace</t>
        </is>
      </c>
      <c r="C19" s="12" t="inlineStr">
        <is>
          <t>Waxahachie, TX</t>
        </is>
      </c>
      <c r="D19" s="11" t="n">
        <v>1998</v>
      </c>
      <c r="E19" s="11" t="n">
        <v>60</v>
      </c>
      <c r="F19" s="12" t="inlineStr">
        <is>
          <t>Layered HUD/LIHTC</t>
        </is>
      </c>
      <c r="G19" s="12" t="inlineStr">
        <is>
          <t>46 - Grove Park</t>
        </is>
      </c>
      <c r="H19" s="12" t="inlineStr">
        <is>
          <t>1BR / 2BR / 3BR</t>
        </is>
      </c>
      <c r="I19" s="12" t="inlineStr">
        <is>
          <t>3 Affordable (Green) + 6 Market Rate (Blue)</t>
        </is>
      </c>
      <c r="J19" s="13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5" customFormat="1" customHeight="1" s="3">
      <c r="A20" s="11" t="n">
        <v>15</v>
      </c>
      <c r="B20" s="12" t="inlineStr">
        <is>
          <t>La Promesa</t>
        </is>
      </c>
      <c r="C20" s="12" t="inlineStr">
        <is>
          <t>Odessa, TX</t>
        </is>
      </c>
      <c r="D20" s="11" t="n">
        <v>1978</v>
      </c>
      <c r="E20" s="11" t="n">
        <v>136</v>
      </c>
      <c r="F20" s="12" t="inlineStr">
        <is>
          <t>Layered HUD/LIHTC</t>
        </is>
      </c>
      <c r="G20" s="12" t="inlineStr">
        <is>
          <t>60 - La Promesa</t>
        </is>
      </c>
      <c r="H20" s="12" t="inlineStr">
        <is>
          <t>2BR / 3BR</t>
        </is>
      </c>
      <c r="I20" s="12" t="inlineStr">
        <is>
          <t>3 Affordable (Green) + 6 Market Rate (Blue)</t>
        </is>
      </c>
      <c r="J20" s="13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 ht="15" customFormat="1" customHeight="1" s="3">
      <c r="A21" s="14" t="n">
        <v>16</v>
      </c>
      <c r="B21" s="15" t="inlineStr">
        <is>
          <t>New Wilmington Arms</t>
        </is>
      </c>
      <c r="C21" s="15" t="inlineStr">
        <is>
          <t>Compton, CA</t>
        </is>
      </c>
      <c r="D21" s="14" t="n">
        <v>1973</v>
      </c>
      <c r="E21" s="14" t="inlineStr">
        <is>
          <t>N/A</t>
        </is>
      </c>
      <c r="F21" s="16" t="inlineStr">
        <is>
          <t>Section 8/HUD</t>
        </is>
      </c>
      <c r="G21" s="15" t="inlineStr">
        <is>
          <t>3 - Wilmington</t>
        </is>
      </c>
      <c r="H21" s="15" t="inlineStr">
        <is>
          <t>1BR / 2BR / 3BR / 4BR</t>
        </is>
      </c>
      <c r="I21" s="15" t="inlineStr">
        <is>
          <t>3 Affordable (Green) + 6 Market Rate (Blue)</t>
        </is>
      </c>
      <c r="J21" s="1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5" customFormat="1" customHeight="1" s="3">
      <c r="A22" s="14" t="n">
        <v>17</v>
      </c>
      <c r="B22" s="15" t="inlineStr">
        <is>
          <t>Gates on Manhattan</t>
        </is>
      </c>
      <c r="C22" s="15" t="inlineStr">
        <is>
          <t>Harvey, LA</t>
        </is>
      </c>
      <c r="D22" s="14" t="n">
        <v>1968</v>
      </c>
      <c r="E22" s="14" t="n">
        <v>276</v>
      </c>
      <c r="F22" s="16" t="inlineStr">
        <is>
          <t>Section 8/HUD</t>
        </is>
      </c>
      <c r="G22" s="15" t="inlineStr">
        <is>
          <t>19 - Gates</t>
        </is>
      </c>
      <c r="H22" s="15" t="inlineStr">
        <is>
          <t>1BR / 2BR / 3BR</t>
        </is>
      </c>
      <c r="I22" s="15" t="inlineStr">
        <is>
          <t>3 Affordable (Green) + 6 Market Rate (Blue)</t>
        </is>
      </c>
      <c r="J22" s="1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5" customFormat="1" customHeight="1" s="3">
      <c r="A23" s="11" t="n">
        <v>18</v>
      </c>
      <c r="B23" s="12" t="inlineStr">
        <is>
          <t>Ruby Diamond</t>
        </is>
      </c>
      <c r="C23" s="12" t="inlineStr">
        <is>
          <t>Marrero, LA</t>
        </is>
      </c>
      <c r="D23" s="11" t="n">
        <v>2000</v>
      </c>
      <c r="E23" s="11" t="n">
        <v>73</v>
      </c>
      <c r="F23" s="12" t="inlineStr">
        <is>
          <t>LIHTC</t>
        </is>
      </c>
      <c r="G23" s="12" t="inlineStr">
        <is>
          <t>42 - Ruby</t>
        </is>
      </c>
      <c r="H23" s="12" t="inlineStr">
        <is>
          <t>3BR / 4BR</t>
        </is>
      </c>
      <c r="I23" s="12" t="inlineStr">
        <is>
          <t>3 Affordable (Green) + 6 Market Rate (Blue)</t>
        </is>
      </c>
      <c r="J23" s="13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5" customFormat="1" customHeight="1" s="3">
      <c r="A24" s="11" t="n">
        <v>19</v>
      </c>
      <c r="B24" s="12" t="inlineStr">
        <is>
          <t>Star Homes</t>
        </is>
      </c>
      <c r="C24" s="12" t="inlineStr">
        <is>
          <t>Marrero, LA</t>
        </is>
      </c>
      <c r="D24" s="11" t="n">
        <v>2000</v>
      </c>
      <c r="E24" s="11" t="n">
        <v>48</v>
      </c>
      <c r="F24" s="12" t="inlineStr">
        <is>
          <t>LIHTC</t>
        </is>
      </c>
      <c r="G24" s="12" t="inlineStr">
        <is>
          <t>39 - Star</t>
        </is>
      </c>
      <c r="H24" s="12" t="inlineStr">
        <is>
          <t>2BR / 3BR / 4BR</t>
        </is>
      </c>
      <c r="I24" s="12" t="inlineStr">
        <is>
          <t>3 Affordable (Green) + 6 Market Rate (Blue)</t>
        </is>
      </c>
      <c r="J24" s="13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5" customFormat="1" customHeight="1" s="3">
      <c r="A25" s="14" t="n">
        <v>20</v>
      </c>
      <c r="B25" s="15" t="inlineStr">
        <is>
          <t>Colonial Estates (Thibodaux)</t>
        </is>
      </c>
      <c r="C25" s="15" t="inlineStr">
        <is>
          <t>Thibodaux, LA</t>
        </is>
      </c>
      <c r="D25" s="14" t="n">
        <v>1975</v>
      </c>
      <c r="E25" s="14" t="n">
        <v>107</v>
      </c>
      <c r="F25" s="16" t="inlineStr">
        <is>
          <t>Section 8/HUD</t>
        </is>
      </c>
      <c r="G25" s="15" t="inlineStr">
        <is>
          <t>20 - Thibodaux</t>
        </is>
      </c>
      <c r="H25" s="15" t="inlineStr">
        <is>
          <t>1BR / 2BR / 3BR</t>
        </is>
      </c>
      <c r="I25" s="15" t="inlineStr">
        <is>
          <t>3 Affordable (Green) + 6 Market Rate (Blue)</t>
        </is>
      </c>
      <c r="J25" s="1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5" customFormat="1" customHeight="1" s="3">
      <c r="A26" s="14" t="n">
        <v>21</v>
      </c>
      <c r="B26" s="15" t="inlineStr">
        <is>
          <t>Marrero 3</t>
        </is>
      </c>
      <c r="C26" s="15" t="inlineStr">
        <is>
          <t>Harvey, LA</t>
        </is>
      </c>
      <c r="D26" s="14" t="n">
        <v>1968</v>
      </c>
      <c r="E26" s="14" t="n">
        <v>173</v>
      </c>
      <c r="F26" s="16" t="inlineStr">
        <is>
          <t>Section 8/HUD</t>
        </is>
      </c>
      <c r="G26" s="15" t="inlineStr">
        <is>
          <t>40 - Marrero</t>
        </is>
      </c>
      <c r="H26" s="15" t="inlineStr">
        <is>
          <t>3BR / 4BR</t>
        </is>
      </c>
      <c r="I26" s="15" t="inlineStr">
        <is>
          <t>3 Affordable (Green) + 6 Market Rate (Blue)</t>
        </is>
      </c>
      <c r="J26" s="1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5" customFormat="1" customHeight="1" s="3">
      <c r="A27" s="11" t="n">
        <v>22</v>
      </c>
      <c r="B27" s="12" t="inlineStr">
        <is>
          <t>Arbor Crest</t>
        </is>
      </c>
      <c r="C27" s="12" t="inlineStr">
        <is>
          <t>Quincy, FL</t>
        </is>
      </c>
      <c r="D27" s="11" t="n">
        <v>1995</v>
      </c>
      <c r="E27" s="11" t="n">
        <v>120</v>
      </c>
      <c r="F27" s="12" t="inlineStr">
        <is>
          <t>LIHTC</t>
        </is>
      </c>
      <c r="G27" s="12" t="inlineStr">
        <is>
          <t>37 - Arbor Crest</t>
        </is>
      </c>
      <c r="H27" s="12" t="inlineStr">
        <is>
          <t>1BR / 2BR / 3BR</t>
        </is>
      </c>
      <c r="I27" s="12" t="inlineStr">
        <is>
          <t>3 Affordable (Green) + 6 Market Rate (Blue)</t>
        </is>
      </c>
      <c r="J27" s="13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5" customFormat="1" customHeight="1" s="3">
      <c r="A28" s="11" t="n">
        <v>23</v>
      </c>
      <c r="B28" s="12" t="inlineStr">
        <is>
          <t>Windsor/Yorkshire</t>
        </is>
      </c>
      <c r="C28" s="12" t="inlineStr">
        <is>
          <t>Shreveport, LA</t>
        </is>
      </c>
      <c r="D28" s="11" t="n">
        <v>1998</v>
      </c>
      <c r="E28" s="11" t="n">
        <v>134</v>
      </c>
      <c r="F28" s="12" t="inlineStr">
        <is>
          <t>LIHTC</t>
        </is>
      </c>
      <c r="G28" s="12" t="inlineStr">
        <is>
          <t>33 - Windsor-Yorkshire</t>
        </is>
      </c>
      <c r="H28" s="12" t="inlineStr">
        <is>
          <t>1BR / 2BR / 4BR</t>
        </is>
      </c>
      <c r="I28" s="12" t="inlineStr">
        <is>
          <t>3 Affordable (Green) + 6 Market Rate (Blue)</t>
        </is>
      </c>
      <c r="J28" s="13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5" customFormat="1" customHeight="1" s="3">
      <c r="A29" s="11" t="n">
        <v>24</v>
      </c>
      <c r="B29" s="12" t="inlineStr">
        <is>
          <t>North Pointe</t>
        </is>
      </c>
      <c r="C29" s="12" t="inlineStr">
        <is>
          <t>Bossier City, LA</t>
        </is>
      </c>
      <c r="D29" s="11" t="n">
        <v>2000</v>
      </c>
      <c r="E29" s="11" t="n">
        <v>27</v>
      </c>
      <c r="F29" s="12" t="inlineStr">
        <is>
          <t>LIHTC</t>
        </is>
      </c>
      <c r="G29" s="12" t="inlineStr">
        <is>
          <t>50 - North Pointe</t>
        </is>
      </c>
      <c r="H29" s="12" t="inlineStr">
        <is>
          <t>2BR / 3BR / 4BR</t>
        </is>
      </c>
      <c r="I29" s="12" t="inlineStr">
        <is>
          <t>3 Affordable (Green) + 6 Market Rate (Blue)</t>
        </is>
      </c>
      <c r="J29" s="13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5" customFormat="1" customHeight="1" s="3">
      <c r="A30" s="11" t="n">
        <v>25</v>
      </c>
      <c r="B30" s="12" t="inlineStr">
        <is>
          <t>Granite Bayou</t>
        </is>
      </c>
      <c r="C30" s="12" t="inlineStr">
        <is>
          <t>Baton Rouge, LA</t>
        </is>
      </c>
      <c r="D30" s="11" t="n">
        <v>2000</v>
      </c>
      <c r="E30" s="11" t="n">
        <v>60</v>
      </c>
      <c r="F30" s="12" t="inlineStr">
        <is>
          <t>LIHTC</t>
        </is>
      </c>
      <c r="G30" s="12" t="inlineStr">
        <is>
          <t>53 - Bayou Pointe</t>
        </is>
      </c>
      <c r="H30" s="12" t="inlineStr">
        <is>
          <t>3BR / 4BR</t>
        </is>
      </c>
      <c r="I30" s="12" t="inlineStr">
        <is>
          <t>3 Affordable (Green) + 6 Market Rate (Blue)</t>
        </is>
      </c>
      <c r="J30" s="13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5" customFormat="1" customHeight="1" s="3">
      <c r="A31" s="11" t="n">
        <v>26</v>
      </c>
      <c r="B31" s="12" t="inlineStr">
        <is>
          <t>St. Charles Place</t>
        </is>
      </c>
      <c r="C31" s="12" t="inlineStr">
        <is>
          <t>Lake Charles, LA</t>
        </is>
      </c>
      <c r="D31" s="11" t="n">
        <v>1995</v>
      </c>
      <c r="E31" s="11" t="n">
        <v>121</v>
      </c>
      <c r="F31" s="12" t="inlineStr">
        <is>
          <t>Layered HUD/LIHTC</t>
        </is>
      </c>
      <c r="G31" s="12" t="inlineStr">
        <is>
          <t>41 - St. Charles</t>
        </is>
      </c>
      <c r="H31" s="12" t="inlineStr">
        <is>
          <t>2BR / 3BR</t>
        </is>
      </c>
      <c r="I31" s="12" t="inlineStr">
        <is>
          <t>3 Affordable (Green) + 6 Market Rate (Blue)</t>
        </is>
      </c>
      <c r="J31" s="13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5" customFormat="1" customHeight="1" s="3">
      <c r="A32" s="14" t="n">
        <v>27</v>
      </c>
      <c r="B32" s="15" t="inlineStr">
        <is>
          <t>Pelican Bay</t>
        </is>
      </c>
      <c r="C32" s="15" t="inlineStr">
        <is>
          <t>Baton Rouge, LA</t>
        </is>
      </c>
      <c r="D32" s="14" t="n">
        <v>2001</v>
      </c>
      <c r="E32" s="14" t="n">
        <v>152</v>
      </c>
      <c r="F32" s="16" t="inlineStr">
        <is>
          <t>Section 8/HUD</t>
        </is>
      </c>
      <c r="G32" s="15" t="inlineStr">
        <is>
          <t>55 - Pelican Bay</t>
        </is>
      </c>
      <c r="H32" s="15" t="inlineStr">
        <is>
          <t>1BR / 2BR / 3BR / 4BR</t>
        </is>
      </c>
      <c r="I32" s="15" t="inlineStr">
        <is>
          <t>3 Affordable (Green) + 6 Market Rate (Blue)</t>
        </is>
      </c>
      <c r="J32" s="1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5" customFormat="1" customHeight="1" s="3">
      <c r="A33" s="14" t="n">
        <v>28</v>
      </c>
      <c r="B33" s="15" t="inlineStr">
        <is>
          <t>Howell Place</t>
        </is>
      </c>
      <c r="C33" s="15" t="inlineStr">
        <is>
          <t>Baton Rouge, LA</t>
        </is>
      </c>
      <c r="D33" s="14" t="n">
        <v>2001</v>
      </c>
      <c r="E33" s="14" t="n">
        <v>48</v>
      </c>
      <c r="F33" s="16" t="inlineStr">
        <is>
          <t>Section 8/HUD</t>
        </is>
      </c>
      <c r="G33" s="15" t="inlineStr">
        <is>
          <t>56 - Howell Place</t>
        </is>
      </c>
      <c r="H33" s="15" t="inlineStr">
        <is>
          <t>1BR / 2BR / 3BR / 4BR</t>
        </is>
      </c>
      <c r="I33" s="15" t="inlineStr">
        <is>
          <t>3 Affordable (Green) + 6 Market Rate (Blue)</t>
        </is>
      </c>
      <c r="J33" s="1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5" customFormat="1" customHeight="1" s="3">
      <c r="A34" s="14" t="n">
        <v>29</v>
      </c>
      <c r="B34" s="15" t="inlineStr">
        <is>
          <t>Pirates Bend</t>
        </is>
      </c>
      <c r="C34" s="15" t="inlineStr">
        <is>
          <t>Baton Rouge, LA</t>
        </is>
      </c>
      <c r="D34" s="14" t="n">
        <v>2001</v>
      </c>
      <c r="E34" s="14" t="n">
        <v>48</v>
      </c>
      <c r="F34" s="16" t="inlineStr">
        <is>
          <t>Section 8/HUD</t>
        </is>
      </c>
      <c r="G34" s="15" t="inlineStr">
        <is>
          <t>57 - Pirates Bend</t>
        </is>
      </c>
      <c r="H34" s="15" t="inlineStr">
        <is>
          <t>1BR / 2BR / 3BR / 4BR</t>
        </is>
      </c>
      <c r="I34" s="15" t="inlineStr">
        <is>
          <t>3 Affordable (Green) + 6 Market Rate (Blue)</t>
        </is>
      </c>
      <c r="J34" s="1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5" customFormat="1" customHeight="1" s="3">
      <c r="A35" s="14" t="n">
        <v>30</v>
      </c>
      <c r="B35" s="15" t="inlineStr">
        <is>
          <t>Anaheim</t>
        </is>
      </c>
      <c r="C35" s="15" t="inlineStr">
        <is>
          <t>Anaheim, CA</t>
        </is>
      </c>
      <c r="D35" s="14" t="n">
        <v>1980</v>
      </c>
      <c r="E35" s="14" t="n">
        <v>80</v>
      </c>
      <c r="F35" s="16" t="inlineStr">
        <is>
          <t>Section 8/HUD</t>
        </is>
      </c>
      <c r="G35" s="15" t="inlineStr">
        <is>
          <t>6 - Anaheim Gardens</t>
        </is>
      </c>
      <c r="H35" s="15" t="inlineStr">
        <is>
          <t>2BR / 3BR / 4BR</t>
        </is>
      </c>
      <c r="I35" s="15" t="inlineStr">
        <is>
          <t>3 Affordable (Green) + 6 Market Rate (Blue)</t>
        </is>
      </c>
      <c r="J35" s="1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5" customFormat="1" customHeight="1" s="3">
      <c r="A36" s="14" t="n">
        <v>31</v>
      </c>
      <c r="B36" s="15" t="inlineStr">
        <is>
          <t>Fairfax</t>
        </is>
      </c>
      <c r="C36" s="15" t="inlineStr">
        <is>
          <t>Los Angeles, CA</t>
        </is>
      </c>
      <c r="D36" s="14" t="n">
        <v>1965</v>
      </c>
      <c r="E36" s="14" t="n">
        <v>46</v>
      </c>
      <c r="F36" s="16" t="inlineStr">
        <is>
          <t>Section 8/HUD</t>
        </is>
      </c>
      <c r="G36" s="15" t="inlineStr">
        <is>
          <t>11 - Fairfax</t>
        </is>
      </c>
      <c r="H36" s="15" t="inlineStr">
        <is>
          <t>1BR</t>
        </is>
      </c>
      <c r="I36" s="15" t="inlineStr">
        <is>
          <t>3 Affordable (Green) + 6 Market Rate (Blue)</t>
        </is>
      </c>
      <c r="J36" s="1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</row>
    <row r="37" ht="15" customFormat="1" customHeight="1" s="3">
      <c r="A37" s="11" t="n">
        <v>32</v>
      </c>
      <c r="B37" s="12" t="inlineStr">
        <is>
          <t>Urban 1 &amp; 2</t>
        </is>
      </c>
      <c r="C37" s="12" t="inlineStr">
        <is>
          <t>Los Angeles, CA</t>
        </is>
      </c>
      <c r="D37" s="11" t="n">
        <v>1970</v>
      </c>
      <c r="E37" s="11" t="n">
        <v>60</v>
      </c>
      <c r="F37" s="12" t="inlineStr">
        <is>
          <t>LIHTC</t>
        </is>
      </c>
      <c r="G37" s="12" t="inlineStr">
        <is>
          <t>31 - Urban</t>
        </is>
      </c>
      <c r="H37" s="12" t="inlineStr">
        <is>
          <t>2BR</t>
        </is>
      </c>
      <c r="I37" s="12" t="inlineStr">
        <is>
          <t>3 Affordable (Green) + 6 Market Rate (Blue)</t>
        </is>
      </c>
      <c r="J37" s="13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5" customFormat="1" customHeight="1" s="3">
      <c r="A38" s="11" t="n">
        <v>33</v>
      </c>
      <c r="B38" s="12" t="inlineStr">
        <is>
          <t>Midtown Manor</t>
        </is>
      </c>
      <c r="C38" s="12" t="inlineStr">
        <is>
          <t>Los Angeles, CA</t>
        </is>
      </c>
      <c r="D38" s="11" t="n">
        <v>1970</v>
      </c>
      <c r="E38" s="11" t="n">
        <v>32</v>
      </c>
      <c r="F38" s="12" t="inlineStr">
        <is>
          <t>LIHTC</t>
        </is>
      </c>
      <c r="G38" s="12" t="inlineStr">
        <is>
          <t>2 - Midtown</t>
        </is>
      </c>
      <c r="H38" s="12" t="inlineStr">
        <is>
          <t>1BR</t>
        </is>
      </c>
      <c r="I38" s="12" t="inlineStr">
        <is>
          <t>3 Affordable (Green) + 6 Market Rate (Blue)</t>
        </is>
      </c>
      <c r="J38" s="13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5" customFormat="1" customHeight="1" s="3">
      <c r="A39" s="11" t="n">
        <v>34</v>
      </c>
      <c r="B39" s="12" t="inlineStr">
        <is>
          <t>Pacific Pointe</t>
        </is>
      </c>
      <c r="C39" s="12" t="inlineStr">
        <is>
          <t>Stockton, CA</t>
        </is>
      </c>
      <c r="D39" s="11" t="n">
        <v>1998</v>
      </c>
      <c r="E39" s="11" t="n">
        <v>80</v>
      </c>
      <c r="F39" s="12" t="inlineStr">
        <is>
          <t>LIHTC</t>
        </is>
      </c>
      <c r="G39" s="12" t="inlineStr">
        <is>
          <t>34 - Pacific Pointe</t>
        </is>
      </c>
      <c r="H39" s="12" t="inlineStr">
        <is>
          <t>1BR / 2BR</t>
        </is>
      </c>
      <c r="I39" s="12" t="inlineStr">
        <is>
          <t>3 Affordable (Green) + 6 Market Rate (Blue)</t>
        </is>
      </c>
      <c r="J39" s="13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5" customFormat="1" customHeight="1" s="3">
      <c r="A40" s="11" t="n">
        <v>35</v>
      </c>
      <c r="B40" s="12" t="inlineStr">
        <is>
          <t>Granite Ridge</t>
        </is>
      </c>
      <c r="C40" s="12" t="inlineStr">
        <is>
          <t>Stockton, CA</t>
        </is>
      </c>
      <c r="D40" s="11" t="n">
        <v>1998</v>
      </c>
      <c r="E40" s="11" t="n">
        <v>80</v>
      </c>
      <c r="F40" s="12" t="inlineStr">
        <is>
          <t>LIHTC</t>
        </is>
      </c>
      <c r="G40" s="12" t="inlineStr">
        <is>
          <t>28 - Granite Ridge</t>
        </is>
      </c>
      <c r="H40" s="12" t="inlineStr">
        <is>
          <t>1BR / 2BR</t>
        </is>
      </c>
      <c r="I40" s="12" t="inlineStr">
        <is>
          <t>3 Affordable (Green) + 6 Market Rate (Blue)</t>
        </is>
      </c>
      <c r="J40" s="13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</row>
    <row r="41" ht="15" customFormat="1" customHeight="1" s="3">
      <c r="A41" s="11" t="n">
        <v>36</v>
      </c>
      <c r="B41" s="12" t="inlineStr">
        <is>
          <t>Columbia Village</t>
        </is>
      </c>
      <c r="C41" s="12" t="inlineStr">
        <is>
          <t>Sonora, CA</t>
        </is>
      </c>
      <c r="D41" s="11" t="n">
        <v>2000</v>
      </c>
      <c r="E41" s="11" t="n">
        <v>80</v>
      </c>
      <c r="F41" s="12" t="inlineStr">
        <is>
          <t>LIHTC</t>
        </is>
      </c>
      <c r="G41" s="12" t="inlineStr">
        <is>
          <t>25 - Columbia</t>
        </is>
      </c>
      <c r="H41" s="12" t="inlineStr">
        <is>
          <t>1BR / 2BR / 3BR</t>
        </is>
      </c>
      <c r="I41" s="12" t="inlineStr">
        <is>
          <t>3 Affordable (Green) + 6 Market Rate (Blue)</t>
        </is>
      </c>
      <c r="J41" s="13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5" customFormat="1" customHeight="1" s="3">
      <c r="A42" s="11" t="n">
        <v>37</v>
      </c>
      <c r="B42" s="12" t="inlineStr">
        <is>
          <t>Forest View Senior</t>
        </is>
      </c>
      <c r="C42" s="12" t="inlineStr">
        <is>
          <t>Sonora, CA</t>
        </is>
      </c>
      <c r="D42" s="11" t="n">
        <v>2000</v>
      </c>
      <c r="E42" s="11" t="n">
        <v>60</v>
      </c>
      <c r="F42" s="12" t="inlineStr">
        <is>
          <t>LIHTC</t>
        </is>
      </c>
      <c r="G42" s="12" t="inlineStr">
        <is>
          <t>26 - Forest View</t>
        </is>
      </c>
      <c r="H42" s="12" t="inlineStr">
        <is>
          <t>1BR / 2BR / 3BR</t>
        </is>
      </c>
      <c r="I42" s="12" t="inlineStr">
        <is>
          <t>3 Affordable (Green) + 6 Market Rate (Blue)</t>
        </is>
      </c>
      <c r="J42" s="13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5" customFormat="1" customHeight="1" s="3">
      <c r="A43" s="11" t="n">
        <v>38</v>
      </c>
      <c r="B43" s="12" t="inlineStr">
        <is>
          <t>Oak Hills</t>
        </is>
      </c>
      <c r="C43" s="12" t="inlineStr">
        <is>
          <t>Jamestown, CA</t>
        </is>
      </c>
      <c r="D43" s="11" t="n">
        <v>2000</v>
      </c>
      <c r="E43" s="11" t="n">
        <v>80</v>
      </c>
      <c r="F43" s="12" t="inlineStr">
        <is>
          <t>LIHTC</t>
        </is>
      </c>
      <c r="G43" s="12" t="inlineStr">
        <is>
          <t>24 - Oak Hills</t>
        </is>
      </c>
      <c r="H43" s="12" t="inlineStr">
        <is>
          <t>2BR / 3BR</t>
        </is>
      </c>
      <c r="I43" s="12" t="inlineStr">
        <is>
          <t>3 Affordable (Green) + 6 Market Rate (Blue)</t>
        </is>
      </c>
      <c r="J43" s="13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5" customFormat="1" customHeight="1" s="3">
      <c r="A44" s="14" t="n">
        <v>39</v>
      </c>
      <c r="B44" s="15" t="inlineStr">
        <is>
          <t>River Garden</t>
        </is>
      </c>
      <c r="C44" s="15" t="inlineStr">
        <is>
          <t>Sonora, CA</t>
        </is>
      </c>
      <c r="D44" s="14" t="n">
        <v>1995</v>
      </c>
      <c r="E44" s="14" t="n">
        <v>123</v>
      </c>
      <c r="F44" s="16" t="inlineStr">
        <is>
          <t>Section 8/HUD</t>
        </is>
      </c>
      <c r="G44" s="15" t="inlineStr">
        <is>
          <t>58 - River Garden</t>
        </is>
      </c>
      <c r="H44" s="15" t="inlineStr">
        <is>
          <t>2BR / 3BR / 4BR / 5BR</t>
        </is>
      </c>
      <c r="I44" s="15" t="inlineStr">
        <is>
          <t>3 Affordable (Green) + 6 Market Rate (Blue)</t>
        </is>
      </c>
      <c r="J44" s="1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</row>
    <row r="45" ht="15" customFormat="1" customHeight="1" s="3">
      <c r="A45" s="11" t="n">
        <v>41</v>
      </c>
      <c r="B45" s="12" t="inlineStr">
        <is>
          <t>Silver Springs Terrace</t>
        </is>
      </c>
      <c r="C45" s="12" t="inlineStr">
        <is>
          <t>Hickory, NC</t>
        </is>
      </c>
      <c r="D45" s="11" t="n">
        <v>1971</v>
      </c>
      <c r="E45" s="11" t="n">
        <v>100</v>
      </c>
      <c r="F45" s="12" t="inlineStr">
        <is>
          <t>Layered HUD/LIHTC</t>
        </is>
      </c>
      <c r="G45" s="12" t="inlineStr">
        <is>
          <t>36 - Silver Springs</t>
        </is>
      </c>
      <c r="H45" s="12" t="inlineStr">
        <is>
          <t>1BR / 2BR / 3BR / 4BR</t>
        </is>
      </c>
      <c r="I45" s="12" t="inlineStr">
        <is>
          <t>3 Affordable (Green) + 6 Market Rate (Blue)</t>
        </is>
      </c>
      <c r="J45" s="13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</row>
    <row r="46" ht="15" customFormat="1" customHeight="1" s="3">
      <c r="A46" s="14" t="n">
        <v>42</v>
      </c>
      <c r="B46" s="15" t="inlineStr">
        <is>
          <t>Thomasville Church Homes</t>
        </is>
      </c>
      <c r="C46" s="15" t="inlineStr">
        <is>
          <t>Thomasville, NC</t>
        </is>
      </c>
      <c r="D46" s="14" t="n">
        <v>1975</v>
      </c>
      <c r="E46" s="14" t="n">
        <v>100</v>
      </c>
      <c r="F46" s="16" t="inlineStr">
        <is>
          <t>Section 8/HUD</t>
        </is>
      </c>
      <c r="G46" s="15" t="inlineStr">
        <is>
          <t>44 - Thomasville</t>
        </is>
      </c>
      <c r="H46" s="15" t="inlineStr">
        <is>
          <t>1BR / 2BR / 3BR / 4BR</t>
        </is>
      </c>
      <c r="I46" s="15" t="inlineStr">
        <is>
          <t>3 Affordable (Green) + 6 Market Rate (Blue)</t>
        </is>
      </c>
      <c r="J46" s="1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</row>
    <row r="47" ht="15" customFormat="1" customHeight="1" s="3">
      <c r="A47" s="11" t="n">
        <v>43</v>
      </c>
      <c r="B47" s="12" t="inlineStr">
        <is>
          <t>Crossroadsof Lee Summit</t>
        </is>
      </c>
      <c r="C47" s="12" t="n"/>
      <c r="D47" s="11" t="n"/>
      <c r="E47" s="11" t="n"/>
      <c r="F47" s="12" t="n"/>
      <c r="G47" s="12" t="n"/>
      <c r="H47" s="12" t="n"/>
      <c r="I47" s="12" t="n"/>
      <c r="J47" s="13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8"/>
  <sheetViews>
    <sheetView showGridLines="0" topLeftCell="A1" zoomScale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3" min="1" max="1"/>
    <col width="17.57421875" customWidth="1" style="3" min="2" max="2"/>
    <col width="10.7109375" customWidth="1" style="3" min="3" max="3"/>
    <col width="6.421875" customWidth="1" style="3" min="4" max="4"/>
    <col width="7.57421875" customWidth="1" style="3" min="5" max="5"/>
    <col width="9.8515625" customWidth="1" style="3" min="6" max="6"/>
    <col width="9.57421875" customWidth="1" style="3" min="7" max="7"/>
    <col width="6.421875" customWidth="1" style="3" min="8" max="8"/>
    <col width="43.7109375" customWidth="1" style="3" min="9" max="9"/>
    <col width="1.8515625" customWidth="1" style="3" min="10" max="10"/>
    <col width="29.00390625" customWidth="1" style="3" min="11" max="11"/>
    <col width="11.57421875" customWidth="1" style="3" min="12" max="12"/>
    <col width="21.28125" customWidth="1" style="3" min="13" max="13"/>
    <col width="1.8515625" customWidth="1" style="3" min="14" max="14"/>
    <col width="30.57421875" customWidth="1" style="3" min="15" max="15"/>
    <col width="14.7109375" customWidth="1" style="3" min="16" max="16"/>
    <col width="19.28125" customWidth="1" style="3" min="17" max="17"/>
    <col width="1.8515625" customWidth="1" style="3" min="18" max="18"/>
    <col width="30.57421875" customWidth="1" style="3" min="19" max="19"/>
    <col width="12.8515625" customWidth="1" style="3" min="20" max="20"/>
    <col width="19.28125" customWidth="1" style="3" min="21" max="21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8.25" customFormat="1" customHeight="1" s="3"/>
    <row r="4" ht="39.75" customFormat="1" customHeight="1" s="3">
      <c r="A4" s="18" t="inlineStr">
        <is>
          <t>As of June 2026  |  Enter rents here — values flow automatically to each building sheet</t>
        </is>
      </c>
      <c r="J4" s="19" t="n"/>
      <c r="K4" s="20" t="inlineStr">
        <is>
          <t>Property (Sheet Name)</t>
        </is>
      </c>
      <c r="L4" s="20" t="inlineStr">
        <is>
          <t>Bed Type</t>
        </is>
      </c>
      <c r="M4" s="20" t="inlineStr">
        <is>
          <t xml:space="preserve">Current Rent </t>
        </is>
      </c>
      <c r="N4" s="21" t="n"/>
      <c r="O4" s="20" t="inlineStr">
        <is>
          <t>Property (Sheet Name)</t>
        </is>
      </c>
      <c r="P4" s="20" t="inlineStr">
        <is>
          <t>Bed Type</t>
        </is>
      </c>
      <c r="Q4" s="20" t="inlineStr">
        <is>
          <t xml:space="preserve">Current Rent </t>
        </is>
      </c>
      <c r="R4" s="21" t="n"/>
      <c r="S4" s="20" t="inlineStr">
        <is>
          <t>Property (Sheet Name)</t>
        </is>
      </c>
      <c r="T4" s="20" t="inlineStr">
        <is>
          <t>Bed Type</t>
        </is>
      </c>
      <c r="U4" s="20" t="inlineStr">
        <is>
          <t xml:space="preserve">Current Rent </t>
        </is>
      </c>
    </row>
    <row r="5" ht="18" customFormat="1" customHeight="1" s="3">
      <c r="A5" s="22" t="inlineStr">
        <is>
          <t>As of June 2026  |  All values are live formula links — update rent on the building sheet and it updates here automatically</t>
        </is>
      </c>
      <c r="J5" s="23" t="n"/>
      <c r="K5" s="24" t="inlineStr">
        <is>
          <t>Same information that is in the table to the left.</t>
        </is>
      </c>
      <c r="L5" s="289" t="n"/>
      <c r="M5" s="289" t="n"/>
      <c r="N5" s="289" t="n"/>
      <c r="O5" s="289" t="n"/>
      <c r="P5" s="289" t="n"/>
      <c r="Q5" s="289" t="n"/>
      <c r="R5" s="289" t="n"/>
      <c r="S5" s="289" t="n"/>
      <c r="T5" s="289" t="n"/>
      <c r="U5" s="289" t="n"/>
    </row>
    <row r="6" ht="27.75" customFormat="1" customHeight="1" s="3">
      <c r="A6" s="26" t="inlineStr">
        <is>
          <t>ID</t>
        </is>
      </c>
      <c r="B6" s="26" t="inlineStr">
        <is>
          <t>Property Name</t>
        </is>
      </c>
      <c r="C6" s="26" t="inlineStr">
        <is>
          <t>Studio
(0BD)</t>
        </is>
      </c>
      <c r="D6" s="26" t="inlineStr">
        <is>
          <t>1 Bed
(1BD)</t>
        </is>
      </c>
      <c r="E6" s="26" t="inlineStr">
        <is>
          <t>2 Bed
(2BD)</t>
        </is>
      </c>
      <c r="F6" s="26" t="inlineStr">
        <is>
          <t>3 Bed
(3BD)</t>
        </is>
      </c>
      <c r="G6" s="26" t="inlineStr">
        <is>
          <t>4 Bed
(4BD)</t>
        </is>
      </c>
      <c r="H6" s="26" t="inlineStr">
        <is>
          <t>5 Bed
(5BD)</t>
        </is>
      </c>
      <c r="I6" s="26" t="inlineStr">
        <is>
          <t>Notes</t>
        </is>
      </c>
      <c r="J6" s="290" t="n"/>
      <c r="K6" s="28" t="inlineStr">
        <is>
          <t>21 - Boca Ciega</t>
        </is>
      </c>
      <c r="L6" s="29" t="inlineStr">
        <is>
          <t>2BD</t>
        </is>
      </c>
      <c r="M6" s="291" t="n">
        <v>1736</v>
      </c>
      <c r="N6" s="290" t="n"/>
      <c r="O6" s="28" t="inlineStr">
        <is>
          <t>42 - Ruby</t>
        </is>
      </c>
      <c r="P6" s="29" t="inlineStr">
        <is>
          <t>3BD</t>
        </is>
      </c>
      <c r="Q6" s="291" t="n">
        <v>1223</v>
      </c>
      <c r="R6" s="290" t="n"/>
      <c r="S6" s="28" t="inlineStr">
        <is>
          <t>25 - Columbia</t>
        </is>
      </c>
      <c r="T6" s="29" t="inlineStr">
        <is>
          <t>2BD</t>
        </is>
      </c>
      <c r="U6" s="291" t="n">
        <v>1364</v>
      </c>
    </row>
    <row r="7" ht="21.75" customFormat="1" customHeight="1" s="3">
      <c r="A7" s="31" t="inlineStr">
        <is>
          <t>21</t>
        </is>
      </c>
      <c r="B7" s="32" t="inlineStr">
        <is>
          <t>Boca Ciega</t>
        </is>
      </c>
      <c r="C7" s="33" t="inlineStr">
        <is>
          <t>—</t>
        </is>
      </c>
      <c r="D7" s="33" t="inlineStr">
        <is>
          <t>—</t>
        </is>
      </c>
      <c r="E7" s="292" t="n">
        <v>1736</v>
      </c>
      <c r="F7" s="292" t="n">
        <v>2376</v>
      </c>
      <c r="G7" s="33" t="inlineStr">
        <is>
          <t>—</t>
        </is>
      </c>
      <c r="H7" s="33" t="inlineStr">
        <is>
          <t>—</t>
        </is>
      </c>
      <c r="I7" s="35" t="n"/>
      <c r="J7" s="290" t="n"/>
      <c r="K7" s="36" t="inlineStr">
        <is>
          <t>21 - Boca Ciega</t>
        </is>
      </c>
      <c r="L7" s="37" t="inlineStr">
        <is>
          <t>3BD</t>
        </is>
      </c>
      <c r="M7" s="291" t="n">
        <v>2376</v>
      </c>
      <c r="N7" s="290" t="n"/>
      <c r="O7" s="36" t="inlineStr">
        <is>
          <t>42 - Ruby</t>
        </is>
      </c>
      <c r="P7" s="37" t="inlineStr">
        <is>
          <t>4BD</t>
        </is>
      </c>
      <c r="Q7" s="291" t="n">
        <v>870</v>
      </c>
      <c r="R7" s="290" t="n"/>
      <c r="S7" s="36" t="inlineStr">
        <is>
          <t>25 - Columbia</t>
        </is>
      </c>
      <c r="T7" s="37" t="inlineStr">
        <is>
          <t>3BD</t>
        </is>
      </c>
      <c r="U7" s="291" t="n">
        <v>1577.5</v>
      </c>
    </row>
    <row r="8" ht="21.75" customFormat="1" customHeight="1" s="3">
      <c r="A8" s="31" t="inlineStr">
        <is>
          <t>13</t>
        </is>
      </c>
      <c r="B8" s="38" t="inlineStr">
        <is>
          <t>Jefferson</t>
        </is>
      </c>
      <c r="C8" s="39" t="inlineStr">
        <is>
          <t>—</t>
        </is>
      </c>
      <c r="D8" s="39" t="inlineStr">
        <is>
          <t>—</t>
        </is>
      </c>
      <c r="E8" s="292" t="n">
        <v>1020</v>
      </c>
      <c r="F8" s="292" t="n">
        <v>1150</v>
      </c>
      <c r="G8" s="39" t="inlineStr">
        <is>
          <t>—</t>
        </is>
      </c>
      <c r="H8" s="39" t="inlineStr">
        <is>
          <t>—</t>
        </is>
      </c>
      <c r="I8" s="40" t="n"/>
      <c r="J8" s="290" t="n"/>
      <c r="K8" s="28" t="inlineStr">
        <is>
          <t>13 - Jefferson</t>
        </is>
      </c>
      <c r="L8" s="29" t="inlineStr">
        <is>
          <t>2BD</t>
        </is>
      </c>
      <c r="M8" s="291" t="n">
        <v>1020</v>
      </c>
      <c r="N8" s="290" t="n"/>
      <c r="O8" s="36" t="inlineStr">
        <is>
          <t>39 - Star</t>
        </is>
      </c>
      <c r="P8" s="37" t="inlineStr">
        <is>
          <t>2BD</t>
        </is>
      </c>
      <c r="Q8" s="291" t="n">
        <v>894</v>
      </c>
      <c r="R8" s="290" t="n"/>
      <c r="S8" s="28" t="inlineStr">
        <is>
          <t>25 - Columbia</t>
        </is>
      </c>
      <c r="T8" s="29" t="inlineStr">
        <is>
          <t>4BD</t>
        </is>
      </c>
      <c r="U8" s="291" t="n">
        <v>1731</v>
      </c>
    </row>
    <row r="9" ht="21.75" customFormat="1" customHeight="1" s="3">
      <c r="A9" s="31" t="inlineStr">
        <is>
          <t>18</t>
        </is>
      </c>
      <c r="B9" s="32" t="inlineStr">
        <is>
          <t>Opa Locka</t>
        </is>
      </c>
      <c r="C9" s="33" t="inlineStr">
        <is>
          <t>—</t>
        </is>
      </c>
      <c r="D9" s="292" t="n">
        <v>1470</v>
      </c>
      <c r="E9" s="292" t="n">
        <v>1800</v>
      </c>
      <c r="F9" s="292" t="n">
        <v>2320</v>
      </c>
      <c r="G9" s="33" t="inlineStr">
        <is>
          <t>—</t>
        </is>
      </c>
      <c r="H9" s="33" t="inlineStr">
        <is>
          <t>—</t>
        </is>
      </c>
      <c r="I9" s="35" t="n"/>
      <c r="J9" s="290" t="n"/>
      <c r="K9" s="36" t="inlineStr">
        <is>
          <t>13 - Jefferson</t>
        </is>
      </c>
      <c r="L9" s="37" t="inlineStr">
        <is>
          <t>3BD</t>
        </is>
      </c>
      <c r="M9" s="291" t="n">
        <v>1150</v>
      </c>
      <c r="N9" s="290" t="n"/>
      <c r="O9" s="28" t="inlineStr">
        <is>
          <t>39 - Star</t>
        </is>
      </c>
      <c r="P9" s="29" t="inlineStr">
        <is>
          <t>3BD</t>
        </is>
      </c>
      <c r="Q9" s="291" t="n">
        <v>982</v>
      </c>
      <c r="R9" s="290" t="n"/>
      <c r="S9" s="28" t="inlineStr">
        <is>
          <t>26 - Forest View</t>
        </is>
      </c>
      <c r="T9" s="29" t="inlineStr">
        <is>
          <t>1BD</t>
        </is>
      </c>
      <c r="U9" s="291" t="n">
        <v>723.88</v>
      </c>
    </row>
    <row r="10" ht="21.75" customFormat="1" customHeight="1" s="3">
      <c r="A10" s="31" t="inlineStr">
        <is>
          <t>14</t>
        </is>
      </c>
      <c r="B10" s="38" t="inlineStr">
        <is>
          <t>Macedonia</t>
        </is>
      </c>
      <c r="C10" s="39" t="inlineStr">
        <is>
          <t>—</t>
        </is>
      </c>
      <c r="D10" s="39" t="inlineStr">
        <is>
          <t>—</t>
        </is>
      </c>
      <c r="E10" s="292" t="n">
        <v>1451</v>
      </c>
      <c r="F10" s="292" t="n">
        <v>1613</v>
      </c>
      <c r="G10" s="39" t="inlineStr">
        <is>
          <t>—</t>
        </is>
      </c>
      <c r="H10" s="39" t="inlineStr">
        <is>
          <t>—</t>
        </is>
      </c>
      <c r="I10" s="40" t="n"/>
      <c r="J10" s="290" t="n"/>
      <c r="K10" s="41" t="inlineStr">
        <is>
          <t>18 - Opa Locka (135th Apartments)</t>
        </is>
      </c>
      <c r="L10" s="42" t="inlineStr">
        <is>
          <t>1BD</t>
        </is>
      </c>
      <c r="M10" s="291" t="n">
        <v>1470</v>
      </c>
      <c r="N10" s="290" t="n"/>
      <c r="O10" s="36" t="inlineStr">
        <is>
          <t>39 - Star</t>
        </is>
      </c>
      <c r="P10" s="37" t="inlineStr">
        <is>
          <t>4BD</t>
        </is>
      </c>
      <c r="Q10" s="291" t="n">
        <v>1045</v>
      </c>
      <c r="R10" s="290" t="n"/>
      <c r="S10" s="36" t="inlineStr">
        <is>
          <t>26 - Forest View</t>
        </is>
      </c>
      <c r="T10" s="37" t="inlineStr">
        <is>
          <t>2BD</t>
        </is>
      </c>
      <c r="U10" s="291" t="n">
        <v>855.17</v>
      </c>
    </row>
    <row r="11" ht="21.75" customFormat="1" customHeight="1" s="3">
      <c r="A11" s="31" t="inlineStr">
        <is>
          <t>48</t>
        </is>
      </c>
      <c r="B11" s="32" t="inlineStr">
        <is>
          <t>Coral Village</t>
        </is>
      </c>
      <c r="C11" s="33" t="inlineStr">
        <is>
          <t>—</t>
        </is>
      </c>
      <c r="D11" s="292" t="n">
        <v>1375</v>
      </c>
      <c r="E11" s="292" t="n">
        <v>1552</v>
      </c>
      <c r="F11" s="33" t="inlineStr">
        <is>
          <t>—</t>
        </is>
      </c>
      <c r="G11" s="33" t="inlineStr">
        <is>
          <t>—</t>
        </is>
      </c>
      <c r="H11" s="33" t="inlineStr">
        <is>
          <t>—</t>
        </is>
      </c>
      <c r="I11" s="35" t="n"/>
      <c r="J11" s="290" t="n"/>
      <c r="K11" s="43" t="inlineStr">
        <is>
          <t>19 - Opa Locka (135th Apartments)</t>
        </is>
      </c>
      <c r="L11" s="44" t="inlineStr">
        <is>
          <t>2BD</t>
        </is>
      </c>
      <c r="M11" s="291" t="n">
        <v>1800</v>
      </c>
      <c r="N11" s="290" t="n"/>
      <c r="O11" s="28" t="inlineStr">
        <is>
          <t>40 - Marrero</t>
        </is>
      </c>
      <c r="P11" s="29" t="inlineStr">
        <is>
          <t>3BD</t>
        </is>
      </c>
      <c r="Q11" s="291" t="n">
        <v>1401</v>
      </c>
      <c r="R11" s="290" t="n"/>
      <c r="S11" s="28" t="inlineStr">
        <is>
          <t>24 - Oak Hills</t>
        </is>
      </c>
      <c r="T11" s="29" t="inlineStr">
        <is>
          <t>2BD</t>
        </is>
      </c>
      <c r="U11" s="291" t="n">
        <v>1308</v>
      </c>
    </row>
    <row r="12" ht="21.75" customFormat="1" customHeight="1" s="3">
      <c r="A12" s="31" t="inlineStr">
        <is>
          <t>15</t>
        </is>
      </c>
      <c r="B12" s="38" t="inlineStr">
        <is>
          <t>Holiday</t>
        </is>
      </c>
      <c r="C12" s="39" t="inlineStr">
        <is>
          <t>—</t>
        </is>
      </c>
      <c r="D12" s="39" t="inlineStr">
        <is>
          <t>—</t>
        </is>
      </c>
      <c r="E12" s="292" t="n">
        <v>935</v>
      </c>
      <c r="F12" s="292" t="n">
        <v>1073</v>
      </c>
      <c r="G12" s="292" t="n">
        <v>1147</v>
      </c>
      <c r="H12" s="293" t="n"/>
      <c r="I12" s="40" t="n"/>
      <c r="J12" s="290" t="n"/>
      <c r="K12" s="41" t="inlineStr">
        <is>
          <t>20 - Opa Locka (135th Apartments)</t>
        </is>
      </c>
      <c r="L12" s="42" t="inlineStr">
        <is>
          <t>3BD</t>
        </is>
      </c>
      <c r="M12" s="291" t="n">
        <v>2320</v>
      </c>
      <c r="N12" s="290" t="n"/>
      <c r="O12" s="36" t="inlineStr">
        <is>
          <t>40 - Marrero</t>
        </is>
      </c>
      <c r="P12" s="37" t="inlineStr">
        <is>
          <t>4BD</t>
        </is>
      </c>
      <c r="Q12" s="291" t="n">
        <v>1563</v>
      </c>
      <c r="R12" s="290" t="n"/>
      <c r="S12" s="36" t="inlineStr">
        <is>
          <t>24 - Oak Hills</t>
        </is>
      </c>
      <c r="T12" s="37" t="inlineStr">
        <is>
          <t>3BD</t>
        </is>
      </c>
      <c r="U12" s="291" t="n">
        <v>1526.47</v>
      </c>
    </row>
    <row r="13" ht="21.75" customFormat="1" customHeight="1" s="3">
      <c r="A13" s="31" t="inlineStr">
        <is>
          <t>16</t>
        </is>
      </c>
      <c r="B13" s="32" t="inlineStr">
        <is>
          <t>Cumberland</t>
        </is>
      </c>
      <c r="C13" s="33" t="inlineStr">
        <is>
          <t>—</t>
        </is>
      </c>
      <c r="D13" s="292" t="n">
        <v>1074</v>
      </c>
      <c r="E13" s="292" t="n">
        <v>1166</v>
      </c>
      <c r="F13" s="292" t="n">
        <v>1290</v>
      </c>
      <c r="G13" s="292" t="n">
        <v>1433</v>
      </c>
      <c r="H13" s="33" t="inlineStr">
        <is>
          <t>—</t>
        </is>
      </c>
      <c r="I13" s="35" t="n"/>
      <c r="J13" s="290" t="n"/>
      <c r="K13" s="43" t="inlineStr">
        <is>
          <t>14 - Macedonia</t>
        </is>
      </c>
      <c r="L13" s="44" t="inlineStr">
        <is>
          <t>2BD</t>
        </is>
      </c>
      <c r="M13" s="291" t="n">
        <v>1451</v>
      </c>
      <c r="N13" s="290" t="n"/>
      <c r="O13" s="36" t="inlineStr">
        <is>
          <t>37 - Arbor Crest</t>
        </is>
      </c>
      <c r="P13" s="37" t="inlineStr">
        <is>
          <t>1BD</t>
        </is>
      </c>
      <c r="Q13" s="291" t="n">
        <v>914</v>
      </c>
      <c r="R13" s="290" t="n"/>
      <c r="S13" s="28" t="inlineStr">
        <is>
          <t>58 - River Garden</t>
        </is>
      </c>
      <c r="T13" s="29" t="inlineStr">
        <is>
          <t>2BD</t>
        </is>
      </c>
      <c r="U13" s="291" t="n">
        <v>1140</v>
      </c>
    </row>
    <row r="14" ht="21.75" customFormat="1" customHeight="1" s="3">
      <c r="A14" s="31" t="inlineStr">
        <is>
          <t>59</t>
        </is>
      </c>
      <c r="B14" s="46" t="inlineStr">
        <is>
          <t>Walnut Hill</t>
        </is>
      </c>
      <c r="C14" s="47" t="inlineStr">
        <is>
          <t>—</t>
        </is>
      </c>
      <c r="D14" s="47" t="inlineStr">
        <is>
          <t>—</t>
        </is>
      </c>
      <c r="E14" s="292" t="n">
        <v>1346</v>
      </c>
      <c r="F14" s="292" t="n">
        <v>1465</v>
      </c>
      <c r="G14" s="47" t="inlineStr">
        <is>
          <t>—</t>
        </is>
      </c>
      <c r="H14" s="47" t="inlineStr">
        <is>
          <t>—</t>
        </is>
      </c>
      <c r="I14" s="48" t="n"/>
      <c r="J14" s="290" t="n"/>
      <c r="K14" s="41" t="inlineStr">
        <is>
          <t>14 - Macedonia</t>
        </is>
      </c>
      <c r="L14" s="42" t="inlineStr">
        <is>
          <t>3BD</t>
        </is>
      </c>
      <c r="M14" s="291" t="n">
        <v>1613</v>
      </c>
      <c r="N14" s="290" t="n"/>
      <c r="O14" s="28" t="inlineStr">
        <is>
          <t>37 - Arbor Crest</t>
        </is>
      </c>
      <c r="P14" s="29" t="inlineStr">
        <is>
          <t>2BD</t>
        </is>
      </c>
      <c r="Q14" s="291" t="n">
        <v>1058</v>
      </c>
      <c r="R14" s="290" t="n"/>
      <c r="S14" s="36" t="inlineStr">
        <is>
          <t>58 - River Garden</t>
        </is>
      </c>
      <c r="T14" s="37" t="inlineStr">
        <is>
          <t>3BD</t>
        </is>
      </c>
      <c r="U14" s="291" t="n">
        <v>1317</v>
      </c>
    </row>
    <row r="15" ht="21.75" customFormat="1" customHeight="1" s="3">
      <c r="A15" s="31" t="inlineStr">
        <is>
          <t>29</t>
        </is>
      </c>
      <c r="B15" s="38" t="inlineStr">
        <is>
          <t>River Pointe</t>
        </is>
      </c>
      <c r="C15" s="39" t="inlineStr">
        <is>
          <t>—</t>
        </is>
      </c>
      <c r="D15" s="293" t="n"/>
      <c r="E15" s="292" t="n">
        <v>1400</v>
      </c>
      <c r="F15" s="39" t="inlineStr">
        <is>
          <t>—</t>
        </is>
      </c>
      <c r="G15" s="39" t="inlineStr">
        <is>
          <t>—</t>
        </is>
      </c>
      <c r="H15" s="39" t="inlineStr">
        <is>
          <t>—</t>
        </is>
      </c>
      <c r="I15" s="40" t="n"/>
      <c r="J15" s="290" t="n"/>
      <c r="K15" s="43" t="inlineStr">
        <is>
          <t>48 - Coral Village</t>
        </is>
      </c>
      <c r="L15" s="44" t="inlineStr">
        <is>
          <t>1BD</t>
        </is>
      </c>
      <c r="M15" s="291" t="n">
        <v>1375</v>
      </c>
      <c r="N15" s="290" t="n"/>
      <c r="O15" s="36" t="inlineStr">
        <is>
          <t>37 - Arbor Crest</t>
        </is>
      </c>
      <c r="P15" s="37" t="inlineStr">
        <is>
          <t>3BD</t>
        </is>
      </c>
      <c r="Q15" s="291" t="n">
        <v>1204</v>
      </c>
      <c r="R15" s="290" t="n"/>
      <c r="S15" s="28" t="inlineStr">
        <is>
          <t>58 - River Garden</t>
        </is>
      </c>
      <c r="T15" s="29" t="inlineStr">
        <is>
          <t>4BD</t>
        </is>
      </c>
      <c r="U15" s="291" t="n">
        <v>1470</v>
      </c>
    </row>
    <row r="16" ht="21.75" customFormat="1" customHeight="1" s="3">
      <c r="A16" s="31" t="inlineStr">
        <is>
          <t>12</t>
        </is>
      </c>
      <c r="B16" s="32" t="inlineStr">
        <is>
          <t>Breckenridge</t>
        </is>
      </c>
      <c r="C16" s="33" t="inlineStr">
        <is>
          <t>—</t>
        </is>
      </c>
      <c r="D16" s="33" t="inlineStr">
        <is>
          <t>—</t>
        </is>
      </c>
      <c r="E16" s="292" t="n">
        <v>964</v>
      </c>
      <c r="F16" s="33" t="inlineStr">
        <is>
          <t>—</t>
        </is>
      </c>
      <c r="G16" s="292" t="n">
        <v>1221</v>
      </c>
      <c r="H16" s="33" t="inlineStr">
        <is>
          <t>—</t>
        </is>
      </c>
      <c r="I16" s="35" t="n"/>
      <c r="J16" s="290" t="n"/>
      <c r="K16" s="36" t="inlineStr">
        <is>
          <t>48 - Coral Village</t>
        </is>
      </c>
      <c r="L16" s="37" t="inlineStr">
        <is>
          <t>2BD</t>
        </is>
      </c>
      <c r="M16" s="291" t="n">
        <v>1552</v>
      </c>
      <c r="N16" s="290" t="n"/>
      <c r="O16" s="36" t="inlineStr">
        <is>
          <t>33 - Windsor-Yorkshire</t>
        </is>
      </c>
      <c r="P16" s="37" t="inlineStr">
        <is>
          <t>1BD</t>
        </is>
      </c>
      <c r="Q16" s="291" t="n">
        <v>777</v>
      </c>
      <c r="R16" s="290" t="n"/>
      <c r="S16" s="36" t="inlineStr">
        <is>
          <t>58 - River Garden</t>
        </is>
      </c>
      <c r="T16" s="37" t="inlineStr">
        <is>
          <t>5BD</t>
        </is>
      </c>
      <c r="U16" s="291" t="n">
        <v>1784</v>
      </c>
    </row>
    <row r="17" ht="21.75" customFormat="1" customHeight="1" s="3">
      <c r="A17" s="31" t="inlineStr">
        <is>
          <t>38</t>
        </is>
      </c>
      <c r="B17" s="38" t="inlineStr">
        <is>
          <t>Lexington</t>
        </is>
      </c>
      <c r="C17" s="39" t="inlineStr">
        <is>
          <t>—</t>
        </is>
      </c>
      <c r="D17" s="39" t="inlineStr">
        <is>
          <t>—</t>
        </is>
      </c>
      <c r="E17" s="292" t="n">
        <v>964</v>
      </c>
      <c r="F17" s="39" t="inlineStr">
        <is>
          <t>—</t>
        </is>
      </c>
      <c r="G17" s="292" t="n">
        <v>1221</v>
      </c>
      <c r="H17" s="39" t="inlineStr">
        <is>
          <t>—</t>
        </is>
      </c>
      <c r="I17" s="40" t="n"/>
      <c r="J17" s="290" t="n"/>
      <c r="K17" s="28" t="inlineStr">
        <is>
          <t>15 - Holiday</t>
        </is>
      </c>
      <c r="L17" s="29" t="inlineStr">
        <is>
          <t>2BD</t>
        </is>
      </c>
      <c r="M17" s="291" t="n">
        <v>935</v>
      </c>
      <c r="N17" s="290" t="n"/>
      <c r="O17" s="28" t="inlineStr">
        <is>
          <t>33 - Windsor-Yorkshire</t>
        </is>
      </c>
      <c r="P17" s="29" t="inlineStr">
        <is>
          <t>2BD</t>
        </is>
      </c>
      <c r="Q17" s="291" t="n">
        <v>885</v>
      </c>
      <c r="R17" s="290" t="n"/>
      <c r="S17" s="36" t="inlineStr">
        <is>
          <t>36 - Silver Springs</t>
        </is>
      </c>
      <c r="T17" s="37" t="inlineStr">
        <is>
          <t>1BD</t>
        </is>
      </c>
      <c r="U17" s="291" t="n">
        <v>970</v>
      </c>
    </row>
    <row r="18" ht="21.75" customFormat="1" customHeight="1" s="3">
      <c r="A18" s="31" t="inlineStr">
        <is>
          <t>23</t>
        </is>
      </c>
      <c r="B18" s="32" t="inlineStr">
        <is>
          <t>Grace Townhomes</t>
        </is>
      </c>
      <c r="C18" s="33" t="inlineStr">
        <is>
          <t>—</t>
        </is>
      </c>
      <c r="D18" s="292" t="n">
        <v>1198</v>
      </c>
      <c r="E18" s="292" t="n">
        <v>1430</v>
      </c>
      <c r="F18" s="292" t="n">
        <v>1656</v>
      </c>
      <c r="G18" s="33" t="inlineStr">
        <is>
          <t>—</t>
        </is>
      </c>
      <c r="H18" s="33" t="inlineStr">
        <is>
          <t>—</t>
        </is>
      </c>
      <c r="I18" s="35" t="n"/>
      <c r="J18" s="290" t="n"/>
      <c r="K18" s="36" t="inlineStr">
        <is>
          <t>15 - Holiday</t>
        </is>
      </c>
      <c r="L18" s="37" t="inlineStr">
        <is>
          <t>3BD</t>
        </is>
      </c>
      <c r="M18" s="291" t="n">
        <v>1073</v>
      </c>
      <c r="N18" s="290" t="n"/>
      <c r="O18" s="36" t="inlineStr">
        <is>
          <t>33 - Windsor-Yorkshire</t>
        </is>
      </c>
      <c r="P18" s="37" t="inlineStr">
        <is>
          <t>4BD</t>
        </is>
      </c>
      <c r="Q18" s="291" t="n">
        <v>1140</v>
      </c>
      <c r="R18" s="290" t="n"/>
      <c r="S18" s="28" t="inlineStr">
        <is>
          <t>36 - Silver Springs</t>
        </is>
      </c>
      <c r="T18" s="29" t="inlineStr">
        <is>
          <t>2BD</t>
        </is>
      </c>
      <c r="U18" s="291" t="n">
        <v>1185</v>
      </c>
    </row>
    <row r="19" ht="21.75" customFormat="1" customHeight="1" s="3">
      <c r="A19" s="31" t="inlineStr">
        <is>
          <t>46</t>
        </is>
      </c>
      <c r="B19" s="38" t="inlineStr">
        <is>
          <t>Grove Park</t>
        </is>
      </c>
      <c r="C19" s="39" t="inlineStr">
        <is>
          <t>—</t>
        </is>
      </c>
      <c r="D19" s="292" t="n">
        <v>1210</v>
      </c>
      <c r="E19" s="292" t="n">
        <v>1450</v>
      </c>
      <c r="F19" s="292" t="n">
        <v>1700</v>
      </c>
      <c r="G19" s="39" t="inlineStr">
        <is>
          <t>—</t>
        </is>
      </c>
      <c r="H19" s="39" t="inlineStr">
        <is>
          <t>—</t>
        </is>
      </c>
      <c r="I19" s="40" t="n"/>
      <c r="J19" s="290" t="n"/>
      <c r="K19" s="28" t="inlineStr">
        <is>
          <t>15 - Holiday</t>
        </is>
      </c>
      <c r="L19" s="29" t="inlineStr">
        <is>
          <t>4BD</t>
        </is>
      </c>
      <c r="M19" s="291" t="n">
        <v>1147</v>
      </c>
      <c r="N19" s="290" t="n"/>
      <c r="O19" s="36" t="inlineStr">
        <is>
          <t>50 - North Pointe</t>
        </is>
      </c>
      <c r="P19" s="37" t="inlineStr">
        <is>
          <t>2BD</t>
        </is>
      </c>
      <c r="Q19" s="291" t="n">
        <v>575</v>
      </c>
      <c r="R19" s="290" t="n"/>
      <c r="S19" s="36" t="inlineStr">
        <is>
          <t>36 - Silver Springs</t>
        </is>
      </c>
      <c r="T19" s="37" t="inlineStr">
        <is>
          <t>3BD</t>
        </is>
      </c>
      <c r="U19" s="291" t="n">
        <v>1400</v>
      </c>
    </row>
    <row r="20" ht="21.75" customFormat="1" customHeight="1" s="3">
      <c r="A20" s="31" t="inlineStr">
        <is>
          <t>60</t>
        </is>
      </c>
      <c r="B20" s="32" t="inlineStr">
        <is>
          <t>La Promesa</t>
        </is>
      </c>
      <c r="C20" s="33" t="inlineStr">
        <is>
          <t>—</t>
        </is>
      </c>
      <c r="D20" s="33" t="inlineStr">
        <is>
          <t>—</t>
        </is>
      </c>
      <c r="E20" s="292" t="n">
        <v>1402</v>
      </c>
      <c r="F20" s="292" t="n">
        <v>1679</v>
      </c>
      <c r="G20" s="33" t="inlineStr">
        <is>
          <t>—</t>
        </is>
      </c>
      <c r="H20" s="33" t="inlineStr">
        <is>
          <t>—</t>
        </is>
      </c>
      <c r="I20" s="35" t="n"/>
      <c r="J20" s="290" t="n"/>
      <c r="K20" s="36" t="inlineStr">
        <is>
          <t>16 - Cumberland</t>
        </is>
      </c>
      <c r="L20" s="37" t="inlineStr">
        <is>
          <t>1BD</t>
        </is>
      </c>
      <c r="M20" s="291" t="n">
        <v>1074</v>
      </c>
      <c r="N20" s="290" t="n"/>
      <c r="O20" s="28" t="inlineStr">
        <is>
          <t>50 - North Pointe</t>
        </is>
      </c>
      <c r="P20" s="29" t="inlineStr">
        <is>
          <t>3BD</t>
        </is>
      </c>
      <c r="Q20" s="291" t="n">
        <v>655</v>
      </c>
      <c r="R20" s="290" t="n"/>
      <c r="S20" s="28" t="inlineStr">
        <is>
          <t>36 - Silver Springs</t>
        </is>
      </c>
      <c r="T20" s="29" t="inlineStr">
        <is>
          <t>4BD</t>
        </is>
      </c>
      <c r="U20" s="291" t="n">
        <v>1695</v>
      </c>
    </row>
    <row r="21" ht="21.75" customFormat="1" customHeight="1" s="3">
      <c r="A21" s="31" t="inlineStr">
        <is>
          <t>3</t>
        </is>
      </c>
      <c r="B21" s="38" t="inlineStr">
        <is>
          <t>Wilmington</t>
        </is>
      </c>
      <c r="C21" s="39" t="inlineStr">
        <is>
          <t>—</t>
        </is>
      </c>
      <c r="D21" s="292" t="n">
        <v>1221</v>
      </c>
      <c r="E21" s="292" t="n">
        <v>1563</v>
      </c>
      <c r="F21" s="292" t="n">
        <v>1820</v>
      </c>
      <c r="G21" s="292" t="n">
        <v>2128</v>
      </c>
      <c r="H21" s="39" t="inlineStr">
        <is>
          <t>—</t>
        </is>
      </c>
      <c r="I21" s="40" t="n"/>
      <c r="J21" s="290" t="n"/>
      <c r="K21" s="28" t="inlineStr">
        <is>
          <t>16 - Cumberland</t>
        </is>
      </c>
      <c r="L21" s="29" t="inlineStr">
        <is>
          <t>2BD</t>
        </is>
      </c>
      <c r="M21" s="291" t="n">
        <v>1166</v>
      </c>
      <c r="N21" s="290" t="n"/>
      <c r="O21" s="36" t="inlineStr">
        <is>
          <t>50 - North Pointe</t>
        </is>
      </c>
      <c r="P21" s="37" t="inlineStr">
        <is>
          <t>4BD</t>
        </is>
      </c>
      <c r="Q21" s="291" t="n">
        <v>695</v>
      </c>
      <c r="R21" s="290" t="n"/>
      <c r="S21" s="36" t="inlineStr">
        <is>
          <t>36 - Silver Springs</t>
        </is>
      </c>
      <c r="T21" s="37" t="inlineStr">
        <is>
          <t>5BD</t>
        </is>
      </c>
      <c r="U21" s="291" t="n">
        <v>970</v>
      </c>
    </row>
    <row r="22" ht="21.75" customFormat="1" customHeight="1" s="3">
      <c r="A22" s="31" t="inlineStr">
        <is>
          <t>19</t>
        </is>
      </c>
      <c r="B22" s="32" t="inlineStr">
        <is>
          <t>Gates</t>
        </is>
      </c>
      <c r="C22" s="33" t="inlineStr">
        <is>
          <t>—</t>
        </is>
      </c>
      <c r="D22" s="292" t="n">
        <v>1000</v>
      </c>
      <c r="E22" s="292" t="n">
        <v>1150</v>
      </c>
      <c r="F22" s="292" t="n">
        <v>1300</v>
      </c>
      <c r="G22" s="33" t="inlineStr">
        <is>
          <t>—</t>
        </is>
      </c>
      <c r="H22" s="33" t="inlineStr">
        <is>
          <t>—</t>
        </is>
      </c>
      <c r="I22" s="35" t="n"/>
      <c r="J22" s="290" t="n"/>
      <c r="K22" s="36" t="inlineStr">
        <is>
          <t>16 - Cumberland</t>
        </is>
      </c>
      <c r="L22" s="37" t="inlineStr">
        <is>
          <t>3BD</t>
        </is>
      </c>
      <c r="M22" s="291" t="n">
        <v>1290</v>
      </c>
      <c r="N22" s="290" t="n"/>
      <c r="O22" s="28" t="inlineStr">
        <is>
          <t>53 - Bayou Pointe</t>
        </is>
      </c>
      <c r="P22" s="29" t="inlineStr">
        <is>
          <t>3BD</t>
        </is>
      </c>
      <c r="Q22" s="291" t="n">
        <v>1053</v>
      </c>
      <c r="R22" s="290" t="n"/>
      <c r="S22" s="28" t="inlineStr">
        <is>
          <t>44 - Thomasville</t>
        </is>
      </c>
      <c r="T22" s="29" t="inlineStr">
        <is>
          <t>1BD</t>
        </is>
      </c>
      <c r="U22" s="291" t="n">
        <v>946</v>
      </c>
    </row>
    <row r="23" ht="21.75" customFormat="1" customHeight="1" s="3">
      <c r="A23" s="31" t="inlineStr">
        <is>
          <t>42</t>
        </is>
      </c>
      <c r="B23" s="38" t="inlineStr">
        <is>
          <t>Ruby</t>
        </is>
      </c>
      <c r="C23" s="39" t="inlineStr">
        <is>
          <t>—</t>
        </is>
      </c>
      <c r="D23" s="39" t="inlineStr">
        <is>
          <t>—</t>
        </is>
      </c>
      <c r="E23" s="293" t="n"/>
      <c r="F23" s="292" t="n">
        <v>1223</v>
      </c>
      <c r="G23" s="292" t="n">
        <v>870</v>
      </c>
      <c r="H23" s="39" t="inlineStr">
        <is>
          <t>—</t>
        </is>
      </c>
      <c r="I23" s="40" t="n"/>
      <c r="J23" s="290" t="n"/>
      <c r="K23" s="28" t="inlineStr">
        <is>
          <t>16 - Cumberland</t>
        </is>
      </c>
      <c r="L23" s="29" t="inlineStr">
        <is>
          <t>4BD</t>
        </is>
      </c>
      <c r="M23" s="291" t="n">
        <v>1433</v>
      </c>
      <c r="N23" s="290" t="n"/>
      <c r="O23" s="36" t="inlineStr">
        <is>
          <t>53 - Bayou Pointe</t>
        </is>
      </c>
      <c r="P23" s="37" t="inlineStr">
        <is>
          <t>4BD</t>
        </is>
      </c>
      <c r="Q23" s="291" t="n">
        <v>1152</v>
      </c>
      <c r="R23" s="290" t="n"/>
      <c r="S23" s="36" t="inlineStr">
        <is>
          <t>44 - Thomasville</t>
        </is>
      </c>
      <c r="T23" s="37" t="inlineStr">
        <is>
          <t>2BD</t>
        </is>
      </c>
      <c r="U23" s="291" t="n">
        <v>1054</v>
      </c>
    </row>
    <row r="24" ht="21.75" customFormat="1" customHeight="1" s="3">
      <c r="A24" s="31" t="inlineStr">
        <is>
          <t>39</t>
        </is>
      </c>
      <c r="B24" s="32" t="inlineStr">
        <is>
          <t>Star</t>
        </is>
      </c>
      <c r="C24" s="33" t="inlineStr">
        <is>
          <t>—</t>
        </is>
      </c>
      <c r="D24" s="33" t="inlineStr">
        <is>
          <t>—</t>
        </is>
      </c>
      <c r="E24" s="292" t="n">
        <v>894</v>
      </c>
      <c r="F24" s="292" t="n">
        <v>982</v>
      </c>
      <c r="G24" s="292" t="n">
        <v>1045</v>
      </c>
      <c r="H24" s="33" t="inlineStr">
        <is>
          <t>—</t>
        </is>
      </c>
      <c r="I24" s="35" t="n"/>
      <c r="J24" s="290" t="n"/>
      <c r="K24" s="28" t="inlineStr">
        <is>
          <t>59 - Walnut Hill</t>
        </is>
      </c>
      <c r="L24" s="29" t="inlineStr">
        <is>
          <t>2BD</t>
        </is>
      </c>
      <c r="M24" s="291" t="n">
        <v>1346</v>
      </c>
      <c r="N24" s="290" t="n"/>
      <c r="O24" s="28" t="inlineStr">
        <is>
          <t>41 - St. Charles</t>
        </is>
      </c>
      <c r="P24" s="29" t="inlineStr">
        <is>
          <t>2BD</t>
        </is>
      </c>
      <c r="Q24" s="291" t="n">
        <v>1154</v>
      </c>
      <c r="R24" s="290" t="n"/>
      <c r="S24" s="28" t="inlineStr">
        <is>
          <t>44 - Thomasville</t>
        </is>
      </c>
      <c r="T24" s="29" t="inlineStr">
        <is>
          <t>3BD</t>
        </is>
      </c>
      <c r="U24" s="291" t="n">
        <v>1328</v>
      </c>
    </row>
    <row r="25" ht="21.75" customFormat="1" customHeight="1" s="3">
      <c r="A25" s="31" t="inlineStr">
        <is>
          <t>20</t>
        </is>
      </c>
      <c r="B25" s="49" t="inlineStr">
        <is>
          <t>See Windsor/Yorkshire</t>
        </is>
      </c>
      <c r="C25" s="294" t="n"/>
      <c r="D25" s="294" t="n"/>
      <c r="E25" s="294" t="n"/>
      <c r="F25" s="294" t="n"/>
      <c r="G25" s="294" t="n"/>
      <c r="H25" s="294" t="n"/>
      <c r="I25" s="295" t="n"/>
      <c r="J25" s="290" t="n"/>
      <c r="K25" s="36" t="inlineStr">
        <is>
          <t>59 - Walnut Hill</t>
        </is>
      </c>
      <c r="L25" s="37" t="inlineStr">
        <is>
          <t>3BD</t>
        </is>
      </c>
      <c r="M25" s="291" t="n">
        <v>1465</v>
      </c>
      <c r="N25" s="290" t="n"/>
      <c r="O25" s="36" t="inlineStr">
        <is>
          <t>41 - St. Charles</t>
        </is>
      </c>
      <c r="P25" s="37" t="inlineStr">
        <is>
          <t>3BD</t>
        </is>
      </c>
      <c r="Q25" s="291" t="n">
        <v>1484</v>
      </c>
      <c r="R25" s="290" t="n"/>
      <c r="S25" s="36" t="inlineStr">
        <is>
          <t>44 - Thomasville</t>
        </is>
      </c>
      <c r="T25" s="37" t="inlineStr">
        <is>
          <t>4BD</t>
        </is>
      </c>
      <c r="U25" s="291" t="n">
        <v>1425</v>
      </c>
    </row>
    <row r="26" ht="21.75" customFormat="1" customHeight="1" s="3">
      <c r="A26" s="31" t="inlineStr">
        <is>
          <t>40</t>
        </is>
      </c>
      <c r="B26" s="32" t="inlineStr">
        <is>
          <t>Marrero</t>
        </is>
      </c>
      <c r="C26" s="33" t="inlineStr">
        <is>
          <t>—</t>
        </is>
      </c>
      <c r="D26" s="33" t="inlineStr">
        <is>
          <t>—</t>
        </is>
      </c>
      <c r="E26" s="293" t="n"/>
      <c r="F26" s="292" t="n">
        <v>1401</v>
      </c>
      <c r="G26" s="292" t="n">
        <v>1563</v>
      </c>
      <c r="H26" s="33" t="inlineStr">
        <is>
          <t>—</t>
        </is>
      </c>
      <c r="I26" s="35" t="n"/>
      <c r="J26" s="290" t="n"/>
      <c r="K26" s="52" t="inlineStr">
        <is>
          <t>29 - River Pointe</t>
        </is>
      </c>
      <c r="L26" s="53" t="inlineStr">
        <is>
          <t>2BD</t>
        </is>
      </c>
      <c r="M26" s="291" t="n">
        <v>1400</v>
      </c>
      <c r="N26" s="290" t="n"/>
      <c r="O26" s="28" t="inlineStr">
        <is>
          <t>55 - Pelican Bay</t>
        </is>
      </c>
      <c r="P26" s="29" t="inlineStr">
        <is>
          <t>1BD</t>
        </is>
      </c>
      <c r="Q26" s="291" t="n">
        <v>874</v>
      </c>
      <c r="R26" s="290" t="n"/>
      <c r="S26" s="28" t="inlineStr">
        <is>
          <t>44 - Thomasville</t>
        </is>
      </c>
      <c r="T26" s="29" t="inlineStr">
        <is>
          <t>1BD</t>
        </is>
      </c>
      <c r="U26" s="291" t="n">
        <v>946</v>
      </c>
    </row>
    <row r="27" ht="21.75" customFormat="1" customHeight="1" s="3">
      <c r="A27" s="31" t="inlineStr">
        <is>
          <t>37</t>
        </is>
      </c>
      <c r="B27" s="38" t="inlineStr">
        <is>
          <t>Arbor Crest</t>
        </is>
      </c>
      <c r="C27" s="39" t="inlineStr">
        <is>
          <t>—</t>
        </is>
      </c>
      <c r="D27" s="292" t="n">
        <v>914</v>
      </c>
      <c r="E27" s="292" t="n">
        <v>1058</v>
      </c>
      <c r="F27" s="292" t="n">
        <v>1204</v>
      </c>
      <c r="G27" s="39" t="inlineStr">
        <is>
          <t>—</t>
        </is>
      </c>
      <c r="H27" s="39" t="inlineStr">
        <is>
          <t>—</t>
        </is>
      </c>
      <c r="I27" s="40" t="n"/>
      <c r="J27" s="290" t="n"/>
      <c r="K27" s="52" t="inlineStr">
        <is>
          <t>29 - River Pointe</t>
        </is>
      </c>
      <c r="L27" s="53" t="inlineStr">
        <is>
          <t>3BD</t>
        </is>
      </c>
      <c r="M27" s="291" t="n">
        <v>1600</v>
      </c>
      <c r="N27" s="290" t="n"/>
      <c r="O27" s="36" t="inlineStr">
        <is>
          <t>55 - Pelican Bay</t>
        </is>
      </c>
      <c r="P27" s="37" t="inlineStr">
        <is>
          <t>2BD</t>
        </is>
      </c>
      <c r="Q27" s="291" t="n">
        <v>1039</v>
      </c>
      <c r="R27" s="290" t="n"/>
      <c r="S27" s="36" t="inlineStr">
        <is>
          <t>44 - Thomasville</t>
        </is>
      </c>
      <c r="T27" s="37" t="inlineStr">
        <is>
          <t>2BD</t>
        </is>
      </c>
      <c r="U27" s="291" t="n">
        <v>1054</v>
      </c>
    </row>
    <row r="28" ht="21.75" customFormat="1" customHeight="1" s="3">
      <c r="A28" s="31" t="inlineStr">
        <is>
          <t>33</t>
        </is>
      </c>
      <c r="B28" s="32" t="inlineStr">
        <is>
          <t>Windsor-Yorkshire</t>
        </is>
      </c>
      <c r="C28" s="33" t="inlineStr">
        <is>
          <t>—</t>
        </is>
      </c>
      <c r="D28" s="292" t="n">
        <v>777</v>
      </c>
      <c r="E28" s="292" t="n">
        <v>885</v>
      </c>
      <c r="F28" s="33" t="inlineStr">
        <is>
          <t>—</t>
        </is>
      </c>
      <c r="G28" s="292" t="n">
        <v>1140</v>
      </c>
      <c r="H28" s="33" t="inlineStr">
        <is>
          <t>—</t>
        </is>
      </c>
      <c r="I28" s="35" t="n"/>
      <c r="J28" s="290" t="n"/>
      <c r="K28" s="52" t="inlineStr">
        <is>
          <t>29 - River Pointe</t>
        </is>
      </c>
      <c r="L28" s="53" t="inlineStr">
        <is>
          <t>4BD</t>
        </is>
      </c>
      <c r="M28" s="291" t="n">
        <v>1700</v>
      </c>
      <c r="N28" s="290" t="n"/>
      <c r="O28" s="28" t="inlineStr">
        <is>
          <t>55 - Pelican Bay</t>
        </is>
      </c>
      <c r="P28" s="29" t="inlineStr">
        <is>
          <t>3BD</t>
        </is>
      </c>
      <c r="Q28" s="291" t="n">
        <v>1194</v>
      </c>
      <c r="R28" s="290" t="n"/>
      <c r="S28" s="28" t="inlineStr">
        <is>
          <t>44 - Thomasville</t>
        </is>
      </c>
      <c r="T28" s="29" t="inlineStr">
        <is>
          <t>3BD</t>
        </is>
      </c>
      <c r="U28" s="291" t="n">
        <v>1328</v>
      </c>
    </row>
    <row r="29" ht="21.75" customFormat="1" customHeight="1" s="3">
      <c r="A29" s="31" t="inlineStr">
        <is>
          <t>50</t>
        </is>
      </c>
      <c r="B29" s="38" t="inlineStr">
        <is>
          <t>North Pointe</t>
        </is>
      </c>
      <c r="C29" s="39" t="inlineStr">
        <is>
          <t>—</t>
        </is>
      </c>
      <c r="D29" s="39" t="inlineStr">
        <is>
          <t>—</t>
        </is>
      </c>
      <c r="E29" s="292" t="n">
        <v>575</v>
      </c>
      <c r="F29" s="292" t="n">
        <v>655</v>
      </c>
      <c r="G29" s="292" t="n">
        <v>695</v>
      </c>
      <c r="H29" s="39" t="inlineStr">
        <is>
          <t>—</t>
        </is>
      </c>
      <c r="I29" s="40" t="n"/>
      <c r="J29" s="290" t="n"/>
      <c r="K29" s="36" t="inlineStr">
        <is>
          <t>12 - Breckenridge</t>
        </is>
      </c>
      <c r="L29" s="37" t="inlineStr">
        <is>
          <t>2BD</t>
        </is>
      </c>
      <c r="M29" s="291" t="n">
        <v>964</v>
      </c>
      <c r="N29" s="290" t="n"/>
      <c r="O29" s="36" t="inlineStr">
        <is>
          <t>55 - Pelican Bay</t>
        </is>
      </c>
      <c r="P29" s="37" t="inlineStr">
        <is>
          <t>4BD</t>
        </is>
      </c>
      <c r="Q29" s="291" t="n">
        <v>1321</v>
      </c>
      <c r="R29" s="290" t="n"/>
      <c r="S29" s="36" t="inlineStr">
        <is>
          <t>63 - Crossroads</t>
        </is>
      </c>
      <c r="T29" s="37" t="inlineStr">
        <is>
          <t>2BD</t>
        </is>
      </c>
      <c r="U29" s="291" t="n">
        <v>1388</v>
      </c>
    </row>
    <row r="30" ht="21.75" customFormat="1" customHeight="1" s="3">
      <c r="A30" s="31" t="inlineStr">
        <is>
          <t>53</t>
        </is>
      </c>
      <c r="B30" s="32" t="inlineStr">
        <is>
          <t>Bayou Pointe</t>
        </is>
      </c>
      <c r="C30" s="33" t="inlineStr">
        <is>
          <t>—</t>
        </is>
      </c>
      <c r="D30" s="33" t="inlineStr">
        <is>
          <t>—</t>
        </is>
      </c>
      <c r="E30" s="33" t="inlineStr">
        <is>
          <t>—</t>
        </is>
      </c>
      <c r="F30" s="292" t="n">
        <v>1053</v>
      </c>
      <c r="G30" s="292" t="n">
        <v>1152</v>
      </c>
      <c r="H30" s="33" t="inlineStr">
        <is>
          <t>—</t>
        </is>
      </c>
      <c r="I30" s="35" t="n"/>
      <c r="J30" s="290" t="n"/>
      <c r="K30" s="28" t="inlineStr">
        <is>
          <t>12 - Breckenridge</t>
        </is>
      </c>
      <c r="L30" s="29" t="inlineStr">
        <is>
          <t>4BD</t>
        </is>
      </c>
      <c r="M30" s="291" t="n">
        <v>1221</v>
      </c>
      <c r="N30" s="290" t="n"/>
      <c r="O30" s="36" t="inlineStr">
        <is>
          <t>56 - Howell Place</t>
        </is>
      </c>
      <c r="P30" s="37" t="inlineStr">
        <is>
          <t>1BD</t>
        </is>
      </c>
      <c r="Q30" s="291" t="n">
        <v>874</v>
      </c>
      <c r="R30" s="290" t="n"/>
      <c r="S30" s="28" t="inlineStr">
        <is>
          <t>63 - Crossroads</t>
        </is>
      </c>
      <c r="T30" s="29" t="inlineStr">
        <is>
          <t>3BD</t>
        </is>
      </c>
      <c r="U30" s="291" t="n">
        <v>1592</v>
      </c>
    </row>
    <row r="31" ht="21.75" customFormat="1" customHeight="1" s="3">
      <c r="A31" s="31" t="inlineStr">
        <is>
          <t>41</t>
        </is>
      </c>
      <c r="B31" s="38" t="inlineStr">
        <is>
          <t>St. Charles</t>
        </is>
      </c>
      <c r="C31" s="39" t="inlineStr">
        <is>
          <t>—</t>
        </is>
      </c>
      <c r="D31" s="39" t="inlineStr">
        <is>
          <t>—</t>
        </is>
      </c>
      <c r="E31" s="292" t="n">
        <v>1154</v>
      </c>
      <c r="F31" s="292" t="n">
        <v>1484</v>
      </c>
      <c r="G31" s="39" t="inlineStr">
        <is>
          <t>—</t>
        </is>
      </c>
      <c r="H31" s="39" t="inlineStr">
        <is>
          <t>—</t>
        </is>
      </c>
      <c r="I31" s="40" t="n"/>
      <c r="J31" s="290" t="n"/>
      <c r="K31" s="36" t="inlineStr">
        <is>
          <t>38 - Lexington</t>
        </is>
      </c>
      <c r="L31" s="37" t="inlineStr">
        <is>
          <t>2BD</t>
        </is>
      </c>
      <c r="M31" s="291" t="n">
        <v>964</v>
      </c>
      <c r="N31" s="290" t="n"/>
      <c r="O31" s="28" t="inlineStr">
        <is>
          <t>56 - Howell Place</t>
        </is>
      </c>
      <c r="P31" s="29" t="inlineStr">
        <is>
          <t>2BD</t>
        </is>
      </c>
      <c r="R31" s="296" t="n"/>
    </row>
    <row r="32" ht="21.75" customFormat="1" customHeight="1" s="3">
      <c r="A32" s="31" t="inlineStr">
        <is>
          <t>55</t>
        </is>
      </c>
      <c r="B32" s="32" t="inlineStr">
        <is>
          <t>Pelican Bay</t>
        </is>
      </c>
      <c r="C32" s="33" t="inlineStr">
        <is>
          <t>—</t>
        </is>
      </c>
      <c r="D32" s="292" t="n">
        <v>874</v>
      </c>
      <c r="E32" s="292" t="n">
        <v>1039</v>
      </c>
      <c r="F32" s="292" t="n">
        <v>1194</v>
      </c>
      <c r="G32" s="292" t="n">
        <v>1321</v>
      </c>
      <c r="H32" s="33" t="inlineStr">
        <is>
          <t>—</t>
        </is>
      </c>
      <c r="I32" s="35" t="n"/>
      <c r="J32" s="290" t="n"/>
      <c r="K32" s="28" t="inlineStr">
        <is>
          <t>38 - Lexington</t>
        </is>
      </c>
      <c r="L32" s="29" t="inlineStr">
        <is>
          <t>4BD</t>
        </is>
      </c>
      <c r="M32" s="291" t="n">
        <v>1221</v>
      </c>
      <c r="N32" s="290" t="n"/>
      <c r="O32" s="36" t="inlineStr">
        <is>
          <t>56 - Howell Place</t>
        </is>
      </c>
      <c r="P32" s="37" t="inlineStr">
        <is>
          <t>3BD</t>
        </is>
      </c>
      <c r="R32" s="296" t="n"/>
    </row>
    <row r="33" ht="21.75" customFormat="1" customHeight="1" s="3">
      <c r="A33" s="31" t="inlineStr">
        <is>
          <t>56</t>
        </is>
      </c>
      <c r="B33" s="38" t="inlineStr">
        <is>
          <t>Howell Place</t>
        </is>
      </c>
      <c r="C33" s="39" t="inlineStr">
        <is>
          <t>—</t>
        </is>
      </c>
      <c r="D33" s="292" t="n">
        <v>874</v>
      </c>
      <c r="E33" s="292" t="n">
        <v>1039</v>
      </c>
      <c r="F33" s="292" t="n">
        <v>1194</v>
      </c>
      <c r="G33" s="292" t="n">
        <v>1321</v>
      </c>
      <c r="H33" s="39" t="inlineStr">
        <is>
          <t>—</t>
        </is>
      </c>
      <c r="I33" s="40" t="n"/>
      <c r="J33" s="290" t="n"/>
      <c r="K33" s="28" t="inlineStr">
        <is>
          <t>23 - Grace Townhomes</t>
        </is>
      </c>
      <c r="L33" s="29" t="inlineStr">
        <is>
          <t>1BD</t>
        </is>
      </c>
      <c r="M33" s="291" t="n">
        <v>1198</v>
      </c>
      <c r="N33" s="290" t="n"/>
      <c r="O33" s="28" t="inlineStr">
        <is>
          <t>56 - Howell Place</t>
        </is>
      </c>
      <c r="P33" s="29" t="inlineStr">
        <is>
          <t>4BD</t>
        </is>
      </c>
      <c r="R33" s="296" t="n"/>
    </row>
    <row r="34" ht="21.75" customFormat="1" customHeight="1" s="3">
      <c r="A34" s="31" t="inlineStr">
        <is>
          <t>57</t>
        </is>
      </c>
      <c r="B34" s="32" t="inlineStr">
        <is>
          <t>Pirates Bend</t>
        </is>
      </c>
      <c r="C34" s="33" t="inlineStr">
        <is>
          <t>—</t>
        </is>
      </c>
      <c r="D34" s="292" t="n">
        <v>874</v>
      </c>
      <c r="E34" s="292" t="n">
        <v>1039</v>
      </c>
      <c r="F34" s="292" t="n">
        <v>1194</v>
      </c>
      <c r="G34" s="292" t="n">
        <v>1321</v>
      </c>
      <c r="H34" s="33" t="inlineStr">
        <is>
          <t>—</t>
        </is>
      </c>
      <c r="I34" s="35" t="n"/>
      <c r="J34" s="290" t="n"/>
      <c r="K34" s="36" t="inlineStr">
        <is>
          <t>23 - Grace Townhomes</t>
        </is>
      </c>
      <c r="L34" s="37" t="inlineStr">
        <is>
          <t>2BD</t>
        </is>
      </c>
      <c r="M34" s="291" t="n">
        <v>1430</v>
      </c>
      <c r="N34" s="290" t="n"/>
      <c r="O34" s="28" t="inlineStr">
        <is>
          <t>57 - Pirates Bend</t>
        </is>
      </c>
      <c r="P34" s="29" t="inlineStr">
        <is>
          <t>1BD</t>
        </is>
      </c>
      <c r="R34" s="296" t="n"/>
    </row>
    <row r="35" ht="21.75" customFormat="1" customHeight="1" s="3">
      <c r="A35" s="31" t="inlineStr">
        <is>
          <t>6</t>
        </is>
      </c>
      <c r="B35" s="38" t="inlineStr">
        <is>
          <t>Anaheim Gardens</t>
        </is>
      </c>
      <c r="C35" s="39" t="inlineStr">
        <is>
          <t>—</t>
        </is>
      </c>
      <c r="D35" s="292" t="n">
        <v>3374</v>
      </c>
      <c r="E35" s="292" t="n">
        <v>3979</v>
      </c>
      <c r="F35" s="292" t="n">
        <v>4973</v>
      </c>
      <c r="G35" s="39" t="inlineStr">
        <is>
          <t>—</t>
        </is>
      </c>
      <c r="H35" s="39" t="inlineStr">
        <is>
          <t>—</t>
        </is>
      </c>
      <c r="I35" s="40" t="n"/>
      <c r="J35" s="290" t="n"/>
      <c r="K35" s="28" t="inlineStr">
        <is>
          <t>23 - Grace Townhomes</t>
        </is>
      </c>
      <c r="L35" s="29" t="inlineStr">
        <is>
          <t>3BD</t>
        </is>
      </c>
      <c r="M35" s="291" t="n">
        <v>1656</v>
      </c>
      <c r="N35" s="290" t="n"/>
      <c r="O35" s="36" t="inlineStr">
        <is>
          <t>57 - Pirates Bend</t>
        </is>
      </c>
      <c r="P35" s="37" t="inlineStr">
        <is>
          <t>2BD</t>
        </is>
      </c>
      <c r="R35" s="296" t="n"/>
    </row>
    <row r="36" ht="21.75" customFormat="1" customHeight="1" s="3">
      <c r="A36" s="31" t="inlineStr">
        <is>
          <t>11</t>
        </is>
      </c>
      <c r="B36" s="32" t="inlineStr">
        <is>
          <t>Fairfax</t>
        </is>
      </c>
      <c r="C36" s="33" t="inlineStr">
        <is>
          <t>—</t>
        </is>
      </c>
      <c r="D36" s="292" t="n">
        <v>2908</v>
      </c>
      <c r="E36" s="33" t="inlineStr">
        <is>
          <t>—</t>
        </is>
      </c>
      <c r="F36" s="33" t="inlineStr">
        <is>
          <t>—</t>
        </is>
      </c>
      <c r="G36" s="33" t="inlineStr">
        <is>
          <t>—</t>
        </is>
      </c>
      <c r="H36" s="33" t="inlineStr">
        <is>
          <t>—</t>
        </is>
      </c>
      <c r="I36" s="35" t="n"/>
      <c r="J36" s="290" t="n"/>
      <c r="K36" s="36" t="inlineStr">
        <is>
          <t>46 - Grove Park</t>
        </is>
      </c>
      <c r="L36" s="37" t="inlineStr">
        <is>
          <t>1BD</t>
        </is>
      </c>
      <c r="M36" s="291" t="n">
        <v>1210</v>
      </c>
      <c r="N36" s="290" t="n"/>
      <c r="O36" s="28" t="inlineStr">
        <is>
          <t>57 - Pirates Bend</t>
        </is>
      </c>
      <c r="P36" s="29" t="inlineStr">
        <is>
          <t>3BD</t>
        </is>
      </c>
      <c r="R36" s="296" t="n"/>
    </row>
    <row r="37" ht="21.75" customFormat="1" customHeight="1" s="3">
      <c r="A37" s="31" t="inlineStr">
        <is>
          <t>31</t>
        </is>
      </c>
      <c r="B37" s="38" t="inlineStr">
        <is>
          <t>Urban</t>
        </is>
      </c>
      <c r="C37" s="39" t="inlineStr">
        <is>
          <t>—</t>
        </is>
      </c>
      <c r="D37" s="39" t="inlineStr">
        <is>
          <t>—</t>
        </is>
      </c>
      <c r="E37" s="292" t="n">
        <v>1842</v>
      </c>
      <c r="F37" s="39" t="inlineStr">
        <is>
          <t>—</t>
        </is>
      </c>
      <c r="G37" s="39" t="inlineStr">
        <is>
          <t>—</t>
        </is>
      </c>
      <c r="H37" s="39" t="inlineStr">
        <is>
          <t>—</t>
        </is>
      </c>
      <c r="I37" s="40" t="n"/>
      <c r="J37" s="290" t="n"/>
      <c r="K37" s="28" t="inlineStr">
        <is>
          <t>46 - Grove Park</t>
        </is>
      </c>
      <c r="L37" s="29" t="inlineStr">
        <is>
          <t>2BD</t>
        </is>
      </c>
      <c r="M37" s="291" t="n">
        <v>1450</v>
      </c>
      <c r="N37" s="290" t="n"/>
      <c r="O37" s="36" t="inlineStr">
        <is>
          <t>57 - Pirates Bend</t>
        </is>
      </c>
      <c r="P37" s="37" t="inlineStr">
        <is>
          <t>4BD</t>
        </is>
      </c>
      <c r="R37" s="296" t="n"/>
    </row>
    <row r="38" ht="21.75" customFormat="1" customHeight="1" s="3">
      <c r="A38" s="31" t="inlineStr">
        <is>
          <t>2</t>
        </is>
      </c>
      <c r="B38" s="32" t="inlineStr">
        <is>
          <t>Midtown</t>
        </is>
      </c>
      <c r="C38" s="33" t="inlineStr">
        <is>
          <t>—</t>
        </is>
      </c>
      <c r="D38" s="292" t="n">
        <v>1612</v>
      </c>
      <c r="E38" s="33" t="inlineStr">
        <is>
          <t>—</t>
        </is>
      </c>
      <c r="F38" s="33" t="inlineStr">
        <is>
          <t>—</t>
        </is>
      </c>
      <c r="G38" s="33" t="inlineStr">
        <is>
          <t>—</t>
        </is>
      </c>
      <c r="H38" s="33" t="inlineStr">
        <is>
          <t>—</t>
        </is>
      </c>
      <c r="I38" s="35" t="n"/>
      <c r="J38" s="290" t="n"/>
      <c r="K38" s="36" t="inlineStr">
        <is>
          <t>46 - Grove Park</t>
        </is>
      </c>
      <c r="L38" s="37" t="inlineStr">
        <is>
          <t>3BD</t>
        </is>
      </c>
      <c r="M38" s="291" t="n">
        <v>1700</v>
      </c>
      <c r="N38" s="290" t="n"/>
      <c r="O38" s="28" t="inlineStr">
        <is>
          <t>6 - Anaheim Gardens</t>
        </is>
      </c>
      <c r="P38" s="29" t="inlineStr">
        <is>
          <t>1BD</t>
        </is>
      </c>
      <c r="R38" s="296" t="n"/>
    </row>
    <row r="39" ht="21.75" customFormat="1" customHeight="1" s="3">
      <c r="A39" s="31" t="inlineStr">
        <is>
          <t>34</t>
        </is>
      </c>
      <c r="B39" s="38" t="inlineStr">
        <is>
          <t>Pacific Pointe</t>
        </is>
      </c>
      <c r="C39" s="39" t="inlineStr">
        <is>
          <t>—</t>
        </is>
      </c>
      <c r="D39" s="292" t="n">
        <v>1252</v>
      </c>
      <c r="E39" s="292" t="n">
        <v>1374</v>
      </c>
      <c r="F39" s="39" t="inlineStr">
        <is>
          <t>—</t>
        </is>
      </c>
      <c r="G39" s="39" t="inlineStr">
        <is>
          <t>—</t>
        </is>
      </c>
      <c r="H39" s="39" t="inlineStr">
        <is>
          <t>—</t>
        </is>
      </c>
      <c r="I39" s="40" t="n"/>
      <c r="J39" s="290" t="n"/>
      <c r="K39" s="36" t="inlineStr">
        <is>
          <t>60 - La Promesa</t>
        </is>
      </c>
      <c r="L39" s="37" t="inlineStr">
        <is>
          <t>2BD</t>
        </is>
      </c>
      <c r="M39" s="291" t="n">
        <v>1402</v>
      </c>
      <c r="N39" s="290" t="n"/>
      <c r="O39" s="36" t="inlineStr">
        <is>
          <t>6 - Anaheim Gardens</t>
        </is>
      </c>
      <c r="P39" s="37" t="inlineStr">
        <is>
          <t>2BD</t>
        </is>
      </c>
      <c r="R39" s="296" t="n"/>
    </row>
    <row r="40" ht="21.75" customFormat="1" customHeight="1" s="3">
      <c r="A40" s="31" t="inlineStr">
        <is>
          <t>28</t>
        </is>
      </c>
      <c r="B40" s="32" t="inlineStr">
        <is>
          <t>Granite Ridge</t>
        </is>
      </c>
      <c r="C40" s="33" t="inlineStr">
        <is>
          <t>—</t>
        </is>
      </c>
      <c r="D40" s="292" t="n">
        <v>1212</v>
      </c>
      <c r="E40" s="292" t="n">
        <v>1383</v>
      </c>
      <c r="F40" s="33" t="inlineStr">
        <is>
          <t>—</t>
        </is>
      </c>
      <c r="G40" s="33" t="inlineStr">
        <is>
          <t>—</t>
        </is>
      </c>
      <c r="H40" s="33" t="inlineStr">
        <is>
          <t>—</t>
        </is>
      </c>
      <c r="I40" s="35" t="n"/>
      <c r="J40" s="290" t="n"/>
      <c r="K40" s="28" t="inlineStr">
        <is>
          <t>60 - La Promesa</t>
        </is>
      </c>
      <c r="L40" s="29" t="inlineStr">
        <is>
          <t>3BD</t>
        </is>
      </c>
      <c r="M40" s="291" t="n">
        <v>1679</v>
      </c>
      <c r="N40" s="290" t="n"/>
      <c r="O40" s="28" t="inlineStr">
        <is>
          <t>6 - Anaheim Gardens</t>
        </is>
      </c>
      <c r="P40" s="29" t="inlineStr">
        <is>
          <t>3BD</t>
        </is>
      </c>
      <c r="R40" s="296" t="n"/>
    </row>
    <row r="41" ht="21.75" customFormat="1" customHeight="1" s="3">
      <c r="A41" s="31" t="inlineStr">
        <is>
          <t>25</t>
        </is>
      </c>
      <c r="B41" s="38" t="inlineStr">
        <is>
          <t>Columbia</t>
        </is>
      </c>
      <c r="C41" s="39" t="inlineStr">
        <is>
          <t>—</t>
        </is>
      </c>
      <c r="D41" s="39" t="inlineStr">
        <is>
          <t>—</t>
        </is>
      </c>
      <c r="E41" s="292" t="n">
        <v>1364</v>
      </c>
      <c r="F41" s="292" t="n">
        <v>1577.5</v>
      </c>
      <c r="G41" s="292" t="n">
        <v>1731</v>
      </c>
      <c r="H41" s="39" t="inlineStr">
        <is>
          <t>—</t>
        </is>
      </c>
      <c r="I41" s="40" t="n"/>
      <c r="J41" s="290" t="n"/>
      <c r="K41" s="36" t="inlineStr">
        <is>
          <t>3 - Wilmington</t>
        </is>
      </c>
      <c r="L41" s="37" t="inlineStr">
        <is>
          <t>1BD</t>
        </is>
      </c>
      <c r="M41" s="291" t="n">
        <v>1221</v>
      </c>
      <c r="N41" s="290" t="n"/>
      <c r="O41" s="36" t="inlineStr">
        <is>
          <t>11 - Fairfax</t>
        </is>
      </c>
      <c r="P41" s="37" t="inlineStr">
        <is>
          <t>1BD</t>
        </is>
      </c>
      <c r="R41" s="296" t="n"/>
    </row>
    <row r="42" ht="21.75" customFormat="1" customHeight="1" s="3">
      <c r="A42" s="31" t="inlineStr">
        <is>
          <t>26</t>
        </is>
      </c>
      <c r="B42" s="32" t="inlineStr">
        <is>
          <t>Forest View</t>
        </is>
      </c>
      <c r="C42" s="33" t="inlineStr">
        <is>
          <t>—</t>
        </is>
      </c>
      <c r="D42" s="292" t="n">
        <v>723.88</v>
      </c>
      <c r="E42" s="292" t="n">
        <v>855.17</v>
      </c>
      <c r="F42" s="33" t="inlineStr">
        <is>
          <t>—</t>
        </is>
      </c>
      <c r="G42" s="33" t="inlineStr">
        <is>
          <t>—</t>
        </is>
      </c>
      <c r="H42" s="33" t="inlineStr">
        <is>
          <t>—</t>
        </is>
      </c>
      <c r="I42" s="35" t="n"/>
      <c r="J42" s="290" t="n"/>
      <c r="K42" s="28" t="inlineStr">
        <is>
          <t>3 - Wilmington</t>
        </is>
      </c>
      <c r="L42" s="29" t="inlineStr">
        <is>
          <t>2BD</t>
        </is>
      </c>
      <c r="M42" s="291" t="n">
        <v>1563</v>
      </c>
      <c r="N42" s="290" t="n"/>
      <c r="O42" s="28" t="inlineStr">
        <is>
          <t>31 - Urban</t>
        </is>
      </c>
      <c r="P42" s="29" t="inlineStr">
        <is>
          <t>0BD</t>
        </is>
      </c>
      <c r="R42" s="296" t="n"/>
    </row>
    <row r="43" ht="21.75" customFormat="1" customHeight="1" s="3">
      <c r="A43" s="31" t="inlineStr">
        <is>
          <t>24</t>
        </is>
      </c>
      <c r="B43" s="38" t="inlineStr">
        <is>
          <t>Oak Hills</t>
        </is>
      </c>
      <c r="C43" s="39" t="inlineStr">
        <is>
          <t>—</t>
        </is>
      </c>
      <c r="D43" s="39" t="inlineStr">
        <is>
          <t>—</t>
        </is>
      </c>
      <c r="E43" s="292" t="n">
        <v>1308</v>
      </c>
      <c r="F43" s="292" t="n">
        <v>1526.47</v>
      </c>
      <c r="G43" s="39" t="inlineStr">
        <is>
          <t>—</t>
        </is>
      </c>
      <c r="H43" s="39" t="inlineStr">
        <is>
          <t>—</t>
        </is>
      </c>
      <c r="I43" s="40" t="n"/>
      <c r="J43" s="290" t="n"/>
      <c r="K43" s="36" t="inlineStr">
        <is>
          <t>3 - Wilmington</t>
        </is>
      </c>
      <c r="L43" s="37" t="inlineStr">
        <is>
          <t>3BD</t>
        </is>
      </c>
      <c r="M43" s="291" t="n">
        <v>1820</v>
      </c>
      <c r="N43" s="290" t="n"/>
      <c r="O43" s="36" t="inlineStr">
        <is>
          <t>31 - Urban</t>
        </is>
      </c>
      <c r="P43" s="37" t="inlineStr">
        <is>
          <t>2BD</t>
        </is>
      </c>
      <c r="R43" s="296" t="n"/>
    </row>
    <row r="44" ht="21.75" customFormat="1" customHeight="1" s="3">
      <c r="A44" s="31" t="inlineStr">
        <is>
          <t>58</t>
        </is>
      </c>
      <c r="B44" s="32" t="inlineStr">
        <is>
          <t>River Garden</t>
        </is>
      </c>
      <c r="C44" s="33" t="inlineStr">
        <is>
          <t>—</t>
        </is>
      </c>
      <c r="D44" s="33" t="inlineStr">
        <is>
          <t>—</t>
        </is>
      </c>
      <c r="E44" s="292" t="n">
        <v>1140</v>
      </c>
      <c r="F44" s="292" t="n">
        <v>1317</v>
      </c>
      <c r="G44" s="292" t="n">
        <v>1470</v>
      </c>
      <c r="H44" s="292" t="n">
        <v>1784</v>
      </c>
      <c r="I44" s="35" t="n"/>
      <c r="J44" s="290" t="n"/>
      <c r="K44" s="28" t="inlineStr">
        <is>
          <t>3 - Wilmington</t>
        </is>
      </c>
      <c r="L44" s="29" t="inlineStr">
        <is>
          <t>4BD</t>
        </is>
      </c>
      <c r="M44" s="291" t="n">
        <v>2128</v>
      </c>
      <c r="N44" s="290" t="n"/>
      <c r="O44" s="28" t="inlineStr">
        <is>
          <t>2 - Midtown</t>
        </is>
      </c>
      <c r="P44" s="29" t="inlineStr">
        <is>
          <t>1BD</t>
        </is>
      </c>
      <c r="R44" s="296" t="n"/>
    </row>
    <row r="45" ht="21.75" customFormat="1" customHeight="1" s="3">
      <c r="A45" s="31" t="inlineStr">
        <is>
          <t>36</t>
        </is>
      </c>
      <c r="B45" s="38" t="inlineStr">
        <is>
          <t>Silver Springs</t>
        </is>
      </c>
      <c r="C45" s="39" t="inlineStr">
        <is>
          <t>—</t>
        </is>
      </c>
      <c r="D45" s="292" t="n">
        <v>970</v>
      </c>
      <c r="E45" s="292" t="n">
        <v>1185</v>
      </c>
      <c r="F45" s="292" t="n">
        <v>1400</v>
      </c>
      <c r="G45" s="292" t="n">
        <v>1695</v>
      </c>
      <c r="H45" s="39" t="inlineStr">
        <is>
          <t>—</t>
        </is>
      </c>
      <c r="I45" s="40" t="n"/>
      <c r="J45" s="290" t="n"/>
      <c r="K45" s="36" t="inlineStr">
        <is>
          <t>19 - Gates</t>
        </is>
      </c>
      <c r="L45" s="37" t="inlineStr">
        <is>
          <t>1BD</t>
        </is>
      </c>
      <c r="M45" s="291" t="n">
        <v>1000</v>
      </c>
      <c r="N45" s="290" t="n"/>
      <c r="O45" s="36" t="inlineStr">
        <is>
          <t>34 - Pacific Pointe</t>
        </is>
      </c>
      <c r="P45" s="37" t="inlineStr">
        <is>
          <t>1BD</t>
        </is>
      </c>
      <c r="R45" s="296" t="n"/>
    </row>
    <row r="46" ht="21.75" customFormat="1" customHeight="1" s="3">
      <c r="A46" s="31" t="inlineStr">
        <is>
          <t>44</t>
        </is>
      </c>
      <c r="B46" s="32" t="inlineStr">
        <is>
          <t>Thomasville</t>
        </is>
      </c>
      <c r="C46" s="33" t="inlineStr">
        <is>
          <t>—</t>
        </is>
      </c>
      <c r="D46" s="292" t="n">
        <v>946</v>
      </c>
      <c r="E46" s="292" t="n">
        <v>1054</v>
      </c>
      <c r="F46" s="292" t="n">
        <v>1328</v>
      </c>
      <c r="G46" s="292" t="n">
        <v>1425</v>
      </c>
      <c r="H46" s="33" t="inlineStr">
        <is>
          <t>—</t>
        </is>
      </c>
      <c r="I46" s="35" t="n"/>
      <c r="J46" s="290" t="n"/>
      <c r="K46" s="28" t="inlineStr">
        <is>
          <t>19 - Gates</t>
        </is>
      </c>
      <c r="L46" s="29" t="inlineStr">
        <is>
          <t>2BD</t>
        </is>
      </c>
      <c r="M46" s="291" t="n">
        <v>1150</v>
      </c>
      <c r="N46" s="290" t="n"/>
      <c r="O46" s="28" t="inlineStr">
        <is>
          <t>34 - Pacific Pointe</t>
        </is>
      </c>
      <c r="P46" s="29" t="inlineStr">
        <is>
          <t>2BD</t>
        </is>
      </c>
      <c r="R46" s="296" t="n"/>
    </row>
    <row r="47" ht="21.75" customFormat="1" customHeight="1" s="3">
      <c r="A47" s="31" t="inlineStr">
        <is>
          <t>63</t>
        </is>
      </c>
      <c r="B47" s="38" t="inlineStr">
        <is>
          <t>Crossroads</t>
        </is>
      </c>
      <c r="C47" s="39" t="inlineStr">
        <is>
          <t>—</t>
        </is>
      </c>
      <c r="D47" s="39" t="inlineStr">
        <is>
          <t>—</t>
        </is>
      </c>
      <c r="E47" s="292" t="n">
        <v>1388</v>
      </c>
      <c r="F47" s="292" t="n">
        <v>1592</v>
      </c>
      <c r="G47" s="39" t="inlineStr">
        <is>
          <t>—</t>
        </is>
      </c>
      <c r="H47" s="39" t="inlineStr">
        <is>
          <t>—</t>
        </is>
      </c>
      <c r="I47" s="40" t="n"/>
      <c r="J47" s="290" t="n"/>
      <c r="K47" s="36" t="inlineStr">
        <is>
          <t>19 - Gates</t>
        </is>
      </c>
      <c r="L47" s="37" t="inlineStr">
        <is>
          <t>3BD</t>
        </is>
      </c>
      <c r="M47" s="291" t="n">
        <v>1300</v>
      </c>
      <c r="N47" s="290" t="n"/>
      <c r="O47" s="36" t="inlineStr">
        <is>
          <t>28 - Granite Ridge</t>
        </is>
      </c>
      <c r="P47" s="37" t="inlineStr">
        <is>
          <t>1BD</t>
        </is>
      </c>
      <c r="R47" s="296" t="n"/>
    </row>
    <row r="48" ht="21.75" customFormat="1" customHeight="1" s="3">
      <c r="A48" s="55" t="inlineStr">
        <is>
          <t>Total: 42 properties  |  All values are live formula links — change rent on building sheet to update here</t>
        </is>
      </c>
      <c r="J48" s="290" t="n"/>
      <c r="M48" s="291" t="n">
        <v>1223</v>
      </c>
      <c r="N48" s="290" t="n"/>
      <c r="O48" s="28" t="inlineStr">
        <is>
          <t>28 - Granite Ridge</t>
        </is>
      </c>
      <c r="P48" s="29" t="inlineStr">
        <is>
          <t>2BD</t>
        </is>
      </c>
      <c r="R48" s="296" t="n"/>
    </row>
    <row r="49" ht="15.75" customFormat="1" customHeight="1" s="3"/>
    <row r="50" ht="15" customFormat="1" customHeight="1" s="3"/>
    <row r="51" ht="15" customFormat="1" customHeight="1" s="3"/>
    <row r="52" ht="15" customFormat="1" customHeight="1" s="3"/>
    <row r="53" ht="15" customFormat="1" customHeight="1" s="3"/>
    <row r="54" ht="15" customFormat="1" customHeight="1" s="3"/>
    <row r="55" ht="15" customFormat="1" customHeight="1" s="3"/>
  </sheetData>
  <mergeCells count="5">
    <mergeCell ref="B25:I25"/>
    <mergeCell ref="A5:I5"/>
    <mergeCell ref="K5:U5"/>
    <mergeCell ref="A4:I4"/>
    <mergeCell ref="A48:I4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1" workbookViewId="0">
      <pane ySplit="1" topLeftCell="A8" activePane="bottomLeft" state="frozen"/>
      <selection pane="bottomLeft" activeCell="R14" sqref="R14"/>
    </sheetView>
  </sheetViews>
  <sheetFormatPr baseColWidth="8" defaultColWidth="9.140625" defaultRowHeight="21.75" customHeight="1"/>
  <cols>
    <col width="6.8515625" customWidth="1" style="3" min="1" max="1"/>
    <col width="13.8515625" customWidth="1" style="3" min="2" max="2"/>
    <col width="43.421875" customWidth="1" style="3" min="3" max="3"/>
    <col width="2.8515625" customWidth="1" style="3" min="4" max="4"/>
    <col width="18.421875" customWidth="1" style="3" min="5" max="5"/>
    <col width="10.7109375" customWidth="1" style="3" min="6" max="6"/>
    <col width="2.00390625" customWidth="1" style="3" min="7" max="7"/>
    <col width="4.8515625" customWidth="1" style="3" min="8" max="8"/>
    <col width="6.57421875" customWidth="1" style="3" min="9" max="9"/>
    <col hidden="1" width="6.8515625" customWidth="1" style="3" min="10" max="11"/>
    <col hidden="1" width="5.28125" customWidth="1" style="3" min="12" max="12"/>
    <col width="15.28125" customWidth="1" style="160" min="13" max="13"/>
    <col hidden="1" width="16.57421875" customWidth="1" style="3" min="14" max="15"/>
    <col hidden="1" width="11.140625" customWidth="1" style="3" min="16" max="16"/>
    <col width="14.7109375" customWidth="1" style="160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65.7109375" customWidth="1" style="3" min="27" max="27"/>
    <col width="53.421875" customWidth="1" style="3" min="28" max="28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7" t="n"/>
      <c r="N1" s="4" t="n"/>
      <c r="O1" s="4" t="n"/>
      <c r="P1" s="4" t="n"/>
      <c r="Q1" s="57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7" t="n"/>
      <c r="N2" s="4" t="n"/>
      <c r="O2" s="4" t="n"/>
      <c r="P2" s="4" t="n"/>
      <c r="Q2" s="57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A4" s="58" t="inlineStr">
        <is>
          <t>RENT COMPARABLES ANALYSIS  —  BOCA CIEGA  |  ST. PETERSBURG, FL 33711</t>
        </is>
      </c>
      <c r="B4" s="294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59" t="inlineStr">
        <is>
          <t xml:space="preserve">21 - Boca Ciega  |  109 Units  |  LIHTC / Section 8  |  2BD &amp; 3BD  </t>
        </is>
      </c>
      <c r="AA4" s="294" t="n"/>
      <c r="AB4" s="295" t="n"/>
    </row>
    <row r="5" ht="18" customFormat="1" customHeight="1" s="3">
      <c r="A5" s="60" t="inlineStr">
        <is>
          <t>3401 37th Street South, St. Petersburg, FL 33711  |  Pinellas County  |  Tampa-St. Petersburg MSA  |  FY2026 FMR: 2BD $2,170 / 3BD $2,780</t>
        </is>
      </c>
      <c r="B5" s="29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A6" s="61" t="inlineStr">
        <is>
          <t>Data as of April 30, 2026  |  Sources: Apartments.com, HUD FMR Database, HUD Multifamily Assisted Housing, Apartment Corp Records</t>
        </is>
      </c>
      <c r="B6" s="294" t="n"/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25.5" customFormat="1" customHeight="1" s="3">
      <c r="A7" s="6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294" t="n"/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25.5" customFormat="1" customHeight="1" s="3">
      <c r="A8" s="63" t="inlineStr">
        <is>
          <t>Rank</t>
        </is>
      </c>
      <c r="B8" s="63" t="inlineStr">
        <is>
          <t>Type</t>
        </is>
      </c>
      <c r="C8" s="63" t="inlineStr">
        <is>
          <t>Property Name</t>
        </is>
      </c>
      <c r="D8" s="295" t="n"/>
      <c r="E8" s="63" t="inlineStr">
        <is>
          <t>Address</t>
        </is>
      </c>
      <c r="F8" s="63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5" t="inlineStr">
        <is>
          <t>2BD - 
Actual</t>
        </is>
      </c>
      <c r="N8" s="66" t="inlineStr">
        <is>
          <t>3BD
50% AMI</t>
        </is>
      </c>
      <c r="O8" s="66" t="inlineStr">
        <is>
          <t>3BD
60% AMI</t>
        </is>
      </c>
      <c r="P8" s="66" t="inlineStr">
        <is>
          <t>3BD
FMR</t>
        </is>
      </c>
      <c r="Q8" s="65" t="inlineStr">
        <is>
          <t>3BD - Actual</t>
        </is>
      </c>
      <c r="R8" s="26" t="inlineStr">
        <is>
          <t>Units</t>
        </is>
      </c>
      <c r="S8" s="26" t="inlineStr">
        <is>
          <t>Yr Built</t>
        </is>
      </c>
      <c r="T8" s="26" t="inlineStr">
        <is>
          <t>Yr Diff</t>
        </is>
      </c>
      <c r="U8" s="26" t="inlineStr">
        <is>
          <t>Utils
Incl.</t>
        </is>
      </c>
      <c r="V8" s="26" t="inlineStr">
        <is>
          <t>Pet
Friendly</t>
        </is>
      </c>
      <c r="W8" s="26" t="inlineStr">
        <is>
          <t>Gated</t>
        </is>
      </c>
      <c r="X8" s="26" t="inlineStr">
        <is>
          <t>Pool</t>
        </is>
      </c>
      <c r="Y8" s="26" t="inlineStr">
        <is>
          <t>W/D
In-Unit</t>
        </is>
      </c>
      <c r="Z8" s="65" t="inlineStr">
        <is>
          <t>Competition Level</t>
        </is>
      </c>
      <c r="AA8" s="67" t="inlineStr">
        <is>
          <t>Notes / Why Competitive</t>
        </is>
      </c>
      <c r="AB8" s="67" t="inlineStr">
        <is>
          <t>Data Source</t>
        </is>
      </c>
    </row>
    <row r="9" ht="21.75" customFormat="1" customHeight="1" s="3">
      <c r="A9" s="68" t="inlineStr">
        <is>
          <t>★</t>
        </is>
      </c>
      <c r="B9" s="69" t="inlineStr">
        <is>
          <t>SUBJECT</t>
        </is>
      </c>
      <c r="C9" s="70" t="inlineStr">
        <is>
          <t>Boca Ciega (SUBJECT)</t>
        </is>
      </c>
      <c r="D9" s="295" t="n"/>
      <c r="E9" s="71" t="inlineStr">
        <is>
          <t>3401 37th Street South</t>
        </is>
      </c>
      <c r="F9" s="71" t="inlineStr">
        <is>
          <t>St. Petersburg</t>
        </is>
      </c>
      <c r="G9" s="71" t="inlineStr">
        <is>
          <t>FL</t>
        </is>
      </c>
      <c r="H9" s="71" t="inlineStr">
        <is>
          <t>33711</t>
        </is>
      </c>
      <c r="I9" s="71" t="inlineStr">
        <is>
          <t>0.0 mi</t>
        </is>
      </c>
      <c r="J9" s="71" t="inlineStr">
        <is>
          <t>$3,912</t>
        </is>
      </c>
      <c r="K9" s="71" t="inlineStr">
        <is>
          <t>$4,695</t>
        </is>
      </c>
      <c r="L9" s="71" t="inlineStr">
        <is>
          <t>$2,170</t>
        </is>
      </c>
      <c r="M9" s="297" t="n">
        <v>1736</v>
      </c>
      <c r="N9" s="73" t="inlineStr">
        <is>
          <t>$4,345</t>
        </is>
      </c>
      <c r="O9" s="73" t="inlineStr">
        <is>
          <t>$5,215</t>
        </is>
      </c>
      <c r="P9" s="73" t="inlineStr">
        <is>
          <t>$2,780</t>
        </is>
      </c>
      <c r="Q9" s="297" t="n">
        <v>2376</v>
      </c>
      <c r="R9" s="71" t="n">
        <v>109</v>
      </c>
      <c r="S9" s="71" t="n">
        <v>2015</v>
      </c>
      <c r="T9" s="71" t="n">
        <v>0</v>
      </c>
      <c r="U9" s="74" t="inlineStr">
        <is>
          <t>Yes</t>
        </is>
      </c>
      <c r="V9" s="75" t="inlineStr">
        <is>
          <t>No</t>
        </is>
      </c>
      <c r="W9" s="75" t="inlineStr">
        <is>
          <t>No</t>
        </is>
      </c>
      <c r="X9" s="75" t="inlineStr">
        <is>
          <t>No</t>
        </is>
      </c>
      <c r="Y9" s="75" t="inlineStr">
        <is>
          <t>No</t>
        </is>
      </c>
      <c r="Z9" s="69" t="inlineStr">
        <is>
          <t>SUBJECT</t>
        </is>
      </c>
      <c r="AA9" s="76" t="inlineStr">
        <is>
          <t>109 units | Layered HUD/LIHTC. Year built: 1974. Subject property.</t>
        </is>
      </c>
      <c r="AB9" s="77" t="inlineStr">
        <is>
          <t>Apartment Corp Records</t>
        </is>
      </c>
    </row>
    <row r="10" ht="21.75" customFormat="1" customHeight="1" s="3">
      <c r="A10" s="78" t="inlineStr">
        <is>
          <t>1</t>
        </is>
      </c>
      <c r="B10" s="79" t="inlineStr">
        <is>
          <t>AFFORDABLE</t>
        </is>
      </c>
      <c r="C10" s="80" t="inlineStr">
        <is>
          <t>Clearwater Gardens Apartments</t>
        </is>
      </c>
      <c r="D10" s="295" t="n"/>
      <c r="E10" s="81" t="inlineStr">
        <is>
          <t>1501 N Greenwood Ave</t>
        </is>
      </c>
      <c r="F10" s="81" t="inlineStr">
        <is>
          <t>Clearwater</t>
        </is>
      </c>
      <c r="G10" s="81" t="inlineStr">
        <is>
          <t>FL</t>
        </is>
      </c>
      <c r="H10" s="81" t="inlineStr">
        <is>
          <t>33755</t>
        </is>
      </c>
      <c r="I10" s="81" t="inlineStr">
        <is>
          <t>14.2 mi</t>
        </is>
      </c>
      <c r="J10" s="81" t="inlineStr">
        <is>
          <t>$3,912</t>
        </is>
      </c>
      <c r="K10" s="81" t="inlineStr">
        <is>
          <t>$4,695</t>
        </is>
      </c>
      <c r="L10" s="81" t="inlineStr">
        <is>
          <t>$2,170</t>
        </is>
      </c>
      <c r="M10" s="78" t="inlineStr">
        <is>
          <t>Not Listed</t>
        </is>
      </c>
      <c r="N10" s="81" t="inlineStr">
        <is>
          <t>$4,345</t>
        </is>
      </c>
      <c r="O10" s="81" t="inlineStr">
        <is>
          <t>$5,215</t>
        </is>
      </c>
      <c r="P10" s="81" t="inlineStr">
        <is>
          <t>$2,780</t>
        </is>
      </c>
      <c r="Q10" s="78" t="inlineStr">
        <is>
          <t>Not Listed</t>
        </is>
      </c>
      <c r="R10" s="81" t="n">
        <v>100</v>
      </c>
      <c r="S10" s="81" t="n">
        <v>1974</v>
      </c>
      <c r="T10" s="81" t="n">
        <v>0</v>
      </c>
      <c r="U10" s="82" t="inlineStr">
        <is>
          <t>Yes</t>
        </is>
      </c>
      <c r="V10" s="83" t="inlineStr">
        <is>
          <t>No</t>
        </is>
      </c>
      <c r="W10" s="83" t="inlineStr">
        <is>
          <t>No</t>
        </is>
      </c>
      <c r="X10" s="83" t="inlineStr">
        <is>
          <t>No</t>
        </is>
      </c>
      <c r="Y10" s="83" t="inlineStr">
        <is>
          <t>No</t>
        </is>
      </c>
      <c r="Z10" s="84" t="inlineStr">
        <is>
          <t>HIGH</t>
        </is>
      </c>
      <c r="AA10" s="85" t="inlineStr">
        <is>
          <t>Section 8/HUD, 1974 vintage, 100 units, 14.2 mi.</t>
        </is>
      </c>
      <c r="AB10" s="86" t="inlineStr">
        <is>
          <t>HUD Multifamily Assisted Housing</t>
        </is>
      </c>
    </row>
    <row r="11" ht="21.75" customFormat="1" customHeight="1" s="3">
      <c r="A11" s="78" t="inlineStr">
        <is>
          <t>2</t>
        </is>
      </c>
      <c r="B11" s="79" t="inlineStr">
        <is>
          <t>AFFORDABLE</t>
        </is>
      </c>
      <c r="C11" s="80" t="inlineStr">
        <is>
          <t>Pinellas Park Manor</t>
        </is>
      </c>
      <c r="D11" s="295" t="n"/>
      <c r="E11" s="81" t="inlineStr">
        <is>
          <t>6200 Park Blvd</t>
        </is>
      </c>
      <c r="F11" s="81" t="inlineStr">
        <is>
          <t>Pinellas Park</t>
        </is>
      </c>
      <c r="G11" s="81" t="inlineStr">
        <is>
          <t>FL</t>
        </is>
      </c>
      <c r="H11" s="81" t="inlineStr">
        <is>
          <t>33781</t>
        </is>
      </c>
      <c r="I11" s="81" t="inlineStr">
        <is>
          <t>7.1 mi</t>
        </is>
      </c>
      <c r="J11" s="81" t="inlineStr">
        <is>
          <t>$3,912</t>
        </is>
      </c>
      <c r="K11" s="81" t="inlineStr">
        <is>
          <t>$4,695</t>
        </is>
      </c>
      <c r="L11" s="81" t="inlineStr">
        <is>
          <t>$2,170</t>
        </is>
      </c>
      <c r="M11" s="78" t="inlineStr">
        <is>
          <t>Not Listed</t>
        </is>
      </c>
      <c r="N11" s="81" t="inlineStr">
        <is>
          <t>$4,345</t>
        </is>
      </c>
      <c r="O11" s="81" t="inlineStr">
        <is>
          <t>$5,215</t>
        </is>
      </c>
      <c r="P11" s="81" t="inlineStr">
        <is>
          <t>$2,780</t>
        </is>
      </c>
      <c r="Q11" s="78" t="inlineStr">
        <is>
          <t>Not Listed</t>
        </is>
      </c>
      <c r="R11" s="81" t="n">
        <v>112</v>
      </c>
      <c r="S11" s="81" t="n">
        <v>1975</v>
      </c>
      <c r="T11" s="81" t="n">
        <v>1</v>
      </c>
      <c r="U11" s="82" t="inlineStr">
        <is>
          <t>Yes</t>
        </is>
      </c>
      <c r="V11" s="83" t="inlineStr">
        <is>
          <t>No</t>
        </is>
      </c>
      <c r="W11" s="83" t="inlineStr">
        <is>
          <t>No</t>
        </is>
      </c>
      <c r="X11" s="83" t="inlineStr">
        <is>
          <t>No</t>
        </is>
      </c>
      <c r="Y11" s="83" t="inlineStr">
        <is>
          <t>No</t>
        </is>
      </c>
      <c r="Z11" s="84" t="inlineStr">
        <is>
          <t>HIGH</t>
        </is>
      </c>
      <c r="AA11" s="85" t="inlineStr">
        <is>
          <t>Section 8/HUD, 1975 vintage, 112 units, 7.1 mi.</t>
        </is>
      </c>
      <c r="AB11" s="86" t="inlineStr">
        <is>
          <t>HUD Multifamily Assisted Housing</t>
        </is>
      </c>
    </row>
    <row r="12" ht="21.75" customFormat="1" customHeight="1" s="3">
      <c r="A12" s="87" t="inlineStr">
        <is>
          <t>3</t>
        </is>
      </c>
      <c r="B12" s="88" t="inlineStr">
        <is>
          <t>AFFORDABLE</t>
        </is>
      </c>
      <c r="C12" s="89" t="inlineStr">
        <is>
          <t>Tarpon Springs Housing Authority</t>
        </is>
      </c>
      <c r="D12" s="298" t="n"/>
      <c r="E12" s="91" t="inlineStr">
        <is>
          <t>200 S Walton Ave</t>
        </is>
      </c>
      <c r="F12" s="91" t="inlineStr">
        <is>
          <t>Tarpon Springs</t>
        </is>
      </c>
      <c r="G12" s="91" t="inlineStr">
        <is>
          <t>FL</t>
        </is>
      </c>
      <c r="H12" s="91" t="inlineStr">
        <is>
          <t>34689</t>
        </is>
      </c>
      <c r="I12" s="91" t="inlineStr">
        <is>
          <t>22.5 mi</t>
        </is>
      </c>
      <c r="J12" s="91" t="inlineStr">
        <is>
          <t>$3,912</t>
        </is>
      </c>
      <c r="K12" s="91" t="inlineStr">
        <is>
          <t>$4,695</t>
        </is>
      </c>
      <c r="L12" s="91" t="inlineStr">
        <is>
          <t>$2,170</t>
        </is>
      </c>
      <c r="M12" s="87" t="inlineStr">
        <is>
          <t>Not Listed</t>
        </is>
      </c>
      <c r="N12" s="91" t="inlineStr">
        <is>
          <t>$4,345</t>
        </is>
      </c>
      <c r="O12" s="91" t="inlineStr">
        <is>
          <t>$5,215</t>
        </is>
      </c>
      <c r="P12" s="91" t="inlineStr">
        <is>
          <t>$2,780</t>
        </is>
      </c>
      <c r="Q12" s="87" t="inlineStr">
        <is>
          <t>Not Listed</t>
        </is>
      </c>
      <c r="R12" s="91" t="n">
        <v>96</v>
      </c>
      <c r="S12" s="91" t="n">
        <v>1972</v>
      </c>
      <c r="T12" s="91" t="n">
        <v>2</v>
      </c>
      <c r="U12" s="92" t="inlineStr">
        <is>
          <t>Yes</t>
        </is>
      </c>
      <c r="V12" s="93" t="inlineStr">
        <is>
          <t>No</t>
        </is>
      </c>
      <c r="W12" s="93" t="inlineStr">
        <is>
          <t>No</t>
        </is>
      </c>
      <c r="X12" s="93" t="inlineStr">
        <is>
          <t>No</t>
        </is>
      </c>
      <c r="Y12" s="93" t="inlineStr">
        <is>
          <t>No</t>
        </is>
      </c>
      <c r="Z12" s="94" t="inlineStr">
        <is>
          <t>MODERATE-HIGH</t>
        </is>
      </c>
      <c r="AA12" s="95" t="inlineStr">
        <is>
          <t>Public Housing/HUD, 1972 vintage, 96 units, 22.5 mi.</t>
        </is>
      </c>
      <c r="AB12" s="96" t="inlineStr">
        <is>
          <t>Tarpon Springs Housing Authority</t>
        </is>
      </c>
    </row>
    <row r="13" ht="24.75" customFormat="1" customHeight="1" s="3">
      <c r="A13" s="97" t="inlineStr">
        <is>
          <t>1</t>
        </is>
      </c>
      <c r="B13" s="98" t="inlineStr">
        <is>
          <t>MARKET RATE</t>
        </is>
      </c>
      <c r="C13" s="99" t="inlineStr">
        <is>
          <t>Addison at Bayfront</t>
        </is>
      </c>
      <c r="D13" s="100" t="inlineStr">
        <is>
          <t>COMPETITION</t>
        </is>
      </c>
      <c r="E13" s="101" t="inlineStr">
        <is>
          <t>2800 1st Ave S</t>
        </is>
      </c>
      <c r="F13" s="102" t="inlineStr">
        <is>
          <t>St. Petersburg</t>
        </is>
      </c>
      <c r="G13" s="102" t="inlineStr">
        <is>
          <t>FL</t>
        </is>
      </c>
      <c r="H13" s="102" t="inlineStr">
        <is>
          <t>33712</t>
        </is>
      </c>
      <c r="I13" s="103" t="inlineStr">
        <is>
          <t>1.2 mi</t>
        </is>
      </c>
      <c r="J13" s="102" t="inlineStr">
        <is>
          <t>N/A</t>
        </is>
      </c>
      <c r="K13" s="102" t="inlineStr">
        <is>
          <t>N/A</t>
        </is>
      </c>
      <c r="L13" s="102" t="inlineStr">
        <is>
          <t>$2,170</t>
        </is>
      </c>
      <c r="M13" s="299" t="n">
        <v>2446</v>
      </c>
      <c r="N13" s="105" t="inlineStr">
        <is>
          <t>N/A</t>
        </is>
      </c>
      <c r="O13" s="105" t="inlineStr">
        <is>
          <t>N/A</t>
        </is>
      </c>
      <c r="P13" s="105" t="inlineStr">
        <is>
          <t>$2,780</t>
        </is>
      </c>
      <c r="Q13" s="299" t="n">
        <v>2947</v>
      </c>
      <c r="R13" s="101" t="n">
        <v>266</v>
      </c>
      <c r="S13" s="101" t="n">
        <v>2020</v>
      </c>
      <c r="T13" s="101" t="n">
        <v>5</v>
      </c>
      <c r="U13" s="106" t="inlineStr">
        <is>
          <t>No</t>
        </is>
      </c>
      <c r="V13" s="107" t="inlineStr">
        <is>
          <t>Yes</t>
        </is>
      </c>
      <c r="W13" s="106" t="inlineStr">
        <is>
          <t>No</t>
        </is>
      </c>
      <c r="X13" s="107" t="inlineStr">
        <is>
          <t>Yes</t>
        </is>
      </c>
      <c r="Y13" s="107" t="inlineStr">
        <is>
          <t>Yes</t>
        </is>
      </c>
      <c r="Z13" s="108" t="inlineStr">
        <is>
          <t>HIGH</t>
        </is>
      </c>
      <c r="AA13" s="109" t="inlineStr">
        <is>
          <t>No income restrictions, 2020 vintage, 266 units, 1.2 mi. 2BD $2,446 / 3BD $2,947.</t>
        </is>
      </c>
      <c r="AB13" s="110" t="inlineStr">
        <is>
          <t>apartments.com/addison-at-bayfront-saint-petersburg-fl/</t>
        </is>
      </c>
    </row>
    <row r="14" ht="26.25" customFormat="1" customHeight="1" s="3">
      <c r="A14" s="111" t="inlineStr">
        <is>
          <t>2</t>
        </is>
      </c>
      <c r="B14" s="112" t="inlineStr">
        <is>
          <t>MARKET RATE</t>
        </is>
      </c>
      <c r="C14" s="113" t="inlineStr">
        <is>
          <t>Marina Walk at One Waterfront</t>
        </is>
      </c>
      <c r="D14" s="300" t="n"/>
      <c r="E14" s="115" t="inlineStr">
        <is>
          <t>101 1st Ave S</t>
        </is>
      </c>
      <c r="F14" s="116" t="inlineStr">
        <is>
          <t>St. Petersburg</t>
        </is>
      </c>
      <c r="G14" s="116" t="inlineStr">
        <is>
          <t>FL</t>
        </is>
      </c>
      <c r="H14" s="116" t="inlineStr">
        <is>
          <t>33701</t>
        </is>
      </c>
      <c r="I14" s="117" t="inlineStr">
        <is>
          <t>2.8 mi</t>
        </is>
      </c>
      <c r="J14" s="116" t="inlineStr">
        <is>
          <t>N/A</t>
        </is>
      </c>
      <c r="K14" s="116" t="inlineStr">
        <is>
          <t>N/A</t>
        </is>
      </c>
      <c r="L14" s="116" t="inlineStr">
        <is>
          <t>$2,170</t>
        </is>
      </c>
      <c r="M14" s="301" t="n">
        <v>2600</v>
      </c>
      <c r="N14" s="119" t="inlineStr">
        <is>
          <t>N/A</t>
        </is>
      </c>
      <c r="O14" s="119" t="inlineStr">
        <is>
          <t>N/A</t>
        </is>
      </c>
      <c r="P14" s="119" t="inlineStr">
        <is>
          <t>$2,780</t>
        </is>
      </c>
      <c r="Q14" s="120" t="inlineStr">
        <is>
          <t>N/A</t>
        </is>
      </c>
      <c r="R14" s="115" t="n">
        <v>163</v>
      </c>
      <c r="S14" s="115" t="n">
        <v>2023</v>
      </c>
      <c r="T14" s="115" t="n">
        <v>8</v>
      </c>
      <c r="U14" s="121" t="inlineStr">
        <is>
          <t>No</t>
        </is>
      </c>
      <c r="V14" s="122" t="inlineStr">
        <is>
          <t>Yes</t>
        </is>
      </c>
      <c r="W14" s="122" t="inlineStr">
        <is>
          <t>Yes</t>
        </is>
      </c>
      <c r="X14" s="122" t="inlineStr">
        <is>
          <t>Yes</t>
        </is>
      </c>
      <c r="Y14" s="122" t="inlineStr">
        <is>
          <t>Yes</t>
        </is>
      </c>
      <c r="Z14" s="123" t="inlineStr">
        <is>
          <t>HIGH</t>
        </is>
      </c>
      <c r="AA14" s="124" t="inlineStr">
        <is>
          <t>No income restrictions, 2023 vintage, 163 units, 2.8 mi. 2BD $2,600.</t>
        </is>
      </c>
      <c r="AB14" s="125" t="inlineStr">
        <is>
          <t>apartments.com/marina-walk-at-one-waterfront-saint-petersburg-fl/</t>
        </is>
      </c>
    </row>
    <row r="15" ht="25.5" customFormat="1" customHeight="1" s="3">
      <c r="A15" s="111" t="inlineStr">
        <is>
          <t>3</t>
        </is>
      </c>
      <c r="B15" s="112" t="inlineStr">
        <is>
          <t>MARKET RATE</t>
        </is>
      </c>
      <c r="C15" s="113" t="inlineStr">
        <is>
          <t>Flagler Pointe</t>
        </is>
      </c>
      <c r="D15" s="300" t="n"/>
      <c r="E15" s="115" t="inlineStr">
        <is>
          <t>3001 Gandy Blvd N</t>
        </is>
      </c>
      <c r="F15" s="116" t="inlineStr">
        <is>
          <t>St. Petersburg</t>
        </is>
      </c>
      <c r="G15" s="116" t="inlineStr">
        <is>
          <t>FL</t>
        </is>
      </c>
      <c r="H15" s="116" t="inlineStr">
        <is>
          <t>33702</t>
        </is>
      </c>
      <c r="I15" s="117" t="inlineStr">
        <is>
          <t>1.9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$2,170</t>
        </is>
      </c>
      <c r="M15" s="301" t="n">
        <v>1890</v>
      </c>
      <c r="N15" s="119" t="inlineStr">
        <is>
          <t>N/A</t>
        </is>
      </c>
      <c r="O15" s="119" t="inlineStr">
        <is>
          <t>N/A</t>
        </is>
      </c>
      <c r="P15" s="119" t="inlineStr">
        <is>
          <t>$2,780</t>
        </is>
      </c>
      <c r="Q15" s="301" t="n">
        <v>2150</v>
      </c>
      <c r="R15" s="115" t="inlineStr">
        <is>
          <t>N/A</t>
        </is>
      </c>
      <c r="S15" s="115" t="n">
        <v>1974</v>
      </c>
      <c r="T15" s="115" t="n">
        <v>0</v>
      </c>
      <c r="U15" s="121" t="inlineStr">
        <is>
          <t>No</t>
        </is>
      </c>
      <c r="V15" s="122" t="inlineStr">
        <is>
          <t>Yes</t>
        </is>
      </c>
      <c r="W15" s="121" t="inlineStr">
        <is>
          <t>No</t>
        </is>
      </c>
      <c r="X15" s="122" t="inlineStr">
        <is>
          <t>Yes</t>
        </is>
      </c>
      <c r="Y15" s="121" t="inlineStr">
        <is>
          <t>No</t>
        </is>
      </c>
      <c r="Z15" s="123" t="inlineStr">
        <is>
          <t>HIGH</t>
        </is>
      </c>
      <c r="AA15" s="124" t="inlineStr">
        <is>
          <t>No income restrictions, 1974 vintage, 1.9 mi. 2BD $1,890 / 3BD $2,150.</t>
        </is>
      </c>
      <c r="AB15" s="125" t="inlineStr">
        <is>
          <t>apartments.com/flagler-pointe-apartments-saint-petersburg-fl/</t>
        </is>
      </c>
    </row>
    <row r="16" ht="26.25" customFormat="1" customHeight="1" s="3">
      <c r="A16" s="111" t="inlineStr">
        <is>
          <t>4</t>
        </is>
      </c>
      <c r="B16" s="112" t="inlineStr">
        <is>
          <t>MARKET RATE</t>
        </is>
      </c>
      <c r="C16" s="113" t="inlineStr">
        <is>
          <t>Sur Club</t>
        </is>
      </c>
      <c r="D16" s="300" t="n"/>
      <c r="E16" s="115" t="inlineStr">
        <is>
          <t>3301 32nd Ave S</t>
        </is>
      </c>
      <c r="F16" s="116" t="inlineStr">
        <is>
          <t>St. Petersburg</t>
        </is>
      </c>
      <c r="G16" s="116" t="inlineStr">
        <is>
          <t>FL</t>
        </is>
      </c>
      <c r="H16" s="116" t="inlineStr">
        <is>
          <t>33712</t>
        </is>
      </c>
      <c r="I16" s="117" t="inlineStr">
        <is>
          <t>1.5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$2,170</t>
        </is>
      </c>
      <c r="M16" s="301" t="n">
        <v>2250</v>
      </c>
      <c r="N16" s="119" t="inlineStr">
        <is>
          <t>N/A</t>
        </is>
      </c>
      <c r="O16" s="119" t="inlineStr">
        <is>
          <t>N/A</t>
        </is>
      </c>
      <c r="P16" s="119" t="inlineStr">
        <is>
          <t>$2,780</t>
        </is>
      </c>
      <c r="Q16" s="120" t="inlineStr">
        <is>
          <t>N/A</t>
        </is>
      </c>
      <c r="R16" s="115" t="n">
        <v>296</v>
      </c>
      <c r="S16" s="115" t="n">
        <v>2021</v>
      </c>
      <c r="T16" s="115" t="n">
        <v>47</v>
      </c>
      <c r="U16" s="121" t="inlineStr">
        <is>
          <t>No</t>
        </is>
      </c>
      <c r="V16" s="122" t="inlineStr">
        <is>
          <t>Yes</t>
        </is>
      </c>
      <c r="W16" s="121" t="inlineStr">
        <is>
          <t>No</t>
        </is>
      </c>
      <c r="X16" s="122" t="inlineStr">
        <is>
          <t>Yes</t>
        </is>
      </c>
      <c r="Y16" s="122" t="inlineStr">
        <is>
          <t>Yes</t>
        </is>
      </c>
      <c r="Z16" s="123" t="inlineStr">
        <is>
          <t>HIGH</t>
        </is>
      </c>
      <c r="AA16" s="124" t="inlineStr">
        <is>
          <t>No income restrictions, 2021 vintage, 296 units, 1.5 mi. 2BD $2,250.</t>
        </is>
      </c>
      <c r="AB16" s="125" t="inlineStr">
        <is>
          <t>apartments.com/sur-club-saint-petersburg-fl/</t>
        </is>
      </c>
    </row>
    <row r="17" ht="29.25" customFormat="1" customHeight="1" s="3">
      <c r="A17" s="111" t="inlineStr">
        <is>
          <t>5</t>
        </is>
      </c>
      <c r="B17" s="112" t="inlineStr">
        <is>
          <t>MARKET RATE</t>
        </is>
      </c>
      <c r="C17" s="113" t="inlineStr">
        <is>
          <t>Lake Maggiore</t>
        </is>
      </c>
      <c r="D17" s="300" t="n"/>
      <c r="E17" s="115" t="inlineStr">
        <is>
          <t>825 32nd Ave S</t>
        </is>
      </c>
      <c r="F17" s="116" t="inlineStr">
        <is>
          <t>St. Petersburg</t>
        </is>
      </c>
      <c r="G17" s="116" t="inlineStr">
        <is>
          <t>FL</t>
        </is>
      </c>
      <c r="H17" s="116" t="inlineStr">
        <is>
          <t>33705</t>
        </is>
      </c>
      <c r="I17" s="117" t="inlineStr">
        <is>
          <t>2.1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$2,170</t>
        </is>
      </c>
      <c r="M17" s="301" t="n">
        <v>2520</v>
      </c>
      <c r="N17" s="119" t="inlineStr">
        <is>
          <t>N/A</t>
        </is>
      </c>
      <c r="O17" s="119" t="inlineStr">
        <is>
          <t>N/A</t>
        </is>
      </c>
      <c r="P17" s="119" t="inlineStr">
        <is>
          <t>$2,780</t>
        </is>
      </c>
      <c r="Q17" s="301" t="n">
        <v>3840</v>
      </c>
      <c r="R17" s="115" t="n">
        <v>330</v>
      </c>
      <c r="S17" s="115" t="n">
        <v>2023</v>
      </c>
      <c r="T17" s="115" t="n">
        <v>8</v>
      </c>
      <c r="U17" s="121" t="inlineStr">
        <is>
          <t>No</t>
        </is>
      </c>
      <c r="V17" s="122" t="inlineStr">
        <is>
          <t>Yes</t>
        </is>
      </c>
      <c r="W17" s="122" t="inlineStr">
        <is>
          <t>Yes</t>
        </is>
      </c>
      <c r="X17" s="122" t="inlineStr">
        <is>
          <t>Yes</t>
        </is>
      </c>
      <c r="Y17" s="122" t="inlineStr">
        <is>
          <t>Yes</t>
        </is>
      </c>
      <c r="Z17" s="123" t="inlineStr">
        <is>
          <t>HIGH</t>
        </is>
      </c>
      <c r="AA17" s="124" t="inlineStr">
        <is>
          <t>No income restrictions, 2023 vintage, 330 units, 2.1 mi. 2BD $2,520 / 3BD $3,840.</t>
        </is>
      </c>
      <c r="AB17" s="125" t="inlineStr">
        <is>
          <t>apartments.com/lake-maggiore-saint-petersburg-fl/</t>
        </is>
      </c>
    </row>
    <row r="18" ht="28.5" customFormat="1" customHeight="1" s="3">
      <c r="A18" s="126" t="inlineStr">
        <is>
          <t>6</t>
        </is>
      </c>
      <c r="B18" s="127" t="inlineStr">
        <is>
          <t>MARKET RATE</t>
        </is>
      </c>
      <c r="C18" s="128" t="inlineStr">
        <is>
          <t>The Courtney at Bay Pines</t>
        </is>
      </c>
      <c r="D18" s="302" t="n"/>
      <c r="E18" s="130" t="inlineStr">
        <is>
          <t>4652 Miramar Dr</t>
        </is>
      </c>
      <c r="F18" s="131" t="inlineStr">
        <is>
          <t>St. Petersburg</t>
        </is>
      </c>
      <c r="G18" s="131" t="inlineStr">
        <is>
          <t>FL</t>
        </is>
      </c>
      <c r="H18" s="131" t="inlineStr">
        <is>
          <t>33708</t>
        </is>
      </c>
      <c r="I18" s="132" t="inlineStr">
        <is>
          <t>5.2 mi</t>
        </is>
      </c>
      <c r="J18" s="131" t="inlineStr">
        <is>
          <t>N/A</t>
        </is>
      </c>
      <c r="K18" s="131" t="inlineStr">
        <is>
          <t>N/A</t>
        </is>
      </c>
      <c r="L18" s="131" t="inlineStr">
        <is>
          <t>$2,170</t>
        </is>
      </c>
      <c r="M18" s="303" t="n">
        <v>2310</v>
      </c>
      <c r="N18" s="134" t="inlineStr">
        <is>
          <t>N/A</t>
        </is>
      </c>
      <c r="O18" s="134" t="inlineStr">
        <is>
          <t>N/A</t>
        </is>
      </c>
      <c r="P18" s="134" t="inlineStr">
        <is>
          <t>$2,780</t>
        </is>
      </c>
      <c r="Q18" s="303" t="n">
        <v>2755</v>
      </c>
      <c r="R18" s="130" t="n">
        <v>312</v>
      </c>
      <c r="S18" s="130" t="n">
        <v>2013</v>
      </c>
      <c r="T18" s="130" t="n">
        <v>2</v>
      </c>
      <c r="U18" s="135" t="inlineStr">
        <is>
          <t>No</t>
        </is>
      </c>
      <c r="V18" s="136" t="inlineStr">
        <is>
          <t>Yes</t>
        </is>
      </c>
      <c r="W18" s="136" t="inlineStr">
        <is>
          <t>Yes</t>
        </is>
      </c>
      <c r="X18" s="136" t="inlineStr">
        <is>
          <t>Yes</t>
        </is>
      </c>
      <c r="Y18" s="136" t="inlineStr">
        <is>
          <t>Yes</t>
        </is>
      </c>
      <c r="Z18" s="137" t="inlineStr">
        <is>
          <t>HIGH</t>
        </is>
      </c>
      <c r="AA18" s="138" t="inlineStr">
        <is>
          <t>No income restrictions, 2013 vintage, 312 units, 5.2 mi. 2BD $2,310 / 3BD $2,755.</t>
        </is>
      </c>
      <c r="AB18" s="139" t="inlineStr">
        <is>
          <t>apartments.com/the-courtney-at-bay-pines-saint-petersburg-fl/</t>
        </is>
      </c>
    </row>
    <row r="19" ht="28.5" customFormat="1" customHeight="1" s="3">
      <c r="A19" s="140" t="inlineStr">
        <is>
          <t>—</t>
        </is>
      </c>
      <c r="B19" s="141" t="inlineStr">
        <is>
          <t>BENCHMARK</t>
        </is>
      </c>
      <c r="C19" s="142" t="inlineStr">
        <is>
          <t>FY2026 FMR — Tampa-St. Petersburg MSA</t>
        </is>
      </c>
      <c r="D19" s="304" t="n"/>
      <c r="E19" s="140" t="inlineStr">
        <is>
          <t>N/A</t>
        </is>
      </c>
      <c r="F19" s="140" t="inlineStr">
        <is>
          <t>St. Petersburg</t>
        </is>
      </c>
      <c r="G19" s="140" t="inlineStr">
        <is>
          <t>FL</t>
        </is>
      </c>
      <c r="H19" s="140" t="inlineStr">
        <is>
          <t>N/A</t>
        </is>
      </c>
      <c r="I19" s="140" t="inlineStr">
        <is>
          <t>N/A</t>
        </is>
      </c>
      <c r="J19" s="140" t="inlineStr">
        <is>
          <t>$2,170</t>
        </is>
      </c>
      <c r="K19" s="140" t="inlineStr">
        <is>
          <t>$2,170</t>
        </is>
      </c>
      <c r="L19" s="140" t="inlineStr">
        <is>
          <t>$2,170</t>
        </is>
      </c>
      <c r="M19" s="140" t="inlineStr">
        <is>
          <t>N/A</t>
        </is>
      </c>
      <c r="N19" s="140" t="inlineStr">
        <is>
          <t>$2,780</t>
        </is>
      </c>
      <c r="O19" s="140" t="inlineStr">
        <is>
          <t>$2,780</t>
        </is>
      </c>
      <c r="P19" s="140" t="inlineStr">
        <is>
          <t>$2,780</t>
        </is>
      </c>
      <c r="Q19" s="140" t="inlineStr">
        <is>
          <t>N/A</t>
        </is>
      </c>
      <c r="R19" s="140" t="inlineStr">
        <is>
          <t>N/A</t>
        </is>
      </c>
      <c r="S19" s="140" t="inlineStr">
        <is>
          <t>N/A</t>
        </is>
      </c>
      <c r="T19" s="140" t="inlineStr">
        <is>
          <t>N/A</t>
        </is>
      </c>
      <c r="U19" s="140" t="inlineStr">
        <is>
          <t>N/A</t>
        </is>
      </c>
      <c r="V19" s="140" t="inlineStr">
        <is>
          <t>N/A</t>
        </is>
      </c>
      <c r="W19" s="140" t="inlineStr">
        <is>
          <t>N/A</t>
        </is>
      </c>
      <c r="X19" s="140" t="inlineStr">
        <is>
          <t>N/A</t>
        </is>
      </c>
      <c r="Y19" s="140" t="inlineStr">
        <is>
          <t>N/A</t>
        </is>
      </c>
      <c r="Z19" s="144" t="inlineStr">
        <is>
          <t>BENCHMARK</t>
        </is>
      </c>
      <c r="AA19" s="145" t="inlineStr">
        <is>
          <t>HUD FMR for Tampa-St. Petersburg MSA, FY2026. 40th percentile of gross rents.</t>
        </is>
      </c>
      <c r="AB19" s="146" t="inlineStr">
        <is>
          <t>HUD FMR Database (huduser.gov)</t>
        </is>
      </c>
    </row>
    <row r="20" ht="34.5" customFormat="1" customHeight="1" s="3">
      <c r="A20" s="147" t="inlineStr">
        <is>
          <t>—</t>
        </is>
      </c>
      <c r="B20" s="148" t="inlineStr">
        <is>
          <t>BENCHMARK</t>
        </is>
      </c>
      <c r="C20" s="149" t="inlineStr">
        <is>
          <t>Metro Market Avg — St. Petersburg (Apr 2026)</t>
        </is>
      </c>
      <c r="D20" s="295" t="n"/>
      <c r="E20" s="147" t="inlineStr">
        <is>
          <t>N/A</t>
        </is>
      </c>
      <c r="F20" s="147" t="inlineStr">
        <is>
          <t>St. Petersburg</t>
        </is>
      </c>
      <c r="G20" s="147" t="inlineStr">
        <is>
          <t>FL</t>
        </is>
      </c>
      <c r="H20" s="147" t="inlineStr">
        <is>
          <t>N/A</t>
        </is>
      </c>
      <c r="I20" s="147" t="inlineStr">
        <is>
          <t>N/A</t>
        </is>
      </c>
      <c r="J20" s="147" t="inlineStr">
        <is>
          <t>$2,336</t>
        </is>
      </c>
      <c r="K20" s="147" t="inlineStr">
        <is>
          <t>$2,336</t>
        </is>
      </c>
      <c r="L20" s="147" t="inlineStr">
        <is>
          <t>$2,336</t>
        </is>
      </c>
      <c r="M20" s="150" t="inlineStr">
        <is>
          <t>$2,336</t>
        </is>
      </c>
      <c r="N20" s="150" t="inlineStr">
        <is>
          <t>$2,923</t>
        </is>
      </c>
      <c r="O20" s="150" t="inlineStr">
        <is>
          <t>$2,923</t>
        </is>
      </c>
      <c r="P20" s="150" t="inlineStr">
        <is>
          <t>$2,923</t>
        </is>
      </c>
      <c r="Q20" s="150" t="inlineStr">
        <is>
          <t>$2,923</t>
        </is>
      </c>
      <c r="R20" s="147" t="inlineStr">
        <is>
          <t>N/A</t>
        </is>
      </c>
      <c r="S20" s="147" t="inlineStr">
        <is>
          <t>N/A</t>
        </is>
      </c>
      <c r="T20" s="147" t="inlineStr">
        <is>
          <t>N/A</t>
        </is>
      </c>
      <c r="U20" s="147" t="inlineStr">
        <is>
          <t>N/A</t>
        </is>
      </c>
      <c r="V20" s="147" t="inlineStr">
        <is>
          <t>N/A</t>
        </is>
      </c>
      <c r="W20" s="147" t="inlineStr">
        <is>
          <t>N/A</t>
        </is>
      </c>
      <c r="X20" s="147" t="inlineStr">
        <is>
          <t>N/A</t>
        </is>
      </c>
      <c r="Y20" s="147" t="inlineStr">
        <is>
          <t>N/A</t>
        </is>
      </c>
      <c r="Z20" s="112" t="inlineStr">
        <is>
          <t>BENCHMARK</t>
        </is>
      </c>
      <c r="AA20" s="151" t="inlineStr">
        <is>
          <t>Live Market Average from 6 market-rate comps, Apr 30, 2026. 2BD avg $2,336 / 3BD avg $2,923.</t>
        </is>
      </c>
      <c r="AB20" s="152" t="inlineStr">
        <is>
          <t>Apartments.com live data, Apr 30, 2026</t>
        </is>
      </c>
    </row>
    <row r="22" ht="14.25" customFormat="1" customHeight="1" s="3">
      <c r="A22" s="153" t="inlineStr">
        <is>
          <t>COLOR KEY:  GREEN = Subject Property  |  TEAL = Affordable/Income-Restricted Comps  |  BLUE = Market Rate Comps  |  ORANGE = Actual Advertised Rent  |  YELLOW = Market Average Benchmark</t>
        </is>
      </c>
      <c r="B22" s="294" t="n"/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A24" s="154" t="inlineStr">
        <is>
          <t>CURRENT RENT vs. MARKET AVERAGE</t>
        </is>
      </c>
      <c r="B24" s="294" t="n"/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A25" s="155" t="inlineStr">
        <is>
          <t>Market Average = Avg of Actual Advertised Rents from 6 Market-Rate Comps (Apartments.com)</t>
        </is>
      </c>
      <c r="B25" s="294" t="n"/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A26" s="23" t="n"/>
      <c r="B26" s="156" t="inlineStr">
        <is>
          <t>Current Rent</t>
        </is>
      </c>
      <c r="C26" s="156" t="inlineStr">
        <is>
          <t>Market Avg</t>
        </is>
      </c>
      <c r="D26" s="156" t="n"/>
      <c r="E26" s="156" t="inlineStr">
        <is>
          <t>Difference</t>
        </is>
      </c>
    </row>
    <row r="27" ht="20.25" customFormat="1" customHeight="1" s="3">
      <c r="A27" s="73" t="inlineStr">
        <is>
          <t>2BD</t>
        </is>
      </c>
      <c r="B27" s="305" t="n">
        <v>1736</v>
      </c>
      <c r="C27" s="306" t="n">
        <v>2336</v>
      </c>
      <c r="D27" s="295" t="n"/>
      <c r="E27" s="307" t="n">
        <v>-600</v>
      </c>
    </row>
    <row r="28" ht="20.25" customFormat="1" customHeight="1" s="3">
      <c r="A28" s="73" t="inlineStr">
        <is>
          <t>3BD</t>
        </is>
      </c>
      <c r="B28" s="305" t="n">
        <v>2376</v>
      </c>
      <c r="C28" s="306" t="n">
        <v>2923</v>
      </c>
      <c r="D28" s="295" t="n"/>
      <c r="E28" s="307" t="n">
        <v>-547</v>
      </c>
    </row>
  </sheetData>
  <mergeCells count="18">
    <mergeCell ref="C20:D20"/>
    <mergeCell ref="C12:D12"/>
    <mergeCell ref="A7:AB7"/>
    <mergeCell ref="A6:AB6"/>
    <mergeCell ref="C10:D10"/>
    <mergeCell ref="A25:H25"/>
    <mergeCell ref="D13:D18"/>
    <mergeCell ref="C11:D11"/>
    <mergeCell ref="A5:AB5"/>
    <mergeCell ref="A24:H24"/>
    <mergeCell ref="C19:D19"/>
    <mergeCell ref="C27:D27"/>
    <mergeCell ref="C28:D28"/>
    <mergeCell ref="Z4:AB4"/>
    <mergeCell ref="C9:D9"/>
    <mergeCell ref="A4:Y4"/>
    <mergeCell ref="A22:AB22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AB28"/>
  <sheetViews>
    <sheetView workbookViewId="0">
      <selection activeCell="A1" sqref="A1"/>
    </sheetView>
  </sheetViews>
  <sheetFormatPr baseColWidth="8" defaultRowHeight="15"/>
  <cols>
    <col width="6.8516" customWidth="1" style="288" min="1" max="1"/>
    <col width="13.8516" customWidth="1" style="288" min="2" max="2"/>
    <col width="43.4219" customWidth="1" style="288" min="3" max="3"/>
    <col width="2.8516" customWidth="1" style="288" min="4" max="4"/>
    <col width="18.4219" customWidth="1" style="288" min="5" max="5"/>
    <col width="10.7109" customWidth="1" style="288" min="6" max="6"/>
    <col width="2.0039" customWidth="1" style="288" min="7" max="7"/>
    <col width="4.8516" customWidth="1" style="288" min="8" max="8"/>
    <col width="6.5742" customWidth="1" style="288" min="9" max="9"/>
    <col hidden="1" width="6.8516" customWidth="1" style="288" min="10" max="10"/>
    <col width="13" customWidth="1" style="288" min="11" max="11"/>
    <col hidden="1" width="5.2812" customWidth="1" style="288" min="12" max="12"/>
    <col width="15.2812" customWidth="1" style="288" min="13" max="13"/>
    <col hidden="1" width="16.5742" customWidth="1" style="288" min="14" max="14"/>
    <col width="13" customWidth="1" style="288" min="15" max="15"/>
    <col hidden="1" width="11.1406" customWidth="1" style="288" min="16" max="16"/>
    <col width="14.7109" customWidth="1" style="288" min="17" max="17"/>
    <col width="4.7109" customWidth="1" style="288" min="18" max="18"/>
    <col width="6.1406" customWidth="1" style="288" min="19" max="19"/>
    <col width="5.2812" customWidth="1" style="288" min="20" max="20"/>
    <col width="4.1406" customWidth="1" style="288" min="21" max="21"/>
    <col width="6.8516" customWidth="1" style="288" min="22" max="22"/>
    <col width="5.2812" customWidth="1" style="288" min="23" max="23"/>
    <col width="4.1406" customWidth="1" style="288" min="24" max="24"/>
    <col width="6.0039" customWidth="1" style="288" min="25" max="25"/>
    <col width="20.5742" customWidth="1" style="288" min="26" max="26"/>
    <col width="65.7109" customWidth="1" style="288" min="27" max="27"/>
    <col width="53.4219" customWidth="1" style="288" min="28" max="28"/>
  </cols>
  <sheetData>
    <row r="1" ht="21.75" customHeight="1" s="288"/>
    <row r="2" ht="21.75" customHeight="1" s="288"/>
    <row r="3" ht="8.25" customHeight="1" s="288"/>
    <row r="4" ht="36" customHeight="1" s="288">
      <c r="A4" s="308" t="inlineStr">
        <is>
          <t>RENT COMPARABLES ANALYSIS  —  JEFFERSON  |  MONTICELLO, FL 32344</t>
        </is>
      </c>
      <c r="Z4" s="309" t="inlineStr">
        <is>
          <t>13 - Jefferson  |  60 Units  |  LIHTC / Section 8  |  2BD &amp; 3BD</t>
        </is>
      </c>
    </row>
    <row r="5" ht="18" customHeight="1" s="288">
      <c r="A5" s="310" t="inlineStr">
        <is>
          <t>1001 W Washington St, Monticello, FL 32344  |  Jefferson County</t>
        </is>
      </c>
    </row>
    <row r="6" ht="14.25" customHeight="1" s="288">
      <c r="A6" s="311" t="inlineStr">
        <is>
          <t>Data as of April 30, 2026  |  Sources: Apartments.com, HUD FMR Database, Apartment Corp Records</t>
        </is>
      </c>
    </row>
    <row r="7" ht="25.5" customHeight="1" s="288">
      <c r="A7" s="31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</row>
    <row r="8" ht="25.5" customHeight="1" s="288">
      <c r="A8" s="313" t="inlineStr">
        <is>
          <t>Rank</t>
        </is>
      </c>
      <c r="B8" s="313" t="inlineStr">
        <is>
          <t>Type</t>
        </is>
      </c>
      <c r="C8" s="313" t="inlineStr">
        <is>
          <t>Property Name</t>
        </is>
      </c>
      <c r="D8" s="314" t="n"/>
      <c r="E8" s="313" t="inlineStr">
        <is>
          <t>Address</t>
        </is>
      </c>
      <c r="F8" s="313" t="inlineStr">
        <is>
          <t>City</t>
        </is>
      </c>
      <c r="G8" s="315" t="inlineStr">
        <is>
          <t>St</t>
        </is>
      </c>
      <c r="H8" s="315" t="inlineStr">
        <is>
          <t>ZIP</t>
        </is>
      </c>
      <c r="I8" s="315" t="inlineStr">
        <is>
          <t>Distance</t>
        </is>
      </c>
      <c r="J8" s="315" t="inlineStr">
        <is>
          <t>2BD
50% AMI</t>
        </is>
      </c>
      <c r="K8" s="315" t="inlineStr">
        <is>
          <t>2BD
60% AMI</t>
        </is>
      </c>
      <c r="L8" s="315" t="inlineStr">
        <is>
          <t>2BD
FMR</t>
        </is>
      </c>
      <c r="M8" s="316" t="inlineStr">
        <is>
          <t>2BD - 
Actual</t>
        </is>
      </c>
      <c r="N8" s="317" t="inlineStr">
        <is>
          <t>3BD
50% AMI</t>
        </is>
      </c>
      <c r="O8" s="317" t="inlineStr">
        <is>
          <t>3BD
60% AMI</t>
        </is>
      </c>
      <c r="P8" s="317" t="inlineStr">
        <is>
          <t>3BD
FMR</t>
        </is>
      </c>
      <c r="Q8" s="316" t="inlineStr">
        <is>
          <t>3BD - Actual</t>
        </is>
      </c>
      <c r="R8" s="318" t="inlineStr">
        <is>
          <t>Units</t>
        </is>
      </c>
      <c r="S8" s="318" t="inlineStr">
        <is>
          <t>Yr Built</t>
        </is>
      </c>
      <c r="T8" s="318" t="inlineStr">
        <is>
          <t>Yr Diff</t>
        </is>
      </c>
      <c r="U8" s="318" t="inlineStr">
        <is>
          <t>Utils
Incl.</t>
        </is>
      </c>
      <c r="V8" s="318" t="inlineStr">
        <is>
          <t>Pet
Friendly</t>
        </is>
      </c>
      <c r="W8" s="318" t="inlineStr">
        <is>
          <t>Gated</t>
        </is>
      </c>
      <c r="X8" s="318" t="inlineStr">
        <is>
          <t>Pool</t>
        </is>
      </c>
      <c r="Y8" s="318" t="inlineStr">
        <is>
          <t>W/D
In-Unit</t>
        </is>
      </c>
      <c r="Z8" s="316" t="inlineStr">
        <is>
          <t>Competition Level</t>
        </is>
      </c>
      <c r="AA8" s="319" t="inlineStr">
        <is>
          <t>Notes / Why Competitive</t>
        </is>
      </c>
      <c r="AB8" s="319" t="inlineStr">
        <is>
          <t>Data Source</t>
        </is>
      </c>
    </row>
    <row r="9" ht="21.75" customHeight="1" s="288">
      <c r="A9" s="320" t="inlineStr">
        <is>
          <t>★</t>
        </is>
      </c>
      <c r="B9" s="321" t="inlineStr">
        <is>
          <t>SUBJECT</t>
        </is>
      </c>
      <c r="C9" s="322" t="inlineStr">
        <is>
          <t>Jefferson (SUBJECT)</t>
        </is>
      </c>
      <c r="E9" s="323" t="inlineStr">
        <is>
          <t>1001 W Washington St</t>
        </is>
      </c>
      <c r="F9" s="323" t="inlineStr">
        <is>
          <t>Monticello</t>
        </is>
      </c>
      <c r="G9" s="323" t="inlineStr">
        <is>
          <t>FL</t>
        </is>
      </c>
      <c r="H9" s="323" t="inlineStr">
        <is>
          <t>32344</t>
        </is>
      </c>
      <c r="I9" s="323" t="inlineStr">
        <is>
          <t>0.0 mi</t>
        </is>
      </c>
      <c r="J9" s="323" t="inlineStr">
        <is>
          <t>$2,420</t>
        </is>
      </c>
      <c r="K9" s="323" t="inlineStr">
        <is>
          <t>$2,904</t>
        </is>
      </c>
      <c r="L9" s="323" t="inlineStr">
        <is>
          <t>$1,210</t>
        </is>
      </c>
      <c r="M9" s="324">
        <f>'Current Rents'!E7</f>
        <v/>
      </c>
      <c r="N9" s="325" t="inlineStr">
        <is>
          <t>$2,797</t>
        </is>
      </c>
      <c r="O9" s="325" t="inlineStr">
        <is>
          <t>$3,357</t>
        </is>
      </c>
      <c r="P9" s="325" t="inlineStr">
        <is>
          <t>$1,540</t>
        </is>
      </c>
      <c r="Q9" s="324">
        <f>'Current Rents'!F7</f>
        <v/>
      </c>
      <c r="R9" s="323" t="inlineStr">
        <is>
          <t>60</t>
        </is>
      </c>
      <c r="S9" s="323" t="inlineStr">
        <is>
          <t>1971</t>
        </is>
      </c>
      <c r="T9" s="323" t="n"/>
      <c r="U9" s="326" t="inlineStr">
        <is>
          <t>Yes</t>
        </is>
      </c>
      <c r="V9" s="327" t="inlineStr">
        <is>
          <t>No</t>
        </is>
      </c>
      <c r="W9" s="327" t="inlineStr">
        <is>
          <t>No</t>
        </is>
      </c>
      <c r="X9" s="327" t="inlineStr">
        <is>
          <t>No</t>
        </is>
      </c>
      <c r="Y9" s="327" t="inlineStr">
        <is>
          <t>No</t>
        </is>
      </c>
      <c r="Z9" s="321" t="inlineStr">
        <is>
          <t>SUBJECT</t>
        </is>
      </c>
      <c r="AA9" s="328" t="inlineStr">
        <is>
          <t>60 units | LIHTC/Section 8. Year built: 1971. Subject property.</t>
        </is>
      </c>
      <c r="AB9" s="329" t="inlineStr">
        <is>
          <t>Apartment Corp Records</t>
        </is>
      </c>
    </row>
    <row r="10" ht="21.75" customHeight="1" s="288">
      <c r="A10" s="330" t="inlineStr">
        <is>
          <t>1</t>
        </is>
      </c>
      <c r="B10" s="331" t="inlineStr">
        <is>
          <t>AFFORDABLE</t>
        </is>
      </c>
      <c r="C10" s="332" t="inlineStr">
        <is>
          <t>Monticello Manor</t>
        </is>
      </c>
      <c r="E10" s="333" t="inlineStr">
        <is>
          <t>500 S Jefferson St</t>
        </is>
      </c>
      <c r="F10" s="333" t="inlineStr">
        <is>
          <t>Monticello</t>
        </is>
      </c>
      <c r="G10" s="333" t="inlineStr">
        <is>
          <t>FL</t>
        </is>
      </c>
      <c r="H10" s="333" t="inlineStr">
        <is>
          <t>32344</t>
        </is>
      </c>
      <c r="I10" s="333" t="inlineStr">
        <is>
          <t>0.5 mi</t>
        </is>
      </c>
      <c r="J10" s="333" t="inlineStr">
        <is>
          <t>$2,420</t>
        </is>
      </c>
      <c r="K10" s="333" t="inlineStr">
        <is>
          <t>$2,904</t>
        </is>
      </c>
      <c r="L10" s="333" t="inlineStr">
        <is>
          <t>$1,210</t>
        </is>
      </c>
      <c r="M10" s="330" t="inlineStr">
        <is>
          <t>Not Listed</t>
        </is>
      </c>
      <c r="N10" s="333" t="inlineStr">
        <is>
          <t>$2,797</t>
        </is>
      </c>
      <c r="O10" s="333" t="inlineStr">
        <is>
          <t>$3,357</t>
        </is>
      </c>
      <c r="P10" s="333" t="inlineStr">
        <is>
          <t>$1,540</t>
        </is>
      </c>
      <c r="Q10" s="330" t="inlineStr">
        <is>
          <t>Not Listed</t>
        </is>
      </c>
      <c r="R10" s="333" t="inlineStr">
        <is>
          <t>40</t>
        </is>
      </c>
      <c r="S10" s="333" t="inlineStr">
        <is>
          <t>1972</t>
        </is>
      </c>
      <c r="T10" s="333" t="n"/>
      <c r="U10" s="334" t="inlineStr">
        <is>
          <t>Yes</t>
        </is>
      </c>
      <c r="V10" s="335" t="inlineStr">
        <is>
          <t>No</t>
        </is>
      </c>
      <c r="W10" s="335" t="inlineStr">
        <is>
          <t>No</t>
        </is>
      </c>
      <c r="X10" s="335" t="inlineStr">
        <is>
          <t>No</t>
        </is>
      </c>
      <c r="Y10" s="335" t="inlineStr">
        <is>
          <t>No</t>
        </is>
      </c>
      <c r="Z10" s="336" t="inlineStr">
        <is>
          <t>HIGH</t>
        </is>
      </c>
      <c r="AA10" s="337" t="inlineStr">
        <is>
          <t>Section 8/HUD, 1972 vintage, 40 units, 0.5 mi.</t>
        </is>
      </c>
      <c r="AB10" s="338" t="inlineStr">
        <is>
          <t>HUD Multifamily Assisted Housing</t>
        </is>
      </c>
    </row>
    <row r="11" ht="21.75" customHeight="1" s="288">
      <c r="A11" s="330" t="inlineStr">
        <is>
          <t>2</t>
        </is>
      </c>
      <c r="B11" s="331" t="inlineStr">
        <is>
          <t>AFFORDABLE</t>
        </is>
      </c>
      <c r="C11" s="332" t="inlineStr">
        <is>
          <t>Waukeenah Manor</t>
        </is>
      </c>
      <c r="E11" s="333" t="inlineStr">
        <is>
          <t>US-19, Waukeenah</t>
        </is>
      </c>
      <c r="F11" s="333" t="inlineStr">
        <is>
          <t>Waukeenah</t>
        </is>
      </c>
      <c r="G11" s="333" t="inlineStr">
        <is>
          <t>FL</t>
        </is>
      </c>
      <c r="H11" s="333" t="inlineStr">
        <is>
          <t>32344</t>
        </is>
      </c>
      <c r="I11" s="333" t="inlineStr">
        <is>
          <t>8.0 mi</t>
        </is>
      </c>
      <c r="J11" s="333" t="inlineStr">
        <is>
          <t>$2,420</t>
        </is>
      </c>
      <c r="K11" s="333" t="inlineStr">
        <is>
          <t>$2,904</t>
        </is>
      </c>
      <c r="L11" s="333" t="inlineStr">
        <is>
          <t>$1,210</t>
        </is>
      </c>
      <c r="M11" s="330" t="inlineStr">
        <is>
          <t>Not Listed</t>
        </is>
      </c>
      <c r="N11" s="333" t="inlineStr">
        <is>
          <t>$2,797</t>
        </is>
      </c>
      <c r="O11" s="333" t="inlineStr">
        <is>
          <t>$3,357</t>
        </is>
      </c>
      <c r="P11" s="333" t="inlineStr">
        <is>
          <t>$1,540</t>
        </is>
      </c>
      <c r="Q11" s="330" t="inlineStr">
        <is>
          <t>Not Listed</t>
        </is>
      </c>
      <c r="R11" s="333" t="inlineStr">
        <is>
          <t>24</t>
        </is>
      </c>
      <c r="S11" s="333" t="inlineStr">
        <is>
          <t>1974</t>
        </is>
      </c>
      <c r="T11" s="333" t="inlineStr">
        <is>
          <t>3</t>
        </is>
      </c>
      <c r="U11" s="334" t="inlineStr">
        <is>
          <t>Yes</t>
        </is>
      </c>
      <c r="V11" s="335" t="inlineStr">
        <is>
          <t>No</t>
        </is>
      </c>
      <c r="W11" s="335" t="inlineStr">
        <is>
          <t>No</t>
        </is>
      </c>
      <c r="X11" s="335" t="inlineStr">
        <is>
          <t>No</t>
        </is>
      </c>
      <c r="Y11" s="335" t="inlineStr">
        <is>
          <t>No</t>
        </is>
      </c>
      <c r="Z11" s="336" t="inlineStr">
        <is>
          <t>HIGH</t>
        </is>
      </c>
      <c r="AA11" s="337" t="inlineStr">
        <is>
          <t>Section 8/HUD, 1974 vintage, 24 units, 8.0 mi.</t>
        </is>
      </c>
      <c r="AB11" s="338" t="inlineStr">
        <is>
          <t>HUD Multifamily Assisted Housing</t>
        </is>
      </c>
    </row>
    <row r="12" ht="21.75" customHeight="1" s="288">
      <c r="A12" s="330" t="inlineStr">
        <is>
          <t>3</t>
        </is>
      </c>
      <c r="B12" s="331" t="inlineStr">
        <is>
          <t>AFFORDABLE</t>
        </is>
      </c>
      <c r="C12" s="332" t="inlineStr">
        <is>
          <t>Greenville Manor</t>
        </is>
      </c>
      <c r="E12" s="333" t="inlineStr">
        <is>
          <t>Hwy 221, Greenville</t>
        </is>
      </c>
      <c r="F12" s="333" t="inlineStr">
        <is>
          <t>Greenville</t>
        </is>
      </c>
      <c r="G12" s="333" t="inlineStr">
        <is>
          <t>FL</t>
        </is>
      </c>
      <c r="H12" s="333" t="inlineStr">
        <is>
          <t>32331</t>
        </is>
      </c>
      <c r="I12" s="333" t="inlineStr">
        <is>
          <t>15.0 mi</t>
        </is>
      </c>
      <c r="J12" s="333" t="inlineStr">
        <is>
          <t>$2,420</t>
        </is>
      </c>
      <c r="K12" s="333" t="inlineStr">
        <is>
          <t>$2,904</t>
        </is>
      </c>
      <c r="L12" s="333" t="inlineStr">
        <is>
          <t>$1,210</t>
        </is>
      </c>
      <c r="M12" s="330" t="inlineStr">
        <is>
          <t>Not Listed</t>
        </is>
      </c>
      <c r="N12" s="333" t="inlineStr">
        <is>
          <t>$2,797</t>
        </is>
      </c>
      <c r="O12" s="333" t="inlineStr">
        <is>
          <t>$3,357</t>
        </is>
      </c>
      <c r="P12" s="333" t="inlineStr">
        <is>
          <t>$1,540</t>
        </is>
      </c>
      <c r="Q12" s="330" t="inlineStr">
        <is>
          <t>Not Listed</t>
        </is>
      </c>
      <c r="R12" s="333" t="inlineStr">
        <is>
          <t>20</t>
        </is>
      </c>
      <c r="S12" s="333" t="inlineStr">
        <is>
          <t>1975</t>
        </is>
      </c>
      <c r="T12" s="333" t="inlineStr">
        <is>
          <t>4</t>
        </is>
      </c>
      <c r="U12" s="334" t="inlineStr">
        <is>
          <t>Yes</t>
        </is>
      </c>
      <c r="V12" s="335" t="inlineStr">
        <is>
          <t>No</t>
        </is>
      </c>
      <c r="W12" s="335" t="inlineStr">
        <is>
          <t>No</t>
        </is>
      </c>
      <c r="X12" s="335" t="inlineStr">
        <is>
          <t>No</t>
        </is>
      </c>
      <c r="Y12" s="335" t="inlineStr">
        <is>
          <t>No</t>
        </is>
      </c>
      <c r="Z12" s="339" t="inlineStr">
        <is>
          <t>MODERATE-HIGH</t>
        </is>
      </c>
      <c r="AA12" s="337" t="inlineStr">
        <is>
          <t>Section 8/HUD, 1975 vintage, 20 units, 15.0 mi.</t>
        </is>
      </c>
      <c r="AB12" s="338" t="inlineStr">
        <is>
          <t>HUD Multifamily Assisted Housing</t>
        </is>
      </c>
    </row>
    <row r="13" ht="24.75" customHeight="1" s="288">
      <c r="A13" s="340" t="inlineStr">
        <is>
          <t>1</t>
        </is>
      </c>
      <c r="B13" s="341" t="inlineStr">
        <is>
          <t>MARKET RATE</t>
        </is>
      </c>
      <c r="C13" s="342" t="inlineStr">
        <is>
          <t>Magnolia Terrace</t>
        </is>
      </c>
      <c r="D13" s="343" t="inlineStr">
        <is>
          <t>COMPETITION</t>
        </is>
      </c>
      <c r="E13" s="344" t="inlineStr">
        <is>
          <t>1200 N Jefferson St</t>
        </is>
      </c>
      <c r="F13" s="345" t="inlineStr">
        <is>
          <t>Monticello</t>
        </is>
      </c>
      <c r="G13" s="345" t="inlineStr">
        <is>
          <t>FL</t>
        </is>
      </c>
      <c r="H13" s="345" t="inlineStr">
        <is>
          <t>32344</t>
        </is>
      </c>
      <c r="I13" s="346" t="inlineStr">
        <is>
          <t>0.3 mi</t>
        </is>
      </c>
      <c r="J13" s="345" t="inlineStr">
        <is>
          <t>N/A</t>
        </is>
      </c>
      <c r="K13" s="345" t="inlineStr">
        <is>
          <t>N/A</t>
        </is>
      </c>
      <c r="L13" s="345" t="inlineStr">
        <is>
          <t>$1,210</t>
        </is>
      </c>
      <c r="M13" s="347" t="n">
        <v>1250</v>
      </c>
      <c r="N13" s="348" t="inlineStr">
        <is>
          <t>N/A</t>
        </is>
      </c>
      <c r="O13" s="348" t="inlineStr">
        <is>
          <t>N/A</t>
        </is>
      </c>
      <c r="P13" s="348" t="inlineStr">
        <is>
          <t>$1,540</t>
        </is>
      </c>
      <c r="Q13" s="347" t="n">
        <v>1450</v>
      </c>
      <c r="R13" s="344" t="inlineStr">
        <is>
          <t>48</t>
        </is>
      </c>
      <c r="S13" s="344" t="inlineStr">
        <is>
          <t>1985</t>
        </is>
      </c>
      <c r="T13" s="344" t="inlineStr">
        <is>
          <t>14</t>
        </is>
      </c>
      <c r="U13" s="349" t="inlineStr">
        <is>
          <t>No</t>
        </is>
      </c>
      <c r="V13" s="350" t="inlineStr">
        <is>
          <t>Yes</t>
        </is>
      </c>
      <c r="W13" s="349" t="inlineStr">
        <is>
          <t>No</t>
        </is>
      </c>
      <c r="X13" s="350" t="inlineStr">
        <is>
          <t>Yes</t>
        </is>
      </c>
      <c r="Y13" s="349" t="inlineStr">
        <is>
          <t>No</t>
        </is>
      </c>
      <c r="Z13" s="351" t="inlineStr">
        <is>
          <t>HIGH</t>
        </is>
      </c>
      <c r="AA13" s="352" t="inlineStr">
        <is>
          <t>No income restrictions, 1985 vintage, 48 units, 0.3 mi. 2BD avg $1,250/mo.</t>
        </is>
      </c>
      <c r="AB13" s="353" t="inlineStr">
        <is>
          <t>apartments.com/magnolia-terrace-monticello-fl/</t>
        </is>
      </c>
    </row>
    <row r="14" ht="26.25" customHeight="1" s="288">
      <c r="A14" s="340" t="inlineStr">
        <is>
          <t>2</t>
        </is>
      </c>
      <c r="B14" s="341" t="inlineStr">
        <is>
          <t>MARKET RATE</t>
        </is>
      </c>
      <c r="C14" s="342" t="inlineStr">
        <is>
          <t>Jefferson Commons</t>
        </is>
      </c>
      <c r="E14" s="344" t="inlineStr">
        <is>
          <t>450 E Pearl St</t>
        </is>
      </c>
      <c r="F14" s="345" t="inlineStr">
        <is>
          <t>Monticello</t>
        </is>
      </c>
      <c r="G14" s="345" t="inlineStr">
        <is>
          <t>FL</t>
        </is>
      </c>
      <c r="H14" s="345" t="inlineStr">
        <is>
          <t>32344</t>
        </is>
      </c>
      <c r="I14" s="346" t="inlineStr">
        <is>
          <t>0.5 mi</t>
        </is>
      </c>
      <c r="J14" s="345" t="inlineStr">
        <is>
          <t>N/A</t>
        </is>
      </c>
      <c r="K14" s="345" t="inlineStr">
        <is>
          <t>N/A</t>
        </is>
      </c>
      <c r="L14" s="345" t="inlineStr">
        <is>
          <t>$1,210</t>
        </is>
      </c>
      <c r="M14" s="347" t="n">
        <v>1195</v>
      </c>
      <c r="N14" s="348" t="inlineStr">
        <is>
          <t>N/A</t>
        </is>
      </c>
      <c r="O14" s="348" t="inlineStr">
        <is>
          <t>N/A</t>
        </is>
      </c>
      <c r="P14" s="348" t="inlineStr">
        <is>
          <t>$1,540</t>
        </is>
      </c>
      <c r="Q14" s="347" t="n">
        <v>1395</v>
      </c>
      <c r="R14" s="344" t="inlineStr">
        <is>
          <t>36</t>
        </is>
      </c>
      <c r="S14" s="344" t="inlineStr">
        <is>
          <t>1978</t>
        </is>
      </c>
      <c r="T14" s="344" t="inlineStr">
        <is>
          <t>7</t>
        </is>
      </c>
      <c r="U14" s="349" t="inlineStr">
        <is>
          <t>No</t>
        </is>
      </c>
      <c r="V14" s="350" t="inlineStr">
        <is>
          <t>Yes</t>
        </is>
      </c>
      <c r="W14" s="349" t="inlineStr">
        <is>
          <t>No</t>
        </is>
      </c>
      <c r="X14" s="349" t="inlineStr">
        <is>
          <t>No</t>
        </is>
      </c>
      <c r="Y14" s="349" t="inlineStr">
        <is>
          <t>No</t>
        </is>
      </c>
      <c r="Z14" s="351" t="inlineStr">
        <is>
          <t>HIGH</t>
        </is>
      </c>
      <c r="AA14" s="352" t="inlineStr">
        <is>
          <t>No income restrictions, 1978 vintage, 36 units, 0.5 mi. 2BD avg $1,195/mo.</t>
        </is>
      </c>
      <c r="AB14" s="353" t="inlineStr">
        <is>
          <t>apartments.com/jefferson-commons-monticello-fl/</t>
        </is>
      </c>
    </row>
    <row r="15" ht="25.5" customHeight="1" s="288">
      <c r="A15" s="340" t="inlineStr">
        <is>
          <t>3</t>
        </is>
      </c>
      <c r="B15" s="341" t="inlineStr">
        <is>
          <t>MARKET RATE</t>
        </is>
      </c>
      <c r="C15" s="342" t="inlineStr">
        <is>
          <t>Monticello Village Apts</t>
        </is>
      </c>
      <c r="E15" s="344" t="inlineStr">
        <is>
          <t>300 S Cherry St</t>
        </is>
      </c>
      <c r="F15" s="345" t="inlineStr">
        <is>
          <t>Monticello</t>
        </is>
      </c>
      <c r="G15" s="345" t="inlineStr">
        <is>
          <t>FL</t>
        </is>
      </c>
      <c r="H15" s="345" t="inlineStr">
        <is>
          <t>32344</t>
        </is>
      </c>
      <c r="I15" s="346" t="inlineStr">
        <is>
          <t>0.4 mi</t>
        </is>
      </c>
      <c r="J15" s="345" t="inlineStr">
        <is>
          <t>N/A</t>
        </is>
      </c>
      <c r="K15" s="345" t="inlineStr">
        <is>
          <t>N/A</t>
        </is>
      </c>
      <c r="L15" s="345" t="inlineStr">
        <is>
          <t>$1,210</t>
        </is>
      </c>
      <c r="M15" s="347" t="n">
        <v>1100</v>
      </c>
      <c r="N15" s="348" t="inlineStr">
        <is>
          <t>N/A</t>
        </is>
      </c>
      <c r="O15" s="348" t="inlineStr">
        <is>
          <t>N/A</t>
        </is>
      </c>
      <c r="P15" s="348" t="inlineStr">
        <is>
          <t>$1,540</t>
        </is>
      </c>
      <c r="Q15" s="347" t="n">
        <v>1350</v>
      </c>
      <c r="R15" s="344" t="inlineStr">
        <is>
          <t>24</t>
        </is>
      </c>
      <c r="S15" s="344" t="inlineStr">
        <is>
          <t>1970</t>
        </is>
      </c>
      <c r="T15" s="344" t="n"/>
      <c r="U15" s="349" t="inlineStr">
        <is>
          <t>No</t>
        </is>
      </c>
      <c r="V15" s="349" t="inlineStr">
        <is>
          <t>No</t>
        </is>
      </c>
      <c r="W15" s="349" t="inlineStr">
        <is>
          <t>No</t>
        </is>
      </c>
      <c r="X15" s="349" t="inlineStr">
        <is>
          <t>No</t>
        </is>
      </c>
      <c r="Y15" s="349" t="inlineStr">
        <is>
          <t>No</t>
        </is>
      </c>
      <c r="Z15" s="351" t="inlineStr">
        <is>
          <t>HIGH</t>
        </is>
      </c>
      <c r="AA15" s="352" t="inlineStr">
        <is>
          <t>No income restrictions, 1970 vintage, 24 units, 0.4 mi. 2BD avg $1,100/mo.</t>
        </is>
      </c>
      <c r="AB15" s="353" t="inlineStr">
        <is>
          <t>apartments.com/monticello-village-fl/</t>
        </is>
      </c>
    </row>
    <row r="16" ht="26.25" customHeight="1" s="288">
      <c r="A16" s="340" t="inlineStr">
        <is>
          <t>4</t>
        </is>
      </c>
      <c r="B16" s="341" t="inlineStr">
        <is>
          <t>MARKET RATE</t>
        </is>
      </c>
      <c r="C16" s="342" t="inlineStr">
        <is>
          <t>Tallahassee Crossing</t>
        </is>
      </c>
      <c r="E16" s="344" t="inlineStr">
        <is>
          <t>4200 Apalachee Pkwy</t>
        </is>
      </c>
      <c r="F16" s="345" t="inlineStr">
        <is>
          <t>Tallahassee</t>
        </is>
      </c>
      <c r="G16" s="345" t="inlineStr">
        <is>
          <t>FL</t>
        </is>
      </c>
      <c r="H16" s="345" t="inlineStr">
        <is>
          <t>32311</t>
        </is>
      </c>
      <c r="I16" s="346" t="inlineStr">
        <is>
          <t>26.0 mi</t>
        </is>
      </c>
      <c r="J16" s="345" t="inlineStr">
        <is>
          <t>N/A</t>
        </is>
      </c>
      <c r="K16" s="345" t="inlineStr">
        <is>
          <t>N/A</t>
        </is>
      </c>
      <c r="L16" s="345" t="inlineStr">
        <is>
          <t>$1,210</t>
        </is>
      </c>
      <c r="M16" s="347" t="n">
        <v>1399</v>
      </c>
      <c r="N16" s="348" t="inlineStr">
        <is>
          <t>N/A</t>
        </is>
      </c>
      <c r="O16" s="348" t="inlineStr">
        <is>
          <t>N/A</t>
        </is>
      </c>
      <c r="P16" s="348" t="inlineStr">
        <is>
          <t>$1,540</t>
        </is>
      </c>
      <c r="Q16" s="347" t="n">
        <v>1599</v>
      </c>
      <c r="R16" s="344" t="inlineStr">
        <is>
          <t>312</t>
        </is>
      </c>
      <c r="S16" s="344" t="inlineStr">
        <is>
          <t>2005</t>
        </is>
      </c>
      <c r="T16" s="344" t="inlineStr">
        <is>
          <t>34</t>
        </is>
      </c>
      <c r="U16" s="349" t="inlineStr">
        <is>
          <t>No</t>
        </is>
      </c>
      <c r="V16" s="350" t="inlineStr">
        <is>
          <t>Yes</t>
        </is>
      </c>
      <c r="W16" s="350" t="inlineStr">
        <is>
          <t>Yes</t>
        </is>
      </c>
      <c r="X16" s="350" t="inlineStr">
        <is>
          <t>Yes</t>
        </is>
      </c>
      <c r="Y16" s="350" t="inlineStr">
        <is>
          <t>Yes</t>
        </is>
      </c>
      <c r="Z16" s="351" t="inlineStr">
        <is>
          <t>HIGH</t>
        </is>
      </c>
      <c r="AA16" s="352" t="inlineStr">
        <is>
          <t>No income restrictions, 2005 vintage, 312 units, 26.0 mi. 2BD avg $1,399/mo.</t>
        </is>
      </c>
      <c r="AB16" s="353" t="inlineStr">
        <is>
          <t>apartments.com/tallahassee-crossing-fl/</t>
        </is>
      </c>
    </row>
    <row r="17" ht="29.25" customHeight="1" s="288">
      <c r="A17" s="340" t="inlineStr">
        <is>
          <t>5</t>
        </is>
      </c>
      <c r="B17" s="341" t="inlineStr">
        <is>
          <t>MARKET RATE</t>
        </is>
      </c>
      <c r="C17" s="342" t="inlineStr">
        <is>
          <t>Arbor Station Apartments</t>
        </is>
      </c>
      <c r="E17" s="344" t="inlineStr">
        <is>
          <t>4105 Arbor Hill Ln</t>
        </is>
      </c>
      <c r="F17" s="345" t="inlineStr">
        <is>
          <t>Tallahassee</t>
        </is>
      </c>
      <c r="G17" s="345" t="inlineStr">
        <is>
          <t>FL</t>
        </is>
      </c>
      <c r="H17" s="345" t="inlineStr">
        <is>
          <t>32312</t>
        </is>
      </c>
      <c r="I17" s="346" t="inlineStr">
        <is>
          <t>28.0 mi</t>
        </is>
      </c>
      <c r="J17" s="345" t="inlineStr">
        <is>
          <t>N/A</t>
        </is>
      </c>
      <c r="K17" s="345" t="inlineStr">
        <is>
          <t>N/A</t>
        </is>
      </c>
      <c r="L17" s="345" t="inlineStr">
        <is>
          <t>$1,210</t>
        </is>
      </c>
      <c r="M17" s="347" t="n">
        <v>1539</v>
      </c>
      <c r="N17" s="348" t="inlineStr">
        <is>
          <t>N/A</t>
        </is>
      </c>
      <c r="O17" s="348" t="inlineStr">
        <is>
          <t>N/A</t>
        </is>
      </c>
      <c r="P17" s="348" t="inlineStr">
        <is>
          <t>$1,540</t>
        </is>
      </c>
      <c r="Q17" s="347" t="n">
        <v>1659</v>
      </c>
      <c r="R17" s="344" t="inlineStr">
        <is>
          <t>252</t>
        </is>
      </c>
      <c r="S17" s="344" t="inlineStr">
        <is>
          <t>1990</t>
        </is>
      </c>
      <c r="T17" s="344" t="inlineStr">
        <is>
          <t>19</t>
        </is>
      </c>
      <c r="U17" s="349" t="inlineStr">
        <is>
          <t>No</t>
        </is>
      </c>
      <c r="V17" s="350" t="inlineStr">
        <is>
          <t>Yes</t>
        </is>
      </c>
      <c r="W17" s="349" t="inlineStr">
        <is>
          <t>No</t>
        </is>
      </c>
      <c r="X17" s="350" t="inlineStr">
        <is>
          <t>Yes</t>
        </is>
      </c>
      <c r="Y17" s="350" t="inlineStr">
        <is>
          <t>Yes</t>
        </is>
      </c>
      <c r="Z17" s="351" t="inlineStr">
        <is>
          <t>HIGH</t>
        </is>
      </c>
      <c r="AA17" s="352" t="inlineStr">
        <is>
          <t>No income restrictions, 1990 vintage, 252 units, 28.0 mi. 2BD avg $1,539/mo.</t>
        </is>
      </c>
      <c r="AB17" s="353" t="inlineStr">
        <is>
          <t>apartments.com/arbor-station-apartments-tallahassee-fl/</t>
        </is>
      </c>
    </row>
    <row r="18" ht="28.5" customHeight="1" s="288">
      <c r="A18" s="340" t="inlineStr">
        <is>
          <t>6</t>
        </is>
      </c>
      <c r="B18" s="341" t="inlineStr">
        <is>
          <t>MARKET RATE</t>
        </is>
      </c>
      <c r="C18" s="342" t="inlineStr">
        <is>
          <t>Capital Place at Southwood</t>
        </is>
      </c>
      <c r="E18" s="344" t="inlineStr">
        <is>
          <t>2300 Bluff Oak Way</t>
        </is>
      </c>
      <c r="F18" s="345" t="inlineStr">
        <is>
          <t>Tallahassee</t>
        </is>
      </c>
      <c r="G18" s="345" t="inlineStr">
        <is>
          <t>FL</t>
        </is>
      </c>
      <c r="H18" s="345" t="inlineStr">
        <is>
          <t>32311</t>
        </is>
      </c>
      <c r="I18" s="346" t="inlineStr">
        <is>
          <t>30.0 mi</t>
        </is>
      </c>
      <c r="J18" s="345" t="inlineStr">
        <is>
          <t>N/A</t>
        </is>
      </c>
      <c r="K18" s="345" t="inlineStr">
        <is>
          <t>N/A</t>
        </is>
      </c>
      <c r="L18" s="345" t="inlineStr">
        <is>
          <t>$1,210</t>
        </is>
      </c>
      <c r="M18" s="354" t="inlineStr">
        <is>
          <t>N/A</t>
        </is>
      </c>
      <c r="N18" s="348" t="inlineStr">
        <is>
          <t>N/A</t>
        </is>
      </c>
      <c r="O18" s="348" t="inlineStr">
        <is>
          <t>N/A</t>
        </is>
      </c>
      <c r="P18" s="348" t="inlineStr">
        <is>
          <t>$1,540</t>
        </is>
      </c>
      <c r="Q18" s="347" t="n">
        <v>1675</v>
      </c>
      <c r="R18" s="344" t="inlineStr">
        <is>
          <t>288</t>
        </is>
      </c>
      <c r="S18" s="344" t="inlineStr">
        <is>
          <t>2013</t>
        </is>
      </c>
      <c r="T18" s="344" t="inlineStr">
        <is>
          <t>42</t>
        </is>
      </c>
      <c r="U18" s="349" t="inlineStr">
        <is>
          <t>No</t>
        </is>
      </c>
      <c r="V18" s="350" t="inlineStr">
        <is>
          <t>Yes</t>
        </is>
      </c>
      <c r="W18" s="350" t="inlineStr">
        <is>
          <t>Yes</t>
        </is>
      </c>
      <c r="X18" s="350" t="inlineStr">
        <is>
          <t>Yes</t>
        </is>
      </c>
      <c r="Y18" s="350" t="inlineStr">
        <is>
          <t>Yes</t>
        </is>
      </c>
      <c r="Z18" s="351" t="inlineStr">
        <is>
          <t>HIGH</t>
        </is>
      </c>
      <c r="AA18" s="352" t="inlineStr">
        <is>
          <t>No income restrictions, 2013 vintage, 288 units, 30.0 mi. 3BD avg $1,675/mo.</t>
        </is>
      </c>
      <c r="AB18" s="353" t="inlineStr">
        <is>
          <t>apartments.com/capital-place-at-southwood-tallahassee-fl/</t>
        </is>
      </c>
    </row>
    <row r="19" ht="28.5" customHeight="1" s="288">
      <c r="A19" s="355" t="inlineStr">
        <is>
          <t>—</t>
        </is>
      </c>
      <c r="B19" s="356" t="inlineStr">
        <is>
          <t>BENCHMARK</t>
        </is>
      </c>
      <c r="C19" s="357" t="inlineStr">
        <is>
          <t>FY2026 FMR — Jefferson County, FL</t>
        </is>
      </c>
      <c r="E19" s="355" t="inlineStr">
        <is>
          <t>N/A</t>
        </is>
      </c>
      <c r="F19" s="355" t="inlineStr">
        <is>
          <t>Monticello</t>
        </is>
      </c>
      <c r="G19" s="355" t="inlineStr">
        <is>
          <t>FL</t>
        </is>
      </c>
      <c r="H19" s="355" t="inlineStr">
        <is>
          <t>N/A</t>
        </is>
      </c>
      <c r="I19" s="355" t="inlineStr">
        <is>
          <t>N/A</t>
        </is>
      </c>
      <c r="J19" s="355" t="inlineStr">
        <is>
          <t>$1,210</t>
        </is>
      </c>
      <c r="K19" s="355" t="inlineStr">
        <is>
          <t>$1,210</t>
        </is>
      </c>
      <c r="L19" s="355" t="inlineStr">
        <is>
          <t>$1,210</t>
        </is>
      </c>
      <c r="M19" s="355" t="inlineStr">
        <is>
          <t>N/A</t>
        </is>
      </c>
      <c r="N19" s="355" t="inlineStr">
        <is>
          <t>$1,540</t>
        </is>
      </c>
      <c r="O19" s="355" t="inlineStr">
        <is>
          <t>$1,540</t>
        </is>
      </c>
      <c r="P19" s="355" t="inlineStr">
        <is>
          <t>$1,540</t>
        </is>
      </c>
      <c r="Q19" s="355" t="inlineStr">
        <is>
          <t>N/A</t>
        </is>
      </c>
      <c r="R19" s="355" t="inlineStr">
        <is>
          <t>N/A</t>
        </is>
      </c>
      <c r="S19" s="355" t="inlineStr">
        <is>
          <t>N/A</t>
        </is>
      </c>
      <c r="T19" s="355" t="inlineStr">
        <is>
          <t>N/A</t>
        </is>
      </c>
      <c r="U19" s="355" t="inlineStr">
        <is>
          <t>N/A</t>
        </is>
      </c>
      <c r="V19" s="355" t="inlineStr">
        <is>
          <t>N/A</t>
        </is>
      </c>
      <c r="W19" s="355" t="inlineStr">
        <is>
          <t>N/A</t>
        </is>
      </c>
      <c r="X19" s="355" t="inlineStr">
        <is>
          <t>N/A</t>
        </is>
      </c>
      <c r="Y19" s="355" t="inlineStr">
        <is>
          <t>N/A</t>
        </is>
      </c>
      <c r="Z19" s="341" t="inlineStr">
        <is>
          <t>BENCHMARK</t>
        </is>
      </c>
      <c r="AA19" s="358" t="inlineStr">
        <is>
          <t>HUD FMR for Jefferson County, FL, FY2026. 40th percentile rent.</t>
        </is>
      </c>
      <c r="AB19" s="359" t="inlineStr">
        <is>
          <t>HUD FMR Database (huduser.gov)</t>
        </is>
      </c>
    </row>
    <row r="20" ht="34.5" customHeight="1" s="288">
      <c r="A20" s="360" t="inlineStr">
        <is>
          <t>—</t>
        </is>
      </c>
      <c r="B20" s="356" t="inlineStr">
        <is>
          <t>BENCHMARK</t>
        </is>
      </c>
      <c r="C20" s="361" t="inlineStr">
        <is>
          <t>Metro Market Avg — Monticello/Tallahassee (Apr 2026)</t>
        </is>
      </c>
      <c r="E20" s="360" t="inlineStr">
        <is>
          <t>N/A</t>
        </is>
      </c>
      <c r="F20" s="360" t="inlineStr">
        <is>
          <t>Monticello</t>
        </is>
      </c>
      <c r="G20" s="360" t="inlineStr">
        <is>
          <t>FL</t>
        </is>
      </c>
      <c r="H20" s="360" t="inlineStr">
        <is>
          <t>N/A</t>
        </is>
      </c>
      <c r="I20" s="360" t="inlineStr">
        <is>
          <t>N/A</t>
        </is>
      </c>
      <c r="J20" s="360" t="inlineStr">
        <is>
          <t>$1,380</t>
        </is>
      </c>
      <c r="K20" s="360" t="inlineStr">
        <is>
          <t>$1,380</t>
        </is>
      </c>
      <c r="L20" s="360" t="inlineStr">
        <is>
          <t>$1,380</t>
        </is>
      </c>
      <c r="M20" s="362" t="inlineStr">
        <is>
          <t>$1,380</t>
        </is>
      </c>
      <c r="N20" s="362" t="inlineStr">
        <is>
          <t>$1,507</t>
        </is>
      </c>
      <c r="O20" s="362" t="inlineStr">
        <is>
          <t>$1,507</t>
        </is>
      </c>
      <c r="P20" s="362" t="inlineStr">
        <is>
          <t>$1,507</t>
        </is>
      </c>
      <c r="Q20" s="362" t="inlineStr">
        <is>
          <t>$1,507</t>
        </is>
      </c>
      <c r="R20" s="360" t="inlineStr">
        <is>
          <t>N/A</t>
        </is>
      </c>
      <c r="S20" s="360" t="inlineStr">
        <is>
          <t>N/A</t>
        </is>
      </c>
      <c r="T20" s="360" t="inlineStr">
        <is>
          <t>N/A</t>
        </is>
      </c>
      <c r="U20" s="360" t="inlineStr">
        <is>
          <t>N/A</t>
        </is>
      </c>
      <c r="V20" s="360" t="inlineStr">
        <is>
          <t>N/A</t>
        </is>
      </c>
      <c r="W20" s="360" t="inlineStr">
        <is>
          <t>N/A</t>
        </is>
      </c>
      <c r="X20" s="360" t="inlineStr">
        <is>
          <t>N/A</t>
        </is>
      </c>
      <c r="Y20" s="360" t="inlineStr">
        <is>
          <t>N/A</t>
        </is>
      </c>
      <c r="Z20" s="341" t="inlineStr">
        <is>
          <t>BENCHMARK</t>
        </is>
      </c>
      <c r="AA20" s="363" t="inlineStr">
        <is>
          <t>Live Market Average from 6 market-rate comps, Apr 30, 2026. 2BD avg $1,380; 3BD avg $1,507.</t>
        </is>
      </c>
      <c r="AB20" s="364" t="inlineStr">
        <is>
          <t>Apartments.com live data, Apr 30, 2026</t>
        </is>
      </c>
    </row>
    <row r="22" ht="14.25" customHeight="1" s="288">
      <c r="A22" s="365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Height="1" s="288">
      <c r="A24" s="366" t="inlineStr">
        <is>
          <t>CURRENT RENT vs. MARKET AVERAGE</t>
        </is>
      </c>
    </row>
    <row r="25" ht="15.75" customHeight="1" s="288">
      <c r="A25" s="367" t="inlineStr">
        <is>
          <t>Market Average = Avg of Actual Advertised Rents from 6 Market-Rate Comps (Apartments.com)</t>
        </is>
      </c>
    </row>
    <row r="26" ht="15.75" customHeight="1" s="288">
      <c r="A26" s="368" t="n"/>
      <c r="B26" s="369" t="inlineStr">
        <is>
          <t>Current Rent</t>
        </is>
      </c>
      <c r="C26" s="369" t="inlineStr">
        <is>
          <t>Market Avg</t>
        </is>
      </c>
      <c r="D26" s="369" t="n"/>
      <c r="E26" s="369" t="inlineStr">
        <is>
          <t>Difference</t>
        </is>
      </c>
    </row>
    <row r="27" ht="20.25" customHeight="1" s="288">
      <c r="A27" s="370" t="inlineStr">
        <is>
          <t>2BD</t>
        </is>
      </c>
      <c r="B27" s="371" t="n">
        <v>1020</v>
      </c>
      <c r="C27" s="372" t="n">
        <v>1380</v>
      </c>
      <c r="E27" s="373" t="n">
        <v>-360</v>
      </c>
    </row>
    <row r="28" ht="20.25" customHeight="1" s="288">
      <c r="A28" s="370" t="inlineStr">
        <is>
          <t>3BD</t>
        </is>
      </c>
      <c r="B28" s="371" t="n">
        <v>1150</v>
      </c>
      <c r="C28" s="372" t="n">
        <v>1507</v>
      </c>
      <c r="E28" s="373" t="n">
        <v>-357</v>
      </c>
    </row>
  </sheetData>
  <mergeCells count="22">
    <mergeCell ref="C17"/>
    <mergeCell ref="A24:H24"/>
    <mergeCell ref="A5:AB5"/>
    <mergeCell ref="A4:Y4"/>
    <mergeCell ref="A22:AB22"/>
    <mergeCell ref="C13"/>
    <mergeCell ref="C20:D20"/>
    <mergeCell ref="C18"/>
    <mergeCell ref="C10:D10"/>
    <mergeCell ref="A25:H25"/>
    <mergeCell ref="C15"/>
    <mergeCell ref="Z4:AB4"/>
    <mergeCell ref="C9:D9"/>
    <mergeCell ref="C14"/>
    <mergeCell ref="C12:D12"/>
    <mergeCell ref="D13:D18"/>
    <mergeCell ref="C11:D11"/>
    <mergeCell ref="C16"/>
    <mergeCell ref="A6:AB6"/>
    <mergeCell ref="C8:D8"/>
    <mergeCell ref="A7:AB7"/>
    <mergeCell ref="C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7"/>
  <sheetViews>
    <sheetView showGridLines="0" topLeftCell="A1" workbookViewId="0">
      <pane ySplit="1" topLeftCell="A15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3" min="2" max="2"/>
    <col width="9.57421875" customWidth="1" style="3" min="3" max="3"/>
    <col width="35.57421875" customWidth="1" style="3" min="4" max="4"/>
    <col width="20.7109375" customWidth="1" style="3" min="5" max="5"/>
    <col width="11.140625" customWidth="1" style="3" min="6" max="6"/>
    <col width="5.8515625" customWidth="1" style="3" min="7" max="7"/>
    <col width="4.8515625" customWidth="1" style="3" min="8" max="8"/>
    <col width="6.57421875" customWidth="1" style="3" min="9" max="9"/>
    <col width="6.8515625" customWidth="1" style="3" min="10" max="11"/>
    <col width="5.28125" customWidth="1" style="3" min="12" max="12"/>
    <col width="7.57421875" customWidth="1" style="3" min="13" max="13"/>
    <col width="6.8515625" customWidth="1" style="3" min="14" max="15"/>
    <col width="5.28125" customWidth="1" style="3" min="16" max="16"/>
    <col width="7.57421875" customWidth="1" style="3" min="17" max="17"/>
    <col width="6.8515625" customWidth="1" style="3" min="18" max="19"/>
    <col width="5.28125" customWidth="1" style="3" min="20" max="20"/>
    <col width="7.57421875" customWidth="1" style="3" min="21" max="21"/>
    <col width="4.28125" customWidth="1" style="3" min="22" max="22"/>
    <col width="5.7109375" customWidth="1" style="3" min="23" max="23"/>
    <col width="4.8515625" customWidth="1" style="3" min="24" max="24"/>
    <col width="4.7109375" customWidth="1" style="3" min="25" max="25"/>
    <col width="6.28125" customWidth="1" style="3" min="26" max="26"/>
    <col width="4.7109375" customWidth="1" style="3" min="27" max="28"/>
    <col width="5.421875" customWidth="1" style="3" min="29" max="29"/>
    <col width="9.28125" customWidth="1" style="3" min="30" max="30"/>
    <col width="48.57421875" customWidth="1" style="3" min="31" max="31"/>
    <col width="33.57421875" customWidth="1" style="3" min="32" max="32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inlineStr">
        <is>
          <t>RENT COMPARABLES ANALYSIS  —  OPA LOCKA 135TH ST  |  OPA LOCKA, FL 33054</t>
        </is>
      </c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18 - Opa Locka  |  65 Units  |  Section 8 / HUD  |  1BD, 2BD &amp; 3BD</t>
        </is>
      </c>
      <c r="AE4" s="294" t="n"/>
      <c r="AF4" s="295" t="n"/>
    </row>
    <row r="5" ht="18" customFormat="1" customHeight="1" s="3">
      <c r="B5" s="234" t="inlineStr">
        <is>
          <t>2860 NW 135th Street, Opa Locka, FL 33054  |  Miami-Dade County  |  Miami MSA  |  FY2026 FMR: 1BD $1,736 / 2BD $2,376 / 3BD $3,044</t>
        </is>
      </c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April 30, 2026  |  Sources: Apartments.com, HUD FMR Database, HUD Multifamily Assisted Housing, Apartment Corp Records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71" t="inlineStr">
        <is>
          <t>★</t>
        </is>
      </c>
      <c r="C9" s="237" t="inlineStr">
        <is>
          <t>SUBJECT</t>
        </is>
      </c>
      <c r="D9" s="238" t="inlineStr">
        <is>
          <t>Opa Locka 135th St (SUBJECT)</t>
        </is>
      </c>
      <c r="E9" s="239" t="inlineStr">
        <is>
          <t>2860 NW 135th Street</t>
        </is>
      </c>
      <c r="F9" s="239" t="inlineStr">
        <is>
          <t>Opa Locka</t>
        </is>
      </c>
      <c r="G9" s="239" t="inlineStr">
        <is>
          <t>FL</t>
        </is>
      </c>
      <c r="H9" s="239" t="inlineStr">
        <is>
          <t>33054</t>
        </is>
      </c>
      <c r="I9" s="239" t="inlineStr">
        <is>
          <t>0.0 mi</t>
        </is>
      </c>
      <c r="J9" s="239" t="inlineStr">
        <is>
          <t>$3,872</t>
        </is>
      </c>
      <c r="K9" s="239" t="inlineStr">
        <is>
          <t>$4,647</t>
        </is>
      </c>
      <c r="L9" s="239" t="inlineStr">
        <is>
          <t>$1,736</t>
        </is>
      </c>
      <c r="M9" s="374" t="n">
        <v>1470</v>
      </c>
      <c r="N9" s="239" t="inlineStr">
        <is>
          <t>$4,645</t>
        </is>
      </c>
      <c r="O9" s="239" t="inlineStr">
        <is>
          <t>$5,575</t>
        </is>
      </c>
      <c r="P9" s="239" t="inlineStr">
        <is>
          <t>$2,376</t>
        </is>
      </c>
      <c r="Q9" s="374" t="n">
        <v>1800</v>
      </c>
      <c r="R9" s="239" t="inlineStr">
        <is>
          <t>$5,162</t>
        </is>
      </c>
      <c r="S9" s="239" t="inlineStr">
        <is>
          <t>$6,195</t>
        </is>
      </c>
      <c r="T9" s="239" t="inlineStr">
        <is>
          <t>$3,044</t>
        </is>
      </c>
      <c r="U9" s="374" t="n">
        <v>2320</v>
      </c>
      <c r="V9" s="239" t="n">
        <v>65</v>
      </c>
      <c r="W9" s="239" t="n">
        <v>1968</v>
      </c>
      <c r="X9" s="239" t="n">
        <v>0</v>
      </c>
      <c r="Y9" s="241" t="inlineStr">
        <is>
          <t>Yes</t>
        </is>
      </c>
      <c r="Z9" s="242" t="inlineStr">
        <is>
          <t>No</t>
        </is>
      </c>
      <c r="AA9" s="242" t="inlineStr">
        <is>
          <t>No</t>
        </is>
      </c>
      <c r="AB9" s="242" t="inlineStr">
        <is>
          <t>No</t>
        </is>
      </c>
      <c r="AC9" s="242" t="inlineStr">
        <is>
          <t>No</t>
        </is>
      </c>
      <c r="AD9" s="237" t="inlineStr">
        <is>
          <t>SUBJECT</t>
        </is>
      </c>
      <c r="AE9" s="243" t="inlineStr">
        <is>
          <t>65 units | Section 8/HUD. Year built: 1968. Subject property.</t>
        </is>
      </c>
      <c r="AF9" s="244" t="inlineStr">
        <is>
          <t>Apartment Corp Records</t>
        </is>
      </c>
    </row>
    <row r="10" ht="21.75" customFormat="1" customHeight="1" s="3">
      <c r="B10" s="78" t="inlineStr">
        <is>
          <t>1</t>
        </is>
      </c>
      <c r="C10" s="245" t="inlineStr">
        <is>
          <t>AFFORDABLE</t>
        </is>
      </c>
      <c r="D10" s="246" t="inlineStr">
        <is>
          <t>Liberty City Manor</t>
        </is>
      </c>
      <c r="E10" s="81" t="inlineStr">
        <is>
          <t>6200 NW 7th Ave</t>
        </is>
      </c>
      <c r="F10" s="81" t="inlineStr">
        <is>
          <t>Miami</t>
        </is>
      </c>
      <c r="G10" s="81" t="inlineStr">
        <is>
          <t>FL</t>
        </is>
      </c>
      <c r="H10" s="81" t="inlineStr">
        <is>
          <t>33150</t>
        </is>
      </c>
      <c r="I10" s="81" t="inlineStr">
        <is>
          <t>8.5 mi</t>
        </is>
      </c>
      <c r="J10" s="81" t="inlineStr">
        <is>
          <t>$3,872</t>
        </is>
      </c>
      <c r="K10" s="81" t="inlineStr">
        <is>
          <t>$4,647</t>
        </is>
      </c>
      <c r="L10" s="81" t="inlineStr">
        <is>
          <t>$1,736</t>
        </is>
      </c>
      <c r="M10" s="81" t="inlineStr">
        <is>
          <t>Not Listed</t>
        </is>
      </c>
      <c r="N10" s="81" t="inlineStr">
        <is>
          <t>$4,645</t>
        </is>
      </c>
      <c r="O10" s="81" t="inlineStr">
        <is>
          <t>$5,575</t>
        </is>
      </c>
      <c r="P10" s="81" t="inlineStr">
        <is>
          <t>$2,376</t>
        </is>
      </c>
      <c r="Q10" s="81" t="inlineStr">
        <is>
          <t>Not Listed</t>
        </is>
      </c>
      <c r="R10" s="81" t="inlineStr">
        <is>
          <t>$5,162</t>
        </is>
      </c>
      <c r="S10" s="81" t="inlineStr">
        <is>
          <t>$6,195</t>
        </is>
      </c>
      <c r="T10" s="81" t="inlineStr">
        <is>
          <t>$3,044</t>
        </is>
      </c>
      <c r="U10" s="81" t="inlineStr">
        <is>
          <t>Not Listed</t>
        </is>
      </c>
      <c r="V10" s="81" t="n">
        <v>64</v>
      </c>
      <c r="W10" s="81" t="n">
        <v>1968</v>
      </c>
      <c r="X10" s="81" t="n">
        <v>0</v>
      </c>
      <c r="Y10" s="247" t="inlineStr">
        <is>
          <t>Yes</t>
        </is>
      </c>
      <c r="Z10" s="248" t="inlineStr">
        <is>
          <t>No</t>
        </is>
      </c>
      <c r="AA10" s="248" t="inlineStr">
        <is>
          <t>No</t>
        </is>
      </c>
      <c r="AB10" s="248" t="inlineStr">
        <is>
          <t>No</t>
        </is>
      </c>
      <c r="AC10" s="248" t="inlineStr">
        <is>
          <t>No</t>
        </is>
      </c>
      <c r="AD10" s="249" t="inlineStr">
        <is>
          <t>HIGH</t>
        </is>
      </c>
      <c r="AE10" s="250" t="inlineStr">
        <is>
          <t>Section 8/HUD, 1968 vintage, 64 units, 8.5 mi.</t>
        </is>
      </c>
      <c r="AF10" s="251" t="inlineStr">
        <is>
          <t>HUD Multifamily Assisted Housing</t>
        </is>
      </c>
    </row>
    <row r="11" ht="21.75" customFormat="1" customHeight="1" s="3">
      <c r="B11" s="78" t="inlineStr">
        <is>
          <t>2</t>
        </is>
      </c>
      <c r="C11" s="245" t="inlineStr">
        <is>
          <t>AFFORDABLE</t>
        </is>
      </c>
      <c r="D11" s="246" t="inlineStr">
        <is>
          <t>Hialeah Gardens Apartments</t>
        </is>
      </c>
      <c r="E11" s="81" t="inlineStr">
        <is>
          <t>1200 W 68th St</t>
        </is>
      </c>
      <c r="F11" s="81" t="inlineStr">
        <is>
          <t>Hialeah</t>
        </is>
      </c>
      <c r="G11" s="81" t="inlineStr">
        <is>
          <t>FL</t>
        </is>
      </c>
      <c r="H11" s="81" t="inlineStr">
        <is>
          <t>33012</t>
        </is>
      </c>
      <c r="I11" s="81" t="inlineStr">
        <is>
          <t>5.2 mi</t>
        </is>
      </c>
      <c r="J11" s="81" t="inlineStr">
        <is>
          <t>$3,872</t>
        </is>
      </c>
      <c r="K11" s="81" t="inlineStr">
        <is>
          <t>$4,647</t>
        </is>
      </c>
      <c r="L11" s="81" t="inlineStr">
        <is>
          <t>$1,736</t>
        </is>
      </c>
      <c r="M11" s="374" t="n">
        <v>3200</v>
      </c>
      <c r="N11" s="81" t="inlineStr">
        <is>
          <t>$4,645</t>
        </is>
      </c>
      <c r="O11" s="81" t="inlineStr">
        <is>
          <t>$5,575</t>
        </is>
      </c>
      <c r="P11" s="81" t="inlineStr">
        <is>
          <t>$2,376</t>
        </is>
      </c>
      <c r="Q11" s="374" t="n">
        <v>3896</v>
      </c>
      <c r="R11" s="81" t="inlineStr">
        <is>
          <t>$5,162</t>
        </is>
      </c>
      <c r="S11" s="81" t="inlineStr">
        <is>
          <t>$6,195</t>
        </is>
      </c>
      <c r="T11" s="81" t="inlineStr">
        <is>
          <t>$3,044</t>
        </is>
      </c>
      <c r="U11" s="374" t="n">
        <v>4686</v>
      </c>
      <c r="V11" s="81" t="n">
        <v>72</v>
      </c>
      <c r="W11" s="81" t="n">
        <v>1970</v>
      </c>
      <c r="X11" s="81" t="n">
        <v>2</v>
      </c>
      <c r="Y11" s="247" t="inlineStr">
        <is>
          <t>Yes</t>
        </is>
      </c>
      <c r="Z11" s="248" t="inlineStr">
        <is>
          <t>No</t>
        </is>
      </c>
      <c r="AA11" s="248" t="inlineStr">
        <is>
          <t>No</t>
        </is>
      </c>
      <c r="AB11" s="248" t="inlineStr">
        <is>
          <t>No</t>
        </is>
      </c>
      <c r="AC11" s="248" t="inlineStr">
        <is>
          <t>No</t>
        </is>
      </c>
      <c r="AD11" s="249" t="inlineStr">
        <is>
          <t>HIGH</t>
        </is>
      </c>
      <c r="AE11" s="250" t="inlineStr">
        <is>
          <t>Section 8/HUD, 1970 vintage, 72 units, 5.2 mi.</t>
        </is>
      </c>
      <c r="AF11" s="251" t="inlineStr">
        <is>
          <t>HUD Multifamily Assisted Housing</t>
        </is>
      </c>
    </row>
    <row r="12" ht="21.75" customFormat="1" customHeight="1" s="3">
      <c r="B12" s="78" t="inlineStr">
        <is>
          <t>3</t>
        </is>
      </c>
      <c r="C12" s="245" t="inlineStr">
        <is>
          <t>AFFORDABLE</t>
        </is>
      </c>
      <c r="D12" s="246" t="inlineStr">
        <is>
          <t>Carol City Manor</t>
        </is>
      </c>
      <c r="E12" s="81" t="inlineStr">
        <is>
          <t>18800 NW 27th Ave</t>
        </is>
      </c>
      <c r="F12" s="81" t="inlineStr">
        <is>
          <t>Miami Gardens</t>
        </is>
      </c>
      <c r="G12" s="81" t="inlineStr">
        <is>
          <t>FL</t>
        </is>
      </c>
      <c r="H12" s="81" t="inlineStr">
        <is>
          <t>33056</t>
        </is>
      </c>
      <c r="I12" s="81" t="inlineStr">
        <is>
          <t>4.1 mi</t>
        </is>
      </c>
      <c r="J12" s="81" t="inlineStr">
        <is>
          <t>$3,872</t>
        </is>
      </c>
      <c r="K12" s="81" t="inlineStr">
        <is>
          <t>$4,647</t>
        </is>
      </c>
      <c r="L12" s="81" t="inlineStr">
        <is>
          <t>$1,736</t>
        </is>
      </c>
      <c r="M12" s="81" t="inlineStr">
        <is>
          <t>Not Listed</t>
        </is>
      </c>
      <c r="N12" s="81" t="inlineStr">
        <is>
          <t>$4,645</t>
        </is>
      </c>
      <c r="O12" s="81" t="inlineStr">
        <is>
          <t>$5,575</t>
        </is>
      </c>
      <c r="P12" s="81" t="inlineStr">
        <is>
          <t>$2,376</t>
        </is>
      </c>
      <c r="Q12" s="81" t="inlineStr">
        <is>
          <t>Not Listed</t>
        </is>
      </c>
      <c r="R12" s="81" t="inlineStr">
        <is>
          <t>$5,162</t>
        </is>
      </c>
      <c r="S12" s="81" t="inlineStr">
        <is>
          <t>$6,195</t>
        </is>
      </c>
      <c r="T12" s="81" t="inlineStr">
        <is>
          <t>$3,044</t>
        </is>
      </c>
      <c r="U12" s="81" t="inlineStr">
        <is>
          <t>Not Listed</t>
        </is>
      </c>
      <c r="V12" s="81" t="n">
        <v>60</v>
      </c>
      <c r="W12" s="81" t="n">
        <v>1967</v>
      </c>
      <c r="X12" s="81" t="n">
        <v>1</v>
      </c>
      <c r="Y12" s="247" t="inlineStr">
        <is>
          <t>Yes</t>
        </is>
      </c>
      <c r="Z12" s="248" t="inlineStr">
        <is>
          <t>No</t>
        </is>
      </c>
      <c r="AA12" s="248" t="inlineStr">
        <is>
          <t>No</t>
        </is>
      </c>
      <c r="AB12" s="248" t="inlineStr">
        <is>
          <t>No</t>
        </is>
      </c>
      <c r="AC12" s="248" t="inlineStr">
        <is>
          <t>No</t>
        </is>
      </c>
      <c r="AD12" s="249" t="inlineStr">
        <is>
          <t>HIGH</t>
        </is>
      </c>
      <c r="AE12" s="250" t="inlineStr">
        <is>
          <t>Section 8/HUD, 1967 vintage, 60 units, 4.1 mi.</t>
        </is>
      </c>
      <c r="AF12" s="251" t="inlineStr">
        <is>
          <t>HUD Multifamily Assisted Housing</t>
        </is>
      </c>
    </row>
    <row r="13" ht="21.75" customFormat="1" customHeight="1" s="3">
      <c r="B13" s="78" t="inlineStr">
        <is>
          <t>4</t>
        </is>
      </c>
      <c r="C13" s="245" t="inlineStr">
        <is>
          <t>AFFORDABLE</t>
        </is>
      </c>
      <c r="D13" s="246" t="inlineStr">
        <is>
          <t>North Miami HA - Arch Creek Apts</t>
        </is>
      </c>
      <c r="E13" s="81" t="inlineStr">
        <is>
          <t>1800 NE 135th St</t>
        </is>
      </c>
      <c r="F13" s="81" t="inlineStr">
        <is>
          <t>North Miami</t>
        </is>
      </c>
      <c r="G13" s="81" t="inlineStr">
        <is>
          <t>FL</t>
        </is>
      </c>
      <c r="H13" s="81" t="inlineStr">
        <is>
          <t>33161</t>
        </is>
      </c>
      <c r="I13" s="81" t="inlineStr">
        <is>
          <t>6.8 mi</t>
        </is>
      </c>
      <c r="J13" s="81" t="inlineStr">
        <is>
          <t>$3,872</t>
        </is>
      </c>
      <c r="K13" s="81" t="inlineStr">
        <is>
          <t>$4,647</t>
        </is>
      </c>
      <c r="L13" s="81" t="inlineStr">
        <is>
          <t>$1,736</t>
        </is>
      </c>
      <c r="M13" s="81" t="inlineStr">
        <is>
          <t>Not Listed</t>
        </is>
      </c>
      <c r="N13" s="81" t="inlineStr">
        <is>
          <t>$4,645</t>
        </is>
      </c>
      <c r="O13" s="81" t="inlineStr">
        <is>
          <t>$5,575</t>
        </is>
      </c>
      <c r="P13" s="81" t="inlineStr">
        <is>
          <t>$2,376</t>
        </is>
      </c>
      <c r="Q13" s="81" t="inlineStr">
        <is>
          <t>Not Listed</t>
        </is>
      </c>
      <c r="R13" s="81" t="inlineStr">
        <is>
          <t>$5,162</t>
        </is>
      </c>
      <c r="S13" s="81" t="inlineStr">
        <is>
          <t>$6,195</t>
        </is>
      </c>
      <c r="T13" s="81" t="inlineStr">
        <is>
          <t>$3,044</t>
        </is>
      </c>
      <c r="U13" s="81" t="inlineStr">
        <is>
          <t>Not Listed</t>
        </is>
      </c>
      <c r="V13" s="81" t="n">
        <v>68</v>
      </c>
      <c r="W13" s="81" t="n">
        <v>1969</v>
      </c>
      <c r="X13" s="81" t="n">
        <v>1</v>
      </c>
      <c r="Y13" s="247" t="inlineStr">
        <is>
          <t>Yes</t>
        </is>
      </c>
      <c r="Z13" s="248" t="inlineStr">
        <is>
          <t>No</t>
        </is>
      </c>
      <c r="AA13" s="248" t="inlineStr">
        <is>
          <t>No</t>
        </is>
      </c>
      <c r="AB13" s="248" t="inlineStr">
        <is>
          <t>No</t>
        </is>
      </c>
      <c r="AC13" s="248" t="inlineStr">
        <is>
          <t>No</t>
        </is>
      </c>
      <c r="AD13" s="249" t="inlineStr">
        <is>
          <t>HIGH</t>
        </is>
      </c>
      <c r="AE13" s="250" t="inlineStr">
        <is>
          <t>Public Housing/HUD, 1969 vintage, 68 units, 6.8 mi.</t>
        </is>
      </c>
      <c r="AF13" s="251" t="inlineStr">
        <is>
          <t>HUD Multifamily Assisted Housing</t>
        </is>
      </c>
    </row>
    <row r="14" ht="21.75" customFormat="1" customHeight="1" s="3">
      <c r="B14" s="252" t="inlineStr">
        <is>
          <t>1</t>
        </is>
      </c>
      <c r="C14" s="253" t="inlineStr">
        <is>
          <t>MARKET RATE</t>
        </is>
      </c>
      <c r="D14" s="254" t="inlineStr">
        <is>
          <t>Sherbondy Villas</t>
        </is>
      </c>
      <c r="E14" s="116" t="inlineStr">
        <is>
          <t>200 S Perviz Ave</t>
        </is>
      </c>
      <c r="F14" s="116" t="inlineStr">
        <is>
          <t>Opa Locka</t>
        </is>
      </c>
      <c r="G14" s="116" t="inlineStr">
        <is>
          <t>FL</t>
        </is>
      </c>
      <c r="H14" s="116" t="inlineStr">
        <is>
          <t>33054</t>
        </is>
      </c>
      <c r="I14" s="116" t="inlineStr">
        <is>
          <t>1.2 mi</t>
        </is>
      </c>
      <c r="J14" s="116" t="inlineStr">
        <is>
          <t>N/A</t>
        </is>
      </c>
      <c r="K14" s="116" t="inlineStr">
        <is>
          <t>N/A</t>
        </is>
      </c>
      <c r="L14" s="116" t="inlineStr">
        <is>
          <t>$1,736</t>
        </is>
      </c>
      <c r="M14" s="374" t="n">
        <v>1400</v>
      </c>
      <c r="N14" s="116" t="inlineStr">
        <is>
          <t>N/A</t>
        </is>
      </c>
      <c r="O14" s="116" t="inlineStr">
        <is>
          <t>N/A</t>
        </is>
      </c>
      <c r="P14" s="116" t="inlineStr">
        <is>
          <t>$2,376</t>
        </is>
      </c>
      <c r="Q14" s="255" t="inlineStr">
        <is>
          <t>N/A</t>
        </is>
      </c>
      <c r="R14" s="116" t="inlineStr">
        <is>
          <t>N/A</t>
        </is>
      </c>
      <c r="S14" s="116" t="inlineStr">
        <is>
          <t>N/A</t>
        </is>
      </c>
      <c r="T14" s="116" t="inlineStr">
        <is>
          <t>$3,044</t>
        </is>
      </c>
      <c r="U14" s="255" t="inlineStr">
        <is>
          <t>N/A</t>
        </is>
      </c>
      <c r="V14" s="116" t="n">
        <v>32</v>
      </c>
      <c r="W14" s="116" t="n">
        <v>1967</v>
      </c>
      <c r="X14" s="116" t="n">
        <v>1</v>
      </c>
      <c r="Y14" s="256" t="inlineStr">
        <is>
          <t>No</t>
        </is>
      </c>
      <c r="Z14" s="256" t="inlineStr">
        <is>
          <t>No</t>
        </is>
      </c>
      <c r="AA14" s="256" t="inlineStr">
        <is>
          <t>No</t>
        </is>
      </c>
      <c r="AB14" s="256" t="inlineStr">
        <is>
          <t>No</t>
        </is>
      </c>
      <c r="AC14" s="256" t="inlineStr">
        <is>
          <t>No</t>
        </is>
      </c>
      <c r="AD14" s="249" t="inlineStr">
        <is>
          <t>HIGH</t>
        </is>
      </c>
      <c r="AE14" s="257" t="inlineStr">
        <is>
          <t>No income restrictions, 1967 vintage, 32 units, 1.2 mi. 1BD $1,400.</t>
        </is>
      </c>
      <c r="AF14" s="258" t="inlineStr">
        <is>
          <t>apartments.com/sherbondy-villas-opa-locka-fl/</t>
        </is>
      </c>
    </row>
    <row r="15" ht="21.75" customFormat="1" customHeight="1" s="3">
      <c r="B15" s="252" t="inlineStr">
        <is>
          <t>2</t>
        </is>
      </c>
      <c r="C15" s="253" t="inlineStr">
        <is>
          <t>MARKET RATE</t>
        </is>
      </c>
      <c r="D15" s="254" t="inlineStr">
        <is>
          <t>Wellspring Apartments</t>
        </is>
      </c>
      <c r="E15" s="116" t="inlineStr">
        <is>
          <t>14701 NW 27th Ave</t>
        </is>
      </c>
      <c r="F15" s="116" t="inlineStr">
        <is>
          <t>Opa Locka</t>
        </is>
      </c>
      <c r="G15" s="116" t="inlineStr">
        <is>
          <t>FL</t>
        </is>
      </c>
      <c r="H15" s="116" t="inlineStr">
        <is>
          <t>33054</t>
        </is>
      </c>
      <c r="I15" s="116" t="inlineStr">
        <is>
          <t>1.8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$1,736</t>
        </is>
      </c>
      <c r="M15" s="374" t="n">
        <v>1989</v>
      </c>
      <c r="N15" s="116" t="inlineStr">
        <is>
          <t>N/A</t>
        </is>
      </c>
      <c r="O15" s="116" t="inlineStr">
        <is>
          <t>N/A</t>
        </is>
      </c>
      <c r="P15" s="116" t="inlineStr">
        <is>
          <t>$2,376</t>
        </is>
      </c>
      <c r="Q15" s="374" t="n">
        <v>2440</v>
      </c>
      <c r="R15" s="116" t="inlineStr">
        <is>
          <t>N/A</t>
        </is>
      </c>
      <c r="S15" s="116" t="inlineStr">
        <is>
          <t>N/A</t>
        </is>
      </c>
      <c r="T15" s="116" t="inlineStr">
        <is>
          <t>$3,044</t>
        </is>
      </c>
      <c r="U15" s="255" t="inlineStr">
        <is>
          <t>N/A</t>
        </is>
      </c>
      <c r="V15" s="116" t="inlineStr">
        <is>
          <t>N/A</t>
        </is>
      </c>
      <c r="W15" s="116" t="n">
        <v>2024</v>
      </c>
      <c r="X15" s="116" t="n">
        <v>56</v>
      </c>
      <c r="Y15" s="256" t="inlineStr">
        <is>
          <t>No</t>
        </is>
      </c>
      <c r="Z15" s="259" t="inlineStr">
        <is>
          <t>Yes</t>
        </is>
      </c>
      <c r="AA15" s="256" t="inlineStr">
        <is>
          <t>No</t>
        </is>
      </c>
      <c r="AB15" s="259" t="inlineStr">
        <is>
          <t>Yes</t>
        </is>
      </c>
      <c r="AC15" s="256" t="inlineStr">
        <is>
          <t>No</t>
        </is>
      </c>
      <c r="AD15" s="249" t="inlineStr">
        <is>
          <t>HIGH</t>
        </is>
      </c>
      <c r="AE15" s="257" t="inlineStr">
        <is>
          <t>No income restrictions, 2024 vintage, 1.8 mi. 1BD $1,989 / 2BD $2,440.</t>
        </is>
      </c>
      <c r="AF15" s="258" t="inlineStr">
        <is>
          <t>apartments.com/wellspring-apartments-opa-locka-fl/</t>
        </is>
      </c>
    </row>
    <row r="16" ht="21.75" customFormat="1" customHeight="1" s="3">
      <c r="B16" s="252" t="inlineStr">
        <is>
          <t>3</t>
        </is>
      </c>
      <c r="C16" s="253" t="inlineStr">
        <is>
          <t>MARKET RATE</t>
        </is>
      </c>
      <c r="D16" s="254" t="inlineStr">
        <is>
          <t>Individual Units — 33054 (avg)</t>
        </is>
      </c>
      <c r="E16" s="116" t="inlineStr">
        <is>
          <t>Various, Opa Locka, FL 33054</t>
        </is>
      </c>
      <c r="F16" s="116" t="inlineStr">
        <is>
          <t>Opa Locka</t>
        </is>
      </c>
      <c r="G16" s="116" t="inlineStr">
        <is>
          <t>FL</t>
        </is>
      </c>
      <c r="H16" s="116" t="inlineStr">
        <is>
          <t>33054</t>
        </is>
      </c>
      <c r="I16" s="116" t="inlineStr">
        <is>
          <t>&lt; 3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$1,736</t>
        </is>
      </c>
      <c r="M16" s="374" t="n">
        <v>1300</v>
      </c>
      <c r="N16" s="116" t="inlineStr">
        <is>
          <t>N/A</t>
        </is>
      </c>
      <c r="O16" s="116" t="inlineStr">
        <is>
          <t>N/A</t>
        </is>
      </c>
      <c r="P16" s="116" t="inlineStr">
        <is>
          <t>$2,376</t>
        </is>
      </c>
      <c r="Q16" s="374" t="n">
        <v>1760</v>
      </c>
      <c r="R16" s="116" t="inlineStr">
        <is>
          <t>N/A</t>
        </is>
      </c>
      <c r="S16" s="116" t="inlineStr">
        <is>
          <t>N/A</t>
        </is>
      </c>
      <c r="T16" s="116" t="inlineStr">
        <is>
          <t>$3,044</t>
        </is>
      </c>
      <c r="U16" s="374" t="n">
        <v>2598</v>
      </c>
      <c r="V16" s="116" t="inlineStr">
        <is>
          <t>N/A</t>
        </is>
      </c>
      <c r="W16" s="116" t="inlineStr">
        <is>
          <t>Various</t>
        </is>
      </c>
      <c r="X16" s="116" t="inlineStr">
        <is>
          <t>N/A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Varies</t>
        </is>
      </c>
      <c r="AD16" s="249" t="inlineStr">
        <is>
          <t>HIGH</t>
        </is>
      </c>
      <c r="AE16" s="257" t="inlineStr">
        <is>
          <t>Individual units in 33054 ZIP, avg rents. 1BD $1,300 / 2BD $1,760 / 3BD $2,598.</t>
        </is>
      </c>
      <c r="AF16" s="258" t="inlineStr">
        <is>
          <t>Apartments.com / Zillow</t>
        </is>
      </c>
    </row>
    <row r="17" ht="21.75" customFormat="1" customHeight="1" s="3">
      <c r="B17" s="252" t="inlineStr">
        <is>
          <t>4</t>
        </is>
      </c>
      <c r="C17" s="253" t="inlineStr">
        <is>
          <t>MARKET RATE</t>
        </is>
      </c>
      <c r="D17" s="254" t="inlineStr">
        <is>
          <t>Oak Enclave</t>
        </is>
      </c>
      <c r="E17" s="116" t="inlineStr">
        <is>
          <t>2301 NW 167th St</t>
        </is>
      </c>
      <c r="F17" s="116" t="inlineStr">
        <is>
          <t>Miami Gardens</t>
        </is>
      </c>
      <c r="G17" s="116" t="inlineStr">
        <is>
          <t>FL</t>
        </is>
      </c>
      <c r="H17" s="116" t="inlineStr">
        <is>
          <t>33056</t>
        </is>
      </c>
      <c r="I17" s="116" t="inlineStr">
        <is>
          <t>3.1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$1,736</t>
        </is>
      </c>
      <c r="M17" s="374" t="n">
        <v>2000</v>
      </c>
      <c r="N17" s="116" t="inlineStr">
        <is>
          <t>N/A</t>
        </is>
      </c>
      <c r="O17" s="116" t="inlineStr">
        <is>
          <t>N/A</t>
        </is>
      </c>
      <c r="P17" s="116" t="inlineStr">
        <is>
          <t>$2,376</t>
        </is>
      </c>
      <c r="Q17" s="374" t="n">
        <v>2240</v>
      </c>
      <c r="R17" s="116" t="inlineStr">
        <is>
          <t>N/A</t>
        </is>
      </c>
      <c r="S17" s="116" t="inlineStr">
        <is>
          <t>N/A</t>
        </is>
      </c>
      <c r="T17" s="116" t="inlineStr">
        <is>
          <t>$3,044</t>
        </is>
      </c>
      <c r="U17" s="374" t="n">
        <v>2670</v>
      </c>
      <c r="V17" s="116" t="inlineStr">
        <is>
          <t>N/A</t>
        </is>
      </c>
      <c r="W17" s="116" t="inlineStr">
        <is>
          <t>N/A</t>
        </is>
      </c>
      <c r="X17" s="116" t="inlineStr">
        <is>
          <t>N/A</t>
        </is>
      </c>
      <c r="Y17" s="116" t="inlineStr">
        <is>
          <t>N/A</t>
        </is>
      </c>
      <c r="Z17" s="116" t="inlineStr">
        <is>
          <t>N/A</t>
        </is>
      </c>
      <c r="AA17" s="116" t="inlineStr">
        <is>
          <t>N/A</t>
        </is>
      </c>
      <c r="AB17" s="256" t="inlineStr">
        <is>
          <t>No</t>
        </is>
      </c>
      <c r="AC17" s="256" t="inlineStr">
        <is>
          <t>No</t>
        </is>
      </c>
      <c r="AD17" s="249" t="inlineStr">
        <is>
          <t>HIGH</t>
        </is>
      </c>
      <c r="AE17" s="257" t="inlineStr">
        <is>
          <t>No income restrictions, 3.1 mi. 1BD $2,000 / 2BD $2,240 / 3BD $2,670.</t>
        </is>
      </c>
      <c r="AF17" s="258" t="inlineStr">
        <is>
          <t>apartments.com/oak-enclave-miami-gardens-fl/</t>
        </is>
      </c>
    </row>
    <row r="18" ht="21.75" customFormat="1" customHeight="1" s="3">
      <c r="B18" s="252" t="inlineStr">
        <is>
          <t>5</t>
        </is>
      </c>
      <c r="C18" s="253" t="inlineStr">
        <is>
          <t>MARKET RATE</t>
        </is>
      </c>
      <c r="D18" s="254" t="inlineStr">
        <is>
          <t>Emerald Bay</t>
        </is>
      </c>
      <c r="E18" s="116" t="inlineStr">
        <is>
          <t>8570 W 40th Ave</t>
        </is>
      </c>
      <c r="F18" s="116" t="inlineStr">
        <is>
          <t>Hialeah</t>
        </is>
      </c>
      <c r="G18" s="116" t="inlineStr">
        <is>
          <t>FL</t>
        </is>
      </c>
      <c r="H18" s="116" t="inlineStr">
        <is>
          <t>33018</t>
        </is>
      </c>
      <c r="I18" s="116" t="inlineStr">
        <is>
          <t>6.0 mi</t>
        </is>
      </c>
      <c r="J18" s="116" t="inlineStr">
        <is>
          <t>N/A</t>
        </is>
      </c>
      <c r="K18" s="116" t="inlineStr">
        <is>
          <t>N/A</t>
        </is>
      </c>
      <c r="L18" s="116" t="inlineStr">
        <is>
          <t>$1,736</t>
        </is>
      </c>
      <c r="M18" s="374" t="n">
        <v>1900</v>
      </c>
      <c r="N18" s="116" t="inlineStr">
        <is>
          <t>N/A</t>
        </is>
      </c>
      <c r="O18" s="116" t="inlineStr">
        <is>
          <t>N/A</t>
        </is>
      </c>
      <c r="P18" s="116" t="inlineStr">
        <is>
          <t>$2,376</t>
        </is>
      </c>
      <c r="Q18" s="374" t="n">
        <v>2200</v>
      </c>
      <c r="R18" s="116" t="inlineStr">
        <is>
          <t>N/A</t>
        </is>
      </c>
      <c r="S18" s="116" t="inlineStr">
        <is>
          <t>N/A</t>
        </is>
      </c>
      <c r="T18" s="116" t="inlineStr">
        <is>
          <t>$3,044</t>
        </is>
      </c>
      <c r="U18" s="255" t="inlineStr">
        <is>
          <t>N/A</t>
        </is>
      </c>
      <c r="V18" s="116" t="inlineStr">
        <is>
          <t>N/A</t>
        </is>
      </c>
      <c r="W18" s="116" t="n">
        <v>2020</v>
      </c>
      <c r="X18" s="116" t="n">
        <v>52</v>
      </c>
      <c r="Y18" s="256" t="inlineStr">
        <is>
          <t>No</t>
        </is>
      </c>
      <c r="Z18" s="259" t="inlineStr">
        <is>
          <t>Yes</t>
        </is>
      </c>
      <c r="AA18" s="259" t="inlineStr">
        <is>
          <t>Yes</t>
        </is>
      </c>
      <c r="AB18" s="259" t="inlineStr">
        <is>
          <t>Yes</t>
        </is>
      </c>
      <c r="AC18" s="259" t="inlineStr">
        <is>
          <t>Yes</t>
        </is>
      </c>
      <c r="AD18" s="249" t="inlineStr">
        <is>
          <t>HIGH</t>
        </is>
      </c>
      <c r="AE18" s="257" t="inlineStr">
        <is>
          <t>No income restrictions, 2020 vintage, 6.0 mi. 1BD $1,900 / 2BD $2,200.</t>
        </is>
      </c>
      <c r="AF18" s="258" t="inlineStr">
        <is>
          <t>apartments.com/emerald-bay-hialeah-fl/</t>
        </is>
      </c>
    </row>
    <row r="19" ht="21.75" customFormat="1" customHeight="1" s="3">
      <c r="B19" s="252" t="inlineStr">
        <is>
          <t>6</t>
        </is>
      </c>
      <c r="C19" s="253" t="inlineStr">
        <is>
          <t>MARKET RATE</t>
        </is>
      </c>
      <c r="D19" s="254" t="inlineStr">
        <is>
          <t>The Oasis at Opa Locka</t>
        </is>
      </c>
      <c r="E19" s="116" t="inlineStr">
        <is>
          <t>13400 NW 22nd Ave</t>
        </is>
      </c>
      <c r="F19" s="116" t="inlineStr">
        <is>
          <t>Opa Locka</t>
        </is>
      </c>
      <c r="G19" s="116" t="inlineStr">
        <is>
          <t>FL</t>
        </is>
      </c>
      <c r="H19" s="116" t="inlineStr">
        <is>
          <t>33054</t>
        </is>
      </c>
      <c r="I19" s="116" t="inlineStr">
        <is>
          <t>2.5 mi</t>
        </is>
      </c>
      <c r="J19" s="116" t="inlineStr">
        <is>
          <t>N/A</t>
        </is>
      </c>
      <c r="K19" s="116" t="inlineStr">
        <is>
          <t>N/A</t>
        </is>
      </c>
      <c r="L19" s="116" t="inlineStr">
        <is>
          <t>$1,736</t>
        </is>
      </c>
      <c r="M19" s="374" t="n">
        <v>1750</v>
      </c>
      <c r="N19" s="116" t="inlineStr">
        <is>
          <t>N/A</t>
        </is>
      </c>
      <c r="O19" s="116" t="inlineStr">
        <is>
          <t>N/A</t>
        </is>
      </c>
      <c r="P19" s="116" t="inlineStr">
        <is>
          <t>$2,376</t>
        </is>
      </c>
      <c r="Q19" s="374" t="n">
        <v>2100</v>
      </c>
      <c r="R19" s="116" t="inlineStr">
        <is>
          <t>N/A</t>
        </is>
      </c>
      <c r="S19" s="116" t="inlineStr">
        <is>
          <t>N/A</t>
        </is>
      </c>
      <c r="T19" s="116" t="inlineStr">
        <is>
          <t>$3,044</t>
        </is>
      </c>
      <c r="U19" s="374" t="n">
        <v>2500</v>
      </c>
      <c r="V19" s="116" t="inlineStr">
        <is>
          <t>N/A</t>
        </is>
      </c>
      <c r="W19" s="116" t="n">
        <v>2018</v>
      </c>
      <c r="X19" s="116" t="n">
        <v>50</v>
      </c>
      <c r="Y19" s="256" t="inlineStr">
        <is>
          <t>No</t>
        </is>
      </c>
      <c r="Z19" s="259" t="inlineStr">
        <is>
          <t>Yes</t>
        </is>
      </c>
      <c r="AA19" s="259" t="inlineStr">
        <is>
          <t>Yes</t>
        </is>
      </c>
      <c r="AB19" s="259" t="inlineStr">
        <is>
          <t>Yes</t>
        </is>
      </c>
      <c r="AC19" s="256" t="inlineStr">
        <is>
          <t>No</t>
        </is>
      </c>
      <c r="AD19" s="249" t="inlineStr">
        <is>
          <t>HIGH</t>
        </is>
      </c>
      <c r="AE19" s="257" t="inlineStr">
        <is>
          <t>No income restrictions, 2018 vintage, 2.5 mi. 1BD $1,750 / 2BD $2,100 / 3BD $2,500.</t>
        </is>
      </c>
      <c r="AF19" s="258" t="inlineStr">
        <is>
          <t>apartments.com/the-oasis-at-opa-locka-fl/</t>
        </is>
      </c>
    </row>
    <row r="20" ht="21.75" customFormat="1" customHeight="1" s="3">
      <c r="B20" s="260" t="inlineStr">
        <is>
          <t>—</t>
        </is>
      </c>
      <c r="C20" s="261" t="inlineStr">
        <is>
          <t>BENCHMARK</t>
        </is>
      </c>
      <c r="D20" s="262" t="inlineStr">
        <is>
          <t>FY2026 FMR — Miami-Dade County</t>
        </is>
      </c>
      <c r="E20" s="263" t="inlineStr">
        <is>
          <t>N/A</t>
        </is>
      </c>
      <c r="F20" s="263" t="inlineStr">
        <is>
          <t>Opa Locka</t>
        </is>
      </c>
      <c r="G20" s="263" t="inlineStr">
        <is>
          <t>FL</t>
        </is>
      </c>
      <c r="H20" s="263" t="inlineStr">
        <is>
          <t>N/A</t>
        </is>
      </c>
      <c r="I20" s="263" t="inlineStr">
        <is>
          <t>N/A</t>
        </is>
      </c>
      <c r="J20" s="263" t="inlineStr">
        <is>
          <t>$1,736</t>
        </is>
      </c>
      <c r="K20" s="263" t="inlineStr">
        <is>
          <t>$1,736</t>
        </is>
      </c>
      <c r="L20" s="263" t="inlineStr">
        <is>
          <t>$1,736</t>
        </is>
      </c>
      <c r="M20" s="263" t="inlineStr">
        <is>
          <t>N/A</t>
        </is>
      </c>
      <c r="N20" s="263" t="inlineStr">
        <is>
          <t>$2,376</t>
        </is>
      </c>
      <c r="O20" s="263" t="inlineStr">
        <is>
          <t>$2,376</t>
        </is>
      </c>
      <c r="P20" s="263" t="inlineStr">
        <is>
          <t>$2,376</t>
        </is>
      </c>
      <c r="Q20" s="263" t="inlineStr">
        <is>
          <t>N/A</t>
        </is>
      </c>
      <c r="R20" s="263" t="inlineStr">
        <is>
          <t>$3,044</t>
        </is>
      </c>
      <c r="S20" s="263" t="inlineStr">
        <is>
          <t>$3,044</t>
        </is>
      </c>
      <c r="T20" s="263" t="inlineStr">
        <is>
          <t>$3,044</t>
        </is>
      </c>
      <c r="U20" s="263" t="inlineStr">
        <is>
          <t>N/A</t>
        </is>
      </c>
      <c r="V20" s="263" t="inlineStr">
        <is>
          <t>N/A</t>
        </is>
      </c>
      <c r="W20" s="263" t="inlineStr">
        <is>
          <t>N/A</t>
        </is>
      </c>
      <c r="X20" s="263" t="inlineStr">
        <is>
          <t>N/A</t>
        </is>
      </c>
      <c r="Y20" s="263" t="inlineStr">
        <is>
          <t>N/A</t>
        </is>
      </c>
      <c r="Z20" s="263" t="inlineStr">
        <is>
          <t>N/A</t>
        </is>
      </c>
      <c r="AA20" s="263" t="inlineStr">
        <is>
          <t>N/A</t>
        </is>
      </c>
      <c r="AB20" s="263" t="inlineStr">
        <is>
          <t>N/A</t>
        </is>
      </c>
      <c r="AC20" s="263" t="inlineStr">
        <is>
          <t>N/A</t>
        </is>
      </c>
      <c r="AD20" s="253" t="inlineStr">
        <is>
          <t>BENCHMARK</t>
        </is>
      </c>
      <c r="AE20" s="264" t="inlineStr">
        <is>
          <t>HUD FMR for Miami-Dade County, FY2026.</t>
        </is>
      </c>
      <c r="AF20" s="265" t="inlineStr">
        <is>
          <t>HUD FMR Database (huduser.gov)</t>
        </is>
      </c>
    </row>
    <row r="21" ht="21.75" customFormat="1" customHeight="1" s="3">
      <c r="B21" s="147" t="inlineStr">
        <is>
          <t>—</t>
        </is>
      </c>
      <c r="C21" s="261" t="inlineStr">
        <is>
          <t>BENCHMARK</t>
        </is>
      </c>
      <c r="D21" s="266" t="inlineStr">
        <is>
          <t>Metro Market Avg — Opa Locka/Miami (Apr 2026)</t>
        </is>
      </c>
      <c r="E21" s="267" t="inlineStr">
        <is>
          <t>N/A</t>
        </is>
      </c>
      <c r="F21" s="267" t="inlineStr">
        <is>
          <t>Opa Locka</t>
        </is>
      </c>
      <c r="G21" s="267" t="inlineStr">
        <is>
          <t>FL</t>
        </is>
      </c>
      <c r="H21" s="267" t="inlineStr">
        <is>
          <t>N/A</t>
        </is>
      </c>
      <c r="I21" s="267" t="inlineStr">
        <is>
          <t>N/A</t>
        </is>
      </c>
      <c r="J21" s="267" t="inlineStr">
        <is>
          <t>$1,723</t>
        </is>
      </c>
      <c r="K21" s="267" t="inlineStr">
        <is>
          <t>$1,723</t>
        </is>
      </c>
      <c r="L21" s="267" t="inlineStr">
        <is>
          <t>$1,723</t>
        </is>
      </c>
      <c r="M21" s="267" t="inlineStr">
        <is>
          <t>$1,723</t>
        </is>
      </c>
      <c r="N21" s="267" t="inlineStr">
        <is>
          <t>$2,148</t>
        </is>
      </c>
      <c r="O21" s="267" t="inlineStr">
        <is>
          <t>$2,148</t>
        </is>
      </c>
      <c r="P21" s="267" t="inlineStr">
        <is>
          <t>$2,148</t>
        </is>
      </c>
      <c r="Q21" s="267" t="inlineStr">
        <is>
          <t>$2,148</t>
        </is>
      </c>
      <c r="R21" s="267" t="inlineStr">
        <is>
          <t>$2,589</t>
        </is>
      </c>
      <c r="S21" s="267" t="inlineStr">
        <is>
          <t>$2,589</t>
        </is>
      </c>
      <c r="T21" s="267" t="inlineStr">
        <is>
          <t>$2,589</t>
        </is>
      </c>
      <c r="U21" s="267" t="inlineStr">
        <is>
          <t>$2,589</t>
        </is>
      </c>
      <c r="V21" s="267" t="inlineStr">
        <is>
          <t>N/A</t>
        </is>
      </c>
      <c r="W21" s="267" t="inlineStr">
        <is>
          <t>N/A</t>
        </is>
      </c>
      <c r="X21" s="267" t="inlineStr">
        <is>
          <t>N/A</t>
        </is>
      </c>
      <c r="Y21" s="267" t="inlineStr">
        <is>
          <t>N/A</t>
        </is>
      </c>
      <c r="Z21" s="267" t="inlineStr">
        <is>
          <t>N/A</t>
        </is>
      </c>
      <c r="AA21" s="267" t="inlineStr">
        <is>
          <t>N/A</t>
        </is>
      </c>
      <c r="AB21" s="267" t="inlineStr">
        <is>
          <t>N/A</t>
        </is>
      </c>
      <c r="AC21" s="267" t="inlineStr">
        <is>
          <t>N/A</t>
        </is>
      </c>
      <c r="AD21" s="253" t="inlineStr">
        <is>
          <t>BENCHMARK</t>
        </is>
      </c>
      <c r="AE21" s="268" t="inlineStr">
        <is>
          <t>Live Market Average from 6 comps, Apr 30, 2026. 1BD avg $1,723 / 2BD avg $2,148 / 3BD avg $2,589.</t>
        </is>
      </c>
      <c r="AF21" s="269" t="inlineStr">
        <is>
          <t>Apartments.com live data, Apr 30, 2026</t>
        </is>
      </c>
    </row>
    <row r="23" ht="14.25" customFormat="1" customHeight="1" s="3">
      <c r="B23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3" s="294" t="n"/>
      <c r="D23" s="294" t="n"/>
      <c r="E23" s="294" t="n"/>
      <c r="F23" s="294" t="n"/>
      <c r="G23" s="294" t="n"/>
      <c r="H23" s="294" t="n"/>
      <c r="I23" s="294" t="n"/>
      <c r="J23" s="294" t="n"/>
      <c r="K23" s="294" t="n"/>
      <c r="L23" s="294" t="n"/>
      <c r="M23" s="294" t="n"/>
      <c r="N23" s="294" t="n"/>
      <c r="O23" s="294" t="n"/>
      <c r="P23" s="294" t="n"/>
      <c r="Q23" s="294" t="n"/>
      <c r="R23" s="294" t="n"/>
      <c r="S23" s="294" t="n"/>
      <c r="T23" s="294" t="n"/>
      <c r="U23" s="294" t="n"/>
      <c r="V23" s="294" t="n"/>
      <c r="W23" s="294" t="n"/>
      <c r="X23" s="294" t="n"/>
      <c r="Y23" s="294" t="n"/>
      <c r="Z23" s="294" t="n"/>
      <c r="AA23" s="294" t="n"/>
      <c r="AB23" s="294" t="n"/>
      <c r="AC23" s="294" t="n"/>
      <c r="AD23" s="294" t="n"/>
      <c r="AE23" s="294" t="n"/>
      <c r="AF23" s="295" t="n"/>
    </row>
    <row r="25" ht="18" customFormat="1" customHeight="1" s="3">
      <c r="B25" s="270" t="inlineStr">
        <is>
          <t>CURRENT RENT vs. MARKET AVERAGE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B26" s="235" t="inlineStr">
        <is>
          <t>Market Average = Avg of Actual Advertised Rents from 6 Market-Rate Comps (Apartments.com)</t>
        </is>
      </c>
      <c r="C26" s="294" t="n"/>
      <c r="D26" s="294" t="n"/>
      <c r="E26" s="294" t="n"/>
      <c r="F26" s="294" t="n"/>
      <c r="G26" s="294" t="n"/>
      <c r="H26" s="295" t="n"/>
    </row>
    <row r="27" ht="15.75" customFormat="1" customHeight="1" s="3">
      <c r="C27" s="271" t="inlineStr">
        <is>
          <t>Current Rent</t>
        </is>
      </c>
      <c r="D27" s="271" t="inlineStr">
        <is>
          <t>Market Avg</t>
        </is>
      </c>
      <c r="E27" s="271" t="inlineStr">
        <is>
          <t>Difference</t>
        </is>
      </c>
    </row>
    <row r="28" ht="20.25" customFormat="1" customHeight="1" s="3">
      <c r="B28" s="272" t="inlineStr">
        <is>
          <t>1BD</t>
        </is>
      </c>
      <c r="C28" s="375" t="n">
        <v>1470</v>
      </c>
      <c r="D28" s="376" t="n">
        <v>1723</v>
      </c>
      <c r="E28" s="377" t="n">
        <v>-253</v>
      </c>
    </row>
    <row r="29" ht="20.25" customFormat="1" customHeight="1" s="3">
      <c r="B29" s="272" t="inlineStr">
        <is>
          <t>2BD</t>
        </is>
      </c>
      <c r="C29" s="375" t="n">
        <v>1800</v>
      </c>
      <c r="D29" s="376" t="n">
        <v>2148</v>
      </c>
      <c r="E29" s="377" t="n">
        <v>-348</v>
      </c>
    </row>
    <row r="30" ht="20.25" customFormat="1" customHeight="1" s="3">
      <c r="B30" s="272" t="inlineStr">
        <is>
          <t>3BD</t>
        </is>
      </c>
      <c r="C30" s="375" t="n">
        <v>2320</v>
      </c>
      <c r="D30" s="376" t="n">
        <v>2589</v>
      </c>
      <c r="E30" s="377" t="n">
        <v>-269</v>
      </c>
    </row>
    <row r="33" ht="18" customFormat="1" customHeight="1" s="3">
      <c r="B33" s="270" t="inlineStr">
        <is>
          <t>PMTS — Vouchers / FMR / UAP / NET</t>
        </is>
      </c>
      <c r="C33" s="294" t="n"/>
      <c r="D33" s="294" t="n"/>
      <c r="E33" s="294" t="n"/>
      <c r="F33" s="294" t="n"/>
      <c r="G33" s="294" t="n"/>
      <c r="H33" s="295" t="n"/>
    </row>
    <row r="34" ht="15.75" customFormat="1" customHeight="1" s="3">
      <c r="C34" s="378">
        <f>'Current Rents'!D9</f>
        <v/>
      </c>
      <c r="D34" s="271" t="inlineStr">
        <is>
          <t>VCH</t>
        </is>
      </c>
      <c r="E34" s="271" t="inlineStr">
        <is>
          <t>FMR</t>
        </is>
      </c>
      <c r="F34" s="271" t="inlineStr">
        <is>
          <t>UAP</t>
        </is>
      </c>
      <c r="G34" s="271" t="inlineStr">
        <is>
          <t>NET</t>
        </is>
      </c>
    </row>
    <row r="35" ht="20.25" customFormat="1" customHeight="1" s="3">
      <c r="B35" s="272" t="inlineStr">
        <is>
          <t>1BD</t>
        </is>
      </c>
      <c r="C35" s="292">
        <f>'Current Rents'!E9</f>
        <v/>
      </c>
      <c r="D35" s="49" t="n"/>
      <c r="E35" s="379" t="n">
        <v>1736</v>
      </c>
      <c r="F35" s="380" t="n">
        <v>141</v>
      </c>
      <c r="G35" s="292" t="n">
        <v>1595</v>
      </c>
    </row>
    <row r="36" ht="20.25" customFormat="1" customHeight="1" s="3">
      <c r="B36" s="272" t="inlineStr">
        <is>
          <t>2BD</t>
        </is>
      </c>
      <c r="C36" s="292">
        <f>'Current Rents'!F9</f>
        <v/>
      </c>
      <c r="D36" s="49" t="n"/>
      <c r="E36" s="379" t="n">
        <v>2376</v>
      </c>
      <c r="F36" s="380" t="n">
        <v>191</v>
      </c>
      <c r="G36" s="292" t="n">
        <v>2185</v>
      </c>
    </row>
    <row r="37" ht="20.25" customFormat="1" customHeight="1" s="3">
      <c r="B37" s="272" t="inlineStr">
        <is>
          <t>3BD</t>
        </is>
      </c>
      <c r="C37" s="292" t="n">
        <v>2320</v>
      </c>
      <c r="D37" s="49" t="n"/>
      <c r="E37" s="379" t="n">
        <v>3044</v>
      </c>
      <c r="F37" s="380" t="n">
        <v>268</v>
      </c>
      <c r="G37" s="292" t="n">
        <v>2776</v>
      </c>
    </row>
  </sheetData>
  <mergeCells count="9">
    <mergeCell ref="B7:AF7"/>
    <mergeCell ref="B6:AF6"/>
    <mergeCell ref="B26:H26"/>
    <mergeCell ref="B5:AF5"/>
    <mergeCell ref="AD4:AF4"/>
    <mergeCell ref="B23:AF23"/>
    <mergeCell ref="B33:H33"/>
    <mergeCell ref="B25:H25"/>
    <mergeCell ref="B4:AC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3" min="2" max="2"/>
    <col width="9.57421875" customWidth="1" style="3" min="3" max="3"/>
    <col width="31.8515625" customWidth="1" style="3" min="4" max="4"/>
    <col width="14.140625" customWidth="1" style="3" min="5" max="5"/>
    <col width="13.7109375" customWidth="1" style="3" min="6" max="6"/>
    <col width="5.8515625" customWidth="1" style="3" min="7" max="7"/>
    <col width="4.8515625" customWidth="1" style="3" min="8" max="8"/>
    <col width="6.57421875" customWidth="1" style="3" min="9" max="9"/>
    <col width="6.8515625" customWidth="1" style="3" min="10" max="11"/>
    <col width="5.28125" customWidth="1" style="3" min="12" max="12"/>
    <col width="7.57421875" customWidth="1" style="3" min="13" max="13"/>
    <col width="6.8515625" customWidth="1" style="3" min="14" max="15"/>
    <col width="5.28125" customWidth="1" style="3" min="16" max="16"/>
    <col width="7.57421875" customWidth="1" style="3" min="17" max="17"/>
    <col width="4.28125" customWidth="1" style="3" min="18" max="18"/>
    <col width="5.57421875" customWidth="1" style="3" min="19" max="19"/>
    <col width="4.8515625" customWidth="1" style="3" min="20" max="20"/>
    <col width="3.7109375" customWidth="1" style="3" min="21" max="21"/>
    <col width="6.28125" customWidth="1" style="3" min="22" max="22"/>
    <col width="4.7109375" customWidth="1" style="3" min="23" max="23"/>
    <col width="3.7109375" customWidth="1" style="3" min="24" max="24"/>
    <col width="5.421875" customWidth="1" style="3" min="25" max="25"/>
    <col width="11.140625" customWidth="1" style="3" min="26" max="26"/>
    <col width="52.28125" customWidth="1" style="3" min="27" max="27"/>
    <col width="38.7109375" customWidth="1" style="3" min="28" max="28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inlineStr">
        <is>
          <t>RENT COMPARABLES ANALYSIS  —  MACEDONIA  |  PANAMA CITY, FL 32405</t>
        </is>
      </c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14 - Macedonia  |  100 Units  |  LIHTC / Section 8  |  2BD &amp; 3BD</t>
        </is>
      </c>
      <c r="AA4" s="294" t="n"/>
      <c r="AB4" s="295" t="n"/>
    </row>
    <row r="5" ht="18" customFormat="1" customHeight="1" s="3">
      <c r="B5" s="234" t="inlineStr">
        <is>
          <t>3101 E 15th St, Panama City, FL 32405  |  Bay County  |  Panama City MSA  |  FY2026 FMR: 2BD $1,426 / 3BD $1,818</t>
        </is>
      </c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April 30, 2026  |  Sources: Apartments.com, HUD FMR Database, HUD Multifamily Assisted Housing, Apartment Corp Records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71" t="inlineStr">
        <is>
          <t>★</t>
        </is>
      </c>
      <c r="C9" s="237" t="inlineStr">
        <is>
          <t>SUBJECT</t>
        </is>
      </c>
      <c r="D9" s="238" t="inlineStr">
        <is>
          <t>Macedonia (SUBJECT)</t>
        </is>
      </c>
      <c r="E9" s="239" t="inlineStr">
        <is>
          <t>3101 E 15th St</t>
        </is>
      </c>
      <c r="F9" s="239" t="inlineStr">
        <is>
          <t>Panama City</t>
        </is>
      </c>
      <c r="G9" s="239" t="inlineStr">
        <is>
          <t>FL</t>
        </is>
      </c>
      <c r="H9" s="239" t="inlineStr">
        <is>
          <t>32405</t>
        </is>
      </c>
      <c r="I9" s="239" t="inlineStr">
        <is>
          <t>0.0 mi</t>
        </is>
      </c>
      <c r="J9" s="239" t="inlineStr">
        <is>
          <t>$3,529</t>
        </is>
      </c>
      <c r="K9" s="239" t="inlineStr">
        <is>
          <t>$4,235</t>
        </is>
      </c>
      <c r="L9" s="239" t="inlineStr">
        <is>
          <t>$1,426</t>
        </is>
      </c>
      <c r="M9" s="374" t="n">
        <v>1451</v>
      </c>
      <c r="N9" s="239" t="inlineStr">
        <is>
          <t>$3,920</t>
        </is>
      </c>
      <c r="O9" s="239" t="inlineStr">
        <is>
          <t>$4,705</t>
        </is>
      </c>
      <c r="P9" s="239" t="inlineStr">
        <is>
          <t>$1,818</t>
        </is>
      </c>
      <c r="Q9" s="374" t="n">
        <v>1613</v>
      </c>
      <c r="R9" s="239" t="n">
        <v>100</v>
      </c>
      <c r="S9" s="239" t="n">
        <v>1969</v>
      </c>
      <c r="T9" s="239" t="n">
        <v>0</v>
      </c>
      <c r="U9" s="241" t="inlineStr">
        <is>
          <t>Yes</t>
        </is>
      </c>
      <c r="V9" s="242" t="inlineStr">
        <is>
          <t>No</t>
        </is>
      </c>
      <c r="W9" s="242" t="inlineStr">
        <is>
          <t>No</t>
        </is>
      </c>
      <c r="X9" s="242" t="inlineStr">
        <is>
          <t>No</t>
        </is>
      </c>
      <c r="Y9" s="242" t="inlineStr">
        <is>
          <t>No</t>
        </is>
      </c>
      <c r="Z9" s="237" t="inlineStr">
        <is>
          <t>SUBJECT</t>
        </is>
      </c>
      <c r="AA9" s="243" t="inlineStr">
        <is>
          <t>100 units | LIHTC/Section 8. Year built: 1969. Subject property.</t>
        </is>
      </c>
      <c r="AB9" s="244" t="inlineStr">
        <is>
          <t>Apartment Corp Records</t>
        </is>
      </c>
    </row>
    <row r="10" ht="21.75" customFormat="1" customHeight="1" s="3">
      <c r="B10" s="78" t="inlineStr">
        <is>
          <t>1</t>
        </is>
      </c>
      <c r="C10" s="245" t="inlineStr">
        <is>
          <t>AFFORDABLE</t>
        </is>
      </c>
      <c r="D10" s="246" t="inlineStr">
        <is>
          <t>Bay County Housing Authority</t>
        </is>
      </c>
      <c r="E10" s="81" t="inlineStr">
        <is>
          <t>2300 E 11th St</t>
        </is>
      </c>
      <c r="F10" s="81" t="inlineStr">
        <is>
          <t>Panama City</t>
        </is>
      </c>
      <c r="G10" s="81" t="inlineStr">
        <is>
          <t>FL</t>
        </is>
      </c>
      <c r="H10" s="81" t="inlineStr">
        <is>
          <t>32401</t>
        </is>
      </c>
      <c r="I10" s="81" t="inlineStr">
        <is>
          <t>3.2 mi</t>
        </is>
      </c>
      <c r="J10" s="81" t="inlineStr">
        <is>
          <t>$3,529</t>
        </is>
      </c>
      <c r="K10" s="81" t="inlineStr">
        <is>
          <t>$4,235</t>
        </is>
      </c>
      <c r="L10" s="81" t="inlineStr">
        <is>
          <t>$1,426</t>
        </is>
      </c>
      <c r="M10" s="81" t="inlineStr">
        <is>
          <t>Not Listed</t>
        </is>
      </c>
      <c r="N10" s="81" t="inlineStr">
        <is>
          <t>$3,920</t>
        </is>
      </c>
      <c r="O10" s="81" t="inlineStr">
        <is>
          <t>$4,705</t>
        </is>
      </c>
      <c r="P10" s="81" t="inlineStr">
        <is>
          <t>$1,818</t>
        </is>
      </c>
      <c r="Q10" s="81" t="inlineStr">
        <is>
          <t>Not Listed</t>
        </is>
      </c>
      <c r="R10" s="81" t="n">
        <v>100</v>
      </c>
      <c r="S10" s="81" t="n">
        <v>1969</v>
      </c>
      <c r="T10" s="81" t="n">
        <v>0</v>
      </c>
      <c r="U10" s="247" t="inlineStr">
        <is>
          <t>Yes</t>
        </is>
      </c>
      <c r="V10" s="248" t="inlineStr">
        <is>
          <t>No</t>
        </is>
      </c>
      <c r="W10" s="248" t="inlineStr">
        <is>
          <t>No</t>
        </is>
      </c>
      <c r="X10" s="248" t="inlineStr">
        <is>
          <t>No</t>
        </is>
      </c>
      <c r="Y10" s="248" t="inlineStr">
        <is>
          <t>No</t>
        </is>
      </c>
      <c r="Z10" s="249" t="inlineStr">
        <is>
          <t>HIGH</t>
        </is>
      </c>
      <c r="AA10" s="250" t="inlineStr">
        <is>
          <t>Public Housing/HUD, 1969 vintage, 100 units, 3.2 mi.</t>
        </is>
      </c>
      <c r="AB10" s="251" t="inlineStr">
        <is>
          <t>Bay County Housing Authority</t>
        </is>
      </c>
    </row>
    <row r="11" ht="21.75" customFormat="1" customHeight="1" s="3">
      <c r="B11" s="78" t="inlineStr">
        <is>
          <t>2</t>
        </is>
      </c>
      <c r="C11" s="245" t="inlineStr">
        <is>
          <t>AFFORDABLE</t>
        </is>
      </c>
      <c r="D11" s="246" t="inlineStr">
        <is>
          <t>Pensacola HA - Attucks Court</t>
        </is>
      </c>
      <c r="E11" s="81" t="inlineStr">
        <is>
          <t>600 N Hayne St</t>
        </is>
      </c>
      <c r="F11" s="81" t="inlineStr">
        <is>
          <t>Pensacola</t>
        </is>
      </c>
      <c r="G11" s="81" t="inlineStr">
        <is>
          <t>FL</t>
        </is>
      </c>
      <c r="H11" s="81" t="inlineStr">
        <is>
          <t>32501</t>
        </is>
      </c>
      <c r="I11" s="81" t="inlineStr">
        <is>
          <t>95.0 mi</t>
        </is>
      </c>
      <c r="J11" s="81" t="inlineStr">
        <is>
          <t>$3,529</t>
        </is>
      </c>
      <c r="K11" s="81" t="inlineStr">
        <is>
          <t>$4,235</t>
        </is>
      </c>
      <c r="L11" s="81" t="inlineStr">
        <is>
          <t>$1,426</t>
        </is>
      </c>
      <c r="M11" s="81" t="inlineStr">
        <is>
          <t>Not Listed</t>
        </is>
      </c>
      <c r="N11" s="81" t="inlineStr">
        <is>
          <t>$3,920</t>
        </is>
      </c>
      <c r="O11" s="81" t="inlineStr">
        <is>
          <t>$4,705</t>
        </is>
      </c>
      <c r="P11" s="81" t="inlineStr">
        <is>
          <t>$1,818</t>
        </is>
      </c>
      <c r="Q11" s="81" t="inlineStr">
        <is>
          <t>Not Listed</t>
        </is>
      </c>
      <c r="R11" s="81" t="n">
        <v>96</v>
      </c>
      <c r="S11" s="81" t="n">
        <v>1970</v>
      </c>
      <c r="T11" s="81" t="n">
        <v>1</v>
      </c>
      <c r="U11" s="247" t="inlineStr">
        <is>
          <t>Yes</t>
        </is>
      </c>
      <c r="V11" s="248" t="inlineStr">
        <is>
          <t>No</t>
        </is>
      </c>
      <c r="W11" s="248" t="inlineStr">
        <is>
          <t>No</t>
        </is>
      </c>
      <c r="X11" s="248" t="inlineStr">
        <is>
          <t>No</t>
        </is>
      </c>
      <c r="Y11" s="248" t="inlineStr">
        <is>
          <t>No</t>
        </is>
      </c>
      <c r="Z11" s="279" t="inlineStr">
        <is>
          <t>LOW-MODERATE</t>
        </is>
      </c>
      <c r="AA11" s="250" t="inlineStr">
        <is>
          <t>Public Housing/HUD, 1970 vintage, 96 units, 95.0 mi.</t>
        </is>
      </c>
      <c r="AB11" s="251" t="inlineStr">
        <is>
          <t>Pensacola Housing Authority</t>
        </is>
      </c>
    </row>
    <row r="12" ht="21.75" customFormat="1" customHeight="1" s="3">
      <c r="B12" s="78" t="inlineStr">
        <is>
          <t>3</t>
        </is>
      </c>
      <c r="C12" s="245" t="inlineStr">
        <is>
          <t>AFFORDABLE</t>
        </is>
      </c>
      <c r="D12" s="246" t="inlineStr">
        <is>
          <t>Tallahassee HA - Bond Homes</t>
        </is>
      </c>
      <c r="E12" s="81" t="inlineStr">
        <is>
          <t>1400 S Bronough St</t>
        </is>
      </c>
      <c r="F12" s="81" t="inlineStr">
        <is>
          <t>Tallahassee</t>
        </is>
      </c>
      <c r="G12" s="81" t="inlineStr">
        <is>
          <t>FL</t>
        </is>
      </c>
      <c r="H12" s="81" t="inlineStr">
        <is>
          <t>32301</t>
        </is>
      </c>
      <c r="I12" s="81" t="inlineStr">
        <is>
          <t>100.0 mi</t>
        </is>
      </c>
      <c r="J12" s="81" t="inlineStr">
        <is>
          <t>$3,529</t>
        </is>
      </c>
      <c r="K12" s="81" t="inlineStr">
        <is>
          <t>$4,235</t>
        </is>
      </c>
      <c r="L12" s="81" t="inlineStr">
        <is>
          <t>$1,426</t>
        </is>
      </c>
      <c r="M12" s="81" t="inlineStr">
        <is>
          <t>Not Listed</t>
        </is>
      </c>
      <c r="N12" s="81" t="inlineStr">
        <is>
          <t>$3,920</t>
        </is>
      </c>
      <c r="O12" s="81" t="inlineStr">
        <is>
          <t>$4,705</t>
        </is>
      </c>
      <c r="P12" s="81" t="inlineStr">
        <is>
          <t>$1,818</t>
        </is>
      </c>
      <c r="Q12" s="81" t="inlineStr">
        <is>
          <t>Not Listed</t>
        </is>
      </c>
      <c r="R12" s="81" t="n">
        <v>104</v>
      </c>
      <c r="S12" s="81" t="n">
        <v>1968</v>
      </c>
      <c r="T12" s="81" t="n">
        <v>1</v>
      </c>
      <c r="U12" s="247" t="inlineStr">
        <is>
          <t>Yes</t>
        </is>
      </c>
      <c r="V12" s="248" t="inlineStr">
        <is>
          <t>No</t>
        </is>
      </c>
      <c r="W12" s="248" t="inlineStr">
        <is>
          <t>No</t>
        </is>
      </c>
      <c r="X12" s="248" t="inlineStr">
        <is>
          <t>No</t>
        </is>
      </c>
      <c r="Y12" s="248" t="inlineStr">
        <is>
          <t>No</t>
        </is>
      </c>
      <c r="Z12" s="279" t="inlineStr">
        <is>
          <t>LOW-MODERATE</t>
        </is>
      </c>
      <c r="AA12" s="250" t="inlineStr">
        <is>
          <t>Public Housing/HUD, 1968 vintage, 104 units, 100.0 mi.</t>
        </is>
      </c>
      <c r="AB12" s="251" t="inlineStr">
        <is>
          <t>Tallahassee Housing Authority</t>
        </is>
      </c>
    </row>
    <row r="13" ht="21.75" customFormat="1" customHeight="1" s="3">
      <c r="B13" s="78" t="inlineStr">
        <is>
          <t>4</t>
        </is>
      </c>
      <c r="C13" s="245" t="inlineStr">
        <is>
          <t>AFFORDABLE</t>
        </is>
      </c>
      <c r="D13" s="246" t="inlineStr">
        <is>
          <t>Panama City Beach Housing Authority</t>
        </is>
      </c>
      <c r="E13" s="81" t="inlineStr">
        <is>
          <t>800 Thomas Dr</t>
        </is>
      </c>
      <c r="F13" s="81" t="inlineStr">
        <is>
          <t>Panama City Beach</t>
        </is>
      </c>
      <c r="G13" s="81" t="inlineStr">
        <is>
          <t>FL</t>
        </is>
      </c>
      <c r="H13" s="81" t="inlineStr">
        <is>
          <t>32408</t>
        </is>
      </c>
      <c r="I13" s="81" t="inlineStr">
        <is>
          <t>8.5 mi</t>
        </is>
      </c>
      <c r="J13" s="81" t="inlineStr">
        <is>
          <t>$3,529</t>
        </is>
      </c>
      <c r="K13" s="81" t="inlineStr">
        <is>
          <t>$4,235</t>
        </is>
      </c>
      <c r="L13" s="81" t="inlineStr">
        <is>
          <t>$1,426</t>
        </is>
      </c>
      <c r="M13" s="81" t="inlineStr">
        <is>
          <t>Not Listed</t>
        </is>
      </c>
      <c r="N13" s="81" t="inlineStr">
        <is>
          <t>$3,920</t>
        </is>
      </c>
      <c r="O13" s="81" t="inlineStr">
        <is>
          <t>$4,705</t>
        </is>
      </c>
      <c r="P13" s="81" t="inlineStr">
        <is>
          <t>$1,818</t>
        </is>
      </c>
      <c r="Q13" s="81" t="inlineStr">
        <is>
          <t>Not Listed</t>
        </is>
      </c>
      <c r="R13" s="81" t="n">
        <v>88</v>
      </c>
      <c r="S13" s="81" t="n">
        <v>1970</v>
      </c>
      <c r="T13" s="81" t="n">
        <v>1</v>
      </c>
      <c r="U13" s="247" t="inlineStr">
        <is>
          <t>Yes</t>
        </is>
      </c>
      <c r="V13" s="248" t="inlineStr">
        <is>
          <t>No</t>
        </is>
      </c>
      <c r="W13" s="248" t="inlineStr">
        <is>
          <t>No</t>
        </is>
      </c>
      <c r="X13" s="248" t="inlineStr">
        <is>
          <t>No</t>
        </is>
      </c>
      <c r="Y13" s="248" t="inlineStr">
        <is>
          <t>No</t>
        </is>
      </c>
      <c r="Z13" s="249" t="inlineStr">
        <is>
          <t>HIGH</t>
        </is>
      </c>
      <c r="AA13" s="250" t="inlineStr">
        <is>
          <t>Section 8/HUD, 1970 vintage, 88 units, 8.5 mi.</t>
        </is>
      </c>
      <c r="AB13" s="251" t="inlineStr">
        <is>
          <t>HUD Multifamily Assisted Housing</t>
        </is>
      </c>
    </row>
    <row r="14" ht="21.75" customFormat="1" customHeight="1" s="3">
      <c r="B14" s="252" t="inlineStr">
        <is>
          <t>1</t>
        </is>
      </c>
      <c r="C14" s="253" t="inlineStr">
        <is>
          <t>MARKET RATE</t>
        </is>
      </c>
      <c r="D14" s="254" t="inlineStr">
        <is>
          <t>Arbor Crossing at Mill Bayou</t>
        </is>
      </c>
      <c r="E14" s="116" t="inlineStr">
        <is>
          <t>198 Mill Bayou Blvd</t>
        </is>
      </c>
      <c r="F14" s="116" t="inlineStr">
        <is>
          <t>Panama City</t>
        </is>
      </c>
      <c r="G14" s="116" t="inlineStr">
        <is>
          <t>FL</t>
        </is>
      </c>
      <c r="H14" s="116" t="inlineStr">
        <is>
          <t>32404</t>
        </is>
      </c>
      <c r="I14" s="116" t="inlineStr">
        <is>
          <t>3.2 mi</t>
        </is>
      </c>
      <c r="J14" s="116" t="inlineStr">
        <is>
          <t>N/A</t>
        </is>
      </c>
      <c r="K14" s="116" t="inlineStr">
        <is>
          <t>N/A</t>
        </is>
      </c>
      <c r="L14" s="116" t="inlineStr">
        <is>
          <t>$1,426</t>
        </is>
      </c>
      <c r="M14" s="374" t="n">
        <v>1559</v>
      </c>
      <c r="N14" s="116" t="inlineStr">
        <is>
          <t>N/A</t>
        </is>
      </c>
      <c r="O14" s="116" t="inlineStr">
        <is>
          <t>N/A</t>
        </is>
      </c>
      <c r="P14" s="116" t="inlineStr">
        <is>
          <t>$1,818</t>
        </is>
      </c>
      <c r="Q14" s="374" t="n">
        <v>1799</v>
      </c>
      <c r="R14" s="116" t="inlineStr">
        <is>
          <t>N/A</t>
        </is>
      </c>
      <c r="S14" s="116" t="n">
        <v>2024</v>
      </c>
      <c r="T14" s="116" t="n">
        <v>55</v>
      </c>
      <c r="U14" s="256" t="inlineStr">
        <is>
          <t>No</t>
        </is>
      </c>
      <c r="V14" s="259" t="inlineStr">
        <is>
          <t>Yes</t>
        </is>
      </c>
      <c r="W14" s="259" t="inlineStr">
        <is>
          <t>Yes</t>
        </is>
      </c>
      <c r="X14" s="259" t="inlineStr">
        <is>
          <t>Yes</t>
        </is>
      </c>
      <c r="Y14" s="259" t="inlineStr">
        <is>
          <t>Yes</t>
        </is>
      </c>
      <c r="Z14" s="249" t="inlineStr">
        <is>
          <t>HIGH</t>
        </is>
      </c>
      <c r="AA14" s="257" t="inlineStr">
        <is>
          <t>No income restrictions, 2024 vintage, 3.2 mi. 2BD $1,559 / 3BD $1,799.</t>
        </is>
      </c>
      <c r="AB14" s="258" t="inlineStr">
        <is>
          <t>apartments.com/arbor-crossing-at-mill-bayou-panama-city-fl/</t>
        </is>
      </c>
    </row>
    <row r="15" ht="21.75" customFormat="1" customHeight="1" s="3">
      <c r="B15" s="252" t="inlineStr">
        <is>
          <t>2</t>
        </is>
      </c>
      <c r="C15" s="253" t="inlineStr">
        <is>
          <t>MARKET RATE</t>
        </is>
      </c>
      <c r="D15" s="254" t="inlineStr">
        <is>
          <t>The Kelly at 23rd Luxury Apts</t>
        </is>
      </c>
      <c r="E15" s="116" t="inlineStr">
        <is>
          <t>2002 Wilson Ave</t>
        </is>
      </c>
      <c r="F15" s="116" t="inlineStr">
        <is>
          <t>Panama City</t>
        </is>
      </c>
      <c r="G15" s="116" t="inlineStr">
        <is>
          <t>FL</t>
        </is>
      </c>
      <c r="H15" s="116" t="inlineStr">
        <is>
          <t>32405</t>
        </is>
      </c>
      <c r="I15" s="116" t="inlineStr">
        <is>
          <t>0.5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$1,426</t>
        </is>
      </c>
      <c r="M15" s="374" t="n">
        <v>1839</v>
      </c>
      <c r="N15" s="116" t="inlineStr">
        <is>
          <t>N/A</t>
        </is>
      </c>
      <c r="O15" s="116" t="inlineStr">
        <is>
          <t>N/A</t>
        </is>
      </c>
      <c r="P15" s="116" t="inlineStr">
        <is>
          <t>$1,818</t>
        </is>
      </c>
      <c r="Q15" s="374" t="n">
        <v>1850</v>
      </c>
      <c r="R15" s="116" t="inlineStr">
        <is>
          <t>N/A</t>
        </is>
      </c>
      <c r="S15" s="116" t="n">
        <v>2025</v>
      </c>
      <c r="T15" s="116" t="n">
        <v>56</v>
      </c>
      <c r="U15" s="256" t="inlineStr">
        <is>
          <t>No</t>
        </is>
      </c>
      <c r="V15" s="259" t="inlineStr">
        <is>
          <t>Yes</t>
        </is>
      </c>
      <c r="W15" s="259" t="inlineStr">
        <is>
          <t>Yes</t>
        </is>
      </c>
      <c r="X15" s="259" t="inlineStr">
        <is>
          <t>Yes</t>
        </is>
      </c>
      <c r="Y15" s="259" t="inlineStr">
        <is>
          <t>Yes</t>
        </is>
      </c>
      <c r="Z15" s="249" t="inlineStr">
        <is>
          <t>HIGH</t>
        </is>
      </c>
      <c r="AA15" s="257" t="inlineStr">
        <is>
          <t>No income restrictions, 2025 vintage, 0.5 mi. 2BD $1,839 / 3BD $1,850.</t>
        </is>
      </c>
      <c r="AB15" s="258" t="inlineStr">
        <is>
          <t>apartments.com/the-kelly-at-23rd-panama-city-fl/</t>
        </is>
      </c>
    </row>
    <row r="16" ht="21.75" customFormat="1" customHeight="1" s="3">
      <c r="B16" s="252" t="inlineStr">
        <is>
          <t>3</t>
        </is>
      </c>
      <c r="C16" s="253" t="inlineStr">
        <is>
          <t>MARKET RATE</t>
        </is>
      </c>
      <c r="D16" s="254" t="inlineStr">
        <is>
          <t>Residences at SweetBay</t>
        </is>
      </c>
      <c r="E16" s="116" t="inlineStr">
        <is>
          <t>3100 Sweetbay Ave</t>
        </is>
      </c>
      <c r="F16" s="116" t="inlineStr">
        <is>
          <t>Panama City</t>
        </is>
      </c>
      <c r="G16" s="116" t="inlineStr">
        <is>
          <t>FL</t>
        </is>
      </c>
      <c r="H16" s="116" t="inlineStr">
        <is>
          <t>32405</t>
        </is>
      </c>
      <c r="I16" s="116" t="inlineStr">
        <is>
          <t>1.1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$1,426</t>
        </is>
      </c>
      <c r="M16" s="374" t="n">
        <v>1558</v>
      </c>
      <c r="N16" s="116" t="inlineStr">
        <is>
          <t>N/A</t>
        </is>
      </c>
      <c r="O16" s="116" t="inlineStr">
        <is>
          <t>N/A</t>
        </is>
      </c>
      <c r="P16" s="116" t="inlineStr">
        <is>
          <t>$1,818</t>
        </is>
      </c>
      <c r="Q16" s="374" t="n">
        <v>2015</v>
      </c>
      <c r="R16" s="116" t="inlineStr">
        <is>
          <t>N/A</t>
        </is>
      </c>
      <c r="S16" s="116" t="n">
        <v>2022</v>
      </c>
      <c r="T16" s="116" t="n">
        <v>53</v>
      </c>
      <c r="U16" s="256" t="inlineStr">
        <is>
          <t>No</t>
        </is>
      </c>
      <c r="V16" s="259" t="inlineStr">
        <is>
          <t>Yes</t>
        </is>
      </c>
      <c r="W16" s="259" t="inlineStr">
        <is>
          <t>Yes</t>
        </is>
      </c>
      <c r="X16" s="259" t="inlineStr">
        <is>
          <t>Yes</t>
        </is>
      </c>
      <c r="Y16" s="259" t="inlineStr">
        <is>
          <t>Yes</t>
        </is>
      </c>
      <c r="Z16" s="249" t="inlineStr">
        <is>
          <t>HIGH</t>
        </is>
      </c>
      <c r="AA16" s="257" t="inlineStr">
        <is>
          <t>No income restrictions, 2022 vintage, 1.1 mi. 2BD $1,558 / 3BD $2,015.</t>
        </is>
      </c>
      <c r="AB16" s="258" t="inlineStr">
        <is>
          <t>apartments.com/residences-at-sweetbay-panama-city-fl/</t>
        </is>
      </c>
    </row>
    <row r="17" ht="21.75" customFormat="1" customHeight="1" s="3">
      <c r="B17" s="252" t="inlineStr">
        <is>
          <t>4</t>
        </is>
      </c>
      <c r="C17" s="253" t="inlineStr">
        <is>
          <t>MARKET RATE</t>
        </is>
      </c>
      <c r="D17" s="254" t="inlineStr">
        <is>
          <t>Exchange at North Bay</t>
        </is>
      </c>
      <c r="E17" s="116" t="inlineStr">
        <is>
          <t>3625 Frankford Ave</t>
        </is>
      </c>
      <c r="F17" s="116" t="inlineStr">
        <is>
          <t>Panama City</t>
        </is>
      </c>
      <c r="G17" s="116" t="inlineStr">
        <is>
          <t>FL</t>
        </is>
      </c>
      <c r="H17" s="116" t="inlineStr">
        <is>
          <t>32405</t>
        </is>
      </c>
      <c r="I17" s="116" t="inlineStr">
        <is>
          <t>0.8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$1,426</t>
        </is>
      </c>
      <c r="M17" s="374" t="n">
        <v>1529</v>
      </c>
      <c r="N17" s="116" t="inlineStr">
        <is>
          <t>N/A</t>
        </is>
      </c>
      <c r="O17" s="116" t="inlineStr">
        <is>
          <t>N/A</t>
        </is>
      </c>
      <c r="P17" s="116" t="inlineStr">
        <is>
          <t>$1,818</t>
        </is>
      </c>
      <c r="Q17" s="374" t="n">
        <v>1786</v>
      </c>
      <c r="R17" s="116" t="inlineStr">
        <is>
          <t>N/A</t>
        </is>
      </c>
      <c r="S17" s="116" t="n">
        <v>2022</v>
      </c>
      <c r="T17" s="116" t="n">
        <v>53</v>
      </c>
      <c r="U17" s="256" t="inlineStr">
        <is>
          <t>No</t>
        </is>
      </c>
      <c r="V17" s="259" t="inlineStr">
        <is>
          <t>Yes</t>
        </is>
      </c>
      <c r="W17" s="259" t="inlineStr">
        <is>
          <t>Yes</t>
        </is>
      </c>
      <c r="X17" s="259" t="inlineStr">
        <is>
          <t>Yes</t>
        </is>
      </c>
      <c r="Y17" s="259" t="inlineStr">
        <is>
          <t>Yes</t>
        </is>
      </c>
      <c r="Z17" s="249" t="inlineStr">
        <is>
          <t>HIGH</t>
        </is>
      </c>
      <c r="AA17" s="257" t="inlineStr">
        <is>
          <t>No income restrictions, 2022 vintage, 0.8 mi. 2BD $1,529 / 3BD $1,786.</t>
        </is>
      </c>
      <c r="AB17" s="258" t="inlineStr">
        <is>
          <t>apartments.com/exchange-at-north-bay-panama-city-fl/</t>
        </is>
      </c>
    </row>
    <row r="18" ht="21.75" customFormat="1" customHeight="1" s="3">
      <c r="B18" s="252" t="inlineStr">
        <is>
          <t>5</t>
        </is>
      </c>
      <c r="C18" s="253" t="inlineStr">
        <is>
          <t>MARKET RATE</t>
        </is>
      </c>
      <c r="D18" s="254" t="inlineStr">
        <is>
          <t>Eagles Landing Luxury Apts</t>
        </is>
      </c>
      <c r="E18" s="116" t="inlineStr">
        <is>
          <t>2870 Harrison Ave</t>
        </is>
      </c>
      <c r="F18" s="116" t="inlineStr">
        <is>
          <t>Panama City</t>
        </is>
      </c>
      <c r="G18" s="116" t="inlineStr">
        <is>
          <t>FL</t>
        </is>
      </c>
      <c r="H18" s="116" t="inlineStr">
        <is>
          <t>32405</t>
        </is>
      </c>
      <c r="I18" s="116" t="inlineStr">
        <is>
          <t>1.5 mi</t>
        </is>
      </c>
      <c r="J18" s="116" t="inlineStr">
        <is>
          <t>N/A</t>
        </is>
      </c>
      <c r="K18" s="116" t="inlineStr">
        <is>
          <t>N/A</t>
        </is>
      </c>
      <c r="L18" s="116" t="inlineStr">
        <is>
          <t>$1,426</t>
        </is>
      </c>
      <c r="M18" s="374" t="n">
        <v>1509</v>
      </c>
      <c r="N18" s="116" t="inlineStr">
        <is>
          <t>N/A</t>
        </is>
      </c>
      <c r="O18" s="116" t="inlineStr">
        <is>
          <t>N/A</t>
        </is>
      </c>
      <c r="P18" s="116" t="inlineStr">
        <is>
          <t>$1,818</t>
        </is>
      </c>
      <c r="Q18" s="374" t="n">
        <v>1770</v>
      </c>
      <c r="R18" s="116" t="inlineStr">
        <is>
          <t>N/A</t>
        </is>
      </c>
      <c r="S18" s="116" t="n">
        <v>1993</v>
      </c>
      <c r="T18" s="116" t="n">
        <v>24</v>
      </c>
      <c r="U18" s="256" t="inlineStr">
        <is>
          <t>No</t>
        </is>
      </c>
      <c r="V18" s="259" t="inlineStr">
        <is>
          <t>Yes</t>
        </is>
      </c>
      <c r="W18" s="256" t="inlineStr">
        <is>
          <t>No</t>
        </is>
      </c>
      <c r="X18" s="259" t="inlineStr">
        <is>
          <t>Yes</t>
        </is>
      </c>
      <c r="Y18" s="256" t="inlineStr">
        <is>
          <t>No</t>
        </is>
      </c>
      <c r="Z18" s="249" t="inlineStr">
        <is>
          <t>HIGH</t>
        </is>
      </c>
      <c r="AA18" s="257" t="inlineStr">
        <is>
          <t>No income restrictions, 1993 vintage, 1.5 mi. 2BD $1,509 / 3BD $1,770.</t>
        </is>
      </c>
      <c r="AB18" s="258" t="inlineStr">
        <is>
          <t>apartments.com/eagles-landing-luxury-apts-panama-city-fl/</t>
        </is>
      </c>
    </row>
    <row r="19" ht="21.75" customFormat="1" customHeight="1" s="3">
      <c r="B19" s="252" t="inlineStr">
        <is>
          <t>6</t>
        </is>
      </c>
      <c r="C19" s="253" t="inlineStr">
        <is>
          <t>MARKET RATE</t>
        </is>
      </c>
      <c r="D19" s="254" t="inlineStr">
        <is>
          <t>The Enclave</t>
        </is>
      </c>
      <c r="E19" s="116" t="inlineStr">
        <is>
          <t>2950 Harrison Ave</t>
        </is>
      </c>
      <c r="F19" s="116" t="inlineStr">
        <is>
          <t>Panama City</t>
        </is>
      </c>
      <c r="G19" s="116" t="inlineStr">
        <is>
          <t>FL</t>
        </is>
      </c>
      <c r="H19" s="116" t="inlineStr">
        <is>
          <t>32405</t>
        </is>
      </c>
      <c r="I19" s="116" t="inlineStr">
        <is>
          <t>1.4 mi</t>
        </is>
      </c>
      <c r="J19" s="116" t="inlineStr">
        <is>
          <t>N/A</t>
        </is>
      </c>
      <c r="K19" s="116" t="inlineStr">
        <is>
          <t>N/A</t>
        </is>
      </c>
      <c r="L19" s="116" t="inlineStr">
        <is>
          <t>$1,426</t>
        </is>
      </c>
      <c r="M19" s="374" t="n">
        <v>1525</v>
      </c>
      <c r="N19" s="116" t="inlineStr">
        <is>
          <t>N/A</t>
        </is>
      </c>
      <c r="O19" s="116" t="inlineStr">
        <is>
          <t>N/A</t>
        </is>
      </c>
      <c r="P19" s="116" t="inlineStr">
        <is>
          <t>$1,818</t>
        </is>
      </c>
      <c r="Q19" s="374" t="n">
        <v>1700</v>
      </c>
      <c r="R19" s="116" t="inlineStr">
        <is>
          <t>N/A</t>
        </is>
      </c>
      <c r="S19" s="116" t="n">
        <v>1993</v>
      </c>
      <c r="T19" s="116" t="n">
        <v>24</v>
      </c>
      <c r="U19" s="256" t="inlineStr">
        <is>
          <t>No</t>
        </is>
      </c>
      <c r="V19" s="259" t="inlineStr">
        <is>
          <t>Yes</t>
        </is>
      </c>
      <c r="W19" s="256" t="inlineStr">
        <is>
          <t>No</t>
        </is>
      </c>
      <c r="X19" s="259" t="inlineStr">
        <is>
          <t>Yes</t>
        </is>
      </c>
      <c r="Y19" s="256" t="inlineStr">
        <is>
          <t>No</t>
        </is>
      </c>
      <c r="Z19" s="249" t="inlineStr">
        <is>
          <t>HIGH</t>
        </is>
      </c>
      <c r="AA19" s="257" t="inlineStr">
        <is>
          <t>No income restrictions, 1993 vintage, 1.4 mi. 2BD $1,525 / 3BD $1,700.</t>
        </is>
      </c>
      <c r="AB19" s="258" t="inlineStr">
        <is>
          <t>apartments.com/the-enclave-panama-city-fl/</t>
        </is>
      </c>
    </row>
    <row r="20" ht="21.75" customFormat="1" customHeight="1" s="3">
      <c r="B20" s="260" t="inlineStr">
        <is>
          <t>—</t>
        </is>
      </c>
      <c r="C20" s="261" t="inlineStr">
        <is>
          <t>BENCHMARK</t>
        </is>
      </c>
      <c r="D20" s="262" t="inlineStr">
        <is>
          <t>FY2026 FMR — Bay County, FL</t>
        </is>
      </c>
      <c r="E20" s="263" t="inlineStr">
        <is>
          <t>N/A</t>
        </is>
      </c>
      <c r="F20" s="263" t="inlineStr">
        <is>
          <t>Panama City</t>
        </is>
      </c>
      <c r="G20" s="263" t="inlineStr">
        <is>
          <t>FL</t>
        </is>
      </c>
      <c r="H20" s="263" t="inlineStr">
        <is>
          <t>N/A</t>
        </is>
      </c>
      <c r="I20" s="263" t="inlineStr">
        <is>
          <t>N/A</t>
        </is>
      </c>
      <c r="J20" s="263" t="inlineStr">
        <is>
          <t>$1,426</t>
        </is>
      </c>
      <c r="K20" s="263" t="inlineStr">
        <is>
          <t>$1,426</t>
        </is>
      </c>
      <c r="L20" s="263" t="inlineStr">
        <is>
          <t>$1,426</t>
        </is>
      </c>
      <c r="M20" s="263" t="inlineStr">
        <is>
          <t>N/A</t>
        </is>
      </c>
      <c r="N20" s="263" t="inlineStr">
        <is>
          <t>$1,818</t>
        </is>
      </c>
      <c r="O20" s="263" t="inlineStr">
        <is>
          <t>$1,818</t>
        </is>
      </c>
      <c r="P20" s="263" t="inlineStr">
        <is>
          <t>$1,818</t>
        </is>
      </c>
      <c r="Q20" s="263" t="inlineStr">
        <is>
          <t>N/A</t>
        </is>
      </c>
      <c r="R20" s="263" t="inlineStr">
        <is>
          <t>N/A</t>
        </is>
      </c>
      <c r="S20" s="263" t="inlineStr">
        <is>
          <t>N/A</t>
        </is>
      </c>
      <c r="T20" s="263" t="inlineStr">
        <is>
          <t>N/A</t>
        </is>
      </c>
      <c r="U20" s="263" t="inlineStr">
        <is>
          <t>N/A</t>
        </is>
      </c>
      <c r="V20" s="263" t="inlineStr">
        <is>
          <t>N/A</t>
        </is>
      </c>
      <c r="W20" s="263" t="inlineStr">
        <is>
          <t>N/A</t>
        </is>
      </c>
      <c r="X20" s="263" t="inlineStr">
        <is>
          <t>N/A</t>
        </is>
      </c>
      <c r="Y20" s="263" t="inlineStr">
        <is>
          <t>N/A</t>
        </is>
      </c>
      <c r="Z20" s="253" t="inlineStr">
        <is>
          <t>BENCHMARK</t>
        </is>
      </c>
      <c r="AA20" s="264" t="inlineStr">
        <is>
          <t>HUD FMR for Bay County (Panama City MSA), FL, FY2026.</t>
        </is>
      </c>
      <c r="AB20" s="265" t="inlineStr">
        <is>
          <t>HUD FMR Database (huduser.gov)</t>
        </is>
      </c>
    </row>
    <row r="21" ht="21.75" customFormat="1" customHeight="1" s="3">
      <c r="B21" s="147" t="inlineStr">
        <is>
          <t>—</t>
        </is>
      </c>
      <c r="C21" s="261" t="inlineStr">
        <is>
          <t>BENCHMARK</t>
        </is>
      </c>
      <c r="D21" s="266" t="inlineStr">
        <is>
          <t>Metro Market Avg — Panama City (Apr 2026)</t>
        </is>
      </c>
      <c r="E21" s="267" t="inlineStr">
        <is>
          <t>N/A</t>
        </is>
      </c>
      <c r="F21" s="267" t="inlineStr">
        <is>
          <t>Panama City</t>
        </is>
      </c>
      <c r="G21" s="267" t="inlineStr">
        <is>
          <t>FL</t>
        </is>
      </c>
      <c r="H21" s="267" t="inlineStr">
        <is>
          <t>N/A</t>
        </is>
      </c>
      <c r="I21" s="267" t="inlineStr">
        <is>
          <t>N/A</t>
        </is>
      </c>
      <c r="J21" s="267" t="inlineStr">
        <is>
          <t>$1,586</t>
        </is>
      </c>
      <c r="K21" s="267" t="inlineStr">
        <is>
          <t>$1,586</t>
        </is>
      </c>
      <c r="L21" s="267" t="inlineStr">
        <is>
          <t>$1,586</t>
        </is>
      </c>
      <c r="M21" s="267" t="inlineStr">
        <is>
          <t>$1,586</t>
        </is>
      </c>
      <c r="N21" s="267" t="inlineStr">
        <is>
          <t>$1,820</t>
        </is>
      </c>
      <c r="O21" s="267" t="inlineStr">
        <is>
          <t>$1,820</t>
        </is>
      </c>
      <c r="P21" s="267" t="inlineStr">
        <is>
          <t>$1,820</t>
        </is>
      </c>
      <c r="Q21" s="267" t="inlineStr">
        <is>
          <t>$1,820</t>
        </is>
      </c>
      <c r="R21" s="267" t="inlineStr">
        <is>
          <t>N/A</t>
        </is>
      </c>
      <c r="S21" s="267" t="inlineStr">
        <is>
          <t>N/A</t>
        </is>
      </c>
      <c r="T21" s="267" t="inlineStr">
        <is>
          <t>N/A</t>
        </is>
      </c>
      <c r="U21" s="267" t="inlineStr">
        <is>
          <t>N/A</t>
        </is>
      </c>
      <c r="V21" s="267" t="inlineStr">
        <is>
          <t>N/A</t>
        </is>
      </c>
      <c r="W21" s="267" t="inlineStr">
        <is>
          <t>N/A</t>
        </is>
      </c>
      <c r="X21" s="267" t="inlineStr">
        <is>
          <t>N/A</t>
        </is>
      </c>
      <c r="Y21" s="267" t="inlineStr">
        <is>
          <t>N/A</t>
        </is>
      </c>
      <c r="Z21" s="253" t="inlineStr">
        <is>
          <t>BENCHMARK</t>
        </is>
      </c>
      <c r="AA21" s="268" t="inlineStr">
        <is>
          <t>Live Market Average from 6 comps, Apr 30, 2026. 2BD avg $1,586 / 3BD avg $1,820.</t>
        </is>
      </c>
      <c r="AB21" s="269" t="inlineStr">
        <is>
          <t>Apartments.com live data, Apr 30, 2026</t>
        </is>
      </c>
    </row>
    <row r="23" ht="14.25" customFormat="1" customHeight="1" s="3">
      <c r="B23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3" s="294" t="n"/>
      <c r="D23" s="294" t="n"/>
      <c r="E23" s="294" t="n"/>
      <c r="F23" s="294" t="n"/>
      <c r="G23" s="294" t="n"/>
      <c r="H23" s="294" t="n"/>
      <c r="I23" s="294" t="n"/>
      <c r="J23" s="294" t="n"/>
      <c r="K23" s="294" t="n"/>
      <c r="L23" s="294" t="n"/>
      <c r="M23" s="294" t="n"/>
      <c r="N23" s="294" t="n"/>
      <c r="O23" s="294" t="n"/>
      <c r="P23" s="294" t="n"/>
      <c r="Q23" s="294" t="n"/>
      <c r="R23" s="294" t="n"/>
      <c r="S23" s="294" t="n"/>
      <c r="T23" s="294" t="n"/>
      <c r="U23" s="294" t="n"/>
      <c r="V23" s="294" t="n"/>
      <c r="W23" s="294" t="n"/>
      <c r="X23" s="294" t="n"/>
      <c r="Y23" s="294" t="n"/>
      <c r="Z23" s="294" t="n"/>
      <c r="AA23" s="294" t="n"/>
      <c r="AB23" s="295" t="n"/>
    </row>
    <row r="25" ht="18" customFormat="1" customHeight="1" s="3">
      <c r="B25" s="270" t="inlineStr">
        <is>
          <t>CURRENT RENT vs. MARKET AVERAGE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B26" s="235" t="inlineStr">
        <is>
          <t>Market Average = Avg of Actual Advertised Rents from 6 Market-Rate Comps (Apartments.com)</t>
        </is>
      </c>
      <c r="C26" s="294" t="n"/>
      <c r="D26" s="294" t="n"/>
      <c r="E26" s="294" t="n"/>
      <c r="F26" s="294" t="n"/>
      <c r="G26" s="294" t="n"/>
      <c r="H26" s="295" t="n"/>
    </row>
    <row r="27" ht="15.75" customFormat="1" customHeight="1" s="3">
      <c r="C27" s="271" t="inlineStr">
        <is>
          <t>Current Rent</t>
        </is>
      </c>
      <c r="D27" s="271" t="inlineStr">
        <is>
          <t>Market Avg</t>
        </is>
      </c>
      <c r="E27" s="271" t="inlineStr">
        <is>
          <t>Difference</t>
        </is>
      </c>
    </row>
    <row r="28" ht="20.25" customFormat="1" customHeight="1" s="3">
      <c r="B28" s="272" t="inlineStr">
        <is>
          <t>2BD</t>
        </is>
      </c>
      <c r="C28" s="375" t="n">
        <v>1451</v>
      </c>
      <c r="D28" s="376" t="n">
        <v>1586</v>
      </c>
      <c r="E28" s="377" t="n">
        <v>-135</v>
      </c>
    </row>
    <row r="29" ht="20.25" customFormat="1" customHeight="1" s="3">
      <c r="B29" s="272" t="inlineStr">
        <is>
          <t>3BD</t>
        </is>
      </c>
      <c r="C29" s="375" t="n">
        <v>1613</v>
      </c>
      <c r="D29" s="376" t="n">
        <v>1820</v>
      </c>
      <c r="E29" s="377" t="n">
        <v>-207</v>
      </c>
    </row>
    <row r="32" ht="18" customFormat="1" customHeight="1" s="3">
      <c r="B32" s="270" t="inlineStr">
        <is>
          <t>PMTS — Vouchers / FMR / UAP / NET</t>
        </is>
      </c>
      <c r="C32" s="294" t="n"/>
      <c r="D32" s="294" t="n"/>
      <c r="E32" s="294" t="n"/>
      <c r="F32" s="294" t="n"/>
      <c r="G32" s="294" t="n"/>
      <c r="H32" s="295" t="n"/>
    </row>
    <row r="33" ht="15.75" customFormat="1" customHeight="1" s="3">
      <c r="C33" s="378">
        <f>'Current Rents'!E10</f>
        <v/>
      </c>
      <c r="D33" s="271" t="inlineStr">
        <is>
          <t>VCH</t>
        </is>
      </c>
      <c r="E33" s="271" t="inlineStr">
        <is>
          <t>FMR</t>
        </is>
      </c>
      <c r="F33" s="271" t="inlineStr">
        <is>
          <t>UAP</t>
        </is>
      </c>
      <c r="G33" s="271" t="inlineStr">
        <is>
          <t>NET</t>
        </is>
      </c>
    </row>
    <row r="34" ht="20.25" customFormat="1" customHeight="1" s="3">
      <c r="B34" s="272" t="inlineStr">
        <is>
          <t>2BD</t>
        </is>
      </c>
      <c r="C34" s="292">
        <f>'Current Rents'!F10</f>
        <v/>
      </c>
      <c r="D34" s="49" t="n"/>
      <c r="E34" s="379" t="n">
        <v>1426</v>
      </c>
      <c r="F34" s="380" t="n">
        <v>127</v>
      </c>
      <c r="G34" s="292" t="n">
        <v>1299</v>
      </c>
    </row>
    <row r="35" ht="20.25" customFormat="1" customHeight="1" s="3">
      <c r="B35" s="272" t="inlineStr">
        <is>
          <t>3BD</t>
        </is>
      </c>
      <c r="C35" s="292" t="n">
        <v>1613</v>
      </c>
      <c r="D35" s="49" t="n"/>
      <c r="E35" s="379" t="n">
        <v>1818</v>
      </c>
      <c r="F35" s="380" t="n">
        <v>150</v>
      </c>
      <c r="G35" s="292" t="n">
        <v>1668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3" min="2" max="2"/>
    <col width="9.57421875" customWidth="1" style="3" min="3" max="3"/>
    <col width="30.7109375" customWidth="1" style="3" min="4" max="4"/>
    <col width="16.28125" customWidth="1" style="3" min="5" max="5"/>
    <col width="8.00390625" customWidth="1" style="3" min="6" max="6"/>
    <col width="5.8515625" customWidth="1" style="3" min="7" max="7"/>
    <col width="4.8515625" customWidth="1" style="3" min="8" max="8"/>
    <col width="6.57421875" customWidth="1" style="3" min="9" max="9"/>
    <col width="6.8515625" customWidth="1" style="3" min="10" max="11"/>
    <col width="5.28125" customWidth="1" style="3" min="12" max="12"/>
    <col width="7.57421875" customWidth="1" style="3" min="13" max="13"/>
    <col width="6.8515625" customWidth="1" style="3" min="14" max="15"/>
    <col width="5.28125" customWidth="1" style="3" min="16" max="16"/>
    <col width="7.57421875" customWidth="1" style="3" min="17" max="17"/>
    <col width="4.28125" customWidth="1" style="3" min="18" max="18"/>
    <col width="5.57421875" customWidth="1" style="3" min="19" max="19"/>
    <col width="4.8515625" customWidth="1" style="3" min="20" max="20"/>
    <col width="3.7109375" customWidth="1" style="3" min="21" max="21"/>
    <col width="6.28125" customWidth="1" style="3" min="22" max="22"/>
    <col width="4.7109375" customWidth="1" style="3" min="23" max="23"/>
    <col width="3.7109375" customWidth="1" style="3" min="24" max="24"/>
    <col width="5.421875" customWidth="1" style="3" min="25" max="25"/>
    <col width="9.28125" customWidth="1" style="3" min="26" max="26"/>
    <col width="52.28125" customWidth="1" style="3" min="27" max="27"/>
    <col width="34.00390625" customWidth="1" style="3" min="28" max="28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inlineStr">
        <is>
          <t>RENT COMPARABLES ANALYSIS  —  CORAL VILLAGE  |  CAPE CORAL, FL 33990</t>
        </is>
      </c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48 - Coral Village  |  72 Units  |  Section 8 / HUD  |  1BD &amp; 2BD</t>
        </is>
      </c>
      <c r="AA4" s="294" t="n"/>
      <c r="AB4" s="295" t="n"/>
    </row>
    <row r="5" ht="18" customFormat="1" customHeight="1" s="3">
      <c r="B5" s="234" t="inlineStr">
        <is>
          <t>Cape Coral, FL 33990  |  Lee County  |  Cape Coral-Fort Myers MSA  |  FY2026 FMR: 1BD $1,371 / 2BD $1,876</t>
        </is>
      </c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April 30, 2026  |  Sources: Apartments.com, HUD FMR Database, HUD LIHTC Database, Apartment Corp Records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71" t="inlineStr">
        <is>
          <t>★</t>
        </is>
      </c>
      <c r="C9" s="237" t="inlineStr">
        <is>
          <t>SUBJECT</t>
        </is>
      </c>
      <c r="D9" s="238" t="inlineStr">
        <is>
          <t>Coral Village (SUBJECT)</t>
        </is>
      </c>
      <c r="E9" s="239" t="inlineStr">
        <is>
          <t>Cape Coral</t>
        </is>
      </c>
      <c r="F9" s="239" t="inlineStr">
        <is>
          <t>Cape Coral</t>
        </is>
      </c>
      <c r="G9" s="239" t="inlineStr">
        <is>
          <t>FL</t>
        </is>
      </c>
      <c r="H9" s="239" t="inlineStr">
        <is>
          <t>33990</t>
        </is>
      </c>
      <c r="I9" s="239" t="inlineStr">
        <is>
          <t>0.0 mi</t>
        </is>
      </c>
      <c r="J9" s="239" t="inlineStr">
        <is>
          <t>$3,193</t>
        </is>
      </c>
      <c r="K9" s="239" t="inlineStr">
        <is>
          <t>$3,832</t>
        </is>
      </c>
      <c r="L9" s="239" t="inlineStr">
        <is>
          <t>$1,371</t>
        </is>
      </c>
      <c r="M9" s="374" t="n">
        <v>1375</v>
      </c>
      <c r="N9" s="239" t="inlineStr">
        <is>
          <t>$3,829</t>
        </is>
      </c>
      <c r="O9" s="239" t="inlineStr">
        <is>
          <t>$4,595</t>
        </is>
      </c>
      <c r="P9" s="239" t="inlineStr">
        <is>
          <t>$1,876</t>
        </is>
      </c>
      <c r="Q9" s="374" t="n">
        <v>1552</v>
      </c>
      <c r="R9" s="239" t="n">
        <v>72</v>
      </c>
      <c r="S9" s="239" t="n">
        <v>1999</v>
      </c>
      <c r="T9" s="239" t="n">
        <v>0</v>
      </c>
      <c r="U9" s="241" t="inlineStr">
        <is>
          <t>Yes</t>
        </is>
      </c>
      <c r="V9" s="242" t="inlineStr">
        <is>
          <t>No</t>
        </is>
      </c>
      <c r="W9" s="242" t="inlineStr">
        <is>
          <t>No</t>
        </is>
      </c>
      <c r="X9" s="241" t="inlineStr">
        <is>
          <t>Yes</t>
        </is>
      </c>
      <c r="Y9" s="242" t="inlineStr">
        <is>
          <t>No</t>
        </is>
      </c>
      <c r="Z9" s="237" t="inlineStr">
        <is>
          <t>SUBJECT</t>
        </is>
      </c>
      <c r="AA9" s="243" t="inlineStr">
        <is>
          <t>72 units | Section 8/HUD. Year built: 1999. Subject property.</t>
        </is>
      </c>
      <c r="AB9" s="244" t="inlineStr">
        <is>
          <t>Apartment Corp Records</t>
        </is>
      </c>
    </row>
    <row r="10" ht="21.75" customFormat="1" customHeight="1" s="3">
      <c r="B10" s="78" t="inlineStr">
        <is>
          <t>1</t>
        </is>
      </c>
      <c r="C10" s="245" t="inlineStr">
        <is>
          <t>AFFORDABLE</t>
        </is>
      </c>
      <c r="D10" s="246" t="inlineStr">
        <is>
          <t>Brittany II</t>
        </is>
      </c>
      <c r="E10" s="81" t="inlineStr">
        <is>
          <t>4050 Winkler Ave Ext</t>
        </is>
      </c>
      <c r="F10" s="81" t="inlineStr">
        <is>
          <t>Fort Myers</t>
        </is>
      </c>
      <c r="G10" s="81" t="inlineStr">
        <is>
          <t>FL</t>
        </is>
      </c>
      <c r="H10" s="81" t="inlineStr">
        <is>
          <t>33916</t>
        </is>
      </c>
      <c r="I10" s="81" t="inlineStr">
        <is>
          <t>8.0 mi</t>
        </is>
      </c>
      <c r="J10" s="81" t="inlineStr">
        <is>
          <t>$3,193</t>
        </is>
      </c>
      <c r="K10" s="81" t="inlineStr">
        <is>
          <t>$3,832</t>
        </is>
      </c>
      <c r="L10" s="81" t="inlineStr">
        <is>
          <t>$1,371</t>
        </is>
      </c>
      <c r="M10" s="81" t="inlineStr">
        <is>
          <t>Not Listed</t>
        </is>
      </c>
      <c r="N10" s="81" t="inlineStr">
        <is>
          <t>$3,829</t>
        </is>
      </c>
      <c r="O10" s="81" t="inlineStr">
        <is>
          <t>$4,595</t>
        </is>
      </c>
      <c r="P10" s="81" t="inlineStr">
        <is>
          <t>$1,876</t>
        </is>
      </c>
      <c r="Q10" s="81" t="inlineStr">
        <is>
          <t>Not Listed</t>
        </is>
      </c>
      <c r="R10" s="81" t="n">
        <v>112</v>
      </c>
      <c r="S10" s="81" t="n">
        <v>2000</v>
      </c>
      <c r="T10" s="81" t="n">
        <v>1</v>
      </c>
      <c r="U10" s="247" t="inlineStr">
        <is>
          <t>Yes</t>
        </is>
      </c>
      <c r="V10" s="248" t="inlineStr">
        <is>
          <t>No</t>
        </is>
      </c>
      <c r="W10" s="248" t="inlineStr">
        <is>
          <t>No</t>
        </is>
      </c>
      <c r="X10" s="248" t="inlineStr">
        <is>
          <t>No</t>
        </is>
      </c>
      <c r="Y10" s="248" t="inlineStr">
        <is>
          <t>No</t>
        </is>
      </c>
      <c r="Z10" s="249" t="inlineStr">
        <is>
          <t>HIGH</t>
        </is>
      </c>
      <c r="AA10" s="250" t="inlineStr">
        <is>
          <t>LIHTC, 2000 vintage, 112 units, 8.0 mi.</t>
        </is>
      </c>
      <c r="AB10" s="251" t="inlineStr">
        <is>
          <t>HUD LIHTC Database</t>
        </is>
      </c>
    </row>
    <row r="11" ht="21.75" customFormat="1" customHeight="1" s="3">
      <c r="B11" s="78" t="inlineStr">
        <is>
          <t>2</t>
        </is>
      </c>
      <c r="C11" s="245" t="inlineStr">
        <is>
          <t>AFFORDABLE</t>
        </is>
      </c>
      <c r="D11" s="246" t="inlineStr">
        <is>
          <t>Brittany</t>
        </is>
      </c>
      <c r="E11" s="81" t="inlineStr">
        <is>
          <t>4054 Winkler Ave</t>
        </is>
      </c>
      <c r="F11" s="81" t="inlineStr">
        <is>
          <t>Fort Myers</t>
        </is>
      </c>
      <c r="G11" s="81" t="inlineStr">
        <is>
          <t>FL</t>
        </is>
      </c>
      <c r="H11" s="81" t="inlineStr">
        <is>
          <t>33916</t>
        </is>
      </c>
      <c r="I11" s="81" t="inlineStr">
        <is>
          <t>7.9 mi</t>
        </is>
      </c>
      <c r="J11" s="81" t="inlineStr">
        <is>
          <t>$3,193</t>
        </is>
      </c>
      <c r="K11" s="81" t="inlineStr">
        <is>
          <t>$3,832</t>
        </is>
      </c>
      <c r="L11" s="81" t="inlineStr">
        <is>
          <t>$1,371</t>
        </is>
      </c>
      <c r="M11" s="81" t="inlineStr">
        <is>
          <t>Not Listed</t>
        </is>
      </c>
      <c r="N11" s="81" t="inlineStr">
        <is>
          <t>$3,829</t>
        </is>
      </c>
      <c r="O11" s="81" t="inlineStr">
        <is>
          <t>$4,595</t>
        </is>
      </c>
      <c r="P11" s="81" t="inlineStr">
        <is>
          <t>$1,876</t>
        </is>
      </c>
      <c r="Q11" s="81" t="inlineStr">
        <is>
          <t>Not Listed</t>
        </is>
      </c>
      <c r="R11" s="81" t="n">
        <v>208</v>
      </c>
      <c r="S11" s="81" t="n">
        <v>1999</v>
      </c>
      <c r="T11" s="81" t="n">
        <v>0</v>
      </c>
      <c r="U11" s="247" t="inlineStr">
        <is>
          <t>Yes</t>
        </is>
      </c>
      <c r="V11" s="248" t="inlineStr">
        <is>
          <t>No</t>
        </is>
      </c>
      <c r="W11" s="248" t="inlineStr">
        <is>
          <t>No</t>
        </is>
      </c>
      <c r="X11" s="248" t="inlineStr">
        <is>
          <t>No</t>
        </is>
      </c>
      <c r="Y11" s="248" t="inlineStr">
        <is>
          <t>No</t>
        </is>
      </c>
      <c r="Z11" s="249" t="inlineStr">
        <is>
          <t>HIGH</t>
        </is>
      </c>
      <c r="AA11" s="250" t="inlineStr">
        <is>
          <t>LIHTC, 1999 vintage, 208 units, 7.9 mi.</t>
        </is>
      </c>
      <c r="AB11" s="251" t="inlineStr">
        <is>
          <t>HUD LIHTC Database</t>
        </is>
      </c>
    </row>
    <row r="12" ht="21.75" customFormat="1" customHeight="1" s="3">
      <c r="B12" s="78" t="inlineStr">
        <is>
          <t>3</t>
        </is>
      </c>
      <c r="C12" s="245" t="inlineStr">
        <is>
          <t>AFFORDABLE</t>
        </is>
      </c>
      <c r="D12" s="246" t="inlineStr">
        <is>
          <t>Crossings at Cape Coral</t>
        </is>
      </c>
      <c r="E12" s="81" t="inlineStr">
        <is>
          <t>1150 Hancock Crk Blvd</t>
        </is>
      </c>
      <c r="F12" s="81" t="inlineStr">
        <is>
          <t>Cape Coral</t>
        </is>
      </c>
      <c r="G12" s="81" t="inlineStr">
        <is>
          <t>FL</t>
        </is>
      </c>
      <c r="H12" s="81" t="inlineStr">
        <is>
          <t>33909</t>
        </is>
      </c>
      <c r="I12" s="81" t="inlineStr">
        <is>
          <t>7.7 mi</t>
        </is>
      </c>
      <c r="J12" s="81" t="inlineStr">
        <is>
          <t>$3,193</t>
        </is>
      </c>
      <c r="K12" s="81" t="inlineStr">
        <is>
          <t>$3,832</t>
        </is>
      </c>
      <c r="L12" s="81" t="inlineStr">
        <is>
          <t>$1,371</t>
        </is>
      </c>
      <c r="M12" s="255" t="inlineStr">
        <is>
          <t>Not Listed</t>
        </is>
      </c>
      <c r="N12" s="81" t="inlineStr">
        <is>
          <t>$3,829</t>
        </is>
      </c>
      <c r="O12" s="81" t="inlineStr">
        <is>
          <t>$4,595</t>
        </is>
      </c>
      <c r="P12" s="81" t="inlineStr">
        <is>
          <t>$1,876</t>
        </is>
      </c>
      <c r="Q12" s="374" t="n">
        <v>1224</v>
      </c>
      <c r="R12" s="81" t="n">
        <v>168</v>
      </c>
      <c r="S12" s="81" t="n">
        <v>2000</v>
      </c>
      <c r="T12" s="81" t="n">
        <v>1</v>
      </c>
      <c r="U12" s="247" t="inlineStr">
        <is>
          <t>Yes</t>
        </is>
      </c>
      <c r="V12" s="248" t="inlineStr">
        <is>
          <t>No</t>
        </is>
      </c>
      <c r="W12" s="248" t="inlineStr">
        <is>
          <t>No</t>
        </is>
      </c>
      <c r="X12" s="248" t="inlineStr">
        <is>
          <t>No</t>
        </is>
      </c>
      <c r="Y12" s="248" t="inlineStr">
        <is>
          <t>No</t>
        </is>
      </c>
      <c r="Z12" s="249" t="inlineStr">
        <is>
          <t>HIGH</t>
        </is>
      </c>
      <c r="AA12" s="250" t="inlineStr">
        <is>
          <t>LIHTC, 2000 vintage, 168 units, 7.7 mi.</t>
        </is>
      </c>
      <c r="AB12" s="251" t="inlineStr">
        <is>
          <t>HUD LIHTC Database</t>
        </is>
      </c>
    </row>
    <row r="13" ht="21.75" customFormat="1" customHeight="1" s="3">
      <c r="B13" s="78" t="inlineStr">
        <is>
          <t>4</t>
        </is>
      </c>
      <c r="C13" s="245" t="inlineStr">
        <is>
          <t>AFFORDABLE</t>
        </is>
      </c>
      <c r="D13" s="246" t="inlineStr">
        <is>
          <t>Westchase</t>
        </is>
      </c>
      <c r="E13" s="81" t="inlineStr">
        <is>
          <t>3810 Metro Pkwy</t>
        </is>
      </c>
      <c r="F13" s="81" t="inlineStr">
        <is>
          <t>Fort Myers</t>
        </is>
      </c>
      <c r="G13" s="81" t="inlineStr">
        <is>
          <t>FL</t>
        </is>
      </c>
      <c r="H13" s="81" t="inlineStr">
        <is>
          <t>33916</t>
        </is>
      </c>
      <c r="I13" s="81" t="inlineStr">
        <is>
          <t>6.8 mi</t>
        </is>
      </c>
      <c r="J13" s="81" t="inlineStr">
        <is>
          <t>$3,193</t>
        </is>
      </c>
      <c r="K13" s="81" t="inlineStr">
        <is>
          <t>$3,832</t>
        </is>
      </c>
      <c r="L13" s="81" t="inlineStr">
        <is>
          <t>$1,371</t>
        </is>
      </c>
      <c r="M13" s="81" t="inlineStr">
        <is>
          <t>Not Listed</t>
        </is>
      </c>
      <c r="N13" s="81" t="inlineStr">
        <is>
          <t>$3,829</t>
        </is>
      </c>
      <c r="O13" s="81" t="inlineStr">
        <is>
          <t>$4,595</t>
        </is>
      </c>
      <c r="P13" s="81" t="inlineStr">
        <is>
          <t>$1,876</t>
        </is>
      </c>
      <c r="Q13" s="81" t="inlineStr">
        <is>
          <t>Not Listed</t>
        </is>
      </c>
      <c r="R13" s="81" t="n">
        <v>352</v>
      </c>
      <c r="S13" s="81" t="n">
        <v>1999</v>
      </c>
      <c r="T13" s="81" t="n">
        <v>0</v>
      </c>
      <c r="U13" s="247" t="inlineStr">
        <is>
          <t>Yes</t>
        </is>
      </c>
      <c r="V13" s="248" t="inlineStr">
        <is>
          <t>No</t>
        </is>
      </c>
      <c r="W13" s="248" t="inlineStr">
        <is>
          <t>No</t>
        </is>
      </c>
      <c r="X13" s="248" t="inlineStr">
        <is>
          <t>No</t>
        </is>
      </c>
      <c r="Y13" s="248" t="inlineStr">
        <is>
          <t>No</t>
        </is>
      </c>
      <c r="Z13" s="249" t="inlineStr">
        <is>
          <t>HIGH</t>
        </is>
      </c>
      <c r="AA13" s="250" t="inlineStr">
        <is>
          <t>LIHTC, 1999 vintage, 352 units, 6.8 mi.</t>
        </is>
      </c>
      <c r="AB13" s="251" t="inlineStr">
        <is>
          <t>HUD LIHTC Database</t>
        </is>
      </c>
    </row>
    <row r="14" ht="21.75" customFormat="1" customHeight="1" s="3">
      <c r="B14" s="252" t="inlineStr">
        <is>
          <t>1</t>
        </is>
      </c>
      <c r="C14" s="253" t="inlineStr">
        <is>
          <t>MARKET RATE</t>
        </is>
      </c>
      <c r="D14" s="254" t="inlineStr">
        <is>
          <t>Cape at Savona Point</t>
        </is>
      </c>
      <c r="E14" s="116" t="inlineStr">
        <is>
          <t>1730 Savona Point Cir</t>
        </is>
      </c>
      <c r="F14" s="116" t="inlineStr">
        <is>
          <t>Cape Coral</t>
        </is>
      </c>
      <c r="G14" s="116" t="inlineStr">
        <is>
          <t>FL</t>
        </is>
      </c>
      <c r="H14" s="116" t="inlineStr">
        <is>
          <t>33914</t>
        </is>
      </c>
      <c r="I14" s="116" t="inlineStr">
        <is>
          <t>5.2 mi</t>
        </is>
      </c>
      <c r="J14" s="116" t="inlineStr">
        <is>
          <t>N/A</t>
        </is>
      </c>
      <c r="K14" s="116" t="inlineStr">
        <is>
          <t>N/A</t>
        </is>
      </c>
      <c r="L14" s="116" t="inlineStr">
        <is>
          <t>$1,371</t>
        </is>
      </c>
      <c r="M14" s="374" t="n">
        <v>1287</v>
      </c>
      <c r="N14" s="116" t="inlineStr">
        <is>
          <t>N/A</t>
        </is>
      </c>
      <c r="O14" s="116" t="inlineStr">
        <is>
          <t>N/A</t>
        </is>
      </c>
      <c r="P14" s="116" t="inlineStr">
        <is>
          <t>$1,876</t>
        </is>
      </c>
      <c r="Q14" s="374" t="n">
        <v>1472</v>
      </c>
      <c r="R14" s="116" t="inlineStr">
        <is>
          <t>N/A</t>
        </is>
      </c>
      <c r="S14" s="116" t="n">
        <v>2021</v>
      </c>
      <c r="T14" s="116" t="n">
        <v>22</v>
      </c>
      <c r="U14" s="256" t="inlineStr">
        <is>
          <t>No</t>
        </is>
      </c>
      <c r="V14" s="259" t="inlineStr">
        <is>
          <t>Yes</t>
        </is>
      </c>
      <c r="W14" s="259" t="inlineStr">
        <is>
          <t>Yes</t>
        </is>
      </c>
      <c r="X14" s="259" t="inlineStr">
        <is>
          <t>Yes</t>
        </is>
      </c>
      <c r="Y14" s="259" t="inlineStr">
        <is>
          <t>Yes</t>
        </is>
      </c>
      <c r="Z14" s="249" t="inlineStr">
        <is>
          <t>HIGH</t>
        </is>
      </c>
      <c r="AA14" s="257" t="inlineStr">
        <is>
          <t>No income restrictions, 2021 vintage, 5.2 mi. 1BD $1,287 / 2BD $1,472.</t>
        </is>
      </c>
      <c r="AB14" s="258" t="inlineStr">
        <is>
          <t>apartments.com/cape-at-savona-point-cape-coral-fl/</t>
        </is>
      </c>
    </row>
    <row r="15" ht="21.75" customFormat="1" customHeight="1" s="3">
      <c r="B15" s="252" t="inlineStr">
        <is>
          <t>2</t>
        </is>
      </c>
      <c r="C15" s="253" t="inlineStr">
        <is>
          <t>MARKET RATE</t>
        </is>
      </c>
      <c r="D15" s="254" t="inlineStr">
        <is>
          <t>The Palms at Cape Coral</t>
        </is>
      </c>
      <c r="E15" s="116" t="inlineStr">
        <is>
          <t>701 SW Pine Island Rd</t>
        </is>
      </c>
      <c r="F15" s="116" t="inlineStr">
        <is>
          <t>Cape Coral</t>
        </is>
      </c>
      <c r="G15" s="116" t="inlineStr">
        <is>
          <t>FL</t>
        </is>
      </c>
      <c r="H15" s="116" t="inlineStr">
        <is>
          <t>33991</t>
        </is>
      </c>
      <c r="I15" s="116" t="inlineStr">
        <is>
          <t>4.8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$1,371</t>
        </is>
      </c>
      <c r="M15" s="374" t="n">
        <v>1243</v>
      </c>
      <c r="N15" s="116" t="inlineStr">
        <is>
          <t>N/A</t>
        </is>
      </c>
      <c r="O15" s="116" t="inlineStr">
        <is>
          <t>N/A</t>
        </is>
      </c>
      <c r="P15" s="116" t="inlineStr">
        <is>
          <t>$1,876</t>
        </is>
      </c>
      <c r="Q15" s="374" t="n">
        <v>1503</v>
      </c>
      <c r="R15" s="116" t="inlineStr">
        <is>
          <t>N/A</t>
        </is>
      </c>
      <c r="S15" s="116" t="n">
        <v>2023</v>
      </c>
      <c r="T15" s="116" t="n">
        <v>24</v>
      </c>
      <c r="U15" s="256" t="inlineStr">
        <is>
          <t>No</t>
        </is>
      </c>
      <c r="V15" s="259" t="inlineStr">
        <is>
          <t>Yes</t>
        </is>
      </c>
      <c r="W15" s="259" t="inlineStr">
        <is>
          <t>Yes</t>
        </is>
      </c>
      <c r="X15" s="259" t="inlineStr">
        <is>
          <t>Yes</t>
        </is>
      </c>
      <c r="Y15" s="259" t="inlineStr">
        <is>
          <t>Yes</t>
        </is>
      </c>
      <c r="Z15" s="249" t="inlineStr">
        <is>
          <t>HIGH</t>
        </is>
      </c>
      <c r="AA15" s="257" t="inlineStr">
        <is>
          <t>No income restrictions, 2023 vintage, 4.8 mi. 1BD $1,243 / 2BD $1,503.</t>
        </is>
      </c>
      <c r="AB15" s="258" t="inlineStr">
        <is>
          <t>apartments.com/the-palms-at-cape-coral-fl/</t>
        </is>
      </c>
    </row>
    <row r="16" ht="21.75" customFormat="1" customHeight="1" s="3">
      <c r="B16" s="252" t="inlineStr">
        <is>
          <t>3</t>
        </is>
      </c>
      <c r="C16" s="253" t="inlineStr">
        <is>
          <t>MARKET RATE</t>
        </is>
      </c>
      <c r="D16" s="254" t="inlineStr">
        <is>
          <t>Oasis at Surfside</t>
        </is>
      </c>
      <c r="E16" s="116" t="inlineStr">
        <is>
          <t>2200 Oasis Palm Cir</t>
        </is>
      </c>
      <c r="F16" s="116" t="inlineStr">
        <is>
          <t>Cape Coral</t>
        </is>
      </c>
      <c r="G16" s="116" t="inlineStr">
        <is>
          <t>FL</t>
        </is>
      </c>
      <c r="H16" s="116" t="inlineStr">
        <is>
          <t>33991</t>
        </is>
      </c>
      <c r="I16" s="116" t="inlineStr">
        <is>
          <t>4.1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$1,371</t>
        </is>
      </c>
      <c r="M16" s="374" t="n">
        <v>1389</v>
      </c>
      <c r="N16" s="116" t="inlineStr">
        <is>
          <t>N/A</t>
        </is>
      </c>
      <c r="O16" s="116" t="inlineStr">
        <is>
          <t>N/A</t>
        </is>
      </c>
      <c r="P16" s="116" t="inlineStr">
        <is>
          <t>$1,876</t>
        </is>
      </c>
      <c r="Q16" s="374" t="n">
        <v>1549</v>
      </c>
      <c r="R16" s="116" t="inlineStr">
        <is>
          <t>N/A</t>
        </is>
      </c>
      <c r="S16" s="116" t="n">
        <v>2022</v>
      </c>
      <c r="T16" s="116" t="n">
        <v>23</v>
      </c>
      <c r="U16" s="256" t="inlineStr">
        <is>
          <t>No</t>
        </is>
      </c>
      <c r="V16" s="259" t="inlineStr">
        <is>
          <t>Yes</t>
        </is>
      </c>
      <c r="W16" s="259" t="inlineStr">
        <is>
          <t>Yes</t>
        </is>
      </c>
      <c r="X16" s="259" t="inlineStr">
        <is>
          <t>Yes</t>
        </is>
      </c>
      <c r="Y16" s="259" t="inlineStr">
        <is>
          <t>Yes</t>
        </is>
      </c>
      <c r="Z16" s="249" t="inlineStr">
        <is>
          <t>HIGH</t>
        </is>
      </c>
      <c r="AA16" s="257" t="inlineStr">
        <is>
          <t>No income restrictions, 2022 vintage, 4.1 mi. 1BD $1,389 / 2BD $1,549.</t>
        </is>
      </c>
      <c r="AB16" s="258" t="inlineStr">
        <is>
          <t>apartments.com/oasis-at-surfside-cape-coral-fl/</t>
        </is>
      </c>
    </row>
    <row r="17" ht="21.75" customFormat="1" customHeight="1" s="3">
      <c r="B17" s="252" t="inlineStr">
        <is>
          <t>4</t>
        </is>
      </c>
      <c r="C17" s="253" t="inlineStr">
        <is>
          <t>MARKET RATE</t>
        </is>
      </c>
      <c r="D17" s="254" t="inlineStr">
        <is>
          <t>Springs at Coral Shores</t>
        </is>
      </c>
      <c r="E17" s="116" t="inlineStr">
        <is>
          <t>606 SW 29th Ave</t>
        </is>
      </c>
      <c r="F17" s="116" t="inlineStr">
        <is>
          <t>Cape Coral</t>
        </is>
      </c>
      <c r="G17" s="116" t="inlineStr">
        <is>
          <t>FL</t>
        </is>
      </c>
      <c r="H17" s="116" t="inlineStr">
        <is>
          <t>33991</t>
        </is>
      </c>
      <c r="I17" s="116" t="inlineStr">
        <is>
          <t>3.9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$1,371</t>
        </is>
      </c>
      <c r="M17" s="374" t="n">
        <v>1327</v>
      </c>
      <c r="N17" s="116" t="inlineStr">
        <is>
          <t>N/A</t>
        </is>
      </c>
      <c r="O17" s="116" t="inlineStr">
        <is>
          <t>N/A</t>
        </is>
      </c>
      <c r="P17" s="116" t="inlineStr">
        <is>
          <t>$1,876</t>
        </is>
      </c>
      <c r="Q17" s="374" t="n">
        <v>1480</v>
      </c>
      <c r="R17" s="116" t="inlineStr">
        <is>
          <t>N/A</t>
        </is>
      </c>
      <c r="S17" s="116" t="n">
        <v>2020</v>
      </c>
      <c r="T17" s="116" t="n">
        <v>21</v>
      </c>
      <c r="U17" s="256" t="inlineStr">
        <is>
          <t>No</t>
        </is>
      </c>
      <c r="V17" s="259" t="inlineStr">
        <is>
          <t>Yes</t>
        </is>
      </c>
      <c r="W17" s="259" t="inlineStr">
        <is>
          <t>Yes</t>
        </is>
      </c>
      <c r="X17" s="259" t="inlineStr">
        <is>
          <t>Yes</t>
        </is>
      </c>
      <c r="Y17" s="259" t="inlineStr">
        <is>
          <t>Yes</t>
        </is>
      </c>
      <c r="Z17" s="249" t="inlineStr">
        <is>
          <t>HIGH</t>
        </is>
      </c>
      <c r="AA17" s="257" t="inlineStr">
        <is>
          <t>No income restrictions, 2020 vintage, 3.9 mi. 1BD $1,327 / 2BD $1,480.</t>
        </is>
      </c>
      <c r="AB17" s="258" t="inlineStr">
        <is>
          <t>apartments.com/springs-at-coral-shores-cape-coral-fl/</t>
        </is>
      </c>
    </row>
    <row r="18" ht="21.75" customFormat="1" customHeight="1" s="3">
      <c r="B18" s="252" t="inlineStr">
        <is>
          <t>5</t>
        </is>
      </c>
      <c r="C18" s="253" t="inlineStr">
        <is>
          <t>MARKET RATE</t>
        </is>
      </c>
      <c r="D18" s="254" t="inlineStr">
        <is>
          <t>Coralina Apartments</t>
        </is>
      </c>
      <c r="E18" s="116" t="inlineStr">
        <is>
          <t>3305 Grant Cove Cir</t>
        </is>
      </c>
      <c r="F18" s="116" t="inlineStr">
        <is>
          <t>Cape Coral</t>
        </is>
      </c>
      <c r="G18" s="116" t="inlineStr">
        <is>
          <t>FL</t>
        </is>
      </c>
      <c r="H18" s="116" t="inlineStr">
        <is>
          <t>33991</t>
        </is>
      </c>
      <c r="I18" s="116" t="inlineStr">
        <is>
          <t>4.5 mi</t>
        </is>
      </c>
      <c r="J18" s="116" t="inlineStr">
        <is>
          <t>N/A</t>
        </is>
      </c>
      <c r="K18" s="116" t="inlineStr">
        <is>
          <t>N/A</t>
        </is>
      </c>
      <c r="L18" s="116" t="inlineStr">
        <is>
          <t>$1,371</t>
        </is>
      </c>
      <c r="M18" s="374" t="n">
        <v>1360</v>
      </c>
      <c r="N18" s="116" t="inlineStr">
        <is>
          <t>N/A</t>
        </is>
      </c>
      <c r="O18" s="116" t="inlineStr">
        <is>
          <t>N/A</t>
        </is>
      </c>
      <c r="P18" s="116" t="inlineStr">
        <is>
          <t>$1,876</t>
        </is>
      </c>
      <c r="Q18" s="374" t="n">
        <v>1694</v>
      </c>
      <c r="R18" s="116" t="inlineStr">
        <is>
          <t>N/A</t>
        </is>
      </c>
      <c r="S18" s="116" t="n">
        <v>2022</v>
      </c>
      <c r="T18" s="116" t="n">
        <v>23</v>
      </c>
      <c r="U18" s="256" t="inlineStr">
        <is>
          <t>No</t>
        </is>
      </c>
      <c r="V18" s="259" t="inlineStr">
        <is>
          <t>Yes</t>
        </is>
      </c>
      <c r="W18" s="259" t="inlineStr">
        <is>
          <t>Yes</t>
        </is>
      </c>
      <c r="X18" s="259" t="inlineStr">
        <is>
          <t>Yes</t>
        </is>
      </c>
      <c r="Y18" s="259" t="inlineStr">
        <is>
          <t>Yes</t>
        </is>
      </c>
      <c r="Z18" s="249" t="inlineStr">
        <is>
          <t>HIGH</t>
        </is>
      </c>
      <c r="AA18" s="257" t="inlineStr">
        <is>
          <t>No income restrictions, 2022 vintage, 4.5 mi. 1BD $1,360 / 2BD $1,694.</t>
        </is>
      </c>
      <c r="AB18" s="258" t="inlineStr">
        <is>
          <t>apartments.com/coralina-apartments-cape-coral-fl/</t>
        </is>
      </c>
    </row>
    <row r="19" ht="21.75" customFormat="1" customHeight="1" s="3">
      <c r="B19" s="252" t="inlineStr">
        <is>
          <t>6</t>
        </is>
      </c>
      <c r="C19" s="253" t="inlineStr">
        <is>
          <t>MARKET RATE</t>
        </is>
      </c>
      <c r="D19" s="254" t="inlineStr">
        <is>
          <t>Apts at Isles of Porto Vista</t>
        </is>
      </c>
      <c r="E19" s="116" t="inlineStr">
        <is>
          <t>3936 Pomodoro Cir</t>
        </is>
      </c>
      <c r="F19" s="116" t="inlineStr">
        <is>
          <t>Cape Coral</t>
        </is>
      </c>
      <c r="G19" s="116" t="inlineStr">
        <is>
          <t>FL</t>
        </is>
      </c>
      <c r="H19" s="116" t="inlineStr">
        <is>
          <t>33909</t>
        </is>
      </c>
      <c r="I19" s="116" t="inlineStr">
        <is>
          <t>7.3 mi</t>
        </is>
      </c>
      <c r="J19" s="116" t="inlineStr">
        <is>
          <t>N/A</t>
        </is>
      </c>
      <c r="K19" s="116" t="inlineStr">
        <is>
          <t>N/A</t>
        </is>
      </c>
      <c r="L19" s="116" t="inlineStr">
        <is>
          <t>$1,371</t>
        </is>
      </c>
      <c r="M19" s="374" t="n">
        <v>1424</v>
      </c>
      <c r="N19" s="116" t="inlineStr">
        <is>
          <t>N/A</t>
        </is>
      </c>
      <c r="O19" s="116" t="inlineStr">
        <is>
          <t>N/A</t>
        </is>
      </c>
      <c r="P19" s="116" t="inlineStr">
        <is>
          <t>$1,876</t>
        </is>
      </c>
      <c r="Q19" s="374" t="n">
        <v>1499</v>
      </c>
      <c r="R19" s="116" t="inlineStr">
        <is>
          <t>N/A</t>
        </is>
      </c>
      <c r="S19" s="116" t="n">
        <v>2023</v>
      </c>
      <c r="T19" s="116" t="n">
        <v>24</v>
      </c>
      <c r="U19" s="256" t="inlineStr">
        <is>
          <t>No</t>
        </is>
      </c>
      <c r="V19" s="259" t="inlineStr">
        <is>
          <t>Yes</t>
        </is>
      </c>
      <c r="W19" s="259" t="inlineStr">
        <is>
          <t>Yes</t>
        </is>
      </c>
      <c r="X19" s="259" t="inlineStr">
        <is>
          <t>Yes</t>
        </is>
      </c>
      <c r="Y19" s="259" t="inlineStr">
        <is>
          <t>Yes</t>
        </is>
      </c>
      <c r="Z19" s="249" t="inlineStr">
        <is>
          <t>HIGH</t>
        </is>
      </c>
      <c r="AA19" s="257" t="inlineStr">
        <is>
          <t>No income restrictions, 2023 vintage, 7.3 mi. 1BD $1,424 / 2BD $1,499.</t>
        </is>
      </c>
      <c r="AB19" s="258" t="inlineStr">
        <is>
          <t>apartments.com/isles-of-porto-vista-cape-coral-fl/</t>
        </is>
      </c>
    </row>
    <row r="20" ht="21.75" customFormat="1" customHeight="1" s="3">
      <c r="B20" s="260" t="inlineStr">
        <is>
          <t>—</t>
        </is>
      </c>
      <c r="C20" s="261" t="inlineStr">
        <is>
          <t>BENCHMARK</t>
        </is>
      </c>
      <c r="D20" s="262" t="inlineStr">
        <is>
          <t>FY2026 FMR — Cape Coral-Fort Myers MSA</t>
        </is>
      </c>
      <c r="E20" s="263" t="inlineStr">
        <is>
          <t>N/A</t>
        </is>
      </c>
      <c r="F20" s="263" t="inlineStr">
        <is>
          <t>Cape Coral</t>
        </is>
      </c>
      <c r="G20" s="263" t="inlineStr">
        <is>
          <t>FL</t>
        </is>
      </c>
      <c r="H20" s="263" t="inlineStr">
        <is>
          <t>N/A</t>
        </is>
      </c>
      <c r="I20" s="263" t="inlineStr">
        <is>
          <t>N/A</t>
        </is>
      </c>
      <c r="J20" s="263" t="inlineStr">
        <is>
          <t>$1,371</t>
        </is>
      </c>
      <c r="K20" s="263" t="inlineStr">
        <is>
          <t>$1,371</t>
        </is>
      </c>
      <c r="L20" s="263" t="inlineStr">
        <is>
          <t>$1,371</t>
        </is>
      </c>
      <c r="M20" s="263" t="inlineStr">
        <is>
          <t>N/A</t>
        </is>
      </c>
      <c r="N20" s="263" t="inlineStr">
        <is>
          <t>$1,876</t>
        </is>
      </c>
      <c r="O20" s="263" t="inlineStr">
        <is>
          <t>$1,876</t>
        </is>
      </c>
      <c r="P20" s="263" t="inlineStr">
        <is>
          <t>$1,876</t>
        </is>
      </c>
      <c r="Q20" s="263" t="inlineStr">
        <is>
          <t>N/A</t>
        </is>
      </c>
      <c r="R20" s="263" t="inlineStr">
        <is>
          <t>N/A</t>
        </is>
      </c>
      <c r="S20" s="263" t="inlineStr">
        <is>
          <t>N/A</t>
        </is>
      </c>
      <c r="T20" s="263" t="inlineStr">
        <is>
          <t>N/A</t>
        </is>
      </c>
      <c r="U20" s="263" t="inlineStr">
        <is>
          <t>N/A</t>
        </is>
      </c>
      <c r="V20" s="263" t="inlineStr">
        <is>
          <t>N/A</t>
        </is>
      </c>
      <c r="W20" s="263" t="inlineStr">
        <is>
          <t>N/A</t>
        </is>
      </c>
      <c r="X20" s="263" t="inlineStr">
        <is>
          <t>N/A</t>
        </is>
      </c>
      <c r="Y20" s="263" t="inlineStr">
        <is>
          <t>N/A</t>
        </is>
      </c>
      <c r="Z20" s="253" t="inlineStr">
        <is>
          <t>BENCHMARK</t>
        </is>
      </c>
      <c r="AA20" s="264" t="inlineStr">
        <is>
          <t>HUD FMR for Cape Coral-Fort Myers MSA, FY2026.</t>
        </is>
      </c>
      <c r="AB20" s="265" t="inlineStr">
        <is>
          <t>HUD FMR Database (huduser.gov)</t>
        </is>
      </c>
    </row>
    <row r="21" ht="21.75" customFormat="1" customHeight="1" s="3">
      <c r="B21" s="147" t="inlineStr">
        <is>
          <t>—</t>
        </is>
      </c>
      <c r="C21" s="261" t="inlineStr">
        <is>
          <t>BENCHMARK</t>
        </is>
      </c>
      <c r="D21" s="266" t="inlineStr">
        <is>
          <t>Metro Market Avg — Cape Coral (Apr 2026)</t>
        </is>
      </c>
      <c r="E21" s="267" t="inlineStr">
        <is>
          <t>N/A</t>
        </is>
      </c>
      <c r="F21" s="267" t="inlineStr">
        <is>
          <t>Cape Coral</t>
        </is>
      </c>
      <c r="G21" s="267" t="inlineStr">
        <is>
          <t>FL</t>
        </is>
      </c>
      <c r="H21" s="267" t="inlineStr">
        <is>
          <t>N/A</t>
        </is>
      </c>
      <c r="I21" s="267" t="inlineStr">
        <is>
          <t>N/A</t>
        </is>
      </c>
      <c r="J21" s="267" t="inlineStr">
        <is>
          <t>$1,338</t>
        </is>
      </c>
      <c r="K21" s="267" t="inlineStr">
        <is>
          <t>$1,338</t>
        </is>
      </c>
      <c r="L21" s="267" t="inlineStr">
        <is>
          <t>$1,338</t>
        </is>
      </c>
      <c r="M21" s="267" t="inlineStr">
        <is>
          <t>$1,338</t>
        </is>
      </c>
      <c r="N21" s="267" t="inlineStr">
        <is>
          <t>$1,533</t>
        </is>
      </c>
      <c r="O21" s="267" t="inlineStr">
        <is>
          <t>$1,533</t>
        </is>
      </c>
      <c r="P21" s="267" t="inlineStr">
        <is>
          <t>$1,533</t>
        </is>
      </c>
      <c r="Q21" s="267" t="inlineStr">
        <is>
          <t>$1,533</t>
        </is>
      </c>
      <c r="R21" s="267" t="inlineStr">
        <is>
          <t>N/A</t>
        </is>
      </c>
      <c r="S21" s="267" t="inlineStr">
        <is>
          <t>N/A</t>
        </is>
      </c>
      <c r="T21" s="267" t="inlineStr">
        <is>
          <t>N/A</t>
        </is>
      </c>
      <c r="U21" s="267" t="inlineStr">
        <is>
          <t>N/A</t>
        </is>
      </c>
      <c r="V21" s="267" t="inlineStr">
        <is>
          <t>N/A</t>
        </is>
      </c>
      <c r="W21" s="267" t="inlineStr">
        <is>
          <t>N/A</t>
        </is>
      </c>
      <c r="X21" s="267" t="inlineStr">
        <is>
          <t>N/A</t>
        </is>
      </c>
      <c r="Y21" s="267" t="inlineStr">
        <is>
          <t>N/A</t>
        </is>
      </c>
      <c r="Z21" s="253" t="inlineStr">
        <is>
          <t>BENCHMARK</t>
        </is>
      </c>
      <c r="AA21" s="268" t="inlineStr">
        <is>
          <t>Live Market Average from 6 comps, Apr 30, 2026. 1BD avg $1,338 / 2BD avg $1,533.</t>
        </is>
      </c>
      <c r="AB21" s="269" t="inlineStr">
        <is>
          <t>Apartments.com live data, Apr 30, 2026</t>
        </is>
      </c>
    </row>
    <row r="23" ht="14.25" customFormat="1" customHeight="1" s="3">
      <c r="B23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3" s="294" t="n"/>
      <c r="D23" s="294" t="n"/>
      <c r="E23" s="294" t="n"/>
      <c r="F23" s="294" t="n"/>
      <c r="G23" s="294" t="n"/>
      <c r="H23" s="294" t="n"/>
      <c r="I23" s="294" t="n"/>
      <c r="J23" s="294" t="n"/>
      <c r="K23" s="294" t="n"/>
      <c r="L23" s="294" t="n"/>
      <c r="M23" s="294" t="n"/>
      <c r="N23" s="294" t="n"/>
      <c r="O23" s="294" t="n"/>
      <c r="P23" s="294" t="n"/>
      <c r="Q23" s="294" t="n"/>
      <c r="R23" s="294" t="n"/>
      <c r="S23" s="294" t="n"/>
      <c r="T23" s="294" t="n"/>
      <c r="U23" s="294" t="n"/>
      <c r="V23" s="294" t="n"/>
      <c r="W23" s="294" t="n"/>
      <c r="X23" s="294" t="n"/>
      <c r="Y23" s="294" t="n"/>
      <c r="Z23" s="294" t="n"/>
      <c r="AA23" s="294" t="n"/>
      <c r="AB23" s="295" t="n"/>
    </row>
    <row r="25" ht="18" customFormat="1" customHeight="1" s="3">
      <c r="B25" s="270" t="inlineStr">
        <is>
          <t>CURRENT RENT vs. MARKET AVERAGE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B26" s="235" t="inlineStr">
        <is>
          <t>Market Average = Avg of Actual Advertised Rents from 6 Market-Rate Comps (Apartments.com)</t>
        </is>
      </c>
      <c r="C26" s="294" t="n"/>
      <c r="D26" s="294" t="n"/>
      <c r="E26" s="294" t="n"/>
      <c r="F26" s="294" t="n"/>
      <c r="G26" s="294" t="n"/>
      <c r="H26" s="295" t="n"/>
    </row>
    <row r="27" ht="15.75" customFormat="1" customHeight="1" s="3">
      <c r="C27" s="271" t="inlineStr">
        <is>
          <t>Current Rent</t>
        </is>
      </c>
      <c r="D27" s="271" t="inlineStr">
        <is>
          <t>Market Avg</t>
        </is>
      </c>
      <c r="E27" s="271" t="inlineStr">
        <is>
          <t>Difference</t>
        </is>
      </c>
    </row>
    <row r="28" ht="20.25" customFormat="1" customHeight="1" s="3">
      <c r="B28" s="272" t="inlineStr">
        <is>
          <t>1BD</t>
        </is>
      </c>
      <c r="C28" s="375" t="n">
        <v>1375</v>
      </c>
      <c r="D28" s="376" t="n">
        <v>1338</v>
      </c>
      <c r="E28" s="381" t="n">
        <v>37</v>
      </c>
    </row>
    <row r="29" ht="20.25" customFormat="1" customHeight="1" s="3">
      <c r="B29" s="272" t="inlineStr">
        <is>
          <t>2BD</t>
        </is>
      </c>
      <c r="C29" s="375" t="n">
        <v>1552</v>
      </c>
      <c r="D29" s="376" t="n">
        <v>1533</v>
      </c>
      <c r="E29" s="381" t="n">
        <v>19</v>
      </c>
    </row>
    <row r="32" ht="18" customFormat="1" customHeight="1" s="3">
      <c r="B32" s="270" t="inlineStr">
        <is>
          <t>PMTS — Vouchers / FMR / UAP / NET</t>
        </is>
      </c>
      <c r="C32" s="294" t="n"/>
      <c r="D32" s="294" t="n"/>
      <c r="E32" s="294" t="n"/>
      <c r="F32" s="294" t="n"/>
      <c r="G32" s="294" t="n"/>
      <c r="H32" s="295" t="n"/>
    </row>
    <row r="33" ht="15.75" customFormat="1" customHeight="1" s="3">
      <c r="C33" s="378">
        <f>'Current Rents'!D11</f>
        <v/>
      </c>
      <c r="D33" s="271" t="inlineStr">
        <is>
          <t>VCH</t>
        </is>
      </c>
      <c r="E33" s="271" t="inlineStr">
        <is>
          <t>FMR</t>
        </is>
      </c>
      <c r="F33" s="271" t="inlineStr">
        <is>
          <t>UAP</t>
        </is>
      </c>
      <c r="G33" s="271" t="inlineStr">
        <is>
          <t>NET</t>
        </is>
      </c>
    </row>
    <row r="34" ht="20.25" customFormat="1" customHeight="1" s="3">
      <c r="B34" s="272" t="inlineStr">
        <is>
          <t>1BD</t>
        </is>
      </c>
      <c r="C34" s="292">
        <f>'Current Rents'!E11</f>
        <v/>
      </c>
      <c r="D34" s="382" t="n">
        <v>1425</v>
      </c>
      <c r="E34" s="379" t="n">
        <v>1371</v>
      </c>
      <c r="F34" s="380" t="n">
        <v>89</v>
      </c>
      <c r="G34" s="292" t="n">
        <v>1282</v>
      </c>
    </row>
    <row r="35" ht="20.25" customFormat="1" customHeight="1" s="3">
      <c r="B35" s="272" t="inlineStr">
        <is>
          <t>2BD</t>
        </is>
      </c>
      <c r="C35" s="292" t="n">
        <v>1552</v>
      </c>
      <c r="D35" s="382" t="n">
        <v>1625</v>
      </c>
      <c r="E35" s="379" t="n">
        <v>1876</v>
      </c>
      <c r="F35" s="380" t="n">
        <v>115</v>
      </c>
      <c r="G35" s="292" t="n">
        <v>1761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3" min="2" max="2"/>
    <col width="9.57421875" customWidth="1" style="3" min="3" max="3"/>
    <col width="28.8515625" customWidth="1" style="3" min="4" max="4"/>
    <col width="18.57421875" customWidth="1" style="3" min="5" max="5"/>
    <col width="7.140625" customWidth="1" style="3" min="6" max="6"/>
    <col width="5.8515625" customWidth="1" style="3" min="7" max="7"/>
    <col width="4.8515625" customWidth="1" style="3" min="8" max="8"/>
    <col width="6.57421875" customWidth="1" style="3" min="9" max="9"/>
    <col width="6.8515625" customWidth="1" style="3" min="10" max="11"/>
    <col width="4.00390625" customWidth="1" style="3" min="12" max="12"/>
    <col width="7.57421875" customWidth="1" style="3" min="13" max="13"/>
    <col width="6.8515625" customWidth="1" style="3" min="14" max="15"/>
    <col width="5.28125" customWidth="1" style="3" min="16" max="16"/>
    <col width="7.57421875" customWidth="1" style="3" min="17" max="17"/>
    <col width="6.8515625" customWidth="1" style="3" min="18" max="19"/>
    <col width="5.28125" customWidth="1" style="3" min="20" max="20"/>
    <col width="7.57421875" customWidth="1" style="3" min="21" max="21"/>
    <col width="6.8515625" customWidth="1" style="3" min="22" max="23"/>
    <col width="5.28125" customWidth="1" style="3" min="24" max="24"/>
    <col width="7.57421875" customWidth="1" style="3" min="25" max="25"/>
    <col width="4.28125" customWidth="1" style="3" min="26" max="26"/>
    <col width="5.57421875" customWidth="1" style="3" min="27" max="27"/>
    <col width="4.8515625" customWidth="1" style="3" min="28" max="28"/>
    <col width="3.7109375" customWidth="1" style="3" min="29" max="29"/>
    <col width="6.28125" customWidth="1" style="3" min="30" max="30"/>
    <col width="4.7109375" customWidth="1" style="3" min="31" max="31"/>
    <col width="3.7109375" customWidth="1" style="3" min="32" max="32"/>
    <col width="5.421875" customWidth="1" style="3" min="33" max="33"/>
    <col width="11.140625" customWidth="1" style="3" min="34" max="34"/>
    <col width="51.140625" customWidth="1" style="3" min="35" max="35"/>
    <col width="30.8515625" customWidth="1" style="3" min="36" max="36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inlineStr">
        <is>
          <t>RENT COMPARABLES ANALYSIS  —  HOLIDAY APTS  |  NATCHEZ, MS 39120</t>
        </is>
      </c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15 - Holiday  |  115 Units  |  Section 8 / HUD  |  2BD, 3BD, 4BD &amp; 5BD</t>
        </is>
      </c>
      <c r="AI4" s="294" t="n"/>
      <c r="AJ4" s="295" t="n"/>
    </row>
    <row r="5" ht="18" customFormat="1" customHeight="1" s="3">
      <c r="B5" s="234" t="inlineStr">
        <is>
          <t>601 Old Washington Road, Natchez, MS 39120  |  Adams County  |  FY2026 FMR: 2BD $820 / 3BD $1,040 / 4BD $1,202 / 5BD $1,382</t>
        </is>
      </c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April 30, 2026  |  Sources: Apartments.com, HUD FMR Database, HUD Multifamily Assisted Housing, Apartment Corp Records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4BD
50% AMI</t>
        </is>
      </c>
      <c r="S8" s="64" t="inlineStr">
        <is>
          <t>4BD
60% AMI</t>
        </is>
      </c>
      <c r="T8" s="64" t="inlineStr">
        <is>
          <t>4BD
FMR</t>
        </is>
      </c>
      <c r="U8" s="64" t="inlineStr">
        <is>
          <t>4BD
Actual</t>
        </is>
      </c>
      <c r="V8" s="64" t="inlineStr">
        <is>
          <t>5BD
50% AMI</t>
        </is>
      </c>
      <c r="W8" s="64" t="inlineStr">
        <is>
          <t>5BD
60% AMI</t>
        </is>
      </c>
      <c r="X8" s="64" t="inlineStr">
        <is>
          <t>5BD
FMR</t>
        </is>
      </c>
      <c r="Y8" s="64" t="inlineStr">
        <is>
          <t>5BD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71" t="inlineStr">
        <is>
          <t>★</t>
        </is>
      </c>
      <c r="C9" s="237" t="inlineStr">
        <is>
          <t>SUBJECT</t>
        </is>
      </c>
      <c r="D9" s="238" t="inlineStr">
        <is>
          <t>Holiday Apts (SUBJECT)</t>
        </is>
      </c>
      <c r="E9" s="239" t="inlineStr">
        <is>
          <t>601 Old Washington Road</t>
        </is>
      </c>
      <c r="F9" s="239" t="inlineStr">
        <is>
          <t>Natchez</t>
        </is>
      </c>
      <c r="G9" s="239" t="inlineStr">
        <is>
          <t>MS</t>
        </is>
      </c>
      <c r="H9" s="239" t="inlineStr">
        <is>
          <t>39120</t>
        </is>
      </c>
      <c r="I9" s="239" t="inlineStr">
        <is>
          <t>0.0 mi</t>
        </is>
      </c>
      <c r="J9" s="239" t="inlineStr">
        <is>
          <t>$2,591</t>
        </is>
      </c>
      <c r="K9" s="239" t="inlineStr">
        <is>
          <t>$3,110</t>
        </is>
      </c>
      <c r="L9" s="239" t="inlineStr">
        <is>
          <t>$820</t>
        </is>
      </c>
      <c r="M9" s="374" t="n">
        <v>935</v>
      </c>
      <c r="N9" s="239" t="inlineStr">
        <is>
          <t>$2,879</t>
        </is>
      </c>
      <c r="O9" s="239" t="inlineStr">
        <is>
          <t>$3,455</t>
        </is>
      </c>
      <c r="P9" s="239" t="inlineStr">
        <is>
          <t>$1,040</t>
        </is>
      </c>
      <c r="Q9" s="374" t="n">
        <v>1073</v>
      </c>
      <c r="R9" s="239" t="inlineStr">
        <is>
          <t>$3,112</t>
        </is>
      </c>
      <c r="S9" s="239" t="inlineStr">
        <is>
          <t>$3,735</t>
        </is>
      </c>
      <c r="T9" s="239" t="inlineStr">
        <is>
          <t>$1,202</t>
        </is>
      </c>
      <c r="U9" s="374" t="n">
        <v>1147</v>
      </c>
      <c r="V9" s="239" t="inlineStr">
        <is>
          <t>$3,341</t>
        </is>
      </c>
      <c r="W9" s="239" t="inlineStr">
        <is>
          <t>$4,010</t>
        </is>
      </c>
      <c r="X9" s="239" t="inlineStr">
        <is>
          <t>$1,382</t>
        </is>
      </c>
      <c r="Y9" s="255" t="inlineStr">
        <is>
          <t>N/A</t>
        </is>
      </c>
      <c r="Z9" s="239" t="n">
        <v>115</v>
      </c>
      <c r="AA9" s="239" t="n">
        <v>1951</v>
      </c>
      <c r="AB9" s="239" t="n">
        <v>0</v>
      </c>
      <c r="AC9" s="241" t="inlineStr">
        <is>
          <t>Yes</t>
        </is>
      </c>
      <c r="AD9" s="242" t="inlineStr">
        <is>
          <t>No</t>
        </is>
      </c>
      <c r="AE9" s="242" t="inlineStr">
        <is>
          <t>No</t>
        </is>
      </c>
      <c r="AF9" s="242" t="inlineStr">
        <is>
          <t>No</t>
        </is>
      </c>
      <c r="AG9" s="242" t="inlineStr">
        <is>
          <t>No</t>
        </is>
      </c>
      <c r="AH9" s="237" t="inlineStr">
        <is>
          <t>SUBJECT</t>
        </is>
      </c>
      <c r="AI9" s="243" t="inlineStr">
        <is>
          <t>115 units | Section 8/HUD. Year built: 1951. Subject property.</t>
        </is>
      </c>
      <c r="AJ9" s="244" t="inlineStr">
        <is>
          <t>Apartment Corp Records</t>
        </is>
      </c>
    </row>
    <row r="10" ht="21.75" customFormat="1" customHeight="1" s="3">
      <c r="B10" s="78" t="inlineStr">
        <is>
          <t>1</t>
        </is>
      </c>
      <c r="C10" s="245" t="inlineStr">
        <is>
          <t>AFFORDABLE</t>
        </is>
      </c>
      <c r="D10" s="246" t="inlineStr">
        <is>
          <t>Natchez HA - Sadie V. Thompson Homes</t>
        </is>
      </c>
      <c r="E10" s="81" t="inlineStr">
        <is>
          <t>200 Sadie Thompson Dr</t>
        </is>
      </c>
      <c r="F10" s="81" t="inlineStr">
        <is>
          <t>Natchez</t>
        </is>
      </c>
      <c r="G10" s="81" t="inlineStr">
        <is>
          <t>MS</t>
        </is>
      </c>
      <c r="H10" s="81" t="inlineStr">
        <is>
          <t>39120</t>
        </is>
      </c>
      <c r="I10" s="81" t="inlineStr">
        <is>
          <t>1.5 mi</t>
        </is>
      </c>
      <c r="J10" s="81" t="inlineStr">
        <is>
          <t>$2,591</t>
        </is>
      </c>
      <c r="K10" s="81" t="inlineStr">
        <is>
          <t>$3,110</t>
        </is>
      </c>
      <c r="L10" s="81" t="inlineStr">
        <is>
          <t>$820</t>
        </is>
      </c>
      <c r="M10" s="81" t="inlineStr">
        <is>
          <t>Not Listed</t>
        </is>
      </c>
      <c r="N10" s="81" t="inlineStr">
        <is>
          <t>$2,879</t>
        </is>
      </c>
      <c r="O10" s="81" t="inlineStr">
        <is>
          <t>$3,455</t>
        </is>
      </c>
      <c r="P10" s="81" t="inlineStr">
        <is>
          <t>$1,040</t>
        </is>
      </c>
      <c r="Q10" s="81" t="inlineStr">
        <is>
          <t>Not Listed</t>
        </is>
      </c>
      <c r="R10" s="81" t="inlineStr">
        <is>
          <t>$3,112</t>
        </is>
      </c>
      <c r="S10" s="81" t="inlineStr">
        <is>
          <t>$3,735</t>
        </is>
      </c>
      <c r="T10" s="81" t="inlineStr">
        <is>
          <t>$1,202</t>
        </is>
      </c>
      <c r="U10" s="81" t="inlineStr">
        <is>
          <t>Not Listed</t>
        </is>
      </c>
      <c r="V10" s="81" t="inlineStr">
        <is>
          <t>$3,341</t>
        </is>
      </c>
      <c r="W10" s="81" t="inlineStr">
        <is>
          <t>$4,010</t>
        </is>
      </c>
      <c r="X10" s="81" t="inlineStr">
        <is>
          <t>$1,382</t>
        </is>
      </c>
      <c r="Y10" s="81" t="inlineStr">
        <is>
          <t>Not Listed</t>
        </is>
      </c>
      <c r="Z10" s="81" t="n">
        <v>100</v>
      </c>
      <c r="AA10" s="81" t="n">
        <v>1952</v>
      </c>
      <c r="AB10" s="81" t="n">
        <v>1</v>
      </c>
      <c r="AC10" s="247" t="inlineStr">
        <is>
          <t>Yes</t>
        </is>
      </c>
      <c r="AD10" s="248" t="inlineStr">
        <is>
          <t>No</t>
        </is>
      </c>
      <c r="AE10" s="248" t="inlineStr">
        <is>
          <t>No</t>
        </is>
      </c>
      <c r="AF10" s="248" t="inlineStr">
        <is>
          <t>No</t>
        </is>
      </c>
      <c r="AG10" s="248" t="inlineStr">
        <is>
          <t>No</t>
        </is>
      </c>
      <c r="AH10" s="249" t="inlineStr">
        <is>
          <t>HIGH</t>
        </is>
      </c>
      <c r="AI10" s="250" t="inlineStr">
        <is>
          <t>Public Housing/HUD, 1952 vintage, 100 units, 1.5 mi.</t>
        </is>
      </c>
      <c r="AJ10" s="251" t="inlineStr">
        <is>
          <t>Natchez Housing Authority</t>
        </is>
      </c>
    </row>
    <row r="11" ht="21.75" customFormat="1" customHeight="1" s="3">
      <c r="B11" s="78" t="inlineStr">
        <is>
          <t>2</t>
        </is>
      </c>
      <c r="C11" s="245" t="inlineStr">
        <is>
          <t>AFFORDABLE</t>
        </is>
      </c>
      <c r="D11" s="246" t="inlineStr">
        <is>
          <t>Vicksburg HA - Ida B. Wells Homes</t>
        </is>
      </c>
      <c r="E11" s="81" t="inlineStr">
        <is>
          <t>1 Ida B Wells Dr</t>
        </is>
      </c>
      <c r="F11" s="81" t="inlineStr">
        <is>
          <t>Vicksburg</t>
        </is>
      </c>
      <c r="G11" s="81" t="inlineStr">
        <is>
          <t>MS</t>
        </is>
      </c>
      <c r="H11" s="81" t="inlineStr">
        <is>
          <t>39180</t>
        </is>
      </c>
      <c r="I11" s="81" t="inlineStr">
        <is>
          <t>72.0 mi</t>
        </is>
      </c>
      <c r="J11" s="81" t="inlineStr">
        <is>
          <t>$2,591</t>
        </is>
      </c>
      <c r="K11" s="81" t="inlineStr">
        <is>
          <t>$3,110</t>
        </is>
      </c>
      <c r="L11" s="81" t="inlineStr">
        <is>
          <t>$820</t>
        </is>
      </c>
      <c r="M11" s="81" t="inlineStr">
        <is>
          <t>Not Listed</t>
        </is>
      </c>
      <c r="N11" s="81" t="inlineStr">
        <is>
          <t>$2,879</t>
        </is>
      </c>
      <c r="O11" s="81" t="inlineStr">
        <is>
          <t>$3,455</t>
        </is>
      </c>
      <c r="P11" s="81" t="inlineStr">
        <is>
          <t>$1,040</t>
        </is>
      </c>
      <c r="Q11" s="81" t="inlineStr">
        <is>
          <t>Not Listed</t>
        </is>
      </c>
      <c r="R11" s="81" t="inlineStr">
        <is>
          <t>$3,112</t>
        </is>
      </c>
      <c r="S11" s="81" t="inlineStr">
        <is>
          <t>$3,735</t>
        </is>
      </c>
      <c r="T11" s="81" t="inlineStr">
        <is>
          <t>$1,202</t>
        </is>
      </c>
      <c r="U11" s="81" t="inlineStr">
        <is>
          <t>Not Listed</t>
        </is>
      </c>
      <c r="V11" s="81" t="inlineStr">
        <is>
          <t>$3,341</t>
        </is>
      </c>
      <c r="W11" s="81" t="inlineStr">
        <is>
          <t>$4,010</t>
        </is>
      </c>
      <c r="X11" s="81" t="inlineStr">
        <is>
          <t>$1,382</t>
        </is>
      </c>
      <c r="Y11" s="81" t="inlineStr">
        <is>
          <t>Not Listed</t>
        </is>
      </c>
      <c r="Z11" s="81" t="n">
        <v>150</v>
      </c>
      <c r="AA11" s="81" t="n">
        <v>1955</v>
      </c>
      <c r="AB11" s="81" t="n">
        <v>4</v>
      </c>
      <c r="AC11" s="247" t="inlineStr">
        <is>
          <t>Yes</t>
        </is>
      </c>
      <c r="AD11" s="248" t="inlineStr">
        <is>
          <t>No</t>
        </is>
      </c>
      <c r="AE11" s="248" t="inlineStr">
        <is>
          <t>No</t>
        </is>
      </c>
      <c r="AF11" s="248" t="inlineStr">
        <is>
          <t>No</t>
        </is>
      </c>
      <c r="AG11" s="248" t="inlineStr">
        <is>
          <t>No</t>
        </is>
      </c>
      <c r="AH11" s="279" t="inlineStr">
        <is>
          <t>LOW-MODERATE</t>
        </is>
      </c>
      <c r="AI11" s="250" t="inlineStr">
        <is>
          <t>Public Housing/HUD, 1955 vintage, 150 units, 72.0 mi.</t>
        </is>
      </c>
      <c r="AJ11" s="251" t="inlineStr">
        <is>
          <t>Vicksburg Housing Authority</t>
        </is>
      </c>
    </row>
    <row r="12" ht="21.75" customFormat="1" customHeight="1" s="3">
      <c r="B12" s="78" t="inlineStr">
        <is>
          <t>3</t>
        </is>
      </c>
      <c r="C12" s="245" t="inlineStr">
        <is>
          <t>AFFORDABLE</t>
        </is>
      </c>
      <c r="D12" s="246" t="inlineStr">
        <is>
          <t>Laurel HA - Queensburg Homes</t>
        </is>
      </c>
      <c r="E12" s="81" t="inlineStr">
        <is>
          <t>100 Queensburg Dr</t>
        </is>
      </c>
      <c r="F12" s="81" t="inlineStr">
        <is>
          <t>Laurel</t>
        </is>
      </c>
      <c r="G12" s="81" t="inlineStr">
        <is>
          <t>MS</t>
        </is>
      </c>
      <c r="H12" s="81" t="inlineStr">
        <is>
          <t>39440</t>
        </is>
      </c>
      <c r="I12" s="81" t="inlineStr">
        <is>
          <t>145.0 mi</t>
        </is>
      </c>
      <c r="J12" s="81" t="inlineStr">
        <is>
          <t>$2,591</t>
        </is>
      </c>
      <c r="K12" s="81" t="inlineStr">
        <is>
          <t>$3,110</t>
        </is>
      </c>
      <c r="L12" s="81" t="inlineStr">
        <is>
          <t>$820</t>
        </is>
      </c>
      <c r="M12" s="81" t="inlineStr">
        <is>
          <t>Not Listed</t>
        </is>
      </c>
      <c r="N12" s="81" t="inlineStr">
        <is>
          <t>$2,879</t>
        </is>
      </c>
      <c r="O12" s="81" t="inlineStr">
        <is>
          <t>$3,455</t>
        </is>
      </c>
      <c r="P12" s="81" t="inlineStr">
        <is>
          <t>$1,040</t>
        </is>
      </c>
      <c r="Q12" s="81" t="inlineStr">
        <is>
          <t>Not Listed</t>
        </is>
      </c>
      <c r="R12" s="81" t="inlineStr">
        <is>
          <t>$3,112</t>
        </is>
      </c>
      <c r="S12" s="81" t="inlineStr">
        <is>
          <t>$3,735</t>
        </is>
      </c>
      <c r="T12" s="81" t="inlineStr">
        <is>
          <t>$1,202</t>
        </is>
      </c>
      <c r="U12" s="81" t="inlineStr">
        <is>
          <t>Not Listed</t>
        </is>
      </c>
      <c r="V12" s="81" t="inlineStr">
        <is>
          <t>$3,341</t>
        </is>
      </c>
      <c r="W12" s="81" t="inlineStr">
        <is>
          <t>$4,010</t>
        </is>
      </c>
      <c r="X12" s="81" t="inlineStr">
        <is>
          <t>$1,382</t>
        </is>
      </c>
      <c r="Y12" s="81" t="inlineStr">
        <is>
          <t>Not Listed</t>
        </is>
      </c>
      <c r="Z12" s="81" t="n">
        <v>100</v>
      </c>
      <c r="AA12" s="81" t="n">
        <v>1950</v>
      </c>
      <c r="AB12" s="81" t="n">
        <v>1</v>
      </c>
      <c r="AC12" s="247" t="inlineStr">
        <is>
          <t>Yes</t>
        </is>
      </c>
      <c r="AD12" s="248" t="inlineStr">
        <is>
          <t>No</t>
        </is>
      </c>
      <c r="AE12" s="248" t="inlineStr">
        <is>
          <t>No</t>
        </is>
      </c>
      <c r="AF12" s="248" t="inlineStr">
        <is>
          <t>No</t>
        </is>
      </c>
      <c r="AG12" s="248" t="inlineStr">
        <is>
          <t>No</t>
        </is>
      </c>
      <c r="AH12" s="279" t="inlineStr">
        <is>
          <t>LOW-MODERATE</t>
        </is>
      </c>
      <c r="AI12" s="250" t="inlineStr">
        <is>
          <t>Public Housing/HUD, 1950 vintage, 100 units, 145.0 mi.</t>
        </is>
      </c>
      <c r="AJ12" s="251" t="inlineStr">
        <is>
          <t>Laurel Housing Authority</t>
        </is>
      </c>
    </row>
    <row r="13" ht="21.75" customFormat="1" customHeight="1" s="3">
      <c r="B13" s="78" t="inlineStr">
        <is>
          <t>4</t>
        </is>
      </c>
      <c r="C13" s="245" t="inlineStr">
        <is>
          <t>AFFORDABLE</t>
        </is>
      </c>
      <c r="D13" s="246" t="inlineStr">
        <is>
          <t>Natchez HA - Belleview Homes</t>
        </is>
      </c>
      <c r="E13" s="81" t="inlineStr">
        <is>
          <t>400 Belleview Ave</t>
        </is>
      </c>
      <c r="F13" s="81" t="inlineStr">
        <is>
          <t>Natchez</t>
        </is>
      </c>
      <c r="G13" s="81" t="inlineStr">
        <is>
          <t>MS</t>
        </is>
      </c>
      <c r="H13" s="81" t="inlineStr">
        <is>
          <t>39120</t>
        </is>
      </c>
      <c r="I13" s="81" t="inlineStr">
        <is>
          <t>1.8 mi</t>
        </is>
      </c>
      <c r="J13" s="81" t="inlineStr">
        <is>
          <t>$2,591</t>
        </is>
      </c>
      <c r="K13" s="81" t="inlineStr">
        <is>
          <t>$3,110</t>
        </is>
      </c>
      <c r="L13" s="81" t="inlineStr">
        <is>
          <t>$820</t>
        </is>
      </c>
      <c r="M13" s="81" t="inlineStr">
        <is>
          <t>Not Listed</t>
        </is>
      </c>
      <c r="N13" s="81" t="inlineStr">
        <is>
          <t>$2,879</t>
        </is>
      </c>
      <c r="O13" s="81" t="inlineStr">
        <is>
          <t>$3,455</t>
        </is>
      </c>
      <c r="P13" s="81" t="inlineStr">
        <is>
          <t>$1,040</t>
        </is>
      </c>
      <c r="Q13" s="81" t="inlineStr">
        <is>
          <t>Not Listed</t>
        </is>
      </c>
      <c r="R13" s="81" t="inlineStr">
        <is>
          <t>$3,112</t>
        </is>
      </c>
      <c r="S13" s="81" t="inlineStr">
        <is>
          <t>$3,735</t>
        </is>
      </c>
      <c r="T13" s="81" t="inlineStr">
        <is>
          <t>$1,202</t>
        </is>
      </c>
      <c r="U13" s="81" t="inlineStr">
        <is>
          <t>Not Listed</t>
        </is>
      </c>
      <c r="V13" s="81" t="inlineStr">
        <is>
          <t>$3,341</t>
        </is>
      </c>
      <c r="W13" s="81" t="inlineStr">
        <is>
          <t>$4,010</t>
        </is>
      </c>
      <c r="X13" s="81" t="inlineStr">
        <is>
          <t>$1,382</t>
        </is>
      </c>
      <c r="Y13" s="81" t="inlineStr">
        <is>
          <t>Not Listed</t>
        </is>
      </c>
      <c r="Z13" s="81" t="n">
        <v>120</v>
      </c>
      <c r="AA13" s="81" t="n">
        <v>1953</v>
      </c>
      <c r="AB13" s="81" t="n">
        <v>2</v>
      </c>
      <c r="AC13" s="247" t="inlineStr">
        <is>
          <t>Yes</t>
        </is>
      </c>
      <c r="AD13" s="248" t="inlineStr">
        <is>
          <t>No</t>
        </is>
      </c>
      <c r="AE13" s="248" t="inlineStr">
        <is>
          <t>No</t>
        </is>
      </c>
      <c r="AF13" s="248" t="inlineStr">
        <is>
          <t>No</t>
        </is>
      </c>
      <c r="AG13" s="248" t="inlineStr">
        <is>
          <t>No</t>
        </is>
      </c>
      <c r="AH13" s="249" t="inlineStr">
        <is>
          <t>HIGH</t>
        </is>
      </c>
      <c r="AI13" s="250" t="inlineStr">
        <is>
          <t>Public Housing/HUD, 1953 vintage, 120 units, 1.8 mi.</t>
        </is>
      </c>
      <c r="AJ13" s="251" t="inlineStr">
        <is>
          <t>Natchez Housing Authority</t>
        </is>
      </c>
    </row>
    <row r="14" ht="21.75" customFormat="1" customHeight="1" s="3">
      <c r="B14" s="252" t="inlineStr">
        <is>
          <t>1</t>
        </is>
      </c>
      <c r="C14" s="253" t="inlineStr">
        <is>
          <t>MARKET RATE</t>
        </is>
      </c>
      <c r="D14" s="254" t="inlineStr">
        <is>
          <t>Camelot Apartments</t>
        </is>
      </c>
      <c r="E14" s="116" t="inlineStr">
        <is>
          <t>156 Jefferson Davis Blvd</t>
        </is>
      </c>
      <c r="F14" s="116" t="inlineStr">
        <is>
          <t>Natchez</t>
        </is>
      </c>
      <c r="G14" s="116" t="inlineStr">
        <is>
          <t>MS</t>
        </is>
      </c>
      <c r="H14" s="116" t="inlineStr">
        <is>
          <t>39120</t>
        </is>
      </c>
      <c r="I14" s="116" t="inlineStr">
        <is>
          <t>1.2 mi</t>
        </is>
      </c>
      <c r="J14" s="116" t="inlineStr">
        <is>
          <t>N/A</t>
        </is>
      </c>
      <c r="K14" s="116" t="inlineStr">
        <is>
          <t>N/A</t>
        </is>
      </c>
      <c r="L14" s="116" t="inlineStr">
        <is>
          <t>$820</t>
        </is>
      </c>
      <c r="M14" s="374" t="n">
        <v>850</v>
      </c>
      <c r="N14" s="116" t="inlineStr">
        <is>
          <t>N/A</t>
        </is>
      </c>
      <c r="O14" s="116" t="inlineStr">
        <is>
          <t>N/A</t>
        </is>
      </c>
      <c r="P14" s="116" t="inlineStr">
        <is>
          <t>$1,040</t>
        </is>
      </c>
      <c r="Q14" s="255" t="inlineStr">
        <is>
          <t>Not Listed</t>
        </is>
      </c>
      <c r="R14" s="116" t="inlineStr">
        <is>
          <t>N/A</t>
        </is>
      </c>
      <c r="S14" s="116" t="inlineStr">
        <is>
          <t>N/A</t>
        </is>
      </c>
      <c r="T14" s="116" t="inlineStr">
        <is>
          <t>$1,202</t>
        </is>
      </c>
      <c r="U14" s="255" t="inlineStr">
        <is>
          <t>Not Listed</t>
        </is>
      </c>
      <c r="V14" s="116" t="inlineStr">
        <is>
          <t>N/A</t>
        </is>
      </c>
      <c r="W14" s="116" t="inlineStr">
        <is>
          <t>N/A</t>
        </is>
      </c>
      <c r="X14" s="116" t="inlineStr">
        <is>
          <t>$1,382</t>
        </is>
      </c>
      <c r="Y14" s="255" t="inlineStr">
        <is>
          <t>Not Listed</t>
        </is>
      </c>
      <c r="Z14" s="116" t="inlineStr">
        <is>
          <t>N/A</t>
        </is>
      </c>
      <c r="AA14" s="116" t="n">
        <v>1975</v>
      </c>
      <c r="AB14" s="116" t="n">
        <v>24</v>
      </c>
      <c r="AC14" s="256" t="inlineStr">
        <is>
          <t>No</t>
        </is>
      </c>
      <c r="AD14" s="256" t="inlineStr">
        <is>
          <t>No</t>
        </is>
      </c>
      <c r="AE14" s="256" t="inlineStr">
        <is>
          <t>No</t>
        </is>
      </c>
      <c r="AF14" s="256" t="inlineStr">
        <is>
          <t>No</t>
        </is>
      </c>
      <c r="AG14" s="256" t="inlineStr">
        <is>
          <t>No</t>
        </is>
      </c>
      <c r="AH14" s="249" t="inlineStr">
        <is>
          <t>HIGH</t>
        </is>
      </c>
      <c r="AI14" s="257" t="inlineStr">
        <is>
          <t>No income restrictions, 1975 vintage, 1.2 mi. 2BD $850.</t>
        </is>
      </c>
      <c r="AJ14" s="258" t="inlineStr">
        <is>
          <t>apartments.com/camelot-natchez-ms/</t>
        </is>
      </c>
    </row>
    <row r="15" ht="21.75" customFormat="1" customHeight="1" s="3">
      <c r="B15" s="252" t="inlineStr">
        <is>
          <t>2</t>
        </is>
      </c>
      <c r="C15" s="253" t="inlineStr">
        <is>
          <t>MARKET RATE</t>
        </is>
      </c>
      <c r="D15" s="254" t="inlineStr">
        <is>
          <t>Bienville Apartments</t>
        </is>
      </c>
      <c r="E15" s="116" t="inlineStr">
        <is>
          <t>500 N Commerce St</t>
        </is>
      </c>
      <c r="F15" s="116" t="inlineStr">
        <is>
          <t>Natchez</t>
        </is>
      </c>
      <c r="G15" s="116" t="inlineStr">
        <is>
          <t>MS</t>
        </is>
      </c>
      <c r="H15" s="116" t="inlineStr">
        <is>
          <t>39120</t>
        </is>
      </c>
      <c r="I15" s="116" t="inlineStr">
        <is>
          <t>0.8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$820</t>
        </is>
      </c>
      <c r="M15" s="374" t="n">
        <v>815</v>
      </c>
      <c r="N15" s="116" t="inlineStr">
        <is>
          <t>N/A</t>
        </is>
      </c>
      <c r="O15" s="116" t="inlineStr">
        <is>
          <t>N/A</t>
        </is>
      </c>
      <c r="P15" s="116" t="inlineStr">
        <is>
          <t>$1,040</t>
        </is>
      </c>
      <c r="Q15" s="255" t="inlineStr">
        <is>
          <t>Not Listed</t>
        </is>
      </c>
      <c r="R15" s="116" t="inlineStr">
        <is>
          <t>N/A</t>
        </is>
      </c>
      <c r="S15" s="116" t="inlineStr">
        <is>
          <t>N/A</t>
        </is>
      </c>
      <c r="T15" s="116" t="inlineStr">
        <is>
          <t>$1,202</t>
        </is>
      </c>
      <c r="U15" s="255" t="inlineStr">
        <is>
          <t>Not Listed</t>
        </is>
      </c>
      <c r="V15" s="116" t="inlineStr">
        <is>
          <t>N/A</t>
        </is>
      </c>
      <c r="W15" s="116" t="inlineStr">
        <is>
          <t>N/A</t>
        </is>
      </c>
      <c r="X15" s="116" t="inlineStr">
        <is>
          <t>$1,382</t>
        </is>
      </c>
      <c r="Y15" s="255" t="inlineStr">
        <is>
          <t>Not Listed</t>
        </is>
      </c>
      <c r="Z15" s="116" t="inlineStr">
        <is>
          <t>N/A</t>
        </is>
      </c>
      <c r="AA15" s="116" t="n">
        <v>1970</v>
      </c>
      <c r="AB15" s="116" t="n">
        <v>19</v>
      </c>
      <c r="AC15" s="256" t="inlineStr">
        <is>
          <t>No</t>
        </is>
      </c>
      <c r="AD15" s="256" t="inlineStr">
        <is>
          <t>No</t>
        </is>
      </c>
      <c r="AE15" s="256" t="inlineStr">
        <is>
          <t>No</t>
        </is>
      </c>
      <c r="AF15" s="256" t="inlineStr">
        <is>
          <t>No</t>
        </is>
      </c>
      <c r="AG15" s="256" t="inlineStr">
        <is>
          <t>No</t>
        </is>
      </c>
      <c r="AH15" s="249" t="inlineStr">
        <is>
          <t>HIGH</t>
        </is>
      </c>
      <c r="AI15" s="257" t="inlineStr">
        <is>
          <t>No income restrictions, 1970 vintage, 0.8 mi. 2BD $815.</t>
        </is>
      </c>
      <c r="AJ15" s="258" t="inlineStr">
        <is>
          <t>apartments.com/bienville-natchez-ms/</t>
        </is>
      </c>
    </row>
    <row r="16" ht="21.75" customFormat="1" customHeight="1" s="3">
      <c r="B16" s="252" t="inlineStr">
        <is>
          <t>3</t>
        </is>
      </c>
      <c r="C16" s="253" t="inlineStr">
        <is>
          <t>MARKET RATE</t>
        </is>
      </c>
      <c r="D16" s="254" t="inlineStr">
        <is>
          <t>Riverbreeze Manor</t>
        </is>
      </c>
      <c r="E16" s="116" t="inlineStr">
        <is>
          <t>144 N Shields Ln</t>
        </is>
      </c>
      <c r="F16" s="116" t="inlineStr">
        <is>
          <t>Natchez</t>
        </is>
      </c>
      <c r="G16" s="116" t="inlineStr">
        <is>
          <t>MS</t>
        </is>
      </c>
      <c r="H16" s="116" t="inlineStr">
        <is>
          <t>39120</t>
        </is>
      </c>
      <c r="I16" s="116" t="inlineStr">
        <is>
          <t>1.5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$820</t>
        </is>
      </c>
      <c r="M16" s="374" t="n">
        <v>750</v>
      </c>
      <c r="N16" s="116" t="inlineStr">
        <is>
          <t>N/A</t>
        </is>
      </c>
      <c r="O16" s="116" t="inlineStr">
        <is>
          <t>N/A</t>
        </is>
      </c>
      <c r="P16" s="116" t="inlineStr">
        <is>
          <t>$1,040</t>
        </is>
      </c>
      <c r="Q16" s="374" t="n">
        <v>850</v>
      </c>
      <c r="R16" s="116" t="inlineStr">
        <is>
          <t>N/A</t>
        </is>
      </c>
      <c r="S16" s="116" t="inlineStr">
        <is>
          <t>N/A</t>
        </is>
      </c>
      <c r="T16" s="116" t="inlineStr">
        <is>
          <t>$1,202</t>
        </is>
      </c>
      <c r="U16" s="255" t="inlineStr">
        <is>
          <t>Not Listed</t>
        </is>
      </c>
      <c r="V16" s="116" t="inlineStr">
        <is>
          <t>N/A</t>
        </is>
      </c>
      <c r="W16" s="116" t="inlineStr">
        <is>
          <t>N/A</t>
        </is>
      </c>
      <c r="X16" s="116" t="inlineStr">
        <is>
          <t>$1,382</t>
        </is>
      </c>
      <c r="Y16" s="255" t="inlineStr">
        <is>
          <t>Not Listed</t>
        </is>
      </c>
      <c r="Z16" s="116" t="inlineStr">
        <is>
          <t>N/A</t>
        </is>
      </c>
      <c r="AA16" s="116" t="n">
        <v>1980</v>
      </c>
      <c r="AB16" s="116" t="n">
        <v>29</v>
      </c>
      <c r="AC16" s="256" t="inlineStr">
        <is>
          <t>No</t>
        </is>
      </c>
      <c r="AD16" s="256" t="inlineStr">
        <is>
          <t>No</t>
        </is>
      </c>
      <c r="AE16" s="256" t="inlineStr">
        <is>
          <t>No</t>
        </is>
      </c>
      <c r="AF16" s="256" t="inlineStr">
        <is>
          <t>No</t>
        </is>
      </c>
      <c r="AG16" s="256" t="inlineStr">
        <is>
          <t>No</t>
        </is>
      </c>
      <c r="AH16" s="249" t="inlineStr">
        <is>
          <t>HIGH</t>
        </is>
      </c>
      <c r="AI16" s="257" t="inlineStr">
        <is>
          <t>No income restrictions, 1980 vintage, 1.5 mi. 2BD $750 / 3BD $850.</t>
        </is>
      </c>
      <c r="AJ16" s="258" t="inlineStr">
        <is>
          <t>apartments.com/riverbreeze-manor-natchez-ms/</t>
        </is>
      </c>
    </row>
    <row r="17" ht="21.75" customFormat="1" customHeight="1" s="3">
      <c r="B17" s="252" t="inlineStr">
        <is>
          <t>4</t>
        </is>
      </c>
      <c r="C17" s="253" t="inlineStr">
        <is>
          <t>MARKET RATE</t>
        </is>
      </c>
      <c r="D17" s="254" t="inlineStr">
        <is>
          <t>Covington II</t>
        </is>
      </c>
      <c r="E17" s="116" t="inlineStr">
        <is>
          <t>22 T Waring Bennett Jr Rd</t>
        </is>
      </c>
      <c r="F17" s="116" t="inlineStr">
        <is>
          <t>Natchez</t>
        </is>
      </c>
      <c r="G17" s="116" t="inlineStr">
        <is>
          <t>MS</t>
        </is>
      </c>
      <c r="H17" s="116" t="inlineStr">
        <is>
          <t>39120</t>
        </is>
      </c>
      <c r="I17" s="116" t="inlineStr">
        <is>
          <t>2.1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$820</t>
        </is>
      </c>
      <c r="M17" s="374" t="n">
        <v>730</v>
      </c>
      <c r="N17" s="116" t="inlineStr">
        <is>
          <t>N/A</t>
        </is>
      </c>
      <c r="O17" s="116" t="inlineStr">
        <is>
          <t>N/A</t>
        </is>
      </c>
      <c r="P17" s="116" t="inlineStr">
        <is>
          <t>$1,040</t>
        </is>
      </c>
      <c r="Q17" s="255" t="inlineStr">
        <is>
          <t>Not Listed</t>
        </is>
      </c>
      <c r="R17" s="116" t="inlineStr">
        <is>
          <t>N/A</t>
        </is>
      </c>
      <c r="S17" s="116" t="inlineStr">
        <is>
          <t>N/A</t>
        </is>
      </c>
      <c r="T17" s="116" t="inlineStr">
        <is>
          <t>$1,202</t>
        </is>
      </c>
      <c r="U17" s="255" t="inlineStr">
        <is>
          <t>Not Listed</t>
        </is>
      </c>
      <c r="V17" s="116" t="inlineStr">
        <is>
          <t>N/A</t>
        </is>
      </c>
      <c r="W17" s="116" t="inlineStr">
        <is>
          <t>N/A</t>
        </is>
      </c>
      <c r="X17" s="116" t="inlineStr">
        <is>
          <t>$1,382</t>
        </is>
      </c>
      <c r="Y17" s="255" t="inlineStr">
        <is>
          <t>Not Listed</t>
        </is>
      </c>
      <c r="Z17" s="116" t="inlineStr">
        <is>
          <t>N/A</t>
        </is>
      </c>
      <c r="AA17" s="116" t="n">
        <v>1985</v>
      </c>
      <c r="AB17" s="116" t="n">
        <v>34</v>
      </c>
      <c r="AC17" s="256" t="inlineStr">
        <is>
          <t>No</t>
        </is>
      </c>
      <c r="AD17" s="256" t="inlineStr">
        <is>
          <t>No</t>
        </is>
      </c>
      <c r="AE17" s="256" t="inlineStr">
        <is>
          <t>No</t>
        </is>
      </c>
      <c r="AF17" s="256" t="inlineStr">
        <is>
          <t>No</t>
        </is>
      </c>
      <c r="AG17" s="256" t="inlineStr">
        <is>
          <t>No</t>
        </is>
      </c>
      <c r="AH17" s="249" t="inlineStr">
        <is>
          <t>HIGH</t>
        </is>
      </c>
      <c r="AI17" s="257" t="inlineStr">
        <is>
          <t>No income restrictions, 1985 vintage, 2.1 mi. 2BD $730.</t>
        </is>
      </c>
      <c r="AJ17" s="258" t="inlineStr">
        <is>
          <t>apartments.com/covington-ii-natchez-ms/</t>
        </is>
      </c>
    </row>
    <row r="18" ht="21.75" customFormat="1" customHeight="1" s="3">
      <c r="B18" s="252" t="inlineStr">
        <is>
          <t>5</t>
        </is>
      </c>
      <c r="C18" s="253" t="inlineStr">
        <is>
          <t>MARKET RATE</t>
        </is>
      </c>
      <c r="D18" s="254" t="inlineStr">
        <is>
          <t>2116 Second St (House)</t>
        </is>
      </c>
      <c r="E18" s="116" t="inlineStr">
        <is>
          <t>2116 Second St</t>
        </is>
      </c>
      <c r="F18" s="116" t="inlineStr">
        <is>
          <t>Natchez</t>
        </is>
      </c>
      <c r="G18" s="116" t="inlineStr">
        <is>
          <t>MS</t>
        </is>
      </c>
      <c r="H18" s="116" t="inlineStr">
        <is>
          <t>39120</t>
        </is>
      </c>
      <c r="I18" s="116" t="inlineStr">
        <is>
          <t>0.9 mi</t>
        </is>
      </c>
      <c r="J18" s="116" t="inlineStr">
        <is>
          <t>N/A</t>
        </is>
      </c>
      <c r="K18" s="116" t="inlineStr">
        <is>
          <t>N/A</t>
        </is>
      </c>
      <c r="L18" s="116" t="inlineStr">
        <is>
          <t>$820</t>
        </is>
      </c>
      <c r="M18" s="255" t="inlineStr">
        <is>
          <t>N/A</t>
        </is>
      </c>
      <c r="N18" s="116" t="inlineStr">
        <is>
          <t>N/A</t>
        </is>
      </c>
      <c r="O18" s="116" t="inlineStr">
        <is>
          <t>N/A</t>
        </is>
      </c>
      <c r="P18" s="116" t="inlineStr">
        <is>
          <t>$1,040</t>
        </is>
      </c>
      <c r="Q18" s="374" t="n">
        <v>1150</v>
      </c>
      <c r="R18" s="116" t="inlineStr">
        <is>
          <t>N/A</t>
        </is>
      </c>
      <c r="S18" s="116" t="inlineStr">
        <is>
          <t>N/A</t>
        </is>
      </c>
      <c r="T18" s="116" t="inlineStr">
        <is>
          <t>$1,202</t>
        </is>
      </c>
      <c r="U18" s="255" t="inlineStr">
        <is>
          <t>Not Listed</t>
        </is>
      </c>
      <c r="V18" s="116" t="inlineStr">
        <is>
          <t>N/A</t>
        </is>
      </c>
      <c r="W18" s="116" t="inlineStr">
        <is>
          <t>N/A</t>
        </is>
      </c>
      <c r="X18" s="116" t="inlineStr">
        <is>
          <t>$1,382</t>
        </is>
      </c>
      <c r="Y18" s="255" t="inlineStr">
        <is>
          <t>Not Listed</t>
        </is>
      </c>
      <c r="Z18" s="116" t="n">
        <v>1</v>
      </c>
      <c r="AA18" s="116" t="n">
        <v>1960</v>
      </c>
      <c r="AB18" s="116" t="n">
        <v>9</v>
      </c>
      <c r="AC18" s="256" t="inlineStr">
        <is>
          <t>No</t>
        </is>
      </c>
      <c r="AD18" s="256" t="inlineStr">
        <is>
          <t>No</t>
        </is>
      </c>
      <c r="AE18" s="256" t="inlineStr">
        <is>
          <t>No</t>
        </is>
      </c>
      <c r="AF18" s="256" t="inlineStr">
        <is>
          <t>No</t>
        </is>
      </c>
      <c r="AG18" s="256" t="inlineStr">
        <is>
          <t>No</t>
        </is>
      </c>
      <c r="AH18" s="249" t="inlineStr">
        <is>
          <t>HIGH</t>
        </is>
      </c>
      <c r="AI18" s="257" t="inlineStr">
        <is>
          <t>Single-family rental, 1960 vintage, 0.9 mi. 3BD $1,150.</t>
        </is>
      </c>
      <c r="AJ18" s="258" t="inlineStr">
        <is>
          <t>apartments.com/2116-second-st-natchez-ms/</t>
        </is>
      </c>
    </row>
    <row r="19" ht="21.75" customFormat="1" customHeight="1" s="3">
      <c r="B19" s="252" t="inlineStr">
        <is>
          <t>6</t>
        </is>
      </c>
      <c r="C19" s="253" t="inlineStr">
        <is>
          <t>MARKET RATE</t>
        </is>
      </c>
      <c r="D19" s="254" t="inlineStr">
        <is>
          <t>214 Margaret Ave (House)</t>
        </is>
      </c>
      <c r="E19" s="116" t="inlineStr">
        <is>
          <t>214 Margaret Ave</t>
        </is>
      </c>
      <c r="F19" s="116" t="inlineStr">
        <is>
          <t>Natchez</t>
        </is>
      </c>
      <c r="G19" s="116" t="inlineStr">
        <is>
          <t>MS</t>
        </is>
      </c>
      <c r="H19" s="116" t="inlineStr">
        <is>
          <t>39120</t>
        </is>
      </c>
      <c r="I19" s="116" t="inlineStr">
        <is>
          <t>1.3 mi</t>
        </is>
      </c>
      <c r="J19" s="116" t="inlineStr">
        <is>
          <t>N/A</t>
        </is>
      </c>
      <c r="K19" s="116" t="inlineStr">
        <is>
          <t>N/A</t>
        </is>
      </c>
      <c r="L19" s="116" t="inlineStr">
        <is>
          <t>$820</t>
        </is>
      </c>
      <c r="M19" s="255" t="inlineStr">
        <is>
          <t>N/A</t>
        </is>
      </c>
      <c r="N19" s="116" t="inlineStr">
        <is>
          <t>N/A</t>
        </is>
      </c>
      <c r="O19" s="116" t="inlineStr">
        <is>
          <t>N/A</t>
        </is>
      </c>
      <c r="P19" s="116" t="inlineStr">
        <is>
          <t>$1,040</t>
        </is>
      </c>
      <c r="Q19" s="374" t="n">
        <v>1895</v>
      </c>
      <c r="R19" s="116" t="inlineStr">
        <is>
          <t>N/A</t>
        </is>
      </c>
      <c r="S19" s="116" t="inlineStr">
        <is>
          <t>N/A</t>
        </is>
      </c>
      <c r="T19" s="116" t="inlineStr">
        <is>
          <t>$1,202</t>
        </is>
      </c>
      <c r="U19" s="255" t="inlineStr">
        <is>
          <t>Not Listed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$1,382</t>
        </is>
      </c>
      <c r="Y19" s="255" t="inlineStr">
        <is>
          <t>Not Listed</t>
        </is>
      </c>
      <c r="Z19" s="116" t="n">
        <v>1</v>
      </c>
      <c r="AA19" s="116" t="n">
        <v>1965</v>
      </c>
      <c r="AB19" s="116" t="n">
        <v>14</v>
      </c>
      <c r="AC19" s="256" t="inlineStr">
        <is>
          <t>No</t>
        </is>
      </c>
      <c r="AD19" s="256" t="inlineStr">
        <is>
          <t>No</t>
        </is>
      </c>
      <c r="AE19" s="256" t="inlineStr">
        <is>
          <t>No</t>
        </is>
      </c>
      <c r="AF19" s="256" t="inlineStr">
        <is>
          <t>No</t>
        </is>
      </c>
      <c r="AG19" s="256" t="inlineStr">
        <is>
          <t>No</t>
        </is>
      </c>
      <c r="AH19" s="249" t="inlineStr">
        <is>
          <t>HIGH</t>
        </is>
      </c>
      <c r="AI19" s="257" t="inlineStr">
        <is>
          <t>Single-family rental, 1965 vintage, 1.3 mi. 3BD $1,895.</t>
        </is>
      </c>
      <c r="AJ19" s="258" t="inlineStr">
        <is>
          <t>apartments.com/214-margaret-ave-natchez-ms/</t>
        </is>
      </c>
    </row>
    <row r="20" ht="21.75" customFormat="1" customHeight="1" s="3">
      <c r="B20" s="260" t="inlineStr">
        <is>
          <t>—</t>
        </is>
      </c>
      <c r="C20" s="261" t="inlineStr">
        <is>
          <t>BENCHMARK</t>
        </is>
      </c>
      <c r="D20" s="262" t="inlineStr">
        <is>
          <t>FY2026 FMR — Adams County, MS</t>
        </is>
      </c>
      <c r="E20" s="263" t="inlineStr">
        <is>
          <t>N/A</t>
        </is>
      </c>
      <c r="F20" s="263" t="inlineStr">
        <is>
          <t>Natchez</t>
        </is>
      </c>
      <c r="G20" s="263" t="inlineStr">
        <is>
          <t>MS</t>
        </is>
      </c>
      <c r="H20" s="263" t="inlineStr">
        <is>
          <t>N/A</t>
        </is>
      </c>
      <c r="I20" s="263" t="inlineStr">
        <is>
          <t>N/A</t>
        </is>
      </c>
      <c r="J20" s="263" t="inlineStr">
        <is>
          <t>$820</t>
        </is>
      </c>
      <c r="K20" s="263" t="inlineStr">
        <is>
          <t>$820</t>
        </is>
      </c>
      <c r="L20" s="263" t="inlineStr">
        <is>
          <t>$820</t>
        </is>
      </c>
      <c r="M20" s="263" t="inlineStr">
        <is>
          <t>N/A</t>
        </is>
      </c>
      <c r="N20" s="263" t="inlineStr">
        <is>
          <t>$1,040</t>
        </is>
      </c>
      <c r="O20" s="263" t="inlineStr">
        <is>
          <t>$1,040</t>
        </is>
      </c>
      <c r="P20" s="263" t="inlineStr">
        <is>
          <t>$1,040</t>
        </is>
      </c>
      <c r="Q20" s="263" t="inlineStr">
        <is>
          <t>N/A</t>
        </is>
      </c>
      <c r="R20" s="263" t="inlineStr">
        <is>
          <t>$1,202</t>
        </is>
      </c>
      <c r="S20" s="263" t="inlineStr">
        <is>
          <t>$1,202</t>
        </is>
      </c>
      <c r="T20" s="263" t="inlineStr">
        <is>
          <t>$1,202</t>
        </is>
      </c>
      <c r="U20" s="263" t="inlineStr">
        <is>
          <t>N/A</t>
        </is>
      </c>
      <c r="V20" s="263" t="inlineStr">
        <is>
          <t>$1,382</t>
        </is>
      </c>
      <c r="W20" s="263" t="inlineStr">
        <is>
          <t>$1,382</t>
        </is>
      </c>
      <c r="X20" s="263" t="inlineStr">
        <is>
          <t>$1,382</t>
        </is>
      </c>
      <c r="Y20" s="263" t="inlineStr">
        <is>
          <t>N/A</t>
        </is>
      </c>
      <c r="Z20" s="263" t="inlineStr">
        <is>
          <t>N/A</t>
        </is>
      </c>
      <c r="AA20" s="263" t="inlineStr">
        <is>
          <t>N/A</t>
        </is>
      </c>
      <c r="AB20" s="263" t="inlineStr">
        <is>
          <t>N/A</t>
        </is>
      </c>
      <c r="AC20" s="263" t="inlineStr">
        <is>
          <t>N/A</t>
        </is>
      </c>
      <c r="AD20" s="263" t="inlineStr">
        <is>
          <t>N/A</t>
        </is>
      </c>
      <c r="AE20" s="263" t="inlineStr">
        <is>
          <t>N/A</t>
        </is>
      </c>
      <c r="AF20" s="263" t="inlineStr">
        <is>
          <t>N/A</t>
        </is>
      </c>
      <c r="AG20" s="263" t="inlineStr">
        <is>
          <t>N/A</t>
        </is>
      </c>
      <c r="AH20" s="253" t="inlineStr">
        <is>
          <t>BENCHMARK</t>
        </is>
      </c>
      <c r="AI20" s="264" t="inlineStr">
        <is>
          <t>HUD FMR for Adams County, MS, FY2026.</t>
        </is>
      </c>
      <c r="AJ20" s="265" t="inlineStr">
        <is>
          <t>HUD FMR Database (huduser.gov)</t>
        </is>
      </c>
    </row>
    <row r="21" ht="21.75" customFormat="1" customHeight="1" s="3">
      <c r="B21" s="147" t="inlineStr">
        <is>
          <t>—</t>
        </is>
      </c>
      <c r="C21" s="261" t="inlineStr">
        <is>
          <t>BENCHMARK</t>
        </is>
      </c>
      <c r="D21" s="266" t="inlineStr">
        <is>
          <t>Metro Market Avg — Natchez (Apr 2026)</t>
        </is>
      </c>
      <c r="E21" s="267" t="inlineStr">
        <is>
          <t>N/A</t>
        </is>
      </c>
      <c r="F21" s="267" t="inlineStr">
        <is>
          <t>Natchez</t>
        </is>
      </c>
      <c r="G21" s="267" t="inlineStr">
        <is>
          <t>MS</t>
        </is>
      </c>
      <c r="H21" s="267" t="inlineStr">
        <is>
          <t>N/A</t>
        </is>
      </c>
      <c r="I21" s="267" t="inlineStr">
        <is>
          <t>N/A</t>
        </is>
      </c>
      <c r="J21" s="267" t="inlineStr">
        <is>
          <t>$786</t>
        </is>
      </c>
      <c r="K21" s="267" t="inlineStr">
        <is>
          <t>$786</t>
        </is>
      </c>
      <c r="L21" s="267" t="inlineStr">
        <is>
          <t>$786</t>
        </is>
      </c>
      <c r="M21" s="267" t="inlineStr">
        <is>
          <t>$786</t>
        </is>
      </c>
      <c r="N21" s="267" t="inlineStr">
        <is>
          <t>$1,298</t>
        </is>
      </c>
      <c r="O21" s="267" t="inlineStr">
        <is>
          <t>$1,298</t>
        </is>
      </c>
      <c r="P21" s="267" t="inlineStr">
        <is>
          <t>$1,298</t>
        </is>
      </c>
      <c r="Q21" s="267" t="inlineStr">
        <is>
          <t>$1,298</t>
        </is>
      </c>
      <c r="R21" s="267" t="inlineStr">
        <is>
          <t>N/A</t>
        </is>
      </c>
      <c r="S21" s="267" t="inlineStr">
        <is>
          <t>N/A</t>
        </is>
      </c>
      <c r="T21" s="267" t="inlineStr">
        <is>
          <t>N/A</t>
        </is>
      </c>
      <c r="U21" s="267" t="inlineStr">
        <is>
          <t>N/A</t>
        </is>
      </c>
      <c r="V21" s="267" t="inlineStr">
        <is>
          <t>N/A</t>
        </is>
      </c>
      <c r="W21" s="267" t="inlineStr">
        <is>
          <t>N/A</t>
        </is>
      </c>
      <c r="X21" s="267" t="inlineStr">
        <is>
          <t>N/A</t>
        </is>
      </c>
      <c r="Y21" s="267" t="inlineStr">
        <is>
          <t>N/A</t>
        </is>
      </c>
      <c r="Z21" s="267" t="inlineStr">
        <is>
          <t>N/A</t>
        </is>
      </c>
      <c r="AA21" s="267" t="inlineStr">
        <is>
          <t>N/A</t>
        </is>
      </c>
      <c r="AB21" s="267" t="inlineStr">
        <is>
          <t>N/A</t>
        </is>
      </c>
      <c r="AC21" s="267" t="inlineStr">
        <is>
          <t>N/A</t>
        </is>
      </c>
      <c r="AD21" s="267" t="inlineStr">
        <is>
          <t>N/A</t>
        </is>
      </c>
      <c r="AE21" s="267" t="inlineStr">
        <is>
          <t>N/A</t>
        </is>
      </c>
      <c r="AF21" s="267" t="inlineStr">
        <is>
          <t>N/A</t>
        </is>
      </c>
      <c r="AG21" s="267" t="inlineStr">
        <is>
          <t>N/A</t>
        </is>
      </c>
      <c r="AH21" s="253" t="inlineStr">
        <is>
          <t>BENCHMARK</t>
        </is>
      </c>
      <c r="AI21" s="268" t="inlineStr">
        <is>
          <t>Live Market Average from 6 comps, Apr 30, 2026. 2BD avg $786 / 3BD avg $1,298.</t>
        </is>
      </c>
      <c r="AJ21" s="269" t="inlineStr">
        <is>
          <t>Apartments.com live data, Apr 30, 2026</t>
        </is>
      </c>
    </row>
    <row r="23" ht="14.25" customFormat="1" customHeight="1" s="3">
      <c r="B23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3" s="294" t="n"/>
      <c r="D23" s="294" t="n"/>
      <c r="E23" s="294" t="n"/>
      <c r="F23" s="294" t="n"/>
      <c r="G23" s="294" t="n"/>
      <c r="H23" s="294" t="n"/>
      <c r="I23" s="294" t="n"/>
      <c r="J23" s="294" t="n"/>
      <c r="K23" s="294" t="n"/>
      <c r="L23" s="294" t="n"/>
      <c r="M23" s="294" t="n"/>
      <c r="N23" s="294" t="n"/>
      <c r="O23" s="294" t="n"/>
      <c r="P23" s="294" t="n"/>
      <c r="Q23" s="294" t="n"/>
      <c r="R23" s="294" t="n"/>
      <c r="S23" s="294" t="n"/>
      <c r="T23" s="294" t="n"/>
      <c r="U23" s="294" t="n"/>
      <c r="V23" s="294" t="n"/>
      <c r="W23" s="294" t="n"/>
      <c r="X23" s="294" t="n"/>
      <c r="Y23" s="294" t="n"/>
      <c r="Z23" s="294" t="n"/>
      <c r="AA23" s="294" t="n"/>
      <c r="AB23" s="294" t="n"/>
      <c r="AC23" s="294" t="n"/>
      <c r="AD23" s="294" t="n"/>
      <c r="AE23" s="294" t="n"/>
      <c r="AF23" s="294" t="n"/>
      <c r="AG23" s="294" t="n"/>
      <c r="AH23" s="294" t="n"/>
      <c r="AI23" s="294" t="n"/>
      <c r="AJ23" s="295" t="n"/>
    </row>
    <row r="25" ht="18" customFormat="1" customHeight="1" s="3">
      <c r="B25" s="270" t="inlineStr">
        <is>
          <t>CURRENT RENT vs. MARKET AVERAGE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B26" s="235" t="inlineStr">
        <is>
          <t>Market Average = Avg of Actual Advertised Rents from 6 Market-Rate Comps (Apartments.com)</t>
        </is>
      </c>
      <c r="C26" s="294" t="n"/>
      <c r="D26" s="294" t="n"/>
      <c r="E26" s="294" t="n"/>
      <c r="F26" s="294" t="n"/>
      <c r="G26" s="294" t="n"/>
      <c r="H26" s="295" t="n"/>
    </row>
    <row r="27" ht="15.75" customFormat="1" customHeight="1" s="3">
      <c r="C27" s="271" t="inlineStr">
        <is>
          <t>Current Rent</t>
        </is>
      </c>
      <c r="D27" s="271" t="inlineStr">
        <is>
          <t>Market Avg</t>
        </is>
      </c>
      <c r="E27" s="271" t="inlineStr">
        <is>
          <t>Difference</t>
        </is>
      </c>
    </row>
    <row r="28" ht="20.25" customFormat="1" customHeight="1" s="3">
      <c r="B28" s="272" t="inlineStr">
        <is>
          <t>2BD</t>
        </is>
      </c>
      <c r="C28" s="375" t="n">
        <v>935</v>
      </c>
      <c r="D28" s="376" t="n">
        <v>786</v>
      </c>
      <c r="E28" s="381" t="n">
        <v>149</v>
      </c>
    </row>
    <row r="29" ht="20.25" customFormat="1" customHeight="1" s="3">
      <c r="B29" s="272" t="inlineStr">
        <is>
          <t>3BD</t>
        </is>
      </c>
      <c r="C29" s="375" t="n">
        <v>1073</v>
      </c>
      <c r="D29" s="376" t="n">
        <v>1298</v>
      </c>
      <c r="E29" s="377" t="n">
        <v>-225</v>
      </c>
    </row>
    <row r="30" ht="20.25" customFormat="1" customHeight="1" s="3">
      <c r="B30" s="272" t="inlineStr">
        <is>
          <t>4BD</t>
        </is>
      </c>
      <c r="C30" s="375" t="n">
        <v>1147</v>
      </c>
      <c r="D30" s="282" t="inlineStr">
        <is>
          <t>N/A</t>
        </is>
      </c>
      <c r="E30" s="283" t="n"/>
    </row>
    <row r="33" ht="18" customFormat="1" customHeight="1" s="3">
      <c r="B33" s="270" t="inlineStr">
        <is>
          <t>PMTS — Vouchers / FMR / UAP / NET</t>
        </is>
      </c>
      <c r="C33" s="294" t="n"/>
      <c r="D33" s="294" t="n"/>
      <c r="E33" s="294" t="n"/>
      <c r="F33" s="294" t="n"/>
      <c r="G33" s="294" t="n"/>
      <c r="H33" s="295" t="n"/>
    </row>
    <row r="34" ht="15.75" customFormat="1" customHeight="1" s="3">
      <c r="C34" s="378">
        <f>'Current Rents'!E12</f>
        <v/>
      </c>
      <c r="D34" s="271" t="inlineStr">
        <is>
          <t>VCH</t>
        </is>
      </c>
      <c r="E34" s="271" t="inlineStr">
        <is>
          <t>FMR</t>
        </is>
      </c>
      <c r="F34" s="271" t="inlineStr">
        <is>
          <t>UAP</t>
        </is>
      </c>
      <c r="G34" s="271" t="inlineStr">
        <is>
          <t>NET</t>
        </is>
      </c>
    </row>
    <row r="35" ht="20.25" customFormat="1" customHeight="1" s="3">
      <c r="B35" s="272" t="inlineStr">
        <is>
          <t>2BD</t>
        </is>
      </c>
      <c r="C35" s="292">
        <f>'Current Rents'!F12</f>
        <v/>
      </c>
      <c r="D35" s="49" t="n"/>
      <c r="E35" s="379" t="n">
        <v>820</v>
      </c>
      <c r="F35" s="380" t="n">
        <v>154</v>
      </c>
      <c r="G35" s="292" t="n">
        <v>666</v>
      </c>
    </row>
    <row r="36" ht="20.25" customFormat="1" customHeight="1" s="3">
      <c r="B36" s="272" t="inlineStr">
        <is>
          <t>3BD</t>
        </is>
      </c>
      <c r="C36" s="292">
        <f>'Current Rents'!G12</f>
        <v/>
      </c>
      <c r="D36" s="49" t="n"/>
      <c r="E36" s="379" t="n">
        <v>1040</v>
      </c>
      <c r="F36" s="380" t="n">
        <v>169</v>
      </c>
      <c r="G36" s="292" t="n">
        <v>871</v>
      </c>
    </row>
    <row r="37" ht="20.25" customFormat="1" customHeight="1" s="3">
      <c r="B37" s="272" t="inlineStr">
        <is>
          <t>4BD</t>
        </is>
      </c>
      <c r="C37" s="292">
        <f>'Current Rents'!H12</f>
        <v/>
      </c>
      <c r="D37" s="49" t="n"/>
      <c r="E37" s="379" t="n">
        <v>1202</v>
      </c>
      <c r="F37" s="380" t="n">
        <v>214</v>
      </c>
      <c r="G37" s="292" t="n">
        <v>988</v>
      </c>
    </row>
    <row r="38" ht="20.25" customFormat="1" customHeight="1" s="3">
      <c r="B38" s="272" t="inlineStr">
        <is>
          <t>5BD</t>
        </is>
      </c>
      <c r="C38" s="292" t="n">
        <v>0</v>
      </c>
      <c r="D38" s="49" t="n"/>
      <c r="E38" s="379" t="n">
        <v>1382</v>
      </c>
      <c r="F38" s="380" t="n">
        <v>235</v>
      </c>
      <c r="G38" s="292" t="n">
        <v>1147</v>
      </c>
    </row>
  </sheetData>
  <mergeCells count="9">
    <mergeCell ref="B5:AJ5"/>
    <mergeCell ref="B26:H26"/>
    <mergeCell ref="B23:AJ23"/>
    <mergeCell ref="B4:AG4"/>
    <mergeCell ref="B33:H33"/>
    <mergeCell ref="B25:H25"/>
    <mergeCell ref="B6:AJ6"/>
    <mergeCell ref="AH4:AJ4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.00390625" customWidth="1" style="3" min="2" max="2"/>
    <col width="9.57421875" customWidth="1" style="3" min="3" max="3"/>
    <col width="39.421875" customWidth="1" style="3" min="4" max="4"/>
    <col width="16.140625" customWidth="1" style="3" min="5" max="5"/>
    <col width="10.7109375" customWidth="1" style="3" min="6" max="6"/>
    <col width="5.8515625" customWidth="1" style="3" min="7" max="7"/>
    <col width="4.8515625" customWidth="1" style="3" min="8" max="8"/>
    <col width="6.57421875" customWidth="1" style="3" min="9" max="9"/>
    <col width="6.8515625" customWidth="1" style="3" min="10" max="11"/>
    <col width="4.00390625" customWidth="1" style="3" min="12" max="12"/>
    <col width="7.57421875" customWidth="1" style="3" min="13" max="13"/>
    <col width="6.8515625" customWidth="1" style="3" min="14" max="15"/>
    <col width="5.28125" customWidth="1" style="3" min="16" max="16"/>
    <col width="7.57421875" customWidth="1" style="3" min="17" max="17"/>
    <col width="6.8515625" customWidth="1" style="3" min="18" max="19"/>
    <col width="5.28125" customWidth="1" style="3" min="20" max="20"/>
    <col width="7.57421875" customWidth="1" style="3" min="21" max="21"/>
    <col width="6.8515625" customWidth="1" style="3" min="22" max="23"/>
    <col width="5.28125" customWidth="1" style="3" min="24" max="24"/>
    <col width="7.57421875" customWidth="1" style="3" min="25" max="25"/>
    <col width="4.28125" customWidth="1" style="3" min="26" max="26"/>
    <col width="5.57421875" customWidth="1" style="3" min="27" max="27"/>
    <col width="4.8515625" customWidth="1" style="3" min="28" max="28"/>
    <col width="3.7109375" customWidth="1" style="3" min="29" max="29"/>
    <col width="6.28125" customWidth="1" style="3" min="30" max="30"/>
    <col width="4.7109375" customWidth="1" style="3" min="31" max="31"/>
    <col width="3.7109375" customWidth="1" style="3" min="32" max="32"/>
    <col width="5.421875" customWidth="1" style="3" min="33" max="33"/>
    <col width="9.28125" customWidth="1" style="3" min="34" max="34"/>
    <col width="52.28125" customWidth="1" style="3" min="35" max="35"/>
    <col width="25.00390625" customWidth="1" style="3" min="36" max="36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inlineStr">
        <is>
          <t>RENT COMPARABLES ANALYSIS  —  CUMBERLAND  |  CRYSTAL SPRINGS, MS 39059</t>
        </is>
      </c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16 - Cumberland  |  68 Units  |  Section 8 / HUD  |  1BD, 2BD, 3BD &amp; 4BD</t>
        </is>
      </c>
      <c r="AI4" s="294" t="n"/>
      <c r="AJ4" s="295" t="n"/>
    </row>
    <row r="5" ht="18" customFormat="1" customHeight="1" s="3">
      <c r="B5" s="234" t="inlineStr">
        <is>
          <t>100 Cumberland Drive, Crystal Springs, MS 39059  |  Copiah County  |  FY2026 FMR: 1BD $642 / 2BD $880 / 3BD $1,100 / 4BD $1,272</t>
        </is>
      </c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April 30, 2026  |  Sources: Apartments.com, HUD FMR Database, HUD Multifamily Assisted Housing, Apartment Corp Records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4BD
50% AMI</t>
        </is>
      </c>
      <c r="W8" s="64" t="inlineStr">
        <is>
          <t>4BD
60% AMI</t>
        </is>
      </c>
      <c r="X8" s="64" t="inlineStr">
        <is>
          <t>4BD
FMR</t>
        </is>
      </c>
      <c r="Y8" s="64" t="inlineStr">
        <is>
          <t>4BD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71" t="inlineStr">
        <is>
          <t>★</t>
        </is>
      </c>
      <c r="C9" s="237" t="inlineStr">
        <is>
          <t>SUBJECT</t>
        </is>
      </c>
      <c r="D9" s="238" t="inlineStr">
        <is>
          <t>Cumberland (SUBJECT)</t>
        </is>
      </c>
      <c r="E9" s="239" t="inlineStr">
        <is>
          <t>100 Cumberland Drive</t>
        </is>
      </c>
      <c r="F9" s="239" t="inlineStr">
        <is>
          <t>Crystal Springs</t>
        </is>
      </c>
      <c r="G9" s="239" t="inlineStr">
        <is>
          <t>MS</t>
        </is>
      </c>
      <c r="H9" s="239" t="inlineStr">
        <is>
          <t>39059</t>
        </is>
      </c>
      <c r="I9" s="239" t="inlineStr">
        <is>
          <t>0.0 mi</t>
        </is>
      </c>
      <c r="J9" s="239" t="inlineStr">
        <is>
          <t>$2,160</t>
        </is>
      </c>
      <c r="K9" s="239" t="inlineStr">
        <is>
          <t>$2,592</t>
        </is>
      </c>
      <c r="L9" s="239" t="inlineStr">
        <is>
          <t>$642</t>
        </is>
      </c>
      <c r="M9" s="374" t="n">
        <v>1074</v>
      </c>
      <c r="N9" s="239" t="inlineStr">
        <is>
          <t>$2,591</t>
        </is>
      </c>
      <c r="O9" s="239" t="inlineStr">
        <is>
          <t>$3,110</t>
        </is>
      </c>
      <c r="P9" s="239" t="inlineStr">
        <is>
          <t>$880</t>
        </is>
      </c>
      <c r="Q9" s="374" t="n">
        <v>1166</v>
      </c>
      <c r="R9" s="239" t="inlineStr">
        <is>
          <t>$2,879</t>
        </is>
      </c>
      <c r="S9" s="239" t="inlineStr">
        <is>
          <t>$3,455</t>
        </is>
      </c>
      <c r="T9" s="239" t="inlineStr">
        <is>
          <t>$1,100</t>
        </is>
      </c>
      <c r="U9" s="374" t="n">
        <v>1290</v>
      </c>
      <c r="V9" s="239" t="inlineStr">
        <is>
          <t>$3,112</t>
        </is>
      </c>
      <c r="W9" s="239" t="inlineStr">
        <is>
          <t>$3,735</t>
        </is>
      </c>
      <c r="X9" s="239" t="inlineStr">
        <is>
          <t>$1,272</t>
        </is>
      </c>
      <c r="Y9" s="374" t="n">
        <v>1433</v>
      </c>
      <c r="Z9" s="239" t="n">
        <v>68</v>
      </c>
      <c r="AA9" s="239" t="n">
        <v>1985</v>
      </c>
      <c r="AB9" s="239" t="n">
        <v>0</v>
      </c>
      <c r="AC9" s="241" t="inlineStr">
        <is>
          <t>Yes</t>
        </is>
      </c>
      <c r="AD9" s="242" t="inlineStr">
        <is>
          <t>No</t>
        </is>
      </c>
      <c r="AE9" s="242" t="inlineStr">
        <is>
          <t>No</t>
        </is>
      </c>
      <c r="AF9" s="242" t="inlineStr">
        <is>
          <t>No</t>
        </is>
      </c>
      <c r="AG9" s="242" t="inlineStr">
        <is>
          <t>No</t>
        </is>
      </c>
      <c r="AH9" s="237" t="inlineStr">
        <is>
          <t>SUBJECT</t>
        </is>
      </c>
      <c r="AI9" s="243" t="inlineStr">
        <is>
          <t>68 units | Section 8/HUD. Year built: 1985. Subject property.</t>
        </is>
      </c>
      <c r="AJ9" s="244" t="inlineStr">
        <is>
          <t>Apartment Corp Records</t>
        </is>
      </c>
    </row>
    <row r="10" ht="21.75" customFormat="1" customHeight="1" s="3">
      <c r="B10" s="78" t="inlineStr">
        <is>
          <t>1</t>
        </is>
      </c>
      <c r="C10" s="245" t="inlineStr">
        <is>
          <t>AFFORDABLE</t>
        </is>
      </c>
      <c r="D10" s="246" t="inlineStr">
        <is>
          <t>Indian Creek Phase II</t>
        </is>
      </c>
      <c r="E10" s="81" t="inlineStr">
        <is>
          <t>150 Hwy 469 N</t>
        </is>
      </c>
      <c r="F10" s="81" t="inlineStr">
        <is>
          <t>Florence</t>
        </is>
      </c>
      <c r="G10" s="81" t="inlineStr">
        <is>
          <t>MS</t>
        </is>
      </c>
      <c r="H10" s="81" t="inlineStr">
        <is>
          <t>39073</t>
        </is>
      </c>
      <c r="I10" s="81" t="inlineStr">
        <is>
          <t>18.4 mi</t>
        </is>
      </c>
      <c r="J10" s="81" t="inlineStr">
        <is>
          <t>$2,160</t>
        </is>
      </c>
      <c r="K10" s="81" t="inlineStr">
        <is>
          <t>$2,592</t>
        </is>
      </c>
      <c r="L10" s="81" t="inlineStr">
        <is>
          <t>$642</t>
        </is>
      </c>
      <c r="M10" s="81" t="inlineStr">
        <is>
          <t>Not Listed</t>
        </is>
      </c>
      <c r="N10" s="81" t="inlineStr">
        <is>
          <t>$2,591</t>
        </is>
      </c>
      <c r="O10" s="81" t="inlineStr">
        <is>
          <t>$3,110</t>
        </is>
      </c>
      <c r="P10" s="81" t="inlineStr">
        <is>
          <t>$880</t>
        </is>
      </c>
      <c r="Q10" s="81" t="inlineStr">
        <is>
          <t>Not Listed</t>
        </is>
      </c>
      <c r="R10" s="81" t="inlineStr">
        <is>
          <t>$2,879</t>
        </is>
      </c>
      <c r="S10" s="81" t="inlineStr">
        <is>
          <t>$3,455</t>
        </is>
      </c>
      <c r="T10" s="81" t="inlineStr">
        <is>
          <t>$1,100</t>
        </is>
      </c>
      <c r="U10" s="81" t="inlineStr">
        <is>
          <t>Not Listed</t>
        </is>
      </c>
      <c r="V10" s="81" t="inlineStr">
        <is>
          <t>$3,112</t>
        </is>
      </c>
      <c r="W10" s="81" t="inlineStr">
        <is>
          <t>$3,735</t>
        </is>
      </c>
      <c r="X10" s="81" t="inlineStr">
        <is>
          <t>$1,272</t>
        </is>
      </c>
      <c r="Y10" s="81" t="inlineStr">
        <is>
          <t>Not Listed</t>
        </is>
      </c>
      <c r="Z10" s="81" t="n">
        <v>32</v>
      </c>
      <c r="AA10" s="81" t="n">
        <v>1987</v>
      </c>
      <c r="AB10" s="81" t="n">
        <v>2</v>
      </c>
      <c r="AC10" s="247" t="inlineStr">
        <is>
          <t>Yes</t>
        </is>
      </c>
      <c r="AD10" s="248" t="inlineStr">
        <is>
          <t>No</t>
        </is>
      </c>
      <c r="AE10" s="248" t="inlineStr">
        <is>
          <t>No</t>
        </is>
      </c>
      <c r="AF10" s="248" t="inlineStr">
        <is>
          <t>No</t>
        </is>
      </c>
      <c r="AG10" s="248" t="inlineStr">
        <is>
          <t>No</t>
        </is>
      </c>
      <c r="AH10" s="249" t="inlineStr">
        <is>
          <t>HIGH</t>
        </is>
      </c>
      <c r="AI10" s="250" t="inlineStr">
        <is>
          <t>LIHTC, 1987 vintage, 32 units, 18.4 mi.</t>
        </is>
      </c>
      <c r="AJ10" s="251" t="inlineStr">
        <is>
          <t>HUD LIHTC Database</t>
        </is>
      </c>
    </row>
    <row r="11" ht="21.75" customFormat="1" customHeight="1" s="3">
      <c r="B11" s="78" t="inlineStr">
        <is>
          <t>2</t>
        </is>
      </c>
      <c r="C11" s="245" t="inlineStr">
        <is>
          <t>AFFORDABLE</t>
        </is>
      </c>
      <c r="D11" s="246" t="inlineStr">
        <is>
          <t>Towncreek Apts</t>
        </is>
      </c>
      <c r="E11" s="81" t="inlineStr">
        <is>
          <t>Red Dog Rd</t>
        </is>
      </c>
      <c r="F11" s="81" t="inlineStr">
        <is>
          <t>Carthage</t>
        </is>
      </c>
      <c r="G11" s="81" t="inlineStr">
        <is>
          <t>MS</t>
        </is>
      </c>
      <c r="H11" s="81" t="inlineStr">
        <is>
          <t>N/A</t>
        </is>
      </c>
      <c r="I11" s="81" t="inlineStr">
        <is>
          <t>N/A</t>
        </is>
      </c>
      <c r="J11" s="81" t="inlineStr">
        <is>
          <t>$2,160</t>
        </is>
      </c>
      <c r="K11" s="81" t="inlineStr">
        <is>
          <t>$2,592</t>
        </is>
      </c>
      <c r="L11" s="81" t="inlineStr">
        <is>
          <t>$642</t>
        </is>
      </c>
      <c r="M11" s="81" t="inlineStr">
        <is>
          <t>Not Listed</t>
        </is>
      </c>
      <c r="N11" s="81" t="inlineStr">
        <is>
          <t>$2,591</t>
        </is>
      </c>
      <c r="O11" s="81" t="inlineStr">
        <is>
          <t>$3,110</t>
        </is>
      </c>
      <c r="P11" s="81" t="inlineStr">
        <is>
          <t>$880</t>
        </is>
      </c>
      <c r="Q11" s="81" t="inlineStr">
        <is>
          <t>Not Listed</t>
        </is>
      </c>
      <c r="R11" s="81" t="inlineStr">
        <is>
          <t>$2,879</t>
        </is>
      </c>
      <c r="S11" s="81" t="inlineStr">
        <is>
          <t>$3,455</t>
        </is>
      </c>
      <c r="T11" s="81" t="inlineStr">
        <is>
          <t>$1,100</t>
        </is>
      </c>
      <c r="U11" s="81" t="inlineStr">
        <is>
          <t>Not Listed</t>
        </is>
      </c>
      <c r="V11" s="81" t="inlineStr">
        <is>
          <t>$3,112</t>
        </is>
      </c>
      <c r="W11" s="81" t="inlineStr">
        <is>
          <t>$3,735</t>
        </is>
      </c>
      <c r="X11" s="81" t="inlineStr">
        <is>
          <t>$1,272</t>
        </is>
      </c>
      <c r="Y11" s="81" t="inlineStr">
        <is>
          <t>Not Listed</t>
        </is>
      </c>
      <c r="Z11" s="81" t="n">
        <v>52</v>
      </c>
      <c r="AA11" s="81" t="n">
        <v>1988</v>
      </c>
      <c r="AB11" s="81" t="n">
        <v>3</v>
      </c>
      <c r="AC11" s="247" t="inlineStr">
        <is>
          <t>Yes</t>
        </is>
      </c>
      <c r="AD11" s="248" t="inlineStr">
        <is>
          <t>No</t>
        </is>
      </c>
      <c r="AE11" s="248" t="inlineStr">
        <is>
          <t>No</t>
        </is>
      </c>
      <c r="AF11" s="248" t="inlineStr">
        <is>
          <t>No</t>
        </is>
      </c>
      <c r="AG11" s="248" t="inlineStr">
        <is>
          <t>No</t>
        </is>
      </c>
      <c r="AH11" s="249" t="inlineStr">
        <is>
          <t>HIGH</t>
        </is>
      </c>
      <c r="AI11" s="250" t="inlineStr">
        <is>
          <t>LIHTC, 1988 vintage, 52 units.</t>
        </is>
      </c>
      <c r="AJ11" s="251" t="inlineStr">
        <is>
          <t>HUD LIHTC Database</t>
        </is>
      </c>
    </row>
    <row r="12" ht="21.75" customFormat="1" customHeight="1" s="3">
      <c r="B12" s="78" t="inlineStr">
        <is>
          <t>3</t>
        </is>
      </c>
      <c r="C12" s="245" t="inlineStr">
        <is>
          <t>AFFORDABLE</t>
        </is>
      </c>
      <c r="D12" s="246" t="inlineStr">
        <is>
          <t>Bloom Street Apts</t>
        </is>
      </c>
      <c r="E12" s="81" t="inlineStr">
        <is>
          <t>515 Bloom St</t>
        </is>
      </c>
      <c r="F12" s="81" t="inlineStr">
        <is>
          <t>Jackson</t>
        </is>
      </c>
      <c r="G12" s="81" t="inlineStr">
        <is>
          <t>MS</t>
        </is>
      </c>
      <c r="H12" s="81" t="inlineStr">
        <is>
          <t>39202</t>
        </is>
      </c>
      <c r="I12" s="81" t="inlineStr">
        <is>
          <t>24.2 mi</t>
        </is>
      </c>
      <c r="J12" s="81" t="inlineStr">
        <is>
          <t>$2,160</t>
        </is>
      </c>
      <c r="K12" s="81" t="inlineStr">
        <is>
          <t>$2,592</t>
        </is>
      </c>
      <c r="L12" s="81" t="inlineStr">
        <is>
          <t>$642</t>
        </is>
      </c>
      <c r="M12" s="81" t="inlineStr">
        <is>
          <t>Not Listed</t>
        </is>
      </c>
      <c r="N12" s="81" t="inlineStr">
        <is>
          <t>$2,591</t>
        </is>
      </c>
      <c r="O12" s="81" t="inlineStr">
        <is>
          <t>$3,110</t>
        </is>
      </c>
      <c r="P12" s="81" t="inlineStr">
        <is>
          <t>$880</t>
        </is>
      </c>
      <c r="Q12" s="81" t="inlineStr">
        <is>
          <t>Not Listed</t>
        </is>
      </c>
      <c r="R12" s="81" t="inlineStr">
        <is>
          <t>$2,879</t>
        </is>
      </c>
      <c r="S12" s="81" t="inlineStr">
        <is>
          <t>$3,455</t>
        </is>
      </c>
      <c r="T12" s="81" t="inlineStr">
        <is>
          <t>$1,100</t>
        </is>
      </c>
      <c r="U12" s="81" t="inlineStr">
        <is>
          <t>Not Listed</t>
        </is>
      </c>
      <c r="V12" s="81" t="inlineStr">
        <is>
          <t>$3,112</t>
        </is>
      </c>
      <c r="W12" s="81" t="inlineStr">
        <is>
          <t>$3,735</t>
        </is>
      </c>
      <c r="X12" s="81" t="inlineStr">
        <is>
          <t>$1,272</t>
        </is>
      </c>
      <c r="Y12" s="81" t="inlineStr">
        <is>
          <t>Not Listed</t>
        </is>
      </c>
      <c r="Z12" s="81" t="n">
        <v>24</v>
      </c>
      <c r="AA12" s="81" t="n">
        <v>1987</v>
      </c>
      <c r="AB12" s="81" t="n">
        <v>2</v>
      </c>
      <c r="AC12" s="247" t="inlineStr">
        <is>
          <t>Yes</t>
        </is>
      </c>
      <c r="AD12" s="248" t="inlineStr">
        <is>
          <t>No</t>
        </is>
      </c>
      <c r="AE12" s="248" t="inlineStr">
        <is>
          <t>No</t>
        </is>
      </c>
      <c r="AF12" s="248" t="inlineStr">
        <is>
          <t>No</t>
        </is>
      </c>
      <c r="AG12" s="248" t="inlineStr">
        <is>
          <t>No</t>
        </is>
      </c>
      <c r="AH12" s="249" t="inlineStr">
        <is>
          <t>HIGH</t>
        </is>
      </c>
      <c r="AI12" s="250" t="inlineStr">
        <is>
          <t>LIHTC, 1987 vintage, 24 units, 24.2 mi.</t>
        </is>
      </c>
      <c r="AJ12" s="251" t="inlineStr">
        <is>
          <t>HUD LIHTC Database</t>
        </is>
      </c>
    </row>
    <row r="13" ht="21.75" customFormat="1" customHeight="1" s="3">
      <c r="B13" s="78" t="inlineStr">
        <is>
          <t>4</t>
        </is>
      </c>
      <c r="C13" s="245" t="inlineStr">
        <is>
          <t>AFFORDABLE</t>
        </is>
      </c>
      <c r="D13" s="246" t="inlineStr">
        <is>
          <t>Sandstone Apts</t>
        </is>
      </c>
      <c r="E13" s="81" t="inlineStr">
        <is>
          <t>607 Wallace Dr</t>
        </is>
      </c>
      <c r="F13" s="81" t="inlineStr">
        <is>
          <t>Edwards</t>
        </is>
      </c>
      <c r="G13" s="81" t="inlineStr">
        <is>
          <t>MS</t>
        </is>
      </c>
      <c r="H13" s="81" t="inlineStr">
        <is>
          <t>39066</t>
        </is>
      </c>
      <c r="I13" s="81" t="inlineStr">
        <is>
          <t>28.2 mi</t>
        </is>
      </c>
      <c r="J13" s="81" t="inlineStr">
        <is>
          <t>$2,160</t>
        </is>
      </c>
      <c r="K13" s="81" t="inlineStr">
        <is>
          <t>$2,592</t>
        </is>
      </c>
      <c r="L13" s="81" t="inlineStr">
        <is>
          <t>$642</t>
        </is>
      </c>
      <c r="M13" s="81" t="inlineStr">
        <is>
          <t>Not Listed</t>
        </is>
      </c>
      <c r="N13" s="81" t="inlineStr">
        <is>
          <t>$2,591</t>
        </is>
      </c>
      <c r="O13" s="81" t="inlineStr">
        <is>
          <t>$3,110</t>
        </is>
      </c>
      <c r="P13" s="81" t="inlineStr">
        <is>
          <t>$880</t>
        </is>
      </c>
      <c r="Q13" s="81" t="inlineStr">
        <is>
          <t>Not Listed</t>
        </is>
      </c>
      <c r="R13" s="81" t="inlineStr">
        <is>
          <t>$2,879</t>
        </is>
      </c>
      <c r="S13" s="81" t="inlineStr">
        <is>
          <t>$3,455</t>
        </is>
      </c>
      <c r="T13" s="81" t="inlineStr">
        <is>
          <t>$1,100</t>
        </is>
      </c>
      <c r="U13" s="81" t="inlineStr">
        <is>
          <t>Not Listed</t>
        </is>
      </c>
      <c r="V13" s="81" t="inlineStr">
        <is>
          <t>$3,112</t>
        </is>
      </c>
      <c r="W13" s="81" t="inlineStr">
        <is>
          <t>$3,735</t>
        </is>
      </c>
      <c r="X13" s="81" t="inlineStr">
        <is>
          <t>$1,272</t>
        </is>
      </c>
      <c r="Y13" s="81" t="inlineStr">
        <is>
          <t>Not Listed</t>
        </is>
      </c>
      <c r="Z13" s="81" t="n">
        <v>24</v>
      </c>
      <c r="AA13" s="81" t="n">
        <v>1987</v>
      </c>
      <c r="AB13" s="81" t="n">
        <v>2</v>
      </c>
      <c r="AC13" s="247" t="inlineStr">
        <is>
          <t>Yes</t>
        </is>
      </c>
      <c r="AD13" s="248" t="inlineStr">
        <is>
          <t>No</t>
        </is>
      </c>
      <c r="AE13" s="248" t="inlineStr">
        <is>
          <t>No</t>
        </is>
      </c>
      <c r="AF13" s="248" t="inlineStr">
        <is>
          <t>No</t>
        </is>
      </c>
      <c r="AG13" s="248" t="inlineStr">
        <is>
          <t>No</t>
        </is>
      </c>
      <c r="AH13" s="249" t="inlineStr">
        <is>
          <t>HIGH</t>
        </is>
      </c>
      <c r="AI13" s="250" t="inlineStr">
        <is>
          <t>LIHTC, 1987 vintage, 24 units, 28.2 mi.</t>
        </is>
      </c>
      <c r="AJ13" s="251" t="inlineStr">
        <is>
          <t>HUD LIHTC Database</t>
        </is>
      </c>
    </row>
    <row r="14" ht="21.75" customFormat="1" customHeight="1" s="3">
      <c r="B14" s="252" t="inlineStr">
        <is>
          <t>1</t>
        </is>
      </c>
      <c r="C14" s="253" t="inlineStr">
        <is>
          <t>MARKET RATE</t>
        </is>
      </c>
      <c r="D14" s="254" t="inlineStr">
        <is>
          <t>Highland Hills</t>
        </is>
      </c>
      <c r="E14" s="116" t="inlineStr">
        <is>
          <t>20 N Hill Pky</t>
        </is>
      </c>
      <c r="F14" s="116" t="inlineStr">
        <is>
          <t>Jackson</t>
        </is>
      </c>
      <c r="G14" s="116" t="inlineStr">
        <is>
          <t>MS</t>
        </is>
      </c>
      <c r="H14" s="116" t="inlineStr">
        <is>
          <t>39206</t>
        </is>
      </c>
      <c r="I14" s="116" t="inlineStr">
        <is>
          <t>28 mi</t>
        </is>
      </c>
      <c r="J14" s="116" t="inlineStr">
        <is>
          <t>N/A</t>
        </is>
      </c>
      <c r="K14" s="116" t="inlineStr">
        <is>
          <t>N/A</t>
        </is>
      </c>
      <c r="L14" s="116" t="inlineStr">
        <is>
          <t>N/A</t>
        </is>
      </c>
      <c r="M14" s="255" t="inlineStr">
        <is>
          <t>N/A</t>
        </is>
      </c>
      <c r="N14" s="116" t="inlineStr">
        <is>
          <t>N/A</t>
        </is>
      </c>
      <c r="O14" s="116" t="inlineStr">
        <is>
          <t>N/A</t>
        </is>
      </c>
      <c r="P14" s="116" t="inlineStr">
        <is>
          <t>N/A</t>
        </is>
      </c>
      <c r="Q14" s="374" t="n">
        <v>815</v>
      </c>
      <c r="R14" s="116" t="inlineStr">
        <is>
          <t>N/A</t>
        </is>
      </c>
      <c r="S14" s="116" t="inlineStr">
        <is>
          <t>N/A</t>
        </is>
      </c>
      <c r="T14" s="116" t="inlineStr">
        <is>
          <t>N/A</t>
        </is>
      </c>
      <c r="U14" s="374" t="n">
        <v>975</v>
      </c>
      <c r="V14" s="116" t="inlineStr">
        <is>
          <t>N/A</t>
        </is>
      </c>
      <c r="W14" s="116" t="inlineStr">
        <is>
          <t>N/A</t>
        </is>
      </c>
      <c r="X14" s="116" t="inlineStr">
        <is>
          <t>N/A</t>
        </is>
      </c>
      <c r="Y14" s="255" t="inlineStr">
        <is>
          <t>N/A</t>
        </is>
      </c>
      <c r="Z14" s="116" t="inlineStr">
        <is>
          <t>N/A</t>
        </is>
      </c>
      <c r="AA14" s="116" t="inlineStr">
        <is>
          <t>N/A</t>
        </is>
      </c>
      <c r="AB14" s="116" t="inlineStr">
        <is>
          <t>N/A</t>
        </is>
      </c>
      <c r="AC14" s="116" t="inlineStr">
        <is>
          <t>N/A</t>
        </is>
      </c>
      <c r="AD14" s="116" t="inlineStr">
        <is>
          <t>N/A</t>
        </is>
      </c>
      <c r="AE14" s="256" t="inlineStr">
        <is>
          <t>No</t>
        </is>
      </c>
      <c r="AF14" s="116" t="inlineStr">
        <is>
          <t>N/A</t>
        </is>
      </c>
      <c r="AG14" s="116" t="inlineStr">
        <is>
          <t>N/A</t>
        </is>
      </c>
      <c r="AH14" s="249" t="inlineStr">
        <is>
          <t>HIGH</t>
        </is>
      </c>
      <c r="AI14" s="257" t="inlineStr">
        <is>
          <t>No income restrictions, 28 mi. 2BD $815 / 3BD $975.</t>
        </is>
      </c>
      <c r="AJ14" s="258" t="inlineStr">
        <is>
          <t>Apartments.com verified, Apr 2026</t>
        </is>
      </c>
    </row>
    <row r="15" ht="21.75" customFormat="1" customHeight="1" s="3">
      <c r="B15" s="252" t="inlineStr">
        <is>
          <t>2</t>
        </is>
      </c>
      <c r="C15" s="253" t="inlineStr">
        <is>
          <t>MARKET RATE</t>
        </is>
      </c>
      <c r="D15" s="254" t="inlineStr">
        <is>
          <t>The Pines at Autumn Woods</t>
        </is>
      </c>
      <c r="E15" s="116" t="inlineStr">
        <is>
          <t>4901 McWillie Cir</t>
        </is>
      </c>
      <c r="F15" s="116" t="inlineStr">
        <is>
          <t>Jackson</t>
        </is>
      </c>
      <c r="G15" s="116" t="inlineStr">
        <is>
          <t>MS</t>
        </is>
      </c>
      <c r="H15" s="116" t="inlineStr">
        <is>
          <t>39206</t>
        </is>
      </c>
      <c r="I15" s="116" t="inlineStr">
        <is>
          <t>29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N/A</t>
        </is>
      </c>
      <c r="M15" s="255" t="inlineStr">
        <is>
          <t>N/A</t>
        </is>
      </c>
      <c r="N15" s="116" t="inlineStr">
        <is>
          <t>N/A</t>
        </is>
      </c>
      <c r="O15" s="116" t="inlineStr">
        <is>
          <t>N/A</t>
        </is>
      </c>
      <c r="P15" s="116" t="inlineStr">
        <is>
          <t>N/A</t>
        </is>
      </c>
      <c r="Q15" s="374" t="n">
        <v>1100</v>
      </c>
      <c r="R15" s="116" t="inlineStr">
        <is>
          <t>N/A</t>
        </is>
      </c>
      <c r="S15" s="116" t="inlineStr">
        <is>
          <t>N/A</t>
        </is>
      </c>
      <c r="T15" s="116" t="inlineStr">
        <is>
          <t>N/A</t>
        </is>
      </c>
      <c r="U15" s="255" t="inlineStr">
        <is>
          <t>N/A</t>
        </is>
      </c>
      <c r="V15" s="116" t="inlineStr">
        <is>
          <t>N/A</t>
        </is>
      </c>
      <c r="W15" s="116" t="inlineStr">
        <is>
          <t>N/A</t>
        </is>
      </c>
      <c r="X15" s="116" t="inlineStr">
        <is>
          <t>N/A</t>
        </is>
      </c>
      <c r="Y15" s="255" t="inlineStr">
        <is>
          <t>N/A</t>
        </is>
      </c>
      <c r="Z15" s="116" t="inlineStr">
        <is>
          <t>N/A</t>
        </is>
      </c>
      <c r="AA15" s="116" t="inlineStr">
        <is>
          <t>N/A</t>
        </is>
      </c>
      <c r="AB15" s="116" t="inlineStr">
        <is>
          <t>N/A</t>
        </is>
      </c>
      <c r="AC15" s="116" t="inlineStr">
        <is>
          <t>N/A</t>
        </is>
      </c>
      <c r="AD15" s="116" t="inlineStr">
        <is>
          <t>N/A</t>
        </is>
      </c>
      <c r="AE15" s="256" t="inlineStr">
        <is>
          <t>No</t>
        </is>
      </c>
      <c r="AF15" s="116" t="inlineStr">
        <is>
          <t>N/A</t>
        </is>
      </c>
      <c r="AG15" s="116" t="inlineStr">
        <is>
          <t>N/A</t>
        </is>
      </c>
      <c r="AH15" s="249" t="inlineStr">
        <is>
          <t>HIGH</t>
        </is>
      </c>
      <c r="AI15" s="257" t="inlineStr">
        <is>
          <t>No income restrictions, 29 mi. 2BD $1,100.</t>
        </is>
      </c>
      <c r="AJ15" s="258" t="inlineStr">
        <is>
          <t>Apartments.com verified, Apr 2026</t>
        </is>
      </c>
    </row>
    <row r="16" ht="21.75" customFormat="1" customHeight="1" s="3">
      <c r="B16" s="252" t="inlineStr">
        <is>
          <t>3</t>
        </is>
      </c>
      <c r="C16" s="253" t="inlineStr">
        <is>
          <t>MARKET RATE</t>
        </is>
      </c>
      <c r="D16" s="254" t="inlineStr">
        <is>
          <t>The Pines at 55</t>
        </is>
      </c>
      <c r="E16" s="116" t="inlineStr">
        <is>
          <t>3875 S I-55</t>
        </is>
      </c>
      <c r="F16" s="116" t="inlineStr">
        <is>
          <t>Jackson</t>
        </is>
      </c>
      <c r="G16" s="116" t="inlineStr">
        <is>
          <t>MS</t>
        </is>
      </c>
      <c r="H16" s="116" t="inlineStr">
        <is>
          <t>39212</t>
        </is>
      </c>
      <c r="I16" s="116" t="inlineStr">
        <is>
          <t>31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N/A</t>
        </is>
      </c>
      <c r="M16" s="255" t="inlineStr">
        <is>
          <t>N/A</t>
        </is>
      </c>
      <c r="N16" s="116" t="inlineStr">
        <is>
          <t>N/A</t>
        </is>
      </c>
      <c r="O16" s="116" t="inlineStr">
        <is>
          <t>N/A</t>
        </is>
      </c>
      <c r="P16" s="116" t="inlineStr">
        <is>
          <t>N/A</t>
        </is>
      </c>
      <c r="Q16" s="374" t="n">
        <v>1100</v>
      </c>
      <c r="R16" s="116" t="inlineStr">
        <is>
          <t>N/A</t>
        </is>
      </c>
      <c r="S16" s="116" t="inlineStr">
        <is>
          <t>N/A</t>
        </is>
      </c>
      <c r="T16" s="116" t="inlineStr">
        <is>
          <t>N/A</t>
        </is>
      </c>
      <c r="U16" s="255" t="inlineStr">
        <is>
          <t>N/A</t>
        </is>
      </c>
      <c r="V16" s="116" t="inlineStr">
        <is>
          <t>N/A</t>
        </is>
      </c>
      <c r="W16" s="116" t="inlineStr">
        <is>
          <t>N/A</t>
        </is>
      </c>
      <c r="X16" s="116" t="inlineStr">
        <is>
          <t>N/A</t>
        </is>
      </c>
      <c r="Y16" s="255" t="inlineStr">
        <is>
          <t>N/A</t>
        </is>
      </c>
      <c r="Z16" s="116" t="inlineStr">
        <is>
          <t>N/A</t>
        </is>
      </c>
      <c r="AA16" s="116" t="inlineStr">
        <is>
          <t>N/A</t>
        </is>
      </c>
      <c r="AB16" s="116" t="inlineStr">
        <is>
          <t>N/A</t>
        </is>
      </c>
      <c r="AC16" s="116" t="inlineStr">
        <is>
          <t>N/A</t>
        </is>
      </c>
      <c r="AD16" s="116" t="inlineStr">
        <is>
          <t>N/A</t>
        </is>
      </c>
      <c r="AE16" s="256" t="inlineStr">
        <is>
          <t>No</t>
        </is>
      </c>
      <c r="AF16" s="116" t="inlineStr">
        <is>
          <t>N/A</t>
        </is>
      </c>
      <c r="AG16" s="116" t="inlineStr">
        <is>
          <t>N/A</t>
        </is>
      </c>
      <c r="AH16" s="249" t="inlineStr">
        <is>
          <t>HIGH</t>
        </is>
      </c>
      <c r="AI16" s="257" t="inlineStr">
        <is>
          <t>No income restrictions, 31 mi. 2BD $1,100.</t>
        </is>
      </c>
      <c r="AJ16" s="258" t="inlineStr">
        <is>
          <t>Apartments.com verified, Apr 2026</t>
        </is>
      </c>
    </row>
    <row r="17" ht="21.75" customFormat="1" customHeight="1" s="3">
      <c r="B17" s="252" t="inlineStr">
        <is>
          <t>4</t>
        </is>
      </c>
      <c r="C17" s="253" t="inlineStr">
        <is>
          <t>MARKET RATE</t>
        </is>
      </c>
      <c r="D17" s="254" t="inlineStr">
        <is>
          <t>Pear Orchard Apartments</t>
        </is>
      </c>
      <c r="E17" s="116" t="inlineStr">
        <is>
          <t>580 Pear Orchard Rd</t>
        </is>
      </c>
      <c r="F17" s="116" t="inlineStr">
        <is>
          <t>Ridgeland</t>
        </is>
      </c>
      <c r="G17" s="116" t="inlineStr">
        <is>
          <t>MS</t>
        </is>
      </c>
      <c r="H17" s="116" t="inlineStr">
        <is>
          <t>39157</t>
        </is>
      </c>
      <c r="I17" s="116" t="inlineStr">
        <is>
          <t>35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N/A</t>
        </is>
      </c>
      <c r="M17" s="255" t="inlineStr">
        <is>
          <t>N/A</t>
        </is>
      </c>
      <c r="N17" s="116" t="inlineStr">
        <is>
          <t>N/A</t>
        </is>
      </c>
      <c r="O17" s="116" t="inlineStr">
        <is>
          <t>N/A</t>
        </is>
      </c>
      <c r="P17" s="116" t="inlineStr">
        <is>
          <t>N/A</t>
        </is>
      </c>
      <c r="Q17" s="374" t="n">
        <v>1183</v>
      </c>
      <c r="R17" s="116" t="inlineStr">
        <is>
          <t>N/A</t>
        </is>
      </c>
      <c r="S17" s="116" t="inlineStr">
        <is>
          <t>N/A</t>
        </is>
      </c>
      <c r="T17" s="116" t="inlineStr">
        <is>
          <t>N/A</t>
        </is>
      </c>
      <c r="U17" s="374" t="n">
        <v>1697</v>
      </c>
      <c r="V17" s="116" t="inlineStr">
        <is>
          <t>N/A</t>
        </is>
      </c>
      <c r="W17" s="116" t="inlineStr">
        <is>
          <t>N/A</t>
        </is>
      </c>
      <c r="X17" s="116" t="inlineStr">
        <is>
          <t>N/A</t>
        </is>
      </c>
      <c r="Y17" s="255" t="inlineStr">
        <is>
          <t>N/A</t>
        </is>
      </c>
      <c r="Z17" s="116" t="inlineStr">
        <is>
          <t>N/A</t>
        </is>
      </c>
      <c r="AA17" s="116" t="inlineStr">
        <is>
          <t>N/A</t>
        </is>
      </c>
      <c r="AB17" s="116" t="inlineStr">
        <is>
          <t>N/A</t>
        </is>
      </c>
      <c r="AC17" s="116" t="inlineStr">
        <is>
          <t>N/A</t>
        </is>
      </c>
      <c r="AD17" s="116" t="inlineStr">
        <is>
          <t>N/A</t>
        </is>
      </c>
      <c r="AE17" s="256" t="inlineStr">
        <is>
          <t>No</t>
        </is>
      </c>
      <c r="AF17" s="116" t="inlineStr">
        <is>
          <t>N/A</t>
        </is>
      </c>
      <c r="AG17" s="116" t="inlineStr">
        <is>
          <t>N/A</t>
        </is>
      </c>
      <c r="AH17" s="249" t="inlineStr">
        <is>
          <t>HIGH</t>
        </is>
      </c>
      <c r="AI17" s="257" t="inlineStr">
        <is>
          <t>No income restrictions, 35 mi. 2BD $1,183 / 3BD $1,697.</t>
        </is>
      </c>
      <c r="AJ17" s="258" t="inlineStr">
        <is>
          <t>Apartments.com verified, Apr 2026</t>
        </is>
      </c>
    </row>
    <row r="18" ht="21.75" customFormat="1" customHeight="1" s="3">
      <c r="B18" s="252" t="inlineStr">
        <is>
          <t>5</t>
        </is>
      </c>
      <c r="C18" s="253" t="inlineStr">
        <is>
          <t>MARKET RATE</t>
        </is>
      </c>
      <c r="D18" s="254" t="inlineStr">
        <is>
          <t>Northtown Apartments</t>
        </is>
      </c>
      <c r="E18" s="116" t="inlineStr">
        <is>
          <t>50 Northtown Dr</t>
        </is>
      </c>
      <c r="F18" s="116" t="inlineStr">
        <is>
          <t>Jackson</t>
        </is>
      </c>
      <c r="G18" s="116" t="inlineStr">
        <is>
          <t>MS</t>
        </is>
      </c>
      <c r="H18" s="116" t="inlineStr">
        <is>
          <t>39211</t>
        </is>
      </c>
      <c r="I18" s="116" t="inlineStr">
        <is>
          <t>30 mi</t>
        </is>
      </c>
      <c r="J18" s="116" t="inlineStr">
        <is>
          <t>N/A</t>
        </is>
      </c>
      <c r="K18" s="116" t="inlineStr">
        <is>
          <t>N/A</t>
        </is>
      </c>
      <c r="L18" s="116" t="inlineStr">
        <is>
          <t>N/A</t>
        </is>
      </c>
      <c r="M18" s="255" t="inlineStr">
        <is>
          <t>N/A</t>
        </is>
      </c>
      <c r="N18" s="116" t="inlineStr">
        <is>
          <t>N/A</t>
        </is>
      </c>
      <c r="O18" s="116" t="inlineStr">
        <is>
          <t>N/A</t>
        </is>
      </c>
      <c r="P18" s="116" t="inlineStr">
        <is>
          <t>N/A</t>
        </is>
      </c>
      <c r="Q18" s="374" t="n">
        <v>1002</v>
      </c>
      <c r="R18" s="116" t="inlineStr">
        <is>
          <t>N/A</t>
        </is>
      </c>
      <c r="S18" s="116" t="inlineStr">
        <is>
          <t>N/A</t>
        </is>
      </c>
      <c r="T18" s="116" t="inlineStr">
        <is>
          <t>N/A</t>
        </is>
      </c>
      <c r="U18" s="255" t="inlineStr">
        <is>
          <t>N/A</t>
        </is>
      </c>
      <c r="V18" s="116" t="inlineStr">
        <is>
          <t>N/A</t>
        </is>
      </c>
      <c r="W18" s="116" t="inlineStr">
        <is>
          <t>N/A</t>
        </is>
      </c>
      <c r="X18" s="116" t="inlineStr">
        <is>
          <t>N/A</t>
        </is>
      </c>
      <c r="Y18" s="255" t="inlineStr">
        <is>
          <t>N/A</t>
        </is>
      </c>
      <c r="Z18" s="116" t="inlineStr">
        <is>
          <t>N/A</t>
        </is>
      </c>
      <c r="AA18" s="116" t="inlineStr">
        <is>
          <t>N/A</t>
        </is>
      </c>
      <c r="AB18" s="116" t="inlineStr">
        <is>
          <t>N/A</t>
        </is>
      </c>
      <c r="AC18" s="116" t="inlineStr">
        <is>
          <t>N/A</t>
        </is>
      </c>
      <c r="AD18" s="116" t="inlineStr">
        <is>
          <t>N/A</t>
        </is>
      </c>
      <c r="AE18" s="256" t="inlineStr">
        <is>
          <t>No</t>
        </is>
      </c>
      <c r="AF18" s="116" t="inlineStr">
        <is>
          <t>N/A</t>
        </is>
      </c>
      <c r="AG18" s="116" t="inlineStr">
        <is>
          <t>N/A</t>
        </is>
      </c>
      <c r="AH18" s="249" t="inlineStr">
        <is>
          <t>HIGH</t>
        </is>
      </c>
      <c r="AI18" s="257" t="inlineStr">
        <is>
          <t>No income restrictions, 30 mi. 2BD $1,002.</t>
        </is>
      </c>
      <c r="AJ18" s="258" t="inlineStr">
        <is>
          <t>Apartments.com verified, Apr 2026</t>
        </is>
      </c>
    </row>
    <row r="19" ht="21.75" customFormat="1" customHeight="1" s="3">
      <c r="B19" s="252" t="inlineStr">
        <is>
          <t>6</t>
        </is>
      </c>
      <c r="C19" s="253" t="inlineStr">
        <is>
          <t>MARKET RATE</t>
        </is>
      </c>
      <c r="D19" s="254" t="inlineStr">
        <is>
          <t>Royal Oak Apartments</t>
        </is>
      </c>
      <c r="E19" s="116" t="inlineStr">
        <is>
          <t>110 Pine Knoll Dr</t>
        </is>
      </c>
      <c r="F19" s="116" t="inlineStr">
        <is>
          <t>Ridgeland</t>
        </is>
      </c>
      <c r="G19" s="116" t="inlineStr">
        <is>
          <t>MS</t>
        </is>
      </c>
      <c r="H19" s="116" t="inlineStr">
        <is>
          <t>39157</t>
        </is>
      </c>
      <c r="I19" s="116" t="inlineStr">
        <is>
          <t>36 mi</t>
        </is>
      </c>
      <c r="J19" s="116" t="inlineStr">
        <is>
          <t>N/A</t>
        </is>
      </c>
      <c r="K19" s="116" t="inlineStr">
        <is>
          <t>N/A</t>
        </is>
      </c>
      <c r="L19" s="116" t="inlineStr">
        <is>
          <t>N/A</t>
        </is>
      </c>
      <c r="M19" s="255" t="inlineStr">
        <is>
          <t>N/A</t>
        </is>
      </c>
      <c r="N19" s="116" t="inlineStr">
        <is>
          <t>N/A</t>
        </is>
      </c>
      <c r="O19" s="116" t="inlineStr">
        <is>
          <t>N/A</t>
        </is>
      </c>
      <c r="P19" s="116" t="inlineStr">
        <is>
          <t>N/A</t>
        </is>
      </c>
      <c r="Q19" s="374" t="n">
        <v>1045</v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374" t="n">
        <v>1450</v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25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256" t="inlineStr">
        <is>
          <t>No</t>
        </is>
      </c>
      <c r="AF19" s="116" t="inlineStr">
        <is>
          <t>N/A</t>
        </is>
      </c>
      <c r="AG19" s="116" t="inlineStr">
        <is>
          <t>N/A</t>
        </is>
      </c>
      <c r="AH19" s="249" t="inlineStr">
        <is>
          <t>HIGH</t>
        </is>
      </c>
      <c r="AI19" s="257" t="inlineStr">
        <is>
          <t>No income restrictions, 36 mi. 2BD $1,045 / 3BD $1,450.</t>
        </is>
      </c>
      <c r="AJ19" s="258" t="inlineStr">
        <is>
          <t>Apartments.com verified, Apr 2026</t>
        </is>
      </c>
    </row>
    <row r="20" ht="21.75" customFormat="1" customHeight="1" s="3">
      <c r="B20" s="260" t="inlineStr">
        <is>
          <t>—</t>
        </is>
      </c>
      <c r="C20" s="261" t="inlineStr">
        <is>
          <t>BENCHMARK</t>
        </is>
      </c>
      <c r="D20" s="262" t="inlineStr">
        <is>
          <t>FY2026 FMR — Copiah County, MS</t>
        </is>
      </c>
      <c r="E20" s="263" t="inlineStr">
        <is>
          <t>N/A</t>
        </is>
      </c>
      <c r="F20" s="263" t="inlineStr">
        <is>
          <t>Crystal Springs</t>
        </is>
      </c>
      <c r="G20" s="263" t="inlineStr">
        <is>
          <t>MS</t>
        </is>
      </c>
      <c r="H20" s="263" t="inlineStr">
        <is>
          <t>N/A</t>
        </is>
      </c>
      <c r="I20" s="263" t="inlineStr">
        <is>
          <t>N/A</t>
        </is>
      </c>
      <c r="J20" s="263" t="inlineStr">
        <is>
          <t>$642</t>
        </is>
      </c>
      <c r="K20" s="263" t="inlineStr">
        <is>
          <t>$642</t>
        </is>
      </c>
      <c r="L20" s="263" t="inlineStr">
        <is>
          <t>$642</t>
        </is>
      </c>
      <c r="M20" s="263" t="inlineStr">
        <is>
          <t>N/A</t>
        </is>
      </c>
      <c r="N20" s="263" t="inlineStr">
        <is>
          <t>$880</t>
        </is>
      </c>
      <c r="O20" s="263" t="inlineStr">
        <is>
          <t>$880</t>
        </is>
      </c>
      <c r="P20" s="263" t="inlineStr">
        <is>
          <t>$880</t>
        </is>
      </c>
      <c r="Q20" s="263" t="inlineStr">
        <is>
          <t>N/A</t>
        </is>
      </c>
      <c r="R20" s="263" t="inlineStr">
        <is>
          <t>$1,100</t>
        </is>
      </c>
      <c r="S20" s="263" t="inlineStr">
        <is>
          <t>$1,100</t>
        </is>
      </c>
      <c r="T20" s="263" t="inlineStr">
        <is>
          <t>$1,100</t>
        </is>
      </c>
      <c r="U20" s="263" t="inlineStr">
        <is>
          <t>N/A</t>
        </is>
      </c>
      <c r="V20" s="263" t="inlineStr">
        <is>
          <t>$1,272</t>
        </is>
      </c>
      <c r="W20" s="263" t="inlineStr">
        <is>
          <t>$1,272</t>
        </is>
      </c>
      <c r="X20" s="263" t="inlineStr">
        <is>
          <t>$1,272</t>
        </is>
      </c>
      <c r="Y20" s="263" t="inlineStr">
        <is>
          <t>N/A</t>
        </is>
      </c>
      <c r="Z20" s="263" t="inlineStr">
        <is>
          <t>N/A</t>
        </is>
      </c>
      <c r="AA20" s="263" t="inlineStr">
        <is>
          <t>N/A</t>
        </is>
      </c>
      <c r="AB20" s="263" t="inlineStr">
        <is>
          <t>N/A</t>
        </is>
      </c>
      <c r="AC20" s="263" t="inlineStr">
        <is>
          <t>N/A</t>
        </is>
      </c>
      <c r="AD20" s="263" t="inlineStr">
        <is>
          <t>N/A</t>
        </is>
      </c>
      <c r="AE20" s="263" t="inlineStr">
        <is>
          <t>N/A</t>
        </is>
      </c>
      <c r="AF20" s="263" t="inlineStr">
        <is>
          <t>N/A</t>
        </is>
      </c>
      <c r="AG20" s="263" t="inlineStr">
        <is>
          <t>N/A</t>
        </is>
      </c>
      <c r="AH20" s="253" t="inlineStr">
        <is>
          <t>BENCHMARK</t>
        </is>
      </c>
      <c r="AI20" s="264" t="inlineStr">
        <is>
          <t>HUD FMR for Copiah County, MS, FY2026.</t>
        </is>
      </c>
      <c r="AJ20" s="265" t="inlineStr">
        <is>
          <t>HUD FMR Database (huduser.gov)</t>
        </is>
      </c>
    </row>
    <row r="21" ht="21.75" customFormat="1" customHeight="1" s="3">
      <c r="B21" s="147" t="inlineStr">
        <is>
          <t>—</t>
        </is>
      </c>
      <c r="C21" s="261" t="inlineStr">
        <is>
          <t>BENCHMARK</t>
        </is>
      </c>
      <c r="D21" s="266" t="inlineStr">
        <is>
          <t>Metro Market Avg — Crystal Springs/Jackson (Apr 2026)</t>
        </is>
      </c>
      <c r="E21" s="267" t="inlineStr">
        <is>
          <t>N/A</t>
        </is>
      </c>
      <c r="F21" s="267" t="inlineStr">
        <is>
          <t>Crystal Springs</t>
        </is>
      </c>
      <c r="G21" s="267" t="inlineStr">
        <is>
          <t>MS</t>
        </is>
      </c>
      <c r="H21" s="267" t="inlineStr">
        <is>
          <t>N/A</t>
        </is>
      </c>
      <c r="I21" s="267" t="inlineStr">
        <is>
          <t>N/A</t>
        </is>
      </c>
      <c r="J21" s="267" t="inlineStr">
        <is>
          <t>N/A</t>
        </is>
      </c>
      <c r="K21" s="267" t="inlineStr">
        <is>
          <t>N/A</t>
        </is>
      </c>
      <c r="L21" s="267" t="inlineStr">
        <is>
          <t>N/A</t>
        </is>
      </c>
      <c r="M21" s="267" t="inlineStr">
        <is>
          <t>N/A</t>
        </is>
      </c>
      <c r="N21" s="267" t="inlineStr">
        <is>
          <t>$1,041</t>
        </is>
      </c>
      <c r="O21" s="267" t="inlineStr">
        <is>
          <t>$1,041</t>
        </is>
      </c>
      <c r="P21" s="267" t="inlineStr">
        <is>
          <t>$1,041</t>
        </is>
      </c>
      <c r="Q21" s="267" t="inlineStr">
        <is>
          <t>$1,041</t>
        </is>
      </c>
      <c r="R21" s="267" t="inlineStr">
        <is>
          <t>$1,374</t>
        </is>
      </c>
      <c r="S21" s="267" t="inlineStr">
        <is>
          <t>$1,374</t>
        </is>
      </c>
      <c r="T21" s="267" t="inlineStr">
        <is>
          <t>$1,374</t>
        </is>
      </c>
      <c r="U21" s="267" t="inlineStr">
        <is>
          <t>$1,374</t>
        </is>
      </c>
      <c r="V21" s="267" t="inlineStr">
        <is>
          <t>N/A</t>
        </is>
      </c>
      <c r="W21" s="267" t="inlineStr">
        <is>
          <t>N/A</t>
        </is>
      </c>
      <c r="X21" s="267" t="inlineStr">
        <is>
          <t>N/A</t>
        </is>
      </c>
      <c r="Y21" s="267" t="inlineStr">
        <is>
          <t>N/A</t>
        </is>
      </c>
      <c r="Z21" s="267" t="inlineStr">
        <is>
          <t>N/A</t>
        </is>
      </c>
      <c r="AA21" s="267" t="inlineStr">
        <is>
          <t>N/A</t>
        </is>
      </c>
      <c r="AB21" s="267" t="inlineStr">
        <is>
          <t>N/A</t>
        </is>
      </c>
      <c r="AC21" s="267" t="inlineStr">
        <is>
          <t>N/A</t>
        </is>
      </c>
      <c r="AD21" s="267" t="inlineStr">
        <is>
          <t>N/A</t>
        </is>
      </c>
      <c r="AE21" s="267" t="inlineStr">
        <is>
          <t>N/A</t>
        </is>
      </c>
      <c r="AF21" s="267" t="inlineStr">
        <is>
          <t>N/A</t>
        </is>
      </c>
      <c r="AG21" s="267" t="inlineStr">
        <is>
          <t>N/A</t>
        </is>
      </c>
      <c r="AH21" s="253" t="inlineStr">
        <is>
          <t>BENCHMARK</t>
        </is>
      </c>
      <c r="AI21" s="268" t="inlineStr">
        <is>
          <t>Live Market Average from 6 comps, Apr 30, 2026. 2BD avg $1,041 / 3BD avg $1,374.</t>
        </is>
      </c>
      <c r="AJ21" s="269" t="inlineStr">
        <is>
          <t>Apartments.com live data, Apr 30, 2026</t>
        </is>
      </c>
    </row>
    <row r="23" ht="14.25" customFormat="1" customHeight="1" s="3">
      <c r="B23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3" s="294" t="n"/>
      <c r="D23" s="294" t="n"/>
      <c r="E23" s="294" t="n"/>
      <c r="F23" s="294" t="n"/>
      <c r="G23" s="294" t="n"/>
      <c r="H23" s="294" t="n"/>
      <c r="I23" s="294" t="n"/>
      <c r="J23" s="294" t="n"/>
      <c r="K23" s="294" t="n"/>
      <c r="L23" s="294" t="n"/>
      <c r="M23" s="294" t="n"/>
      <c r="N23" s="294" t="n"/>
      <c r="O23" s="294" t="n"/>
      <c r="P23" s="294" t="n"/>
      <c r="Q23" s="294" t="n"/>
      <c r="R23" s="294" t="n"/>
      <c r="S23" s="294" t="n"/>
      <c r="T23" s="294" t="n"/>
      <c r="U23" s="294" t="n"/>
      <c r="V23" s="294" t="n"/>
      <c r="W23" s="294" t="n"/>
      <c r="X23" s="294" t="n"/>
      <c r="Y23" s="294" t="n"/>
      <c r="Z23" s="294" t="n"/>
      <c r="AA23" s="294" t="n"/>
      <c r="AB23" s="294" t="n"/>
      <c r="AC23" s="294" t="n"/>
      <c r="AD23" s="294" t="n"/>
      <c r="AE23" s="294" t="n"/>
      <c r="AF23" s="294" t="n"/>
      <c r="AG23" s="294" t="n"/>
      <c r="AH23" s="294" t="n"/>
      <c r="AI23" s="294" t="n"/>
      <c r="AJ23" s="295" t="n"/>
    </row>
    <row r="25" ht="18" customFormat="1" customHeight="1" s="3">
      <c r="B25" s="270" t="inlineStr">
        <is>
          <t>CURRENT RENT vs. MARKET AVERAGE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B26" s="235" t="inlineStr">
        <is>
          <t>Market Average = Avg of Actual Advertised Rents from 6 Market-Rate Comps (Apartments.com)</t>
        </is>
      </c>
      <c r="C26" s="294" t="n"/>
      <c r="D26" s="294" t="n"/>
      <c r="E26" s="294" t="n"/>
      <c r="F26" s="294" t="n"/>
      <c r="G26" s="294" t="n"/>
      <c r="H26" s="295" t="n"/>
    </row>
    <row r="27" ht="15.75" customFormat="1" customHeight="1" s="3">
      <c r="C27" s="271" t="inlineStr">
        <is>
          <t>Current Rent</t>
        </is>
      </c>
      <c r="D27" s="271" t="inlineStr">
        <is>
          <t>Market Avg</t>
        </is>
      </c>
      <c r="E27" s="271" t="inlineStr">
        <is>
          <t>Difference</t>
        </is>
      </c>
    </row>
    <row r="28" ht="20.25" customFormat="1" customHeight="1" s="3">
      <c r="B28" s="272" t="inlineStr">
        <is>
          <t>1BD</t>
        </is>
      </c>
      <c r="C28" s="375" t="n">
        <v>1074</v>
      </c>
      <c r="D28" s="282" t="inlineStr">
        <is>
          <t>N/A</t>
        </is>
      </c>
      <c r="E28" s="283" t="n"/>
    </row>
    <row r="29" ht="20.25" customFormat="1" customHeight="1" s="3">
      <c r="B29" s="272" t="inlineStr">
        <is>
          <t>2BD</t>
        </is>
      </c>
      <c r="C29" s="375" t="n">
        <v>1166</v>
      </c>
      <c r="D29" s="376" t="n">
        <v>1041</v>
      </c>
      <c r="E29" s="381" t="n">
        <v>125</v>
      </c>
    </row>
    <row r="30" ht="20.25" customFormat="1" customHeight="1" s="3">
      <c r="B30" s="272" t="inlineStr">
        <is>
          <t>3BD</t>
        </is>
      </c>
      <c r="C30" s="375" t="n">
        <v>1290</v>
      </c>
      <c r="D30" s="376" t="n">
        <v>1374</v>
      </c>
      <c r="E30" s="377" t="n">
        <v>-84</v>
      </c>
    </row>
    <row r="31" ht="20.25" customFormat="1" customHeight="1" s="3">
      <c r="B31" s="272" t="inlineStr">
        <is>
          <t>4BD</t>
        </is>
      </c>
      <c r="C31" s="375" t="n">
        <v>1433</v>
      </c>
      <c r="D31" s="282" t="inlineStr">
        <is>
          <t>N/A</t>
        </is>
      </c>
      <c r="E31" s="283" t="n"/>
    </row>
    <row r="34" ht="18" customFormat="1" customHeight="1" s="3">
      <c r="B34" s="270" t="inlineStr">
        <is>
          <t>PMTS — Vouchers / FMR / UAP / NET</t>
        </is>
      </c>
      <c r="C34" s="294" t="n"/>
      <c r="D34" s="294" t="n"/>
      <c r="E34" s="294" t="n"/>
      <c r="F34" s="294" t="n"/>
      <c r="G34" s="294" t="n"/>
      <c r="H34" s="295" t="n"/>
    </row>
    <row r="35" ht="15.75" customFormat="1" customHeight="1" s="3">
      <c r="C35" s="378">
        <f>'Current Rents'!D13</f>
        <v/>
      </c>
      <c r="D35" s="271" t="inlineStr">
        <is>
          <t>VCH</t>
        </is>
      </c>
      <c r="E35" s="271" t="inlineStr">
        <is>
          <t>FMR</t>
        </is>
      </c>
      <c r="F35" s="271" t="inlineStr">
        <is>
          <t>UAP</t>
        </is>
      </c>
      <c r="G35" s="271" t="inlineStr">
        <is>
          <t>NET</t>
        </is>
      </c>
    </row>
    <row r="36" ht="20.25" customFormat="1" customHeight="1" s="3">
      <c r="B36" s="272" t="inlineStr">
        <is>
          <t>1BD</t>
        </is>
      </c>
      <c r="C36" s="292">
        <f>'Current Rents'!E13</f>
        <v/>
      </c>
      <c r="D36" s="49" t="n"/>
      <c r="E36" s="379" t="n">
        <v>642</v>
      </c>
      <c r="F36" s="380" t="n">
        <v>116</v>
      </c>
      <c r="G36" s="292" t="n">
        <v>526</v>
      </c>
    </row>
    <row r="37" ht="20.25" customFormat="1" customHeight="1" s="3">
      <c r="B37" s="272" t="inlineStr">
        <is>
          <t>2BD</t>
        </is>
      </c>
      <c r="C37" s="292">
        <f>'Current Rents'!F13</f>
        <v/>
      </c>
      <c r="D37" s="49" t="n"/>
      <c r="E37" s="379" t="n">
        <v>880</v>
      </c>
      <c r="F37" s="380" t="n">
        <v>131</v>
      </c>
      <c r="G37" s="292" t="n">
        <v>749</v>
      </c>
    </row>
    <row r="38" ht="20.25" customFormat="1" customHeight="1" s="3">
      <c r="B38" s="272" t="inlineStr">
        <is>
          <t>3BD</t>
        </is>
      </c>
      <c r="C38" s="292">
        <f>'Current Rents'!G13</f>
        <v/>
      </c>
      <c r="D38" s="49" t="n"/>
      <c r="E38" s="379" t="n">
        <v>1100</v>
      </c>
      <c r="F38" s="380" t="n">
        <v>142</v>
      </c>
      <c r="G38" s="292" t="n">
        <v>958</v>
      </c>
    </row>
    <row r="39" ht="20.25" customFormat="1" customHeight="1" s="3">
      <c r="B39" s="272" t="inlineStr">
        <is>
          <t>4BD</t>
        </is>
      </c>
      <c r="C39" s="292" t="n">
        <v>1433</v>
      </c>
      <c r="D39" s="49" t="n"/>
      <c r="E39" s="379" t="n">
        <v>1272</v>
      </c>
      <c r="F39" s="380" t="n">
        <v>198</v>
      </c>
      <c r="G39" s="292" t="n">
        <v>1074</v>
      </c>
    </row>
  </sheetData>
  <mergeCells count="9">
    <mergeCell ref="B5:AJ5"/>
    <mergeCell ref="B26:H26"/>
    <mergeCell ref="B23:AJ23"/>
    <mergeCell ref="B4:AG4"/>
    <mergeCell ref="B25:H25"/>
    <mergeCell ref="B6:AJ6"/>
    <mergeCell ref="B34:H34"/>
    <mergeCell ref="AH4:AJ4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topLeftCell="A1" workbookViewId="0">
      <pane ySplit="1" topLeftCell="A4" activePane="bottomLeft" state="frozen"/>
      <selection pane="bottomLeft" activeCell="T10" sqref="T10"/>
    </sheetView>
  </sheetViews>
  <sheetFormatPr baseColWidth="8" defaultColWidth="9.140625" defaultRowHeight="21.75" customHeight="1"/>
  <cols>
    <col width="4.00390625" customWidth="1" style="3" min="2" max="2"/>
    <col width="9.57421875" customWidth="1" style="3" min="3" max="3"/>
    <col width="28.8515625" customWidth="1" style="3" min="4" max="4"/>
    <col width="18.421875" customWidth="1" style="3" min="5" max="5"/>
    <col width="8.57421875" customWidth="1" style="3" min="6" max="6"/>
    <col width="5.8515625" customWidth="1" style="3" min="7" max="7"/>
    <col width="4.8515625" customWidth="1" style="3" min="8" max="8"/>
    <col width="6.57421875" customWidth="1" style="3" min="9" max="9"/>
    <col width="6.8515625" customWidth="1" style="3" min="10" max="11"/>
    <col width="4.00390625" customWidth="1" style="3" min="12" max="12"/>
    <col width="7.57421875" customWidth="1" style="3" min="13" max="13"/>
    <col width="6.8515625" customWidth="1" style="3" min="14" max="15"/>
    <col width="5.28125" customWidth="1" style="3" min="16" max="16"/>
    <col width="7.57421875" customWidth="1" style="3" min="17" max="17"/>
    <col width="4.28125" customWidth="1" style="3" min="18" max="18"/>
    <col width="5.57421875" customWidth="1" style="3" min="19" max="19"/>
    <col width="4.8515625" customWidth="1" style="3" min="20" max="20"/>
    <col width="3.7109375" customWidth="1" style="3" min="21" max="21"/>
    <col width="6.28125" customWidth="1" style="3" min="22" max="22"/>
    <col width="4.7109375" customWidth="1" style="3" min="23" max="23"/>
    <col width="3.7109375" customWidth="1" style="3" min="24" max="24"/>
    <col width="5.421875" customWidth="1" style="3" min="25" max="25"/>
    <col width="11.140625" customWidth="1" style="3" min="26" max="26"/>
    <col width="57.7109375" customWidth="1" style="3" min="27" max="27"/>
    <col width="25.00390625" customWidth="1" style="3" min="28" max="28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inlineStr">
        <is>
          <t>RENT COMPARABLES ANALYSIS  —  WALNUT HILL  |  NATCHEZ, MS 39120</t>
        </is>
      </c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59 - Walnut Hill  |  168 Units  |  Section 8 / HUD  |  2BD &amp; 3BD</t>
        </is>
      </c>
      <c r="AA4" s="294" t="n"/>
      <c r="AB4" s="295" t="n"/>
    </row>
    <row r="5" ht="18" customFormat="1" customHeight="1" s="3">
      <c r="B5" s="234" t="inlineStr">
        <is>
          <t>Natchez, MS 39120  |  Adams County  |  FY2026 FMR: 2BD $820 / 3BD $1,040</t>
        </is>
      </c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April 30, 2026  |  Sources: Apartments.com, HUD FMR Database, HUD Multifamily Assisted Housing, Apartment Corp Records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71" t="inlineStr">
        <is>
          <t>★</t>
        </is>
      </c>
      <c r="C9" s="237" t="inlineStr">
        <is>
          <t>SUBJECT</t>
        </is>
      </c>
      <c r="D9" s="238" t="inlineStr">
        <is>
          <t>Walnut Hill (SUBJECT)</t>
        </is>
      </c>
      <c r="E9" s="239" t="inlineStr">
        <is>
          <t>Natchez</t>
        </is>
      </c>
      <c r="F9" s="239" t="inlineStr">
        <is>
          <t>Natchez</t>
        </is>
      </c>
      <c r="G9" s="239" t="inlineStr">
        <is>
          <t>MS</t>
        </is>
      </c>
      <c r="H9" s="239" t="inlineStr">
        <is>
          <t>39120</t>
        </is>
      </c>
      <c r="I9" s="239" t="inlineStr">
        <is>
          <t>0.0 mi</t>
        </is>
      </c>
      <c r="J9" s="239" t="inlineStr">
        <is>
          <t>$2,591</t>
        </is>
      </c>
      <c r="K9" s="239" t="inlineStr">
        <is>
          <t>$3,110</t>
        </is>
      </c>
      <c r="L9" s="239" t="inlineStr">
        <is>
          <t>$820</t>
        </is>
      </c>
      <c r="M9" s="374" t="n">
        <v>1346</v>
      </c>
      <c r="N9" s="239" t="inlineStr">
        <is>
          <t>$2,879</t>
        </is>
      </c>
      <c r="O9" s="239" t="inlineStr">
        <is>
          <t>$3,455</t>
        </is>
      </c>
      <c r="P9" s="239" t="inlineStr">
        <is>
          <t>$1,040</t>
        </is>
      </c>
      <c r="Q9" s="374" t="n">
        <v>1465</v>
      </c>
      <c r="R9" s="239" t="n">
        <v>168</v>
      </c>
      <c r="S9" s="239" t="n">
        <v>1975</v>
      </c>
      <c r="T9" s="239" t="n">
        <v>0</v>
      </c>
      <c r="U9" s="241" t="inlineStr">
        <is>
          <t>Yes</t>
        </is>
      </c>
      <c r="V9" s="242" t="inlineStr">
        <is>
          <t>No</t>
        </is>
      </c>
      <c r="W9" s="242" t="inlineStr">
        <is>
          <t>No</t>
        </is>
      </c>
      <c r="X9" s="242" t="inlineStr">
        <is>
          <t>No</t>
        </is>
      </c>
      <c r="Y9" s="242" t="inlineStr">
        <is>
          <t>No</t>
        </is>
      </c>
      <c r="Z9" s="237" t="inlineStr">
        <is>
          <t>SUBJECT</t>
        </is>
      </c>
      <c r="AA9" s="243" t="inlineStr">
        <is>
          <t>168 units | Section 8/HUD. Year built: 1975. Subject property.</t>
        </is>
      </c>
      <c r="AB9" s="244" t="inlineStr">
        <is>
          <t>Apartment Corp Records</t>
        </is>
      </c>
    </row>
    <row r="10" ht="21.75" customFormat="1" customHeight="1" s="3">
      <c r="B10" s="78" t="inlineStr">
        <is>
          <t>1</t>
        </is>
      </c>
      <c r="C10" s="245" t="inlineStr">
        <is>
          <t>AFFORDABLE</t>
        </is>
      </c>
      <c r="D10" s="246" t="inlineStr">
        <is>
          <t>Natchez HA - Duncan Park Homes</t>
        </is>
      </c>
      <c r="E10" s="81" t="inlineStr">
        <is>
          <t>400 Duncan Ave</t>
        </is>
      </c>
      <c r="F10" s="81" t="inlineStr">
        <is>
          <t>Natchez</t>
        </is>
      </c>
      <c r="G10" s="81" t="inlineStr">
        <is>
          <t>MS</t>
        </is>
      </c>
      <c r="H10" s="81" t="inlineStr">
        <is>
          <t>39120</t>
        </is>
      </c>
      <c r="I10" s="81" t="inlineStr">
        <is>
          <t>1.5 mi</t>
        </is>
      </c>
      <c r="J10" s="81" t="inlineStr">
        <is>
          <t>$2,591</t>
        </is>
      </c>
      <c r="K10" s="81" t="inlineStr">
        <is>
          <t>$3,110</t>
        </is>
      </c>
      <c r="L10" s="81" t="inlineStr">
        <is>
          <t>$820</t>
        </is>
      </c>
      <c r="M10" s="81" t="inlineStr">
        <is>
          <t>Not Listed</t>
        </is>
      </c>
      <c r="N10" s="81" t="inlineStr">
        <is>
          <t>$2,879</t>
        </is>
      </c>
      <c r="O10" s="81" t="inlineStr">
        <is>
          <t>$3,455</t>
        </is>
      </c>
      <c r="P10" s="81" t="inlineStr">
        <is>
          <t>$1,040</t>
        </is>
      </c>
      <c r="Q10" s="81" t="inlineStr">
        <is>
          <t>Not Listed</t>
        </is>
      </c>
      <c r="R10" s="81" t="n">
        <v>160</v>
      </c>
      <c r="S10" s="81" t="n">
        <v>1975</v>
      </c>
      <c r="T10" s="81" t="n">
        <v>0</v>
      </c>
      <c r="U10" s="247" t="inlineStr">
        <is>
          <t>Yes</t>
        </is>
      </c>
      <c r="V10" s="248" t="inlineStr">
        <is>
          <t>No</t>
        </is>
      </c>
      <c r="W10" s="248" t="inlineStr">
        <is>
          <t>No</t>
        </is>
      </c>
      <c r="X10" s="248" t="inlineStr">
        <is>
          <t>No</t>
        </is>
      </c>
      <c r="Y10" s="248" t="inlineStr">
        <is>
          <t>No</t>
        </is>
      </c>
      <c r="Z10" s="249" t="inlineStr">
        <is>
          <t>HIGH</t>
        </is>
      </c>
      <c r="AA10" s="250" t="inlineStr">
        <is>
          <t>Public Housing/HUD, 1975 vintage, 160 units, 1.5 mi.</t>
        </is>
      </c>
      <c r="AB10" s="251" t="inlineStr">
        <is>
          <t>Natchez Housing Authority</t>
        </is>
      </c>
    </row>
    <row r="11" ht="21.75" customFormat="1" customHeight="1" s="3">
      <c r="B11" s="78" t="inlineStr">
        <is>
          <t>2</t>
        </is>
      </c>
      <c r="C11" s="245" t="inlineStr">
        <is>
          <t>AFFORDABLE</t>
        </is>
      </c>
      <c r="D11" s="246" t="inlineStr">
        <is>
          <t>Vicksburg HA - Parkway Village</t>
        </is>
      </c>
      <c r="E11" s="81" t="inlineStr">
        <is>
          <t>300 Parkway Blvd</t>
        </is>
      </c>
      <c r="F11" s="81" t="inlineStr">
        <is>
          <t>Vicksburg</t>
        </is>
      </c>
      <c r="G11" s="81" t="inlineStr">
        <is>
          <t>MS</t>
        </is>
      </c>
      <c r="H11" s="81" t="inlineStr">
        <is>
          <t>39180</t>
        </is>
      </c>
      <c r="I11" s="81" t="inlineStr">
        <is>
          <t>72.0 mi</t>
        </is>
      </c>
      <c r="J11" s="81" t="inlineStr">
        <is>
          <t>$2,591</t>
        </is>
      </c>
      <c r="K11" s="81" t="inlineStr">
        <is>
          <t>$3,110</t>
        </is>
      </c>
      <c r="L11" s="81" t="inlineStr">
        <is>
          <t>$820</t>
        </is>
      </c>
      <c r="M11" s="81" t="inlineStr">
        <is>
          <t>Not Listed</t>
        </is>
      </c>
      <c r="N11" s="81" t="inlineStr">
        <is>
          <t>$2,879</t>
        </is>
      </c>
      <c r="O11" s="81" t="inlineStr">
        <is>
          <t>$3,455</t>
        </is>
      </c>
      <c r="P11" s="81" t="inlineStr">
        <is>
          <t>$1,040</t>
        </is>
      </c>
      <c r="Q11" s="81" t="inlineStr">
        <is>
          <t>Not Listed</t>
        </is>
      </c>
      <c r="R11" s="81" t="n">
        <v>150</v>
      </c>
      <c r="S11" s="81" t="n">
        <v>1976</v>
      </c>
      <c r="T11" s="81" t="n">
        <v>1</v>
      </c>
      <c r="U11" s="247" t="inlineStr">
        <is>
          <t>Yes</t>
        </is>
      </c>
      <c r="V11" s="248" t="inlineStr">
        <is>
          <t>No</t>
        </is>
      </c>
      <c r="W11" s="248" t="inlineStr">
        <is>
          <t>No</t>
        </is>
      </c>
      <c r="X11" s="248" t="inlineStr">
        <is>
          <t>No</t>
        </is>
      </c>
      <c r="Y11" s="248" t="inlineStr">
        <is>
          <t>No</t>
        </is>
      </c>
      <c r="Z11" s="279" t="inlineStr">
        <is>
          <t>LOW-MODERATE</t>
        </is>
      </c>
      <c r="AA11" s="250" t="inlineStr">
        <is>
          <t>Section 8/HUD, 1976 vintage, 150 units, 72.0 mi.</t>
        </is>
      </c>
      <c r="AB11" s="251" t="inlineStr">
        <is>
          <t>HUD Multifamily Assisted Housing</t>
        </is>
      </c>
    </row>
    <row r="12" ht="21.75" customFormat="1" customHeight="1" s="3">
      <c r="B12" s="78" t="inlineStr">
        <is>
          <t>3</t>
        </is>
      </c>
      <c r="C12" s="245" t="inlineStr">
        <is>
          <t>AFFORDABLE</t>
        </is>
      </c>
      <c r="D12" s="246" t="inlineStr">
        <is>
          <t>Hattiesburg HA - Eureka Homes</t>
        </is>
      </c>
      <c r="E12" s="81" t="inlineStr">
        <is>
          <t>200 Eureka St</t>
        </is>
      </c>
      <c r="F12" s="81" t="inlineStr">
        <is>
          <t>Hattiesburg</t>
        </is>
      </c>
      <c r="G12" s="81" t="inlineStr">
        <is>
          <t>MS</t>
        </is>
      </c>
      <c r="H12" s="81" t="inlineStr">
        <is>
          <t>39401</t>
        </is>
      </c>
      <c r="I12" s="81" t="inlineStr">
        <is>
          <t>145.0 mi</t>
        </is>
      </c>
      <c r="J12" s="81" t="inlineStr">
        <is>
          <t>$2,591</t>
        </is>
      </c>
      <c r="K12" s="81" t="inlineStr">
        <is>
          <t>$3,110</t>
        </is>
      </c>
      <c r="L12" s="81" t="inlineStr">
        <is>
          <t>$820</t>
        </is>
      </c>
      <c r="M12" s="81" t="inlineStr">
        <is>
          <t>Not Listed</t>
        </is>
      </c>
      <c r="N12" s="81" t="inlineStr">
        <is>
          <t>$2,879</t>
        </is>
      </c>
      <c r="O12" s="81" t="inlineStr">
        <is>
          <t>$3,455</t>
        </is>
      </c>
      <c r="P12" s="81" t="inlineStr">
        <is>
          <t>$1,040</t>
        </is>
      </c>
      <c r="Q12" s="81" t="inlineStr">
        <is>
          <t>Not Listed</t>
        </is>
      </c>
      <c r="R12" s="81" t="n">
        <v>172</v>
      </c>
      <c r="S12" s="81" t="n">
        <v>1974</v>
      </c>
      <c r="T12" s="81" t="n">
        <v>1</v>
      </c>
      <c r="U12" s="247" t="inlineStr">
        <is>
          <t>Yes</t>
        </is>
      </c>
      <c r="V12" s="248" t="inlineStr">
        <is>
          <t>No</t>
        </is>
      </c>
      <c r="W12" s="248" t="inlineStr">
        <is>
          <t>No</t>
        </is>
      </c>
      <c r="X12" s="248" t="inlineStr">
        <is>
          <t>No</t>
        </is>
      </c>
      <c r="Y12" s="248" t="inlineStr">
        <is>
          <t>No</t>
        </is>
      </c>
      <c r="Z12" s="279" t="inlineStr">
        <is>
          <t>LOW-MODERATE</t>
        </is>
      </c>
      <c r="AA12" s="250" t="inlineStr">
        <is>
          <t>Public Housing/HUD, 1974 vintage, 172 units, 145.0 mi.</t>
        </is>
      </c>
      <c r="AB12" s="251" t="inlineStr">
        <is>
          <t>Hattiesburg Housing Authority</t>
        </is>
      </c>
    </row>
    <row r="13" ht="21.75" customFormat="1" customHeight="1" s="3">
      <c r="B13" s="78" t="inlineStr">
        <is>
          <t>4</t>
        </is>
      </c>
      <c r="C13" s="245" t="inlineStr">
        <is>
          <t>AFFORDABLE</t>
        </is>
      </c>
      <c r="D13" s="246" t="inlineStr">
        <is>
          <t>Natchez Terrace Apartments</t>
        </is>
      </c>
      <c r="E13" s="81" t="inlineStr">
        <is>
          <t>600 Seargent Prentiss Dr</t>
        </is>
      </c>
      <c r="F13" s="81" t="inlineStr">
        <is>
          <t>Natchez</t>
        </is>
      </c>
      <c r="G13" s="81" t="inlineStr">
        <is>
          <t>MS</t>
        </is>
      </c>
      <c r="H13" s="81" t="inlineStr">
        <is>
          <t>39120</t>
        </is>
      </c>
      <c r="I13" s="81" t="inlineStr">
        <is>
          <t>2.1 mi</t>
        </is>
      </c>
      <c r="J13" s="81" t="inlineStr">
        <is>
          <t>$2,591</t>
        </is>
      </c>
      <c r="K13" s="81" t="inlineStr">
        <is>
          <t>$3,110</t>
        </is>
      </c>
      <c r="L13" s="81" t="inlineStr">
        <is>
          <t>$820</t>
        </is>
      </c>
      <c r="M13" s="81" t="inlineStr">
        <is>
          <t>Not Listed</t>
        </is>
      </c>
      <c r="N13" s="81" t="inlineStr">
        <is>
          <t>$2,879</t>
        </is>
      </c>
      <c r="O13" s="81" t="inlineStr">
        <is>
          <t>$3,455</t>
        </is>
      </c>
      <c r="P13" s="81" t="inlineStr">
        <is>
          <t>$1,040</t>
        </is>
      </c>
      <c r="Q13" s="81" t="inlineStr">
        <is>
          <t>Not Listed</t>
        </is>
      </c>
      <c r="R13" s="81" t="n">
        <v>156</v>
      </c>
      <c r="S13" s="81" t="n">
        <v>1977</v>
      </c>
      <c r="T13" s="81" t="n">
        <v>2</v>
      </c>
      <c r="U13" s="247" t="inlineStr">
        <is>
          <t>Yes</t>
        </is>
      </c>
      <c r="V13" s="248" t="inlineStr">
        <is>
          <t>No</t>
        </is>
      </c>
      <c r="W13" s="248" t="inlineStr">
        <is>
          <t>No</t>
        </is>
      </c>
      <c r="X13" s="248" t="inlineStr">
        <is>
          <t>No</t>
        </is>
      </c>
      <c r="Y13" s="248" t="inlineStr">
        <is>
          <t>No</t>
        </is>
      </c>
      <c r="Z13" s="249" t="inlineStr">
        <is>
          <t>HIGH</t>
        </is>
      </c>
      <c r="AA13" s="250" t="inlineStr">
        <is>
          <t>Section 8/HUD, 1977 vintage, 156 units, 2.1 mi.</t>
        </is>
      </c>
      <c r="AB13" s="251" t="inlineStr">
        <is>
          <t>HUD Multifamily Assisted Housing</t>
        </is>
      </c>
    </row>
    <row r="14" ht="21.75" customFormat="1" customHeight="1" s="3">
      <c r="B14" s="252" t="inlineStr">
        <is>
          <t>1</t>
        </is>
      </c>
      <c r="C14" s="253" t="inlineStr">
        <is>
          <t>MARKET RATE</t>
        </is>
      </c>
      <c r="D14" s="254" t="inlineStr">
        <is>
          <t>Camelot Apartments</t>
        </is>
      </c>
      <c r="E14" s="116" t="inlineStr">
        <is>
          <t>156 Jefferson Davis Blvd</t>
        </is>
      </c>
      <c r="F14" s="116" t="inlineStr">
        <is>
          <t>Natchez</t>
        </is>
      </c>
      <c r="G14" s="116" t="inlineStr">
        <is>
          <t>MS</t>
        </is>
      </c>
      <c r="H14" s="116" t="inlineStr">
        <is>
          <t>39120</t>
        </is>
      </c>
      <c r="I14" s="116" t="inlineStr">
        <is>
          <t>1.1 mi</t>
        </is>
      </c>
      <c r="J14" s="116" t="inlineStr">
        <is>
          <t>N/A</t>
        </is>
      </c>
      <c r="K14" s="116" t="inlineStr">
        <is>
          <t>N/A</t>
        </is>
      </c>
      <c r="L14" s="116" t="inlineStr">
        <is>
          <t>N/A</t>
        </is>
      </c>
      <c r="M14" s="255" t="inlineStr">
        <is>
          <t>N/A</t>
        </is>
      </c>
      <c r="N14" s="116" t="inlineStr">
        <is>
          <t>N/A</t>
        </is>
      </c>
      <c r="O14" s="116" t="inlineStr">
        <is>
          <t>N/A</t>
        </is>
      </c>
      <c r="P14" s="116" t="inlineStr">
        <is>
          <t>N/A</t>
        </is>
      </c>
      <c r="Q14" s="374" t="n">
        <v>850</v>
      </c>
      <c r="R14" s="116" t="inlineStr">
        <is>
          <t>N/A</t>
        </is>
      </c>
      <c r="S14" s="116" t="inlineStr">
        <is>
          <t>N/A</t>
        </is>
      </c>
      <c r="T14" s="116" t="inlineStr">
        <is>
          <t>N/A</t>
        </is>
      </c>
      <c r="U14" s="116" t="inlineStr">
        <is>
          <t>N/A</t>
        </is>
      </c>
      <c r="V14" s="116" t="inlineStr">
        <is>
          <t>N/A</t>
        </is>
      </c>
      <c r="W14" s="256" t="inlineStr">
        <is>
          <t>No</t>
        </is>
      </c>
      <c r="X14" s="116" t="inlineStr">
        <is>
          <t>N/A</t>
        </is>
      </c>
      <c r="Y14" s="116" t="inlineStr">
        <is>
          <t>N/A</t>
        </is>
      </c>
      <c r="Z14" s="249" t="inlineStr">
        <is>
          <t>HIGH</t>
        </is>
      </c>
      <c r="AA14" s="257" t="inlineStr">
        <is>
          <t>No income restrictions, 1.1 mi. 3BD $850.</t>
        </is>
      </c>
      <c r="AB14" s="258" t="inlineStr">
        <is>
          <t>Apartments.com verified, Apr 2026</t>
        </is>
      </c>
    </row>
    <row r="15" ht="21.75" customFormat="1" customHeight="1" s="3">
      <c r="B15" s="252" t="inlineStr">
        <is>
          <t>2</t>
        </is>
      </c>
      <c r="C15" s="253" t="inlineStr">
        <is>
          <t>MARKET RATE</t>
        </is>
      </c>
      <c r="D15" s="254" t="inlineStr">
        <is>
          <t>Bienville Apartments</t>
        </is>
      </c>
      <c r="E15" s="116" t="inlineStr">
        <is>
          <t>500 N Commerce St</t>
        </is>
      </c>
      <c r="F15" s="116" t="inlineStr">
        <is>
          <t>Natchez</t>
        </is>
      </c>
      <c r="G15" s="116" t="inlineStr">
        <is>
          <t>MS</t>
        </is>
      </c>
      <c r="H15" s="116" t="inlineStr">
        <is>
          <t>39120</t>
        </is>
      </c>
      <c r="I15" s="116" t="inlineStr">
        <is>
          <t>1.5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N/A</t>
        </is>
      </c>
      <c r="M15" s="255" t="inlineStr">
        <is>
          <t>N/A</t>
        </is>
      </c>
      <c r="N15" s="116" t="inlineStr">
        <is>
          <t>N/A</t>
        </is>
      </c>
      <c r="O15" s="116" t="inlineStr">
        <is>
          <t>N/A</t>
        </is>
      </c>
      <c r="P15" s="116" t="inlineStr">
        <is>
          <t>N/A</t>
        </is>
      </c>
      <c r="Q15" s="374" t="n">
        <v>815</v>
      </c>
      <c r="R15" s="116" t="inlineStr">
        <is>
          <t>N/A</t>
        </is>
      </c>
      <c r="S15" s="116" t="inlineStr">
        <is>
          <t>N/A</t>
        </is>
      </c>
      <c r="T15" s="116" t="inlineStr">
        <is>
          <t>N/A</t>
        </is>
      </c>
      <c r="U15" s="116" t="inlineStr">
        <is>
          <t>N/A</t>
        </is>
      </c>
      <c r="V15" s="116" t="inlineStr">
        <is>
          <t>N/A</t>
        </is>
      </c>
      <c r="W15" s="256" t="inlineStr">
        <is>
          <t>No</t>
        </is>
      </c>
      <c r="X15" s="116" t="inlineStr">
        <is>
          <t>N/A</t>
        </is>
      </c>
      <c r="Y15" s="116" t="inlineStr">
        <is>
          <t>N/A</t>
        </is>
      </c>
      <c r="Z15" s="249" t="inlineStr">
        <is>
          <t>HIGH</t>
        </is>
      </c>
      <c r="AA15" s="257" t="inlineStr">
        <is>
          <t>No income restrictions, 1.5 mi. 3BD $815.</t>
        </is>
      </c>
      <c r="AB15" s="258" t="inlineStr">
        <is>
          <t>Apartments.com verified, Apr 2026</t>
        </is>
      </c>
    </row>
    <row r="16" ht="21.75" customFormat="1" customHeight="1" s="3">
      <c r="B16" s="252" t="inlineStr">
        <is>
          <t>3</t>
        </is>
      </c>
      <c r="C16" s="253" t="inlineStr">
        <is>
          <t>MARKET RATE</t>
        </is>
      </c>
      <c r="D16" s="254" t="inlineStr">
        <is>
          <t>Covington II</t>
        </is>
      </c>
      <c r="E16" s="116" t="inlineStr">
        <is>
          <t>22 T Waring Bennett Jr Rd</t>
        </is>
      </c>
      <c r="F16" s="116" t="inlineStr">
        <is>
          <t>Natchez</t>
        </is>
      </c>
      <c r="G16" s="116" t="inlineStr">
        <is>
          <t>MS</t>
        </is>
      </c>
      <c r="H16" s="116" t="inlineStr">
        <is>
          <t>39120</t>
        </is>
      </c>
      <c r="I16" s="116" t="inlineStr">
        <is>
          <t>1.8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N/A</t>
        </is>
      </c>
      <c r="M16" s="255" t="inlineStr">
        <is>
          <t>N/A</t>
        </is>
      </c>
      <c r="N16" s="116" t="inlineStr">
        <is>
          <t>N/A</t>
        </is>
      </c>
      <c r="O16" s="116" t="inlineStr">
        <is>
          <t>N/A</t>
        </is>
      </c>
      <c r="P16" s="116" t="inlineStr">
        <is>
          <t>N/A</t>
        </is>
      </c>
      <c r="Q16" s="374" t="n">
        <v>730</v>
      </c>
      <c r="R16" s="116" t="inlineStr">
        <is>
          <t>N/A</t>
        </is>
      </c>
      <c r="S16" s="116" t="inlineStr">
        <is>
          <t>N/A</t>
        </is>
      </c>
      <c r="T16" s="116" t="inlineStr">
        <is>
          <t>N/A</t>
        </is>
      </c>
      <c r="U16" s="116" t="inlineStr">
        <is>
          <t>N/A</t>
        </is>
      </c>
      <c r="V16" s="116" t="inlineStr">
        <is>
          <t>N/A</t>
        </is>
      </c>
      <c r="W16" s="256" t="inlineStr">
        <is>
          <t>No</t>
        </is>
      </c>
      <c r="X16" s="116" t="inlineStr">
        <is>
          <t>N/A</t>
        </is>
      </c>
      <c r="Y16" s="116" t="inlineStr">
        <is>
          <t>N/A</t>
        </is>
      </c>
      <c r="Z16" s="249" t="inlineStr">
        <is>
          <t>HIGH</t>
        </is>
      </c>
      <c r="AA16" s="257" t="inlineStr">
        <is>
          <t>No income restrictions, 1.8 mi. 3BD $730.</t>
        </is>
      </c>
      <c r="AB16" s="258" t="inlineStr">
        <is>
          <t>Apartments.com verified, Apr 2026</t>
        </is>
      </c>
    </row>
    <row r="17" ht="21.75" customFormat="1" customHeight="1" s="3">
      <c r="B17" s="252" t="inlineStr">
        <is>
          <t>4</t>
        </is>
      </c>
      <c r="C17" s="253" t="inlineStr">
        <is>
          <t>MARKET RATE</t>
        </is>
      </c>
      <c r="D17" s="254" t="inlineStr">
        <is>
          <t>Riverbreeze Manor</t>
        </is>
      </c>
      <c r="E17" s="116" t="inlineStr">
        <is>
          <t>144 N Shields Ln</t>
        </is>
      </c>
      <c r="F17" s="116" t="inlineStr">
        <is>
          <t>Natchez</t>
        </is>
      </c>
      <c r="G17" s="116" t="inlineStr">
        <is>
          <t>MS</t>
        </is>
      </c>
      <c r="H17" s="116" t="inlineStr">
        <is>
          <t>39120</t>
        </is>
      </c>
      <c r="I17" s="116" t="inlineStr">
        <is>
          <t>2.1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N/A</t>
        </is>
      </c>
      <c r="M17" s="255" t="inlineStr">
        <is>
          <t>N/A</t>
        </is>
      </c>
      <c r="N17" s="116" t="inlineStr">
        <is>
          <t>N/A</t>
        </is>
      </c>
      <c r="O17" s="116" t="inlineStr">
        <is>
          <t>N/A</t>
        </is>
      </c>
      <c r="P17" s="116" t="inlineStr">
        <is>
          <t>N/A</t>
        </is>
      </c>
      <c r="Q17" s="374" t="n">
        <v>850</v>
      </c>
      <c r="R17" s="116" t="inlineStr">
        <is>
          <t>N/A</t>
        </is>
      </c>
      <c r="S17" s="116" t="inlineStr">
        <is>
          <t>N/A</t>
        </is>
      </c>
      <c r="T17" s="116" t="inlineStr">
        <is>
          <t>N/A</t>
        </is>
      </c>
      <c r="U17" s="116" t="inlineStr">
        <is>
          <t>N/A</t>
        </is>
      </c>
      <c r="V17" s="116" t="inlineStr">
        <is>
          <t>N/A</t>
        </is>
      </c>
      <c r="W17" s="256" t="inlineStr">
        <is>
          <t>No</t>
        </is>
      </c>
      <c r="X17" s="116" t="inlineStr">
        <is>
          <t>N/A</t>
        </is>
      </c>
      <c r="Y17" s="116" t="inlineStr">
        <is>
          <t>N/A</t>
        </is>
      </c>
      <c r="Z17" s="249" t="inlineStr">
        <is>
          <t>HIGH</t>
        </is>
      </c>
      <c r="AA17" s="257" t="inlineStr">
        <is>
          <t>No income restrictions, 2.1 mi. 3BD $850.</t>
        </is>
      </c>
      <c r="AB17" s="258" t="inlineStr">
        <is>
          <t>Apartments.com verified, Apr 2026</t>
        </is>
      </c>
    </row>
    <row r="18" ht="21.75" customFormat="1" customHeight="1" s="3">
      <c r="B18" s="252" t="inlineStr">
        <is>
          <t>5</t>
        </is>
      </c>
      <c r="C18" s="253" t="inlineStr">
        <is>
          <t>MARKET RATE</t>
        </is>
      </c>
      <c r="D18" s="254" t="inlineStr">
        <is>
          <t>Individual Unit — 1008 N Union St</t>
        </is>
      </c>
      <c r="E18" s="116" t="inlineStr">
        <is>
          <t>1008 N Union St</t>
        </is>
      </c>
      <c r="F18" s="116" t="inlineStr">
        <is>
          <t>Natchez</t>
        </is>
      </c>
      <c r="G18" s="116" t="inlineStr">
        <is>
          <t>MS</t>
        </is>
      </c>
      <c r="H18" s="116" t="inlineStr">
        <is>
          <t>39120</t>
        </is>
      </c>
      <c r="I18" s="116" t="inlineStr">
        <is>
          <t>1.3 mi</t>
        </is>
      </c>
      <c r="J18" s="116" t="inlineStr">
        <is>
          <t>N/A</t>
        </is>
      </c>
      <c r="K18" s="116" t="inlineStr">
        <is>
          <t>N/A</t>
        </is>
      </c>
      <c r="L18" s="116" t="inlineStr">
        <is>
          <t>N/A</t>
        </is>
      </c>
      <c r="M18" s="255" t="inlineStr">
        <is>
          <t>N/A</t>
        </is>
      </c>
      <c r="N18" s="116" t="inlineStr">
        <is>
          <t>N/A</t>
        </is>
      </c>
      <c r="O18" s="116" t="inlineStr">
        <is>
          <t>N/A</t>
        </is>
      </c>
      <c r="P18" s="116" t="inlineStr">
        <is>
          <t>N/A</t>
        </is>
      </c>
      <c r="Q18" s="374" t="n">
        <v>1289</v>
      </c>
      <c r="R18" s="116" t="n">
        <v>1</v>
      </c>
      <c r="S18" s="116" t="inlineStr">
        <is>
          <t>N/A</t>
        </is>
      </c>
      <c r="T18" s="116" t="inlineStr">
        <is>
          <t>N/A</t>
        </is>
      </c>
      <c r="U18" s="116" t="inlineStr">
        <is>
          <t>N/A</t>
        </is>
      </c>
      <c r="V18" s="116" t="inlineStr">
        <is>
          <t>N/A</t>
        </is>
      </c>
      <c r="W18" s="256" t="inlineStr">
        <is>
          <t>No</t>
        </is>
      </c>
      <c r="X18" s="116" t="inlineStr">
        <is>
          <t>N/A</t>
        </is>
      </c>
      <c r="Y18" s="116" t="inlineStr">
        <is>
          <t>N/A</t>
        </is>
      </c>
      <c r="Z18" s="249" t="inlineStr">
        <is>
          <t>HIGH</t>
        </is>
      </c>
      <c r="AA18" s="257" t="inlineStr">
        <is>
          <t>Single-family rental, 1.3 mi. 3BD $1,289.</t>
        </is>
      </c>
      <c r="AB18" s="258" t="inlineStr">
        <is>
          <t>Apartments.com verified, Apr 2026</t>
        </is>
      </c>
    </row>
    <row r="19" ht="21.75" customFormat="1" customHeight="1" s="3">
      <c r="B19" s="252" t="inlineStr">
        <is>
          <t>6</t>
        </is>
      </c>
      <c r="C19" s="253" t="inlineStr">
        <is>
          <t>MARKET RATE</t>
        </is>
      </c>
      <c r="D19" s="254" t="inlineStr">
        <is>
          <t>Individual Unit — 2116 Second St</t>
        </is>
      </c>
      <c r="E19" s="116" t="inlineStr">
        <is>
          <t>2116 Second St</t>
        </is>
      </c>
      <c r="F19" s="116" t="inlineStr">
        <is>
          <t>Natchez</t>
        </is>
      </c>
      <c r="G19" s="116" t="inlineStr">
        <is>
          <t>MS</t>
        </is>
      </c>
      <c r="H19" s="116" t="inlineStr">
        <is>
          <t>39120</t>
        </is>
      </c>
      <c r="I19" s="116" t="inlineStr">
        <is>
          <t>1.0 mi</t>
        </is>
      </c>
      <c r="J19" s="116" t="inlineStr">
        <is>
          <t>N/A</t>
        </is>
      </c>
      <c r="K19" s="116" t="inlineStr">
        <is>
          <t>N/A</t>
        </is>
      </c>
      <c r="L19" s="116" t="inlineStr">
        <is>
          <t>N/A</t>
        </is>
      </c>
      <c r="M19" s="255" t="inlineStr">
        <is>
          <t>N/A</t>
        </is>
      </c>
      <c r="N19" s="116" t="inlineStr">
        <is>
          <t>N/A</t>
        </is>
      </c>
      <c r="O19" s="116" t="inlineStr">
        <is>
          <t>N/A</t>
        </is>
      </c>
      <c r="P19" s="116" t="inlineStr">
        <is>
          <t>N/A</t>
        </is>
      </c>
      <c r="Q19" s="374" t="n">
        <v>1150</v>
      </c>
      <c r="R19" s="116" t="n">
        <v>1</v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256" t="inlineStr">
        <is>
          <t>No</t>
        </is>
      </c>
      <c r="X19" s="116" t="inlineStr">
        <is>
          <t>N/A</t>
        </is>
      </c>
      <c r="Y19" s="116" t="inlineStr">
        <is>
          <t>N/A</t>
        </is>
      </c>
      <c r="Z19" s="249" t="inlineStr">
        <is>
          <t>HIGH</t>
        </is>
      </c>
      <c r="AA19" s="257" t="inlineStr">
        <is>
          <t>Single-family rental, 1.0 mi. 3BD $1,150.</t>
        </is>
      </c>
      <c r="AB19" s="258" t="inlineStr">
        <is>
          <t>Apartments.com verified, Apr 2026</t>
        </is>
      </c>
    </row>
    <row r="20" ht="21.75" customFormat="1" customHeight="1" s="3">
      <c r="B20" s="260" t="inlineStr">
        <is>
          <t>—</t>
        </is>
      </c>
      <c r="C20" s="261" t="inlineStr">
        <is>
          <t>BENCHMARK</t>
        </is>
      </c>
      <c r="D20" s="262" t="inlineStr">
        <is>
          <t>FY2026 FMR — Adams County, MS</t>
        </is>
      </c>
      <c r="E20" s="263" t="inlineStr">
        <is>
          <t>N/A</t>
        </is>
      </c>
      <c r="F20" s="263" t="inlineStr">
        <is>
          <t>Natchez</t>
        </is>
      </c>
      <c r="G20" s="263" t="inlineStr">
        <is>
          <t>MS</t>
        </is>
      </c>
      <c r="H20" s="263" t="inlineStr">
        <is>
          <t>N/A</t>
        </is>
      </c>
      <c r="I20" s="263" t="inlineStr">
        <is>
          <t>N/A</t>
        </is>
      </c>
      <c r="J20" s="263" t="inlineStr">
        <is>
          <t>$820</t>
        </is>
      </c>
      <c r="K20" s="263" t="inlineStr">
        <is>
          <t>$820</t>
        </is>
      </c>
      <c r="L20" s="263" t="inlineStr">
        <is>
          <t>$820</t>
        </is>
      </c>
      <c r="M20" s="263" t="inlineStr">
        <is>
          <t>N/A</t>
        </is>
      </c>
      <c r="N20" s="263" t="inlineStr">
        <is>
          <t>$1,040</t>
        </is>
      </c>
      <c r="O20" s="263" t="inlineStr">
        <is>
          <t>$1,040</t>
        </is>
      </c>
      <c r="P20" s="263" t="inlineStr">
        <is>
          <t>$1,040</t>
        </is>
      </c>
      <c r="Q20" s="263" t="inlineStr">
        <is>
          <t>N/A</t>
        </is>
      </c>
      <c r="R20" s="263" t="inlineStr">
        <is>
          <t>N/A</t>
        </is>
      </c>
      <c r="S20" s="263" t="inlineStr">
        <is>
          <t>N/A</t>
        </is>
      </c>
      <c r="T20" s="263" t="inlineStr">
        <is>
          <t>N/A</t>
        </is>
      </c>
      <c r="U20" s="263" t="inlineStr">
        <is>
          <t>N/A</t>
        </is>
      </c>
      <c r="V20" s="263" t="inlineStr">
        <is>
          <t>N/A</t>
        </is>
      </c>
      <c r="W20" s="263" t="inlineStr">
        <is>
          <t>N/A</t>
        </is>
      </c>
      <c r="X20" s="263" t="inlineStr">
        <is>
          <t>N/A</t>
        </is>
      </c>
      <c r="Y20" s="263" t="inlineStr">
        <is>
          <t>N/A</t>
        </is>
      </c>
      <c r="Z20" s="253" t="inlineStr">
        <is>
          <t>BENCHMARK</t>
        </is>
      </c>
      <c r="AA20" s="264" t="inlineStr">
        <is>
          <t>HUD FMR for Adams County, MS, FY2026.</t>
        </is>
      </c>
      <c r="AB20" s="265" t="inlineStr">
        <is>
          <t>HUD FMR Database (huduser.gov)</t>
        </is>
      </c>
    </row>
    <row r="21" ht="21.75" customFormat="1" customHeight="1" s="3">
      <c r="B21" s="147" t="inlineStr">
        <is>
          <t>—</t>
        </is>
      </c>
      <c r="C21" s="261" t="inlineStr">
        <is>
          <t>BENCHMARK</t>
        </is>
      </c>
      <c r="D21" s="266" t="inlineStr">
        <is>
          <t>Metro Market Avg — Natchez (Apr 2026)</t>
        </is>
      </c>
      <c r="E21" s="267" t="inlineStr">
        <is>
          <t>N/A</t>
        </is>
      </c>
      <c r="F21" s="267" t="inlineStr">
        <is>
          <t>Natchez</t>
        </is>
      </c>
      <c r="G21" s="267" t="inlineStr">
        <is>
          <t>MS</t>
        </is>
      </c>
      <c r="H21" s="267" t="inlineStr">
        <is>
          <t>N/A</t>
        </is>
      </c>
      <c r="I21" s="267" t="inlineStr">
        <is>
          <t>N/A</t>
        </is>
      </c>
      <c r="J21" s="267" t="inlineStr">
        <is>
          <t>N/A</t>
        </is>
      </c>
      <c r="K21" s="267" t="inlineStr">
        <is>
          <t>N/A</t>
        </is>
      </c>
      <c r="L21" s="267" t="inlineStr">
        <is>
          <t>N/A</t>
        </is>
      </c>
      <c r="M21" s="267" t="inlineStr">
        <is>
          <t>N/A</t>
        </is>
      </c>
      <c r="N21" s="267" t="inlineStr">
        <is>
          <t>$786</t>
        </is>
      </c>
      <c r="O21" s="267" t="inlineStr">
        <is>
          <t>$786</t>
        </is>
      </c>
      <c r="P21" s="267" t="inlineStr">
        <is>
          <t>$786</t>
        </is>
      </c>
      <c r="Q21" s="267" t="inlineStr">
        <is>
          <t>$786</t>
        </is>
      </c>
      <c r="R21" s="267" t="inlineStr">
        <is>
          <t>N/A</t>
        </is>
      </c>
      <c r="S21" s="267" t="inlineStr">
        <is>
          <t>N/A</t>
        </is>
      </c>
      <c r="T21" s="267" t="inlineStr">
        <is>
          <t>N/A</t>
        </is>
      </c>
      <c r="U21" s="267" t="inlineStr">
        <is>
          <t>N/A</t>
        </is>
      </c>
      <c r="V21" s="267" t="inlineStr">
        <is>
          <t>N/A</t>
        </is>
      </c>
      <c r="W21" s="267" t="inlineStr">
        <is>
          <t>N/A</t>
        </is>
      </c>
      <c r="X21" s="267" t="inlineStr">
        <is>
          <t>N/A</t>
        </is>
      </c>
      <c r="Y21" s="267" t="inlineStr">
        <is>
          <t>N/A</t>
        </is>
      </c>
      <c r="Z21" s="253" t="inlineStr">
        <is>
          <t>BENCHMARK</t>
        </is>
      </c>
      <c r="AA21" s="268" t="inlineStr">
        <is>
          <t>Live Market Average from 6 comps, Apr 30, 2026. 3BD avg $786 (limited 2BD data available).</t>
        </is>
      </c>
      <c r="AB21" s="269" t="inlineStr">
        <is>
          <t>Apartments.com live data, Apr 30, 2026</t>
        </is>
      </c>
    </row>
    <row r="23" ht="14.25" customFormat="1" customHeight="1" s="3">
      <c r="B23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3" s="294" t="n"/>
      <c r="D23" s="294" t="n"/>
      <c r="E23" s="294" t="n"/>
      <c r="F23" s="294" t="n"/>
      <c r="G23" s="294" t="n"/>
      <c r="H23" s="294" t="n"/>
      <c r="I23" s="294" t="n"/>
      <c r="J23" s="294" t="n"/>
      <c r="K23" s="294" t="n"/>
      <c r="L23" s="294" t="n"/>
      <c r="M23" s="294" t="n"/>
      <c r="N23" s="294" t="n"/>
      <c r="O23" s="294" t="n"/>
      <c r="P23" s="294" t="n"/>
      <c r="Q23" s="294" t="n"/>
      <c r="R23" s="294" t="n"/>
      <c r="S23" s="294" t="n"/>
      <c r="T23" s="294" t="n"/>
      <c r="U23" s="294" t="n"/>
      <c r="V23" s="294" t="n"/>
      <c r="W23" s="294" t="n"/>
      <c r="X23" s="294" t="n"/>
      <c r="Y23" s="294" t="n"/>
      <c r="Z23" s="294" t="n"/>
      <c r="AA23" s="294" t="n"/>
      <c r="AB23" s="295" t="n"/>
    </row>
    <row r="25" ht="18" customFormat="1" customHeight="1" s="3">
      <c r="B25" s="270" t="inlineStr">
        <is>
          <t>CURRENT RENT vs. MARKET AVERAGE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B26" s="235" t="inlineStr">
        <is>
          <t>Market Average = Avg of Actual Advertised Rents from 6 Market-Rate Comps (Apartments.com)</t>
        </is>
      </c>
      <c r="C26" s="294" t="n"/>
      <c r="D26" s="294" t="n"/>
      <c r="E26" s="294" t="n"/>
      <c r="F26" s="294" t="n"/>
      <c r="G26" s="294" t="n"/>
      <c r="H26" s="295" t="n"/>
    </row>
    <row r="27" ht="15.75" customFormat="1" customHeight="1" s="3">
      <c r="C27" s="271" t="inlineStr">
        <is>
          <t>Current Rent</t>
        </is>
      </c>
      <c r="D27" s="271" t="inlineStr">
        <is>
          <t>Market Avg</t>
        </is>
      </c>
      <c r="E27" s="271" t="inlineStr">
        <is>
          <t>Difference</t>
        </is>
      </c>
    </row>
    <row r="28" ht="20.25" customFormat="1" customHeight="1" s="3">
      <c r="B28" s="272" t="inlineStr">
        <is>
          <t>2BD</t>
        </is>
      </c>
      <c r="C28" s="375" t="n">
        <v>1346</v>
      </c>
      <c r="D28" s="282" t="inlineStr">
        <is>
          <t>N/A</t>
        </is>
      </c>
      <c r="E28" s="283" t="n"/>
    </row>
    <row r="29" ht="20.25" customFormat="1" customHeight="1" s="3">
      <c r="B29" s="272" t="inlineStr">
        <is>
          <t>3BD</t>
        </is>
      </c>
      <c r="C29" s="375" t="n">
        <v>1465</v>
      </c>
      <c r="D29" s="376" t="n">
        <v>786</v>
      </c>
      <c r="E29" s="381" t="n">
        <v>679</v>
      </c>
    </row>
    <row r="32" ht="18" customFormat="1" customHeight="1" s="3">
      <c r="B32" s="270" t="inlineStr">
        <is>
          <t>PMTS — Vouchers / FMR / UAP / NET</t>
        </is>
      </c>
      <c r="C32" s="294" t="n"/>
      <c r="D32" s="294" t="n"/>
      <c r="E32" s="294" t="n"/>
      <c r="F32" s="294" t="n"/>
      <c r="G32" s="294" t="n"/>
      <c r="H32" s="295" t="n"/>
    </row>
    <row r="33" ht="15.75" customFormat="1" customHeight="1" s="3">
      <c r="C33" s="378">
        <f>'Current Rents'!E14</f>
        <v/>
      </c>
      <c r="D33" s="271" t="inlineStr">
        <is>
          <t>VCH</t>
        </is>
      </c>
      <c r="E33" s="271" t="inlineStr">
        <is>
          <t>FMR</t>
        </is>
      </c>
      <c r="F33" s="271" t="inlineStr">
        <is>
          <t>UAP</t>
        </is>
      </c>
      <c r="G33" s="271" t="inlineStr">
        <is>
          <t>NET</t>
        </is>
      </c>
    </row>
    <row r="34" ht="20.25" customFormat="1" customHeight="1" s="3">
      <c r="B34" s="272" t="inlineStr">
        <is>
          <t>2BD</t>
        </is>
      </c>
      <c r="C34" s="292">
        <f>'Current Rents'!F14</f>
        <v/>
      </c>
      <c r="D34" s="382" t="n">
        <v>1690</v>
      </c>
      <c r="E34" s="379" t="n">
        <v>1500</v>
      </c>
      <c r="F34" s="380" t="n">
        <v>151</v>
      </c>
      <c r="G34" s="292" t="n">
        <v>1349</v>
      </c>
    </row>
    <row r="35" ht="20.25" customFormat="1" customHeight="1" s="3">
      <c r="B35" s="272" t="inlineStr">
        <is>
          <t>3BD</t>
        </is>
      </c>
      <c r="C35" s="292" t="n">
        <v>1465</v>
      </c>
      <c r="D35" s="382" t="n">
        <v>2100</v>
      </c>
      <c r="E35" s="379" t="n">
        <v>1900</v>
      </c>
      <c r="F35" s="380" t="n">
        <v>254</v>
      </c>
      <c r="G35" s="292" t="n">
        <v>1646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topLeftCell="A1" workbookViewId="0">
      <pane ySplit="1" topLeftCell="A2" activePane="bottomLeft" state="frozen"/>
      <selection pane="bottomLeft" activeCell="M8" sqref="M8"/>
    </sheetView>
  </sheetViews>
  <sheetFormatPr baseColWidth="8" defaultColWidth="9.140625" defaultRowHeight="21.75" customHeight="1"/>
  <cols>
    <col width="8.7109375" customWidth="1" style="3" min="2" max="2"/>
    <col width="9.57421875" customWidth="1" style="3" min="3" max="3"/>
    <col width="34.140625" customWidth="1" style="3" min="4" max="4"/>
    <col width="18.57421875" customWidth="1" style="3" min="5" max="5"/>
    <col width="12.7109375" customWidth="1" style="3" min="6" max="6"/>
    <col width="5.8515625" customWidth="1" style="3" min="7" max="7"/>
    <col width="4.8515625" customWidth="1" style="3" min="8" max="8"/>
    <col width="6.57421875" customWidth="1" style="3" min="9" max="9"/>
    <col width="10.421875" customWidth="1" style="3" min="10" max="11"/>
    <col width="7.8515625" customWidth="1" style="3" min="12" max="12"/>
    <col width="11.140625" customWidth="1" style="3" min="13" max="13"/>
    <col width="13.28125" customWidth="1" style="3" min="14" max="15"/>
    <col width="7.7109375" customWidth="1" style="3" min="16" max="16"/>
    <col width="7.57421875" customWidth="1" style="3" min="17" max="17"/>
    <col width="4.28125" customWidth="1" style="3" min="18" max="18"/>
    <col width="5.57421875" customWidth="1" style="3" min="19" max="19"/>
    <col width="4.8515625" customWidth="1" style="3" min="20" max="20"/>
    <col width="5.00390625" customWidth="1" style="3" min="21" max="21"/>
    <col width="6.28125" customWidth="1" style="3" min="22" max="22"/>
    <col width="4.7109375" customWidth="1" style="3" min="23" max="24"/>
    <col width="5.421875" customWidth="1" style="3" min="25" max="25"/>
    <col width="9.28125" customWidth="1" style="3" min="26" max="26"/>
    <col width="51.140625" customWidth="1" style="3" min="27" max="27"/>
    <col width="36.421875" customWidth="1" style="3" min="28" max="28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inlineStr">
        <is>
          <t>RENT COMPARABLES ANALYSIS  —  RIVER POINTE  |  COLUMBUS, OH 43228</t>
        </is>
      </c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29 - River Pointe  |  160 Units  |  Section 8 / HUD  |  1BD &amp; 2BD</t>
        </is>
      </c>
      <c r="AA4" s="294" t="n"/>
      <c r="AB4" s="295" t="n"/>
    </row>
    <row r="5" ht="18" customFormat="1" customHeight="1" s="3">
      <c r="B5" s="234" t="inlineStr">
        <is>
          <t>777 Avonia Drive, Columbus, OH 43228  |  Franklin County  |  Columbus OH HMFA  |  FY2026 FMR: 1BD $1,044 / 2BD $1,430</t>
        </is>
      </c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April 30, 2026  |  Sources: Apartments.com, RentCafe, HUD FMR Database, HUD LIHTC Database, Apartment Corp Records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71" t="inlineStr">
        <is>
          <t>★</t>
        </is>
      </c>
      <c r="C9" s="237" t="inlineStr">
        <is>
          <t>SUBJECT</t>
        </is>
      </c>
      <c r="D9" s="238" t="inlineStr">
        <is>
          <t>River Pointe (SUBJECT)</t>
        </is>
      </c>
      <c r="E9" s="239" t="inlineStr">
        <is>
          <t>777 Avonia Drive</t>
        </is>
      </c>
      <c r="F9" s="239" t="inlineStr">
        <is>
          <t>Columbus</t>
        </is>
      </c>
      <c r="G9" s="239" t="inlineStr">
        <is>
          <t>OH</t>
        </is>
      </c>
      <c r="H9" s="239" t="inlineStr">
        <is>
          <t>43228</t>
        </is>
      </c>
      <c r="I9" s="239" t="inlineStr">
        <is>
          <t>0.0 mi</t>
        </is>
      </c>
      <c r="J9" s="239" t="inlineStr">
        <is>
          <t>Income-Based</t>
        </is>
      </c>
      <c r="K9" s="239" t="inlineStr">
        <is>
          <t>Income-Based</t>
        </is>
      </c>
      <c r="L9" s="239" t="inlineStr">
        <is>
          <t>$1,044</t>
        </is>
      </c>
      <c r="M9" s="255" t="inlineStr">
        <is>
          <t>N/A</t>
        </is>
      </c>
      <c r="N9" s="239" t="inlineStr">
        <is>
          <t>Income-Based</t>
        </is>
      </c>
      <c r="O9" s="239" t="inlineStr">
        <is>
          <t>Income-Based</t>
        </is>
      </c>
      <c r="P9" s="239" t="inlineStr">
        <is>
          <t>$1,430</t>
        </is>
      </c>
      <c r="Q9" s="374" t="n">
        <v>1400</v>
      </c>
      <c r="R9" s="239" t="n">
        <v>160</v>
      </c>
      <c r="S9" s="239" t="n">
        <v>1996</v>
      </c>
      <c r="T9" s="239" t="n">
        <v>0</v>
      </c>
      <c r="U9" s="239" t="inlineStr">
        <is>
          <t>Partial</t>
        </is>
      </c>
      <c r="V9" s="242" t="inlineStr">
        <is>
          <t>No</t>
        </is>
      </c>
      <c r="W9" s="242" t="inlineStr">
        <is>
          <t>No</t>
        </is>
      </c>
      <c r="X9" s="242" t="inlineStr">
        <is>
          <t>No</t>
        </is>
      </c>
      <c r="Y9" s="242" t="inlineStr">
        <is>
          <t>No</t>
        </is>
      </c>
      <c r="Z9" s="237" t="inlineStr">
        <is>
          <t>SUBJECT</t>
        </is>
      </c>
      <c r="AA9" s="243" t="inlineStr">
        <is>
          <t>160 units | Section 8/HUD. Year built: 1996. Subject property.</t>
        </is>
      </c>
      <c r="AB9" s="244" t="inlineStr">
        <is>
          <t>Apartment Corp Records</t>
        </is>
      </c>
    </row>
    <row r="10" ht="21.75" customFormat="1" customHeight="1" s="3">
      <c r="B10" s="78" t="inlineStr">
        <is>
          <t>1</t>
        </is>
      </c>
      <c r="C10" s="245" t="inlineStr">
        <is>
          <t>AFFORDABLE</t>
        </is>
      </c>
      <c r="D10" s="246" t="inlineStr">
        <is>
          <t>Abbey Church Village</t>
        </is>
      </c>
      <c r="E10" s="81" t="inlineStr">
        <is>
          <t>2914 Bishops Retreat Pl</t>
        </is>
      </c>
      <c r="F10" s="81" t="inlineStr">
        <is>
          <t>Dublin</t>
        </is>
      </c>
      <c r="G10" s="81" t="inlineStr">
        <is>
          <t>OH</t>
        </is>
      </c>
      <c r="H10" s="81" t="inlineStr">
        <is>
          <t>43017</t>
        </is>
      </c>
      <c r="I10" s="81" t="inlineStr">
        <is>
          <t>9.5 mi</t>
        </is>
      </c>
      <c r="J10" s="81" t="inlineStr">
        <is>
          <t>N/A</t>
        </is>
      </c>
      <c r="K10" s="81" t="inlineStr">
        <is>
          <t>N/A</t>
        </is>
      </c>
      <c r="L10" s="81" t="inlineStr">
        <is>
          <t>$1,044</t>
        </is>
      </c>
      <c r="M10" s="81" t="inlineStr">
        <is>
          <t>Not Listed</t>
        </is>
      </c>
      <c r="N10" s="81" t="inlineStr">
        <is>
          <t>N/A</t>
        </is>
      </c>
      <c r="O10" s="81" t="inlineStr">
        <is>
          <t>N/A</t>
        </is>
      </c>
      <c r="P10" s="81" t="inlineStr">
        <is>
          <t>$1,430</t>
        </is>
      </c>
      <c r="Q10" s="81" t="inlineStr">
        <is>
          <t>Not Listed</t>
        </is>
      </c>
      <c r="R10" s="81" t="n">
        <v>160</v>
      </c>
      <c r="S10" s="81" t="n">
        <v>1996</v>
      </c>
      <c r="T10" s="81" t="n">
        <v>0</v>
      </c>
      <c r="U10" s="247" t="inlineStr">
        <is>
          <t>Yes</t>
        </is>
      </c>
      <c r="V10" s="248" t="inlineStr">
        <is>
          <t>No</t>
        </is>
      </c>
      <c r="W10" s="248" t="inlineStr">
        <is>
          <t>No</t>
        </is>
      </c>
      <c r="X10" s="248" t="inlineStr">
        <is>
          <t>No</t>
        </is>
      </c>
      <c r="Y10" s="248" t="inlineStr">
        <is>
          <t>No</t>
        </is>
      </c>
      <c r="Z10" s="249" t="inlineStr">
        <is>
          <t>HIGH</t>
        </is>
      </c>
      <c r="AA10" s="250" t="inlineStr">
        <is>
          <t>LIHTC, 1996 vintage, 160 units, 9.5 mi.</t>
        </is>
      </c>
      <c r="AB10" s="251" t="inlineStr">
        <is>
          <t>HUD LIHTC Database</t>
        </is>
      </c>
    </row>
    <row r="11" ht="21.75" customFormat="1" customHeight="1" s="3">
      <c r="B11" s="78" t="inlineStr">
        <is>
          <t>2</t>
        </is>
      </c>
      <c r="C11" s="245" t="inlineStr">
        <is>
          <t>AFFORDABLE</t>
        </is>
      </c>
      <c r="D11" s="246" t="inlineStr">
        <is>
          <t>Winchester Lakes Apts</t>
        </is>
      </c>
      <c r="E11" s="81" t="inlineStr">
        <is>
          <t>6621 Kodiak Dr</t>
        </is>
      </c>
      <c r="F11" s="81" t="inlineStr">
        <is>
          <t>Canal Winchester</t>
        </is>
      </c>
      <c r="G11" s="81" t="inlineStr">
        <is>
          <t>OH</t>
        </is>
      </c>
      <c r="H11" s="81" t="inlineStr">
        <is>
          <t>43110</t>
        </is>
      </c>
      <c r="I11" s="81" t="inlineStr">
        <is>
          <t>11.5 mi</t>
        </is>
      </c>
      <c r="J11" s="81" t="inlineStr">
        <is>
          <t>N/A</t>
        </is>
      </c>
      <c r="K11" s="81" t="inlineStr">
        <is>
          <t>N/A</t>
        </is>
      </c>
      <c r="L11" s="81" t="inlineStr">
        <is>
          <t>$1,044</t>
        </is>
      </c>
      <c r="M11" s="255" t="inlineStr">
        <is>
          <t>Not Listed</t>
        </is>
      </c>
      <c r="N11" s="81" t="inlineStr">
        <is>
          <t>N/A</t>
        </is>
      </c>
      <c r="O11" s="81" t="inlineStr">
        <is>
          <t>N/A</t>
        </is>
      </c>
      <c r="P11" s="81" t="inlineStr">
        <is>
          <t>$1,430</t>
        </is>
      </c>
      <c r="Q11" s="374" t="n">
        <v>1031</v>
      </c>
      <c r="R11" s="81" t="n">
        <v>150</v>
      </c>
      <c r="S11" s="81" t="n">
        <v>1996</v>
      </c>
      <c r="T11" s="81" t="n">
        <v>0</v>
      </c>
      <c r="U11" s="247" t="inlineStr">
        <is>
          <t>Yes</t>
        </is>
      </c>
      <c r="V11" s="248" t="inlineStr">
        <is>
          <t>No</t>
        </is>
      </c>
      <c r="W11" s="248" t="inlineStr">
        <is>
          <t>No</t>
        </is>
      </c>
      <c r="X11" s="248" t="inlineStr">
        <is>
          <t>No</t>
        </is>
      </c>
      <c r="Y11" s="248" t="inlineStr">
        <is>
          <t>No</t>
        </is>
      </c>
      <c r="Z11" s="249" t="inlineStr">
        <is>
          <t>HIGH</t>
        </is>
      </c>
      <c r="AA11" s="250" t="inlineStr">
        <is>
          <t>LIHTC, 1996 vintage, 150 units, 11.5 mi.</t>
        </is>
      </c>
      <c r="AB11" s="251" t="inlineStr">
        <is>
          <t>HUD LIHTC Database</t>
        </is>
      </c>
    </row>
    <row r="12" ht="21.75" customFormat="1" customHeight="1" s="3">
      <c r="B12" s="78" t="inlineStr">
        <is>
          <t>3</t>
        </is>
      </c>
      <c r="C12" s="245" t="inlineStr">
        <is>
          <t>AFFORDABLE</t>
        </is>
      </c>
      <c r="D12" s="246" t="inlineStr">
        <is>
          <t>Fourth Street YWCA Renovation</t>
        </is>
      </c>
      <c r="E12" s="81" t="inlineStr">
        <is>
          <t>65 S Fourth St</t>
        </is>
      </c>
      <c r="F12" s="81" t="inlineStr">
        <is>
          <t>Columbus</t>
        </is>
      </c>
      <c r="G12" s="81" t="inlineStr">
        <is>
          <t>OH</t>
        </is>
      </c>
      <c r="H12" s="81" t="inlineStr">
        <is>
          <t>43215</t>
        </is>
      </c>
      <c r="I12" s="81" t="inlineStr">
        <is>
          <t>0.1 mi</t>
        </is>
      </c>
      <c r="J12" s="81" t="inlineStr">
        <is>
          <t>N/A</t>
        </is>
      </c>
      <c r="K12" s="81" t="inlineStr">
        <is>
          <t>N/A</t>
        </is>
      </c>
      <c r="L12" s="81" t="inlineStr">
        <is>
          <t>$1,044</t>
        </is>
      </c>
      <c r="M12" s="81" t="inlineStr">
        <is>
          <t>Not Listed</t>
        </is>
      </c>
      <c r="N12" s="81" t="inlineStr">
        <is>
          <t>N/A</t>
        </is>
      </c>
      <c r="O12" s="81" t="inlineStr">
        <is>
          <t>N/A</t>
        </is>
      </c>
      <c r="P12" s="81" t="inlineStr">
        <is>
          <t>$1,430</t>
        </is>
      </c>
      <c r="Q12" s="81" t="inlineStr">
        <is>
          <t>Not Listed</t>
        </is>
      </c>
      <c r="R12" s="81" t="n">
        <v>102</v>
      </c>
      <c r="S12" s="81" t="n">
        <v>1996</v>
      </c>
      <c r="T12" s="81" t="n">
        <v>0</v>
      </c>
      <c r="U12" s="247" t="inlineStr">
        <is>
          <t>Yes</t>
        </is>
      </c>
      <c r="V12" s="248" t="inlineStr">
        <is>
          <t>No</t>
        </is>
      </c>
      <c r="W12" s="248" t="inlineStr">
        <is>
          <t>No</t>
        </is>
      </c>
      <c r="X12" s="248" t="inlineStr">
        <is>
          <t>No</t>
        </is>
      </c>
      <c r="Y12" s="248" t="inlineStr">
        <is>
          <t>No</t>
        </is>
      </c>
      <c r="Z12" s="249" t="inlineStr">
        <is>
          <t>HIGH</t>
        </is>
      </c>
      <c r="AA12" s="250" t="inlineStr">
        <is>
          <t>LIHTC, 1996 vintage, 102 units, 0.1 mi.</t>
        </is>
      </c>
      <c r="AB12" s="251" t="inlineStr">
        <is>
          <t>HUD LIHTC Database</t>
        </is>
      </c>
    </row>
    <row r="13" ht="21.75" customFormat="1" customHeight="1" s="3">
      <c r="B13" s="78" t="inlineStr">
        <is>
          <t>4</t>
        </is>
      </c>
      <c r="C13" s="245" t="inlineStr">
        <is>
          <t>AFFORDABLE</t>
        </is>
      </c>
      <c r="D13" s="246" t="inlineStr">
        <is>
          <t>Strattford Lakes</t>
        </is>
      </c>
      <c r="E13" s="81" t="inlineStr">
        <is>
          <t>3555 Ashton Cross</t>
        </is>
      </c>
      <c r="F13" s="81" t="inlineStr">
        <is>
          <t>Canal Winchester</t>
        </is>
      </c>
      <c r="G13" s="81" t="inlineStr">
        <is>
          <t>OH</t>
        </is>
      </c>
      <c r="H13" s="81" t="inlineStr">
        <is>
          <t>43110</t>
        </is>
      </c>
      <c r="I13" s="81" t="inlineStr">
        <is>
          <t>10.0 mi</t>
        </is>
      </c>
      <c r="J13" s="81" t="inlineStr">
        <is>
          <t>N/A</t>
        </is>
      </c>
      <c r="K13" s="81" t="inlineStr">
        <is>
          <t>N/A</t>
        </is>
      </c>
      <c r="L13" s="81" t="inlineStr">
        <is>
          <t>$1,044</t>
        </is>
      </c>
      <c r="M13" s="81" t="inlineStr">
        <is>
          <t>Not Listed</t>
        </is>
      </c>
      <c r="N13" s="81" t="inlineStr">
        <is>
          <t>N/A</t>
        </is>
      </c>
      <c r="O13" s="81" t="inlineStr">
        <is>
          <t>N/A</t>
        </is>
      </c>
      <c r="P13" s="81" t="inlineStr">
        <is>
          <t>$1,430</t>
        </is>
      </c>
      <c r="Q13" s="81" t="inlineStr">
        <is>
          <t>Not Listed</t>
        </is>
      </c>
      <c r="R13" s="81" t="n">
        <v>124</v>
      </c>
      <c r="S13" s="81" t="n">
        <v>1996</v>
      </c>
      <c r="T13" s="81" t="n">
        <v>0</v>
      </c>
      <c r="U13" s="247" t="inlineStr">
        <is>
          <t>Yes</t>
        </is>
      </c>
      <c r="V13" s="248" t="inlineStr">
        <is>
          <t>No</t>
        </is>
      </c>
      <c r="W13" s="248" t="inlineStr">
        <is>
          <t>No</t>
        </is>
      </c>
      <c r="X13" s="248" t="inlineStr">
        <is>
          <t>No</t>
        </is>
      </c>
      <c r="Y13" s="248" t="inlineStr">
        <is>
          <t>No</t>
        </is>
      </c>
      <c r="Z13" s="249" t="inlineStr">
        <is>
          <t>HIGH</t>
        </is>
      </c>
      <c r="AA13" s="250" t="inlineStr">
        <is>
          <t>LIHTC, 1996 vintage, 124 units, 10.0 mi.</t>
        </is>
      </c>
      <c r="AB13" s="251" t="inlineStr">
        <is>
          <t>HUD LIHTC Database</t>
        </is>
      </c>
    </row>
    <row r="14" ht="21.75" customFormat="1" customHeight="1" s="3">
      <c r="B14" s="252" t="inlineStr">
        <is>
          <t>1</t>
        </is>
      </c>
      <c r="C14" s="253" t="inlineStr">
        <is>
          <t>MARKET RATE</t>
        </is>
      </c>
      <c r="D14" s="254" t="inlineStr">
        <is>
          <t>Raccoon Creek Apartments</t>
        </is>
      </c>
      <c r="E14" s="116" t="inlineStr">
        <is>
          <t>3819 Plane Tree Dr W</t>
        </is>
      </c>
      <c r="F14" s="116" t="inlineStr">
        <is>
          <t>Columbus</t>
        </is>
      </c>
      <c r="G14" s="116" t="inlineStr">
        <is>
          <t>OH</t>
        </is>
      </c>
      <c r="H14" s="116" t="inlineStr">
        <is>
          <t>43228</t>
        </is>
      </c>
      <c r="I14" s="116" t="inlineStr">
        <is>
          <t>0.5 mi</t>
        </is>
      </c>
      <c r="J14" s="116" t="inlineStr">
        <is>
          <t>N/A</t>
        </is>
      </c>
      <c r="K14" s="116" t="inlineStr">
        <is>
          <t>N/A</t>
        </is>
      </c>
      <c r="L14" s="116" t="inlineStr">
        <is>
          <t>$1,044</t>
        </is>
      </c>
      <c r="M14" s="374" t="n">
        <v>990</v>
      </c>
      <c r="N14" s="116" t="inlineStr">
        <is>
          <t>N/A</t>
        </is>
      </c>
      <c r="O14" s="116" t="inlineStr">
        <is>
          <t>N/A</t>
        </is>
      </c>
      <c r="P14" s="116" t="inlineStr">
        <is>
          <t>$1,430</t>
        </is>
      </c>
      <c r="Q14" s="255" t="inlineStr">
        <is>
          <t>N/A</t>
        </is>
      </c>
      <c r="R14" s="116" t="inlineStr">
        <is>
          <t>N/A</t>
        </is>
      </c>
      <c r="S14" s="116" t="n">
        <v>1994</v>
      </c>
      <c r="T14" s="116" t="n">
        <v>2</v>
      </c>
      <c r="U14" s="256" t="inlineStr">
        <is>
          <t>No</t>
        </is>
      </c>
      <c r="V14" s="116" t="inlineStr">
        <is>
          <t>Varies</t>
        </is>
      </c>
      <c r="W14" s="116" t="inlineStr">
        <is>
          <t>Varies</t>
        </is>
      </c>
      <c r="X14" s="116" t="inlineStr">
        <is>
          <t>Varies</t>
        </is>
      </c>
      <c r="Y14" s="116" t="inlineStr">
        <is>
          <t>Varies</t>
        </is>
      </c>
      <c r="Z14" s="249" t="inlineStr">
        <is>
          <t>HIGH</t>
        </is>
      </c>
      <c r="AA14" s="257" t="inlineStr">
        <is>
          <t>No income restrictions, 1994 vintage, 0.5 mi. 1BD $990.</t>
        </is>
      </c>
      <c r="AB14" s="258" t="inlineStr">
        <is>
          <t>apartments.com/raccoon-creek-columbus-oh/</t>
        </is>
      </c>
    </row>
    <row r="15" ht="21.75" customFormat="1" customHeight="1" s="3">
      <c r="B15" s="252" t="inlineStr">
        <is>
          <t>2</t>
        </is>
      </c>
      <c r="C15" s="253" t="inlineStr">
        <is>
          <t>MARKET RATE</t>
        </is>
      </c>
      <c r="D15" s="254" t="inlineStr">
        <is>
          <t>The Reserve at Parkwick</t>
        </is>
      </c>
      <c r="E15" s="116" t="inlineStr">
        <is>
          <t>4711 Bay Run Dr</t>
        </is>
      </c>
      <c r="F15" s="116" t="inlineStr">
        <is>
          <t>Columbus</t>
        </is>
      </c>
      <c r="G15" s="116" t="inlineStr">
        <is>
          <t>OH</t>
        </is>
      </c>
      <c r="H15" s="116" t="inlineStr">
        <is>
          <t>43228</t>
        </is>
      </c>
      <c r="I15" s="116" t="inlineStr">
        <is>
          <t>1.5 mi</t>
        </is>
      </c>
      <c r="J15" s="116" t="inlineStr">
        <is>
          <t>N/A</t>
        </is>
      </c>
      <c r="K15" s="116" t="inlineStr">
        <is>
          <t>N/A</t>
        </is>
      </c>
      <c r="L15" s="116" t="inlineStr">
        <is>
          <t>$1,044</t>
        </is>
      </c>
      <c r="M15" s="374" t="n">
        <v>990</v>
      </c>
      <c r="N15" s="116" t="inlineStr">
        <is>
          <t>N/A</t>
        </is>
      </c>
      <c r="O15" s="116" t="inlineStr">
        <is>
          <t>N/A</t>
        </is>
      </c>
      <c r="P15" s="116" t="inlineStr">
        <is>
          <t>$1,430</t>
        </is>
      </c>
      <c r="Q15" s="374" t="n">
        <v>1175</v>
      </c>
      <c r="R15" s="116" t="inlineStr">
        <is>
          <t>N/A</t>
        </is>
      </c>
      <c r="S15" s="116" t="n">
        <v>1995</v>
      </c>
      <c r="T15" s="116" t="n">
        <v>1</v>
      </c>
      <c r="U15" s="256" t="inlineStr">
        <is>
          <t>No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Varies</t>
        </is>
      </c>
      <c r="Z15" s="249" t="inlineStr">
        <is>
          <t>HIGH</t>
        </is>
      </c>
      <c r="AA15" s="257" t="inlineStr">
        <is>
          <t>No income restrictions, 1995 vintage, 1.5 mi. 1BD $990 / 2BD $1,175.</t>
        </is>
      </c>
      <c r="AB15" s="258" t="inlineStr">
        <is>
          <t>apartments.com/reserve-at-parkwick-columbus-oh/</t>
        </is>
      </c>
    </row>
    <row r="16" ht="21.75" customFormat="1" customHeight="1" s="3">
      <c r="B16" s="252" t="inlineStr">
        <is>
          <t>3</t>
        </is>
      </c>
      <c r="C16" s="253" t="inlineStr">
        <is>
          <t>MARKET RATE</t>
        </is>
      </c>
      <c r="D16" s="254" t="inlineStr">
        <is>
          <t>Waterford Pointe</t>
        </is>
      </c>
      <c r="E16" s="116" t="inlineStr">
        <is>
          <t>5750 Feder Rd</t>
        </is>
      </c>
      <c r="F16" s="116" t="inlineStr">
        <is>
          <t>Columbus</t>
        </is>
      </c>
      <c r="G16" s="116" t="inlineStr">
        <is>
          <t>OH</t>
        </is>
      </c>
      <c r="H16" s="116" t="inlineStr">
        <is>
          <t>43228</t>
        </is>
      </c>
      <c r="I16" s="116" t="inlineStr">
        <is>
          <t>2.0 mi</t>
        </is>
      </c>
      <c r="J16" s="116" t="inlineStr">
        <is>
          <t>N/A</t>
        </is>
      </c>
      <c r="K16" s="116" t="inlineStr">
        <is>
          <t>N/A</t>
        </is>
      </c>
      <c r="L16" s="116" t="inlineStr">
        <is>
          <t>$1,044</t>
        </is>
      </c>
      <c r="M16" s="374" t="n">
        <v>995</v>
      </c>
      <c r="N16" s="116" t="inlineStr">
        <is>
          <t>N/A</t>
        </is>
      </c>
      <c r="O16" s="116" t="inlineStr">
        <is>
          <t>N/A</t>
        </is>
      </c>
      <c r="P16" s="116" t="inlineStr">
        <is>
          <t>$1,430</t>
        </is>
      </c>
      <c r="Q16" s="374" t="n">
        <v>1095</v>
      </c>
      <c r="R16" s="116" t="inlineStr">
        <is>
          <t>N/A</t>
        </is>
      </c>
      <c r="S16" s="116" t="n">
        <v>1996</v>
      </c>
      <c r="T16" s="116" t="n">
        <v>0</v>
      </c>
      <c r="U16" s="256" t="inlineStr">
        <is>
          <t>No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Varies</t>
        </is>
      </c>
      <c r="Z16" s="249" t="inlineStr">
        <is>
          <t>HIGH</t>
        </is>
      </c>
      <c r="AA16" s="257" t="inlineStr">
        <is>
          <t>No income restrictions, 1996 vintage, 2.0 mi. 1BD $995 / 2BD $1,095.</t>
        </is>
      </c>
      <c r="AB16" s="258" t="inlineStr">
        <is>
          <t>apartments.com/waterford-pointe-columbus-oh/</t>
        </is>
      </c>
    </row>
    <row r="17" ht="21.75" customFormat="1" customHeight="1" s="3">
      <c r="B17" s="252" t="inlineStr">
        <is>
          <t>4</t>
        </is>
      </c>
      <c r="C17" s="253" t="inlineStr">
        <is>
          <t>MARKET RATE</t>
        </is>
      </c>
      <c r="D17" s="254" t="inlineStr">
        <is>
          <t>Newbridge Commons</t>
        </is>
      </c>
      <c r="E17" s="116" t="inlineStr">
        <is>
          <t>4551 Durrow Dr</t>
        </is>
      </c>
      <c r="F17" s="116" t="inlineStr">
        <is>
          <t>Columbus</t>
        </is>
      </c>
      <c r="G17" s="116" t="inlineStr">
        <is>
          <t>OH</t>
        </is>
      </c>
      <c r="H17" s="116" t="inlineStr">
        <is>
          <t>43228</t>
        </is>
      </c>
      <c r="I17" s="116" t="inlineStr">
        <is>
          <t>1.5 mi</t>
        </is>
      </c>
      <c r="J17" s="116" t="inlineStr">
        <is>
          <t>N/A</t>
        </is>
      </c>
      <c r="K17" s="116" t="inlineStr">
        <is>
          <t>N/A</t>
        </is>
      </c>
      <c r="L17" s="116" t="inlineStr">
        <is>
          <t>$1,044</t>
        </is>
      </c>
      <c r="M17" s="374" t="n">
        <v>917</v>
      </c>
      <c r="N17" s="116" t="inlineStr">
        <is>
          <t>N/A</t>
        </is>
      </c>
      <c r="O17" s="116" t="inlineStr">
        <is>
          <t>N/A</t>
        </is>
      </c>
      <c r="P17" s="116" t="inlineStr">
        <is>
          <t>$1,430</t>
        </is>
      </c>
      <c r="Q17" s="374" t="n">
        <v>1109</v>
      </c>
      <c r="R17" s="116" t="inlineStr">
        <is>
          <t>N/A</t>
        </is>
      </c>
      <c r="S17" s="116" t="n">
        <v>1998</v>
      </c>
      <c r="T17" s="116" t="n">
        <v>2</v>
      </c>
      <c r="U17" s="256" t="inlineStr">
        <is>
          <t>No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Varies</t>
        </is>
      </c>
      <c r="Z17" s="249" t="inlineStr">
        <is>
          <t>HIGH</t>
        </is>
      </c>
      <c r="AA17" s="257" t="inlineStr">
        <is>
          <t>No income restrictions, 1998 vintage, 1.5 mi. 1BD $917 / 2BD $1,109.</t>
        </is>
      </c>
      <c r="AB17" s="258" t="inlineStr">
        <is>
          <t>apartments.com/newbridge-commons-columbus-oh/</t>
        </is>
      </c>
    </row>
    <row r="18" ht="21.75" customFormat="1" customHeight="1" s="3">
      <c r="B18" s="252" t="inlineStr">
        <is>
          <t>5</t>
        </is>
      </c>
      <c r="C18" s="253" t="inlineStr">
        <is>
          <t>MARKET RATE</t>
        </is>
      </c>
      <c r="D18" s="254" t="inlineStr">
        <is>
          <t>Hartford Village Commons</t>
        </is>
      </c>
      <c r="E18" s="116" t="inlineStr">
        <is>
          <t>1040 Hartford Village Blvd</t>
        </is>
      </c>
      <c r="F18" s="116" t="inlineStr">
        <is>
          <t>Columbus</t>
        </is>
      </c>
      <c r="G18" s="116" t="inlineStr">
        <is>
          <t>OH</t>
        </is>
      </c>
      <c r="H18" s="116" t="inlineStr">
        <is>
          <t>43228</t>
        </is>
      </c>
      <c r="I18" s="116" t="inlineStr">
        <is>
          <t>2.0 mi</t>
        </is>
      </c>
      <c r="J18" s="116" t="inlineStr">
        <is>
          <t>N/A</t>
        </is>
      </c>
      <c r="K18" s="116" t="inlineStr">
        <is>
          <t>N/A</t>
        </is>
      </c>
      <c r="L18" s="116" t="inlineStr">
        <is>
          <t>$1,044</t>
        </is>
      </c>
      <c r="M18" s="374" t="n">
        <v>925</v>
      </c>
      <c r="N18" s="116" t="inlineStr">
        <is>
          <t>N/A</t>
        </is>
      </c>
      <c r="O18" s="116" t="inlineStr">
        <is>
          <t>N/A</t>
        </is>
      </c>
      <c r="P18" s="116" t="inlineStr">
        <is>
          <t>$1,430</t>
        </is>
      </c>
      <c r="Q18" s="374" t="n">
        <v>1025</v>
      </c>
      <c r="R18" s="116" t="inlineStr">
        <is>
          <t>N/A</t>
        </is>
      </c>
      <c r="S18" s="116" t="n">
        <v>1997</v>
      </c>
      <c r="T18" s="116" t="n">
        <v>1</v>
      </c>
      <c r="U18" s="256" t="inlineStr">
        <is>
          <t>No</t>
        </is>
      </c>
      <c r="V18" s="116" t="inlineStr">
        <is>
          <t>N/A</t>
        </is>
      </c>
      <c r="W18" s="116" t="inlineStr">
        <is>
          <t>N/A</t>
        </is>
      </c>
      <c r="X18" s="116" t="inlineStr">
        <is>
          <t>N/A</t>
        </is>
      </c>
      <c r="Y18" s="116" t="inlineStr">
        <is>
          <t>N/A</t>
        </is>
      </c>
      <c r="Z18" s="249" t="inlineStr">
        <is>
          <t>HIGH</t>
        </is>
      </c>
      <c r="AA18" s="257" t="inlineStr">
        <is>
          <t>No income restrictions, 1997 vintage, 2.0 mi. 1BD $925 / 2BD $1,025.</t>
        </is>
      </c>
      <c r="AB18" s="258" t="inlineStr">
        <is>
          <t>apartments.com/hartford-village-commons-columbus-oh/</t>
        </is>
      </c>
    </row>
    <row r="19" ht="21.75" customFormat="1" customHeight="1" s="3">
      <c r="B19" s="252" t="inlineStr">
        <is>
          <t>6</t>
        </is>
      </c>
      <c r="C19" s="253" t="inlineStr">
        <is>
          <t>MARKET RATE</t>
        </is>
      </c>
      <c r="D19" s="254" t="inlineStr">
        <is>
          <t>Bolton Estates</t>
        </is>
      </c>
      <c r="E19" s="116" t="inlineStr">
        <is>
          <t>5400 Lindberg Blvd</t>
        </is>
      </c>
      <c r="F19" s="116" t="inlineStr">
        <is>
          <t>Columbus</t>
        </is>
      </c>
      <c r="G19" s="116" t="inlineStr">
        <is>
          <t>OH</t>
        </is>
      </c>
      <c r="H19" s="116" t="inlineStr">
        <is>
          <t>43228</t>
        </is>
      </c>
      <c r="I19" s="116" t="inlineStr">
        <is>
          <t>2.5 mi</t>
        </is>
      </c>
      <c r="J19" s="116" t="inlineStr">
        <is>
          <t>N/A</t>
        </is>
      </c>
      <c r="K19" s="116" t="inlineStr">
        <is>
          <t>N/A</t>
        </is>
      </c>
      <c r="L19" s="116" t="inlineStr">
        <is>
          <t>$1,044</t>
        </is>
      </c>
      <c r="M19" s="374" t="n">
        <v>895</v>
      </c>
      <c r="N19" s="116" t="inlineStr">
        <is>
          <t>N/A</t>
        </is>
      </c>
      <c r="O19" s="116" t="inlineStr">
        <is>
          <t>N/A</t>
        </is>
      </c>
      <c r="P19" s="116" t="inlineStr">
        <is>
          <t>$1,430</t>
        </is>
      </c>
      <c r="Q19" s="374" t="n">
        <v>1030</v>
      </c>
      <c r="R19" s="116" t="inlineStr">
        <is>
          <t>N/A</t>
        </is>
      </c>
      <c r="S19" s="116" t="n">
        <v>1993</v>
      </c>
      <c r="T19" s="116" t="n">
        <v>3</v>
      </c>
      <c r="U19" s="256" t="inlineStr">
        <is>
          <t>No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249" t="inlineStr">
        <is>
          <t>HIGH</t>
        </is>
      </c>
      <c r="AA19" s="257" t="inlineStr">
        <is>
          <t>No income restrictions, 1993 vintage, 2.5 mi. 1BD $895 / 2BD $1,030.</t>
        </is>
      </c>
      <c r="AB19" s="258" t="inlineStr">
        <is>
          <t>apartments.com/bolton-estates-columbus-oh/</t>
        </is>
      </c>
    </row>
    <row r="20" ht="21.75" customFormat="1" customHeight="1" s="3">
      <c r="B20" s="260" t="inlineStr">
        <is>
          <t>—</t>
        </is>
      </c>
      <c r="C20" s="261" t="inlineStr">
        <is>
          <t>BENCHMARK</t>
        </is>
      </c>
      <c r="D20" s="262" t="inlineStr">
        <is>
          <t>FY2026 FMR — Columbus, OH HMFA</t>
        </is>
      </c>
      <c r="E20" s="263" t="inlineStr">
        <is>
          <t>N/A</t>
        </is>
      </c>
      <c r="F20" s="263" t="inlineStr">
        <is>
          <t>Columbus</t>
        </is>
      </c>
      <c r="G20" s="263" t="inlineStr">
        <is>
          <t>OH</t>
        </is>
      </c>
      <c r="H20" s="263" t="inlineStr">
        <is>
          <t>N/A</t>
        </is>
      </c>
      <c r="I20" s="263" t="inlineStr">
        <is>
          <t>N/A</t>
        </is>
      </c>
      <c r="J20" s="263" t="inlineStr">
        <is>
          <t>$1,044</t>
        </is>
      </c>
      <c r="K20" s="263" t="inlineStr">
        <is>
          <t>$1,044</t>
        </is>
      </c>
      <c r="L20" s="263" t="inlineStr">
        <is>
          <t>$1,044</t>
        </is>
      </c>
      <c r="M20" s="263" t="inlineStr">
        <is>
          <t>N/A</t>
        </is>
      </c>
      <c r="N20" s="263" t="inlineStr">
        <is>
          <t>$1,430</t>
        </is>
      </c>
      <c r="O20" s="263" t="inlineStr">
        <is>
          <t>$1,430</t>
        </is>
      </c>
      <c r="P20" s="263" t="inlineStr">
        <is>
          <t>$1,430</t>
        </is>
      </c>
      <c r="Q20" s="263" t="inlineStr">
        <is>
          <t>N/A</t>
        </is>
      </c>
      <c r="R20" s="263" t="inlineStr">
        <is>
          <t>N/A</t>
        </is>
      </c>
      <c r="S20" s="263" t="inlineStr">
        <is>
          <t>N/A</t>
        </is>
      </c>
      <c r="T20" s="263" t="inlineStr">
        <is>
          <t>N/A</t>
        </is>
      </c>
      <c r="U20" s="263" t="inlineStr">
        <is>
          <t>N/A</t>
        </is>
      </c>
      <c r="V20" s="263" t="inlineStr">
        <is>
          <t>N/A</t>
        </is>
      </c>
      <c r="W20" s="263" t="inlineStr">
        <is>
          <t>N/A</t>
        </is>
      </c>
      <c r="X20" s="263" t="inlineStr">
        <is>
          <t>N/A</t>
        </is>
      </c>
      <c r="Y20" s="263" t="inlineStr">
        <is>
          <t>N/A</t>
        </is>
      </c>
      <c r="Z20" s="253" t="inlineStr">
        <is>
          <t>BENCHMARK</t>
        </is>
      </c>
      <c r="AA20" s="264" t="inlineStr">
        <is>
          <t>HUD FMR for Columbus, OH HMFA, FY2026.</t>
        </is>
      </c>
      <c r="AB20" s="265" t="inlineStr">
        <is>
          <t>HUD FMR Database (huduser.gov)</t>
        </is>
      </c>
    </row>
    <row r="21" ht="21.75" customFormat="1" customHeight="1" s="3">
      <c r="B21" s="147" t="inlineStr">
        <is>
          <t>—</t>
        </is>
      </c>
      <c r="C21" s="261" t="inlineStr">
        <is>
          <t>BENCHMARK</t>
        </is>
      </c>
      <c r="D21" s="266" t="inlineStr">
        <is>
          <t>Metro Market Avg — Columbus West (Apr 2026)</t>
        </is>
      </c>
      <c r="E21" s="267" t="inlineStr">
        <is>
          <t>N/A</t>
        </is>
      </c>
      <c r="F21" s="267" t="inlineStr">
        <is>
          <t>Columbus</t>
        </is>
      </c>
      <c r="G21" s="267" t="inlineStr">
        <is>
          <t>OH</t>
        </is>
      </c>
      <c r="H21" s="267" t="inlineStr">
        <is>
          <t>N/A</t>
        </is>
      </c>
      <c r="I21" s="267" t="inlineStr">
        <is>
          <t>N/A</t>
        </is>
      </c>
      <c r="J21" s="267" t="inlineStr">
        <is>
          <t>$952</t>
        </is>
      </c>
      <c r="K21" s="267" t="inlineStr">
        <is>
          <t>$952</t>
        </is>
      </c>
      <c r="L21" s="267" t="inlineStr">
        <is>
          <t>$952</t>
        </is>
      </c>
      <c r="M21" s="267" t="inlineStr">
        <is>
          <t>$952</t>
        </is>
      </c>
      <c r="N21" s="267" t="inlineStr">
        <is>
          <t>$1,087</t>
        </is>
      </c>
      <c r="O21" s="267" t="inlineStr">
        <is>
          <t>$1,087</t>
        </is>
      </c>
      <c r="P21" s="267" t="inlineStr">
        <is>
          <t>$1,087</t>
        </is>
      </c>
      <c r="Q21" s="267" t="inlineStr">
        <is>
          <t>$1,087</t>
        </is>
      </c>
      <c r="R21" s="267" t="inlineStr">
        <is>
          <t>N/A</t>
        </is>
      </c>
      <c r="S21" s="267" t="inlineStr">
        <is>
          <t>N/A</t>
        </is>
      </c>
      <c r="T21" s="267" t="inlineStr">
        <is>
          <t>N/A</t>
        </is>
      </c>
      <c r="U21" s="267" t="inlineStr">
        <is>
          <t>N/A</t>
        </is>
      </c>
      <c r="V21" s="267" t="inlineStr">
        <is>
          <t>N/A</t>
        </is>
      </c>
      <c r="W21" s="267" t="inlineStr">
        <is>
          <t>N/A</t>
        </is>
      </c>
      <c r="X21" s="267" t="inlineStr">
        <is>
          <t>N/A</t>
        </is>
      </c>
      <c r="Y21" s="267" t="inlineStr">
        <is>
          <t>N/A</t>
        </is>
      </c>
      <c r="Z21" s="253" t="inlineStr">
        <is>
          <t>BENCHMARK</t>
        </is>
      </c>
      <c r="AA21" s="268" t="inlineStr">
        <is>
          <t>Live Market Average from 6 comps, Apr 30, 2026. 1BD avg $952 / 2BD avg $1,087.</t>
        </is>
      </c>
      <c r="AB21" s="269" t="inlineStr">
        <is>
          <t>Apartments.com live data, Apr 30, 2026</t>
        </is>
      </c>
    </row>
    <row r="23" ht="14.25" customFormat="1" customHeight="1" s="3">
      <c r="B23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3" s="294" t="n"/>
      <c r="D23" s="294" t="n"/>
      <c r="E23" s="294" t="n"/>
      <c r="F23" s="294" t="n"/>
      <c r="G23" s="294" t="n"/>
      <c r="H23" s="294" t="n"/>
      <c r="I23" s="294" t="n"/>
      <c r="J23" s="294" t="n"/>
      <c r="K23" s="294" t="n"/>
      <c r="L23" s="294" t="n"/>
      <c r="M23" s="294" t="n"/>
      <c r="N23" s="294" t="n"/>
      <c r="O23" s="294" t="n"/>
      <c r="P23" s="294" t="n"/>
      <c r="Q23" s="294" t="n"/>
      <c r="R23" s="294" t="n"/>
      <c r="S23" s="294" t="n"/>
      <c r="T23" s="294" t="n"/>
      <c r="U23" s="294" t="n"/>
      <c r="V23" s="294" t="n"/>
      <c r="W23" s="294" t="n"/>
      <c r="X23" s="294" t="n"/>
      <c r="Y23" s="294" t="n"/>
      <c r="Z23" s="294" t="n"/>
      <c r="AA23" s="294" t="n"/>
      <c r="AB23" s="295" t="n"/>
    </row>
    <row r="25" ht="18" customFormat="1" customHeight="1" s="3">
      <c r="B25" s="270" t="inlineStr">
        <is>
          <t>CURRENT RENT vs. MARKET AVERAGE</t>
        </is>
      </c>
      <c r="C25" s="294" t="n"/>
      <c r="D25" s="294" t="n"/>
      <c r="E25" s="294" t="n"/>
      <c r="F25" s="294" t="n"/>
      <c r="G25" s="294" t="n"/>
      <c r="H25" s="295" t="n"/>
      <c r="M25" s="383" t="n"/>
    </row>
    <row r="26" ht="15.75" customFormat="1" customHeight="1" s="3">
      <c r="B26" s="235" t="inlineStr">
        <is>
          <t>Market Average = Avg of Actual Advertised Rents from 6 Market-Rate Comps (Apartments.com)</t>
        </is>
      </c>
      <c r="C26" s="294" t="n"/>
      <c r="D26" s="294" t="n"/>
      <c r="E26" s="294" t="n"/>
      <c r="F26" s="294" t="n"/>
      <c r="G26" s="294" t="n"/>
      <c r="H26" s="295" t="n"/>
    </row>
    <row r="27" ht="15.75" customFormat="1" customHeight="1" s="3">
      <c r="C27" s="378">
        <f>'Current Rents'!D15</f>
        <v/>
      </c>
      <c r="D27" s="271" t="inlineStr">
        <is>
          <t>Market Avg</t>
        </is>
      </c>
      <c r="E27" s="271" t="inlineStr">
        <is>
          <t>Difference</t>
        </is>
      </c>
    </row>
    <row r="28" ht="20.25" customFormat="1" customHeight="1" s="3">
      <c r="B28" s="272" t="inlineStr">
        <is>
          <t>1BD</t>
        </is>
      </c>
      <c r="C28" s="272" t="inlineStr">
        <is>
          <t>N/A</t>
        </is>
      </c>
      <c r="D28" s="376" t="n">
        <v>952</v>
      </c>
      <c r="E28" s="283" t="n"/>
    </row>
    <row r="29" ht="20.25" customFormat="1" customHeight="1" s="3">
      <c r="B29" s="272" t="inlineStr">
        <is>
          <t>2BD</t>
        </is>
      </c>
      <c r="C29" s="375" t="n">
        <v>1400</v>
      </c>
      <c r="D29" s="376" t="n">
        <v>1087</v>
      </c>
      <c r="E29" s="381" t="n">
        <v>313</v>
      </c>
    </row>
    <row r="32" ht="18" customFormat="1" customHeight="1" s="3">
      <c r="B32" s="270" t="inlineStr">
        <is>
          <t>PMTS — Vouchers / FMR / UAP / NET</t>
        </is>
      </c>
      <c r="C32" s="294" t="n"/>
      <c r="D32" s="294" t="n"/>
      <c r="E32" s="294" t="n"/>
      <c r="F32" s="294" t="n"/>
      <c r="G32" s="294" t="n"/>
      <c r="H32" s="295" t="n"/>
    </row>
    <row r="33" ht="15.75" customFormat="1" customHeight="1" s="3">
      <c r="C33" s="378">
        <f>'Current Rents'!E15</f>
        <v/>
      </c>
      <c r="D33" s="271" t="inlineStr">
        <is>
          <t>VCH</t>
        </is>
      </c>
      <c r="E33" s="271" t="inlineStr">
        <is>
          <t>FMR</t>
        </is>
      </c>
      <c r="F33" s="271" t="inlineStr">
        <is>
          <t>UAP</t>
        </is>
      </c>
      <c r="G33" s="271" t="inlineStr">
        <is>
          <t>NET</t>
        </is>
      </c>
    </row>
    <row r="34" ht="20.25" customFormat="1" customHeight="1" s="3">
      <c r="B34" s="272" t="inlineStr">
        <is>
          <t>2BD</t>
        </is>
      </c>
      <c r="C34" s="292" t="n">
        <v>1400</v>
      </c>
      <c r="D34" s="382" t="n">
        <v>1400</v>
      </c>
      <c r="E34" s="379" t="n">
        <v>1350</v>
      </c>
      <c r="F34" s="380" t="n">
        <v>130</v>
      </c>
      <c r="G34" s="292" t="n">
        <v>1220</v>
      </c>
    </row>
    <row r="35" ht="20.25" customFormat="1" customHeight="1" s="3">
      <c r="B35" s="272" t="inlineStr">
        <is>
          <t>3BD (HAP)</t>
        </is>
      </c>
      <c r="C35" s="292" t="n">
        <v>1600</v>
      </c>
      <c r="D35" s="382" t="n">
        <v>1600</v>
      </c>
      <c r="E35" s="379" t="n">
        <v>1630</v>
      </c>
      <c r="F35" s="380" t="n">
        <v>170</v>
      </c>
      <c r="G35" s="292" t="n">
        <v>1460</v>
      </c>
    </row>
    <row r="36" ht="20.25" customFormat="1" customHeight="1" s="3">
      <c r="B36" s="272" t="inlineStr">
        <is>
          <t>4BD (HAP)</t>
        </is>
      </c>
      <c r="C36" s="292" t="n">
        <v>1700</v>
      </c>
      <c r="D36" s="382" t="n">
        <v>1700</v>
      </c>
      <c r="E36" s="379" t="n">
        <v>1810</v>
      </c>
      <c r="F36" s="380" t="n">
        <v>209</v>
      </c>
      <c r="G36" s="292" t="n">
        <v>1601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1" workbookViewId="0">
      <pane ySplit="1" topLeftCell="A8" activePane="bottomLeft" state="frozen"/>
      <selection pane="bottomLeft" activeCell="H27" sqref="H27"/>
    </sheetView>
  </sheetViews>
  <sheetFormatPr baseColWidth="8" defaultColWidth="9.140625" defaultRowHeight="21.75" customHeight="1"/>
  <cols>
    <col width="10.57421875" customWidth="1" style="3" min="2" max="2"/>
    <col width="26.140625" customWidth="1" style="3" min="3" max="3"/>
    <col width="13.8515625" customWidth="1" style="3" min="4" max="4"/>
    <col width="8.8515625" customWidth="1" style="3" min="5" max="5"/>
    <col width="4.421875" customWidth="1" style="3" min="6" max="6"/>
    <col width="5.8515625" customWidth="1" style="3" min="7" max="7"/>
    <col width="9.57421875" customWidth="1" style="3" min="8" max="8"/>
    <col width="13.140625" customWidth="1" style="3" min="9" max="9"/>
    <col width="15.140625" customWidth="1" style="3" min="10" max="10"/>
    <col width="15.8515625" customWidth="1" style="3" min="11" max="11"/>
    <col width="13.7109375" customWidth="1" style="3" min="12" max="12"/>
    <col width="18.57421875" customWidth="1" style="3" min="13" max="13"/>
    <col width="13.140625" customWidth="1" style="3" min="14" max="16"/>
    <col width="15.8515625" customWidth="1" style="3" min="17" max="17"/>
    <col width="7.00390625" customWidth="1" style="3" min="18" max="18"/>
    <col width="13.140625" customWidth="1" style="3" min="19" max="19"/>
    <col width="48.57421875" customWidth="1" style="3" min="20" max="20"/>
    <col width="25.57421875" customWidth="1" style="3" min="21" max="21"/>
    <col width="6.28125" customWidth="1" style="3" min="22" max="22"/>
    <col width="4.7109375" customWidth="1" style="3" min="23" max="23"/>
    <col width="9.00390625" customWidth="1" style="3" min="24" max="24"/>
    <col width="13.140625" customWidth="1" style="3" min="25" max="25"/>
    <col width="48.57421875" customWidth="1" style="3" min="26" max="26"/>
    <col width="44.57421875" customWidth="1" style="3" min="27" max="27"/>
    <col width="9.00390625" customWidth="1" style="3" min="28" max="28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12 - Breckenridge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4BD
50% AMI</t>
        </is>
      </c>
      <c r="O8" s="64" t="inlineStr">
        <is>
          <t>4BD
60% AMI</t>
        </is>
      </c>
      <c r="P8" s="64" t="inlineStr">
        <is>
          <t>4BD
FMR</t>
        </is>
      </c>
      <c r="Q8" s="64" t="inlineStr">
        <is>
          <t>4BD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4BD 50% AMI ($)</t>
        </is>
      </c>
      <c r="N9" s="116" t="inlineStr">
        <is>
          <t>4BD 60% AMI ($)</t>
        </is>
      </c>
      <c r="O9" s="116" t="inlineStr">
        <is>
          <t>4BR FMR ($)</t>
        </is>
      </c>
      <c r="P9" s="116" t="inlineStr">
        <is>
          <t>4BR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Breckenridge Village (SUBJECT)</t>
        </is>
      </c>
      <c r="D10" s="285" t="inlineStr">
        <is>
          <t>2001 N Floyd St</t>
        </is>
      </c>
      <c r="E10" s="239" t="inlineStr">
        <is>
          <t>Ennis</t>
        </is>
      </c>
      <c r="F10" s="239" t="inlineStr">
        <is>
          <t>TX</t>
        </is>
      </c>
      <c r="G10" s="239" t="inlineStr">
        <is>
          <t>75119</t>
        </is>
      </c>
      <c r="H10" s="239" t="inlineStr">
        <is>
          <t>0.0 mi</t>
        </is>
      </c>
      <c r="I10" s="239" t="inlineStr">
        <is>
          <t>$4,400</t>
        </is>
      </c>
      <c r="J10" s="239" t="inlineStr">
        <is>
          <t>$5,280</t>
        </is>
      </c>
      <c r="K10" s="239" t="inlineStr">
        <is>
          <t>$1,931</t>
        </is>
      </c>
      <c r="L10" s="239">
        <f>#REF!</f>
        <v/>
      </c>
      <c r="M10" s="255" t="inlineStr">
        <is>
          <t>$5,279</t>
        </is>
      </c>
      <c r="N10" s="239" t="inlineStr">
        <is>
          <t>$6,335</t>
        </is>
      </c>
      <c r="O10" s="239" t="inlineStr">
        <is>
          <t>$2,810</t>
        </is>
      </c>
      <c r="P10" s="239">
        <f>#REF!</f>
        <v/>
      </c>
      <c r="Q10" s="255" t="inlineStr">
        <is>
          <t>66</t>
        </is>
      </c>
      <c r="R10" s="239" t="inlineStr">
        <is>
          <t>1997</t>
        </is>
      </c>
      <c r="S10" s="239" t="inlineStr">
        <is>
          <t>0</t>
        </is>
      </c>
      <c r="T10" s="239" t="inlineStr">
        <is>
          <t>No</t>
        </is>
      </c>
      <c r="U10" s="242" t="inlineStr">
        <is>
          <t>No</t>
        </is>
      </c>
      <c r="V10" s="242" t="inlineStr">
        <is>
          <t>No</t>
        </is>
      </c>
      <c r="W10" s="242" t="inlineStr">
        <is>
          <t>No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66 units | LIHTC property. Year built: 1997.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Breckenridge Village</t>
        </is>
      </c>
      <c r="D11" s="254" t="inlineStr">
        <is>
          <t>2001A Floyd St</t>
        </is>
      </c>
      <c r="E11" s="116" t="inlineStr">
        <is>
          <t>Ennis</t>
        </is>
      </c>
      <c r="F11" s="116" t="inlineStr">
        <is>
          <t>TX</t>
        </is>
      </c>
      <c r="G11" s="116" t="inlineStr">
        <is>
          <t>75119</t>
        </is>
      </c>
      <c r="H11" s="116" t="inlineStr">
        <is>
          <t>1.2 mi</t>
        </is>
      </c>
      <c r="I11" s="116" t="inlineStr">
        <is>
          <t>$4,400</t>
        </is>
      </c>
      <c r="J11" s="116" t="inlineStr">
        <is>
          <t>$5,280</t>
        </is>
      </c>
      <c r="K11" s="116" t="inlineStr">
        <is>
          <t>$1,931</t>
        </is>
      </c>
      <c r="L11" s="116" t="inlineStr">
        <is>
          <t>Not Listed</t>
        </is>
      </c>
      <c r="M11" s="255" t="inlineStr">
        <is>
          <t>$5,279</t>
        </is>
      </c>
      <c r="N11" s="116" t="inlineStr">
        <is>
          <t>$6,335</t>
        </is>
      </c>
      <c r="O11" s="116" t="inlineStr">
        <is>
          <t>$2,810</t>
        </is>
      </c>
      <c r="P11" s="116" t="inlineStr">
        <is>
          <t>Not Listed</t>
        </is>
      </c>
      <c r="Q11" s="255" t="inlineStr">
        <is>
          <t>66</t>
        </is>
      </c>
      <c r="R11" s="116" t="inlineStr">
        <is>
          <t>1997</t>
        </is>
      </c>
      <c r="S11" s="116" t="inlineStr">
        <is>
          <t>0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LIHTC property, 1997 vintage (0 yr diff), 66 units, 1.2 mi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Lexington Arms</t>
        </is>
      </c>
      <c r="D12" s="254" t="inlineStr">
        <is>
          <t>418 Lexington Dr</t>
        </is>
      </c>
      <c r="E12" s="116" t="inlineStr">
        <is>
          <t>Waxahachie</t>
        </is>
      </c>
      <c r="F12" s="116" t="inlineStr">
        <is>
          <t>TX</t>
        </is>
      </c>
      <c r="G12" s="116" t="inlineStr">
        <is>
          <t>75165</t>
        </is>
      </c>
      <c r="H12" s="116" t="inlineStr">
        <is>
          <t>12.0 mi</t>
        </is>
      </c>
      <c r="I12" s="116" t="inlineStr">
        <is>
          <t>$4,400</t>
        </is>
      </c>
      <c r="J12" s="116" t="inlineStr">
        <is>
          <t>$5,280</t>
        </is>
      </c>
      <c r="K12" s="116" t="inlineStr">
        <is>
          <t>$1,931</t>
        </is>
      </c>
      <c r="L12" s="116" t="inlineStr">
        <is>
          <t>Not Listed</t>
        </is>
      </c>
      <c r="M12" s="255" t="inlineStr">
        <is>
          <t>$5,279</t>
        </is>
      </c>
      <c r="N12" s="116" t="inlineStr">
        <is>
          <t>$6,335</t>
        </is>
      </c>
      <c r="O12" s="116" t="inlineStr">
        <is>
          <t>$2,810</t>
        </is>
      </c>
      <c r="P12" s="116" t="inlineStr">
        <is>
          <t>$1,641</t>
        </is>
      </c>
      <c r="Q12" s="255" t="inlineStr">
        <is>
          <t>61</t>
        </is>
      </c>
      <c r="R12" s="116" t="inlineStr">
        <is>
          <t>1997</t>
        </is>
      </c>
      <c r="S12" s="116" t="inlineStr">
        <is>
          <t>0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HIGH</t>
        </is>
      </c>
      <c r="Z12" s="253" t="inlineStr">
        <is>
          <t>Affordable Comp #2: LIHTC property, 1997 vintage (0 yr diff), 61 units, 12.0 mi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Creekside Terrace Apts</t>
        </is>
      </c>
      <c r="D13" s="254" t="inlineStr">
        <is>
          <t>1000 E Burnett St</t>
        </is>
      </c>
      <c r="E13" s="116" t="inlineStr">
        <is>
          <t>Ennis</t>
        </is>
      </c>
      <c r="F13" s="116" t="inlineStr">
        <is>
          <t>TX</t>
        </is>
      </c>
      <c r="G13" s="116" t="inlineStr">
        <is>
          <t>75119</t>
        </is>
      </c>
      <c r="H13" s="116" t="inlineStr">
        <is>
          <t>0.7 mi</t>
        </is>
      </c>
      <c r="I13" s="116" t="inlineStr">
        <is>
          <t>$4,400</t>
        </is>
      </c>
      <c r="J13" s="116" t="inlineStr">
        <is>
          <t>$5,280</t>
        </is>
      </c>
      <c r="K13" s="116" t="inlineStr">
        <is>
          <t>$1,931</t>
        </is>
      </c>
      <c r="L13" s="116" t="inlineStr">
        <is>
          <t>$1,270</t>
        </is>
      </c>
      <c r="M13" s="255" t="inlineStr">
        <is>
          <t>$5,279</t>
        </is>
      </c>
      <c r="N13" s="116" t="inlineStr">
        <is>
          <t>$6,335</t>
        </is>
      </c>
      <c r="O13" s="116" t="inlineStr">
        <is>
          <t>$2,810</t>
        </is>
      </c>
      <c r="P13" s="116" t="inlineStr">
        <is>
          <t>$1,650</t>
        </is>
      </c>
      <c r="Q13" s="255" t="inlineStr">
        <is>
          <t>80</t>
        </is>
      </c>
      <c r="R13" s="116" t="inlineStr">
        <is>
          <t>1998</t>
        </is>
      </c>
      <c r="S13" s="116" t="inlineStr">
        <is>
          <t>1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HIGH</t>
        </is>
      </c>
      <c r="Z13" s="253" t="inlineStr">
        <is>
          <t>Affordable Comp #3: LIHTC property, 1998 vintage (1 yr diff), 80 units, 0.7 mi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Sherwood Arms Apts</t>
        </is>
      </c>
      <c r="D14" s="254" t="inlineStr">
        <is>
          <t>213 N Val Verde Cir</t>
        </is>
      </c>
      <c r="E14" s="116" t="inlineStr">
        <is>
          <t>Keene</t>
        </is>
      </c>
      <c r="F14" s="116" t="inlineStr">
        <is>
          <t>TX</t>
        </is>
      </c>
      <c r="G14" s="116" t="inlineStr">
        <is>
          <t>76059</t>
        </is>
      </c>
      <c r="H14" s="116" t="inlineStr">
        <is>
          <t>41.4 mi</t>
        </is>
      </c>
      <c r="I14" s="116" t="inlineStr">
        <is>
          <t>$4,400</t>
        </is>
      </c>
      <c r="J14" s="116" t="inlineStr">
        <is>
          <t>$5,280</t>
        </is>
      </c>
      <c r="K14" s="116" t="inlineStr">
        <is>
          <t>$1,931</t>
        </is>
      </c>
      <c r="L14" s="116" t="inlineStr">
        <is>
          <t>Not Listed</t>
        </is>
      </c>
      <c r="M14" s="255" t="inlineStr">
        <is>
          <t>$5,279</t>
        </is>
      </c>
      <c r="N14" s="116" t="inlineStr">
        <is>
          <t>$6,335</t>
        </is>
      </c>
      <c r="O14" s="116" t="inlineStr">
        <is>
          <t>$2,810</t>
        </is>
      </c>
      <c r="P14" s="116" t="inlineStr">
        <is>
          <t>Not Listed</t>
        </is>
      </c>
      <c r="Q14" s="255" t="inlineStr">
        <is>
          <t>56</t>
        </is>
      </c>
      <c r="R14" s="116" t="inlineStr">
        <is>
          <t>1997</t>
        </is>
      </c>
      <c r="S14" s="116" t="inlineStr">
        <is>
          <t>0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MODERATE</t>
        </is>
      </c>
      <c r="Z14" s="253" t="inlineStr">
        <is>
          <t>Affordable Comp #4: LIHTC property, 1997 vintage (0 yr diff), 56 units, 41.4 mi from subject. Same income-eligible renter pool.</t>
        </is>
      </c>
      <c r="AA14" s="257" t="inlineStr">
        <is>
          <t>HUD LIHTC Database (huduser.gov)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Grace Townhomes</t>
        </is>
      </c>
      <c r="D15" s="254" t="inlineStr">
        <is>
          <t>1212 Grace Cir</t>
        </is>
      </c>
      <c r="E15" s="116" t="inlineStr">
        <is>
          <t>Ennis</t>
        </is>
      </c>
      <c r="F15" s="116" t="inlineStr">
        <is>
          <t>TX</t>
        </is>
      </c>
      <c r="G15" s="116" t="inlineStr">
        <is>
          <t>75119</t>
        </is>
      </c>
      <c r="H15" s="116" t="inlineStr">
        <is>
          <t>0.8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1430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116" t="inlineStr">
        <is>
          <t>N/A (Market Rate)</t>
        </is>
      </c>
      <c r="Q15" s="255" t="inlineStr">
        <is>
          <t>N/A (Market Rate)</t>
        </is>
      </c>
      <c r="R15" s="116" t="n">
        <v>2005</v>
      </c>
      <c r="S15" s="116" t="inlineStr">
        <is>
          <t>N/A (Market Rate)</t>
        </is>
      </c>
      <c r="T15" s="116" t="inlineStr">
        <is>
          <t>Market Rate Comp #1: No income restrictions, 2005 vintage, Ennis TX 75119. 2BD $1,430 (2BD only — no 4BD market rate units available in this market)</t>
        </is>
      </c>
      <c r="U15" s="116" t="inlineStr">
        <is>
          <t>Apartments.com verified, May 2026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1997 vintage (0 yr diff), N/A units, N/A from subject. Shows market-rate rents vs. affordable housing discount.</t>
        </is>
      </c>
      <c r="AA15" s="257" t="inlineStr">
        <is>
          <t>HUD FY2026 FMR - Ellis County, TX (limited market rate listings in Ennis)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Silverton Village</t>
        </is>
      </c>
      <c r="D16" s="254" t="inlineStr">
        <is>
          <t>3700 Fm-85</t>
        </is>
      </c>
      <c r="E16" s="116" t="inlineStr">
        <is>
          <t>Ennis</t>
        </is>
      </c>
      <c r="F16" s="116" t="inlineStr">
        <is>
          <t>TX</t>
        </is>
      </c>
      <c r="G16" s="116" t="inlineStr">
        <is>
          <t>75119</t>
        </is>
      </c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1497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116" t="inlineStr">
        <is>
          <t>N/A (Market Rate)</t>
        </is>
      </c>
      <c r="Q16" s="255" t="inlineStr">
        <is>
          <t>N/A (Market Rate)</t>
        </is>
      </c>
      <c r="R16" s="116" t="n">
        <v>2010</v>
      </c>
      <c r="S16" s="116" t="inlineStr">
        <is>
          <t>N/A (Market Rate)</t>
        </is>
      </c>
      <c r="T16" s="116" t="inlineStr">
        <is>
          <t>Market Rate Comp #2: No income restrictions, 2010 vintage, Ennis TX 75119. 2BD $1,497 (2BD only — no 4BD market rate units available in this market)</t>
        </is>
      </c>
      <c r="U16" s="116" t="inlineStr">
        <is>
          <t>Apartments.com verified, May 2026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1999 vintage (2 yr diff), 80 units, 12.0 mi from subject. Shows market-rate rents vs. affordable housing discount.</t>
        </is>
      </c>
      <c r="AA16" s="257" t="inlineStr">
        <is>
          <t>https://www.rentcafe.com/apartments-for-rent/us/tx/waxahachie/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The Willows</t>
        </is>
      </c>
      <c r="D17" s="254" t="inlineStr">
        <is>
          <t>2300 Yorkstown Dr</t>
        </is>
      </c>
      <c r="E17" s="116" t="inlineStr">
        <is>
          <t>Ennis</t>
        </is>
      </c>
      <c r="F17" s="116" t="inlineStr">
        <is>
          <t>TX</t>
        </is>
      </c>
      <c r="G17" s="116" t="inlineStr">
        <is>
          <t>75119</t>
        </is>
      </c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1424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116" t="inlineStr">
        <is>
          <t>N/A (Market Rate)</t>
        </is>
      </c>
      <c r="Q17" s="255" t="inlineStr">
        <is>
          <t>N/A (Market Rate)</t>
        </is>
      </c>
      <c r="R17" s="116" t="n">
        <v>2008</v>
      </c>
      <c r="S17" s="116" t="inlineStr">
        <is>
          <t>N/A (Market Rate)</t>
        </is>
      </c>
      <c r="T17" s="116" t="inlineStr">
        <is>
          <t>Market Rate Comp #3: No income restrictions, 2008 vintage, Ennis TX 75119. 2BD $1,424 (2BD only — no 4BD market rate units available in this market)</t>
        </is>
      </c>
      <c r="U17" s="116" t="inlineStr">
        <is>
          <t>Apartments.com verified, May 2026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MODERATE-HIGH</t>
        </is>
      </c>
      <c r="Z17" s="253" t="inlineStr">
        <is>
          <t>Market Rate Comp #3: No income restrictions, 1995 vintage (2 yr diff), 72 units, 28.0 mi from subject. Shows market-rate rents vs. affordable housing discount.</t>
        </is>
      </c>
      <c r="AA17" s="257" t="inlineStr">
        <is>
          <t>https://www.rentcafe.com/apartments-for-rent/us/tx/corsicana/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Spyglass of Ennis</t>
        </is>
      </c>
      <c r="D18" s="254" t="inlineStr">
        <is>
          <t>1803 W Ennis Ave</t>
        </is>
      </c>
      <c r="E18" s="116" t="inlineStr">
        <is>
          <t>Ennis</t>
        </is>
      </c>
      <c r="F18" s="116" t="inlineStr">
        <is>
          <t>TX</t>
        </is>
      </c>
      <c r="G18" s="116" t="inlineStr">
        <is>
          <t>75119</t>
        </is>
      </c>
      <c r="H18" s="116" t="inlineStr">
        <is>
          <t>0.9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1559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116" t="inlineStr">
        <is>
          <t>N/A (Market Rate)</t>
        </is>
      </c>
      <c r="Q18" s="255" t="inlineStr">
        <is>
          <t>N/A (Market Rate)</t>
        </is>
      </c>
      <c r="R18" s="116" t="n">
        <v>2012</v>
      </c>
      <c r="S18" s="116" t="inlineStr">
        <is>
          <t>N/A (Market Rate)</t>
        </is>
      </c>
      <c r="T18" s="116" t="inlineStr">
        <is>
          <t>Market Rate Comp #4: No income restrictions, 2012 vintage, Ennis TX 75119. 2BD $1,559 (2BD only — no 4BD market rate units available in this market)</t>
        </is>
      </c>
      <c r="U18" s="116" t="inlineStr">
        <is>
          <t>Apartments.com verified, May 2026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MODERATE-HIGH</t>
        </is>
      </c>
      <c r="Z18" s="253" t="inlineStr">
        <is>
          <t>Market Rate Comp #4: No income restrictions, 1996 vintage (1 yr diff), 88 units, 20.0 mi from subject. Shows market-rate rents vs. affordable housing discount.</t>
        </is>
      </c>
      <c r="AA18" s="257" t="inlineStr">
        <is>
          <t>https://www.rentcafe.com/apartments-for-rent/us/tx/mansfield/</t>
        </is>
      </c>
      <c r="AB18" s="258" t="n"/>
    </row>
    <row r="19" ht="21.75" customFormat="1" customHeight="1" s="3">
      <c r="B19" s="252" t="inlineStr">
        <is>
          <t>MARKET RATE</t>
        </is>
      </c>
      <c r="C19" s="253" t="inlineStr">
        <is>
          <t>Townhouse Apartments</t>
        </is>
      </c>
      <c r="D19" s="254" t="inlineStr">
        <is>
          <t>1001 Biloxi Dr</t>
        </is>
      </c>
      <c r="E19" s="116" t="inlineStr">
        <is>
          <t>Ennis</t>
        </is>
      </c>
      <c r="F19" s="116" t="inlineStr">
        <is>
          <t>TX</t>
        </is>
      </c>
      <c r="G19" s="116" t="inlineStr">
        <is>
          <t>75119</t>
        </is>
      </c>
      <c r="H19" s="116" t="inlineStr">
        <is>
          <t>1.1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1505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116" t="inlineStr">
        <is>
          <t>N/A (Market Rate)</t>
        </is>
      </c>
      <c r="Q19" s="255" t="inlineStr">
        <is>
          <t>N/A (Market Rate)</t>
        </is>
      </c>
      <c r="R19" s="116" t="n">
        <v>2000</v>
      </c>
      <c r="S19" s="116" t="inlineStr">
        <is>
          <t>N/A (Market Rate)</t>
        </is>
      </c>
      <c r="T19" s="116" t="inlineStr">
        <is>
          <t>Market Rate Comp #5: No income restrictions, 2000 vintage, Ennis TX 75119. 2BD $1,505 (2BD only — no 4BD market rate units available in this market)</t>
        </is>
      </c>
      <c r="U19" s="116" t="inlineStr">
        <is>
          <t>Apartments.com verified, May 2026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MARKET RATE</t>
        </is>
      </c>
      <c r="C20" s="253" t="inlineStr">
        <is>
          <t>Emerald Garden Apartments</t>
        </is>
      </c>
      <c r="D20" s="254" t="inlineStr">
        <is>
          <t>901 N I-45</t>
        </is>
      </c>
      <c r="E20" s="116" t="inlineStr">
        <is>
          <t>Ennis</t>
        </is>
      </c>
      <c r="F20" s="116" t="inlineStr">
        <is>
          <t>TX</t>
        </is>
      </c>
      <c r="G20" s="116" t="inlineStr">
        <is>
          <t>75119</t>
        </is>
      </c>
      <c r="H20" s="116" t="inlineStr">
        <is>
          <t>1.8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84" t="n">
        <v>1328</v>
      </c>
      <c r="M20" s="25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116" t="inlineStr">
        <is>
          <t>N/A (Market Rate)</t>
        </is>
      </c>
      <c r="Q20" s="255" t="inlineStr">
        <is>
          <t>N/A (Market Rate)</t>
        </is>
      </c>
      <c r="R20" s="116" t="n">
        <v>2003</v>
      </c>
      <c r="S20" s="116" t="inlineStr">
        <is>
          <t>N/A (Market Rate)</t>
        </is>
      </c>
      <c r="T20" s="116" t="inlineStr">
        <is>
          <t>Market Rate Comp #6: No income restrictions, 2003 vintage, Ennis TX 75119. 2BD $1,328 (2BD only — no 4BD market rate units available in this market)</t>
        </is>
      </c>
      <c r="U20" s="116" t="inlineStr">
        <is>
          <t>Apartments.com verified, May 2026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2BD</t>
        </is>
      </c>
      <c r="C27" s="375" t="n">
        <v>964</v>
      </c>
      <c r="D27" s="376" t="n">
        <v>1457</v>
      </c>
      <c r="E27" s="377" t="n">
        <v>-493</v>
      </c>
    </row>
    <row r="28" ht="20.25" customFormat="1" customHeight="1" s="3">
      <c r="B28" s="272" t="inlineStr">
        <is>
          <t>4BD</t>
        </is>
      </c>
      <c r="C28" s="375" t="n">
        <v>1221</v>
      </c>
      <c r="D28" s="376" t="n">
        <v>1221</v>
      </c>
      <c r="E28" s="381" t="n">
        <v>0</v>
      </c>
    </row>
  </sheetData>
  <mergeCells count="8"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1"/>
  <sheetViews>
    <sheetView showGridLines="0" topLeftCell="A1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421875" customWidth="1" style="3" min="2" max="2"/>
    <col width="18.140625" customWidth="1" style="3" min="3" max="3"/>
    <col width="20.28125" customWidth="1" style="3" min="4" max="4"/>
    <col width="8.8515625" customWidth="1" style="3" min="5" max="5"/>
    <col width="4.421875" customWidth="1" style="3" min="6" max="6"/>
    <col width="5.8515625" customWidth="1" style="3" min="7" max="7"/>
    <col width="9.57421875" customWidth="1" style="3" min="8" max="8"/>
    <col width="13.140625" customWidth="1" style="3" min="9" max="11"/>
    <col width="10.28125" customWidth="1" style="3" min="12" max="12"/>
    <col width="13.140625" customWidth="1" style="3" min="13" max="17"/>
    <col width="7.00390625" customWidth="1" style="3" min="18" max="18"/>
    <col width="13.140625" customWidth="1" style="3" min="19" max="19"/>
    <col width="48.57421875" customWidth="1" style="3" min="20" max="20"/>
    <col width="25.57421875" customWidth="1" style="3" min="21" max="21"/>
    <col width="6.28125" customWidth="1" style="3" min="22" max="22"/>
    <col width="4.7109375" customWidth="1" style="3" min="23" max="23"/>
    <col width="9.00390625" customWidth="1" style="3" min="24" max="24"/>
    <col width="13.140625" customWidth="1" style="3" min="25" max="25"/>
    <col width="48.57421875" customWidth="1" style="3" min="26" max="26"/>
    <col width="48.8515625" customWidth="1" style="3" min="27" max="27"/>
    <col width="9.00390625" customWidth="1" style="3" min="28" max="28"/>
  </cols>
  <sheetData>
    <row r="1" ht="21.7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38 - Lexington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4BD
50% AMI</t>
        </is>
      </c>
      <c r="O8" s="64" t="inlineStr">
        <is>
          <t>4BD
60% AMI</t>
        </is>
      </c>
      <c r="P8" s="64" t="inlineStr">
        <is>
          <t>4BD
FMR</t>
        </is>
      </c>
      <c r="Q8" s="64" t="inlineStr">
        <is>
          <t>4BD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4BD 50% AMI ($)</t>
        </is>
      </c>
      <c r="N9" s="116" t="inlineStr">
        <is>
          <t>4BD 60% AMI ($)</t>
        </is>
      </c>
      <c r="O9" s="116" t="inlineStr">
        <is>
          <t>4BR FMR ($)</t>
        </is>
      </c>
      <c r="P9" s="116" t="inlineStr">
        <is>
          <t>4BR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Lexington Arms (SUBJECT)</t>
        </is>
      </c>
      <c r="D10" s="285" t="inlineStr">
        <is>
          <t>418 Lexington Dr</t>
        </is>
      </c>
      <c r="E10" s="239" t="inlineStr">
        <is>
          <t>Waxahachie</t>
        </is>
      </c>
      <c r="F10" s="239" t="inlineStr">
        <is>
          <t>TX</t>
        </is>
      </c>
      <c r="G10" s="239" t="inlineStr">
        <is>
          <t>75165</t>
        </is>
      </c>
      <c r="H10" s="239" t="inlineStr">
        <is>
          <t>0.0 mi</t>
        </is>
      </c>
      <c r="I10" s="239" t="inlineStr">
        <is>
          <t>$4,400</t>
        </is>
      </c>
      <c r="J10" s="239" t="inlineStr">
        <is>
          <t>$5,280</t>
        </is>
      </c>
      <c r="K10" s="239" t="inlineStr">
        <is>
          <t>$1,931</t>
        </is>
      </c>
      <c r="L10" s="239">
        <f>B29</f>
        <v/>
      </c>
      <c r="M10" s="255" t="inlineStr">
        <is>
          <t>$5,279</t>
        </is>
      </c>
      <c r="N10" s="239" t="inlineStr">
        <is>
          <t>$6,335</t>
        </is>
      </c>
      <c r="O10" s="239" t="inlineStr">
        <is>
          <t>$2,810</t>
        </is>
      </c>
      <c r="P10" s="239">
        <f>B30</f>
        <v/>
      </c>
      <c r="Q10" s="255" t="inlineStr">
        <is>
          <t>61</t>
        </is>
      </c>
      <c r="R10" s="239" t="inlineStr">
        <is>
          <t>1997</t>
        </is>
      </c>
      <c r="S10" s="239" t="inlineStr">
        <is>
          <t>0</t>
        </is>
      </c>
      <c r="T10" s="239" t="inlineStr">
        <is>
          <t>No</t>
        </is>
      </c>
      <c r="U10" s="242" t="inlineStr">
        <is>
          <t>No</t>
        </is>
      </c>
      <c r="V10" s="242" t="inlineStr">
        <is>
          <t>No</t>
        </is>
      </c>
      <c r="W10" s="242" t="inlineStr">
        <is>
          <t>No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61 units | LIHTC property. Year built: 1997.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Breckenridge Village</t>
        </is>
      </c>
      <c r="D11" s="254" t="inlineStr">
        <is>
          <t>2001A Floyd St</t>
        </is>
      </c>
      <c r="E11" s="116" t="inlineStr">
        <is>
          <t>Ennis</t>
        </is>
      </c>
      <c r="F11" s="116" t="inlineStr">
        <is>
          <t>TX</t>
        </is>
      </c>
      <c r="G11" s="116" t="inlineStr">
        <is>
          <t>75119</t>
        </is>
      </c>
      <c r="H11" s="116" t="inlineStr">
        <is>
          <t>12.8 mi</t>
        </is>
      </c>
      <c r="I11" s="116" t="inlineStr">
        <is>
          <t>$4,400</t>
        </is>
      </c>
      <c r="J11" s="116" t="inlineStr">
        <is>
          <t>$5,280</t>
        </is>
      </c>
      <c r="K11" s="116" t="inlineStr">
        <is>
          <t>$1,931</t>
        </is>
      </c>
      <c r="L11" s="116" t="inlineStr">
        <is>
          <t>Not Listed</t>
        </is>
      </c>
      <c r="M11" s="255" t="inlineStr">
        <is>
          <t>$5,279</t>
        </is>
      </c>
      <c r="N11" s="116" t="inlineStr">
        <is>
          <t>$6,335</t>
        </is>
      </c>
      <c r="O11" s="116" t="inlineStr">
        <is>
          <t>$2,810</t>
        </is>
      </c>
      <c r="P11" s="116" t="inlineStr">
        <is>
          <t>Not Listed</t>
        </is>
      </c>
      <c r="Q11" s="255" t="inlineStr">
        <is>
          <t>66</t>
        </is>
      </c>
      <c r="R11" s="116" t="inlineStr">
        <is>
          <t>1997</t>
        </is>
      </c>
      <c r="S11" s="116" t="inlineStr">
        <is>
          <t>0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LIHTC property, 1997 vintage (0 yr diff), 66 units, 12.8 mi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Sherwood Arms Apts</t>
        </is>
      </c>
      <c r="D12" s="254" t="inlineStr">
        <is>
          <t>213 N Val Verde Cir</t>
        </is>
      </c>
      <c r="E12" s="116" t="inlineStr">
        <is>
          <t>Keene</t>
        </is>
      </c>
      <c r="F12" s="116" t="inlineStr">
        <is>
          <t>TX</t>
        </is>
      </c>
      <c r="G12" s="116" t="inlineStr">
        <is>
          <t>76059</t>
        </is>
      </c>
      <c r="H12" s="116" t="inlineStr">
        <is>
          <t>28.1 mi</t>
        </is>
      </c>
      <c r="I12" s="116" t="inlineStr">
        <is>
          <t>$4,400</t>
        </is>
      </c>
      <c r="J12" s="116" t="inlineStr">
        <is>
          <t>$5,280</t>
        </is>
      </c>
      <c r="K12" s="116" t="inlineStr">
        <is>
          <t>$1,931</t>
        </is>
      </c>
      <c r="L12" s="116" t="inlineStr">
        <is>
          <t>Not Listed</t>
        </is>
      </c>
      <c r="M12" s="255" t="inlineStr">
        <is>
          <t>$5,279</t>
        </is>
      </c>
      <c r="N12" s="116" t="inlineStr">
        <is>
          <t>$6,335</t>
        </is>
      </c>
      <c r="O12" s="116" t="inlineStr">
        <is>
          <t>$2,810</t>
        </is>
      </c>
      <c r="P12" s="116" t="inlineStr">
        <is>
          <t>Not Listed</t>
        </is>
      </c>
      <c r="Q12" s="255" t="inlineStr">
        <is>
          <t>56</t>
        </is>
      </c>
      <c r="R12" s="116" t="inlineStr">
        <is>
          <t>1997</t>
        </is>
      </c>
      <c r="S12" s="116" t="inlineStr">
        <is>
          <t>0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MODERATE-HIGH</t>
        </is>
      </c>
      <c r="Z12" s="253" t="inlineStr">
        <is>
          <t>Affordable Comp #2: LIHTC property, 1997 vintage (0 yr diff), 56 units, 28.1 mi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Creekside Terrace Apts</t>
        </is>
      </c>
      <c r="D13" s="254" t="inlineStr">
        <is>
          <t>1000 E Burnett St</t>
        </is>
      </c>
      <c r="E13" s="116" t="inlineStr">
        <is>
          <t>Ennis</t>
        </is>
      </c>
      <c r="F13" s="116" t="inlineStr">
        <is>
          <t>TX</t>
        </is>
      </c>
      <c r="G13" s="116" t="inlineStr">
        <is>
          <t>75119</t>
        </is>
      </c>
      <c r="H13" s="116" t="inlineStr">
        <is>
          <t>14.3 mi</t>
        </is>
      </c>
      <c r="I13" s="116" t="inlineStr">
        <is>
          <t>$4,400</t>
        </is>
      </c>
      <c r="J13" s="116" t="inlineStr">
        <is>
          <t>$5,280</t>
        </is>
      </c>
      <c r="K13" s="116" t="inlineStr">
        <is>
          <t>$1,931</t>
        </is>
      </c>
      <c r="L13" s="116" t="inlineStr">
        <is>
          <t>$1,270</t>
        </is>
      </c>
      <c r="M13" s="255" t="inlineStr">
        <is>
          <t>$5,279</t>
        </is>
      </c>
      <c r="N13" s="116" t="inlineStr">
        <is>
          <t>$6,335</t>
        </is>
      </c>
      <c r="O13" s="116" t="inlineStr">
        <is>
          <t>$2,810</t>
        </is>
      </c>
      <c r="P13" s="116" t="inlineStr">
        <is>
          <t>$1,650</t>
        </is>
      </c>
      <c r="Q13" s="255" t="inlineStr">
        <is>
          <t>80</t>
        </is>
      </c>
      <c r="R13" s="116" t="inlineStr">
        <is>
          <t>1998</t>
        </is>
      </c>
      <c r="S13" s="116" t="inlineStr">
        <is>
          <t>1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HIGH</t>
        </is>
      </c>
      <c r="Z13" s="253" t="inlineStr">
        <is>
          <t>Affordable Comp #3: LIHTC property, 1998 vintage (1 yr diff), 80 units, 14.3 mi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Hillcrest House</t>
        </is>
      </c>
      <c r="D14" s="254" t="inlineStr">
        <is>
          <t>834 N Marsalis Ave</t>
        </is>
      </c>
      <c r="E14" s="116" t="inlineStr">
        <is>
          <t>Dallas</t>
        </is>
      </c>
      <c r="F14" s="116" t="inlineStr">
        <is>
          <t>TX</t>
        </is>
      </c>
      <c r="G14" s="116" t="inlineStr">
        <is>
          <t>75203</t>
        </is>
      </c>
      <c r="H14" s="116" t="inlineStr">
        <is>
          <t>25.7 mi</t>
        </is>
      </c>
      <c r="I14" s="116" t="inlineStr">
        <is>
          <t>$4,400</t>
        </is>
      </c>
      <c r="J14" s="116" t="inlineStr">
        <is>
          <t>$5,280</t>
        </is>
      </c>
      <c r="K14" s="116" t="inlineStr">
        <is>
          <t>$1,931</t>
        </is>
      </c>
      <c r="L14" s="116" t="inlineStr">
        <is>
          <t>Not Listed</t>
        </is>
      </c>
      <c r="M14" s="255" t="inlineStr">
        <is>
          <t>$5,279</t>
        </is>
      </c>
      <c r="N14" s="116" t="inlineStr">
        <is>
          <t>$6,335</t>
        </is>
      </c>
      <c r="O14" s="116" t="inlineStr">
        <is>
          <t>$2,810</t>
        </is>
      </c>
      <c r="P14" s="116" t="inlineStr">
        <is>
          <t>Not Listed</t>
        </is>
      </c>
      <c r="Q14" s="255" t="inlineStr">
        <is>
          <t>64</t>
        </is>
      </c>
      <c r="R14" s="116" t="inlineStr">
        <is>
          <t>1996</t>
        </is>
      </c>
      <c r="S14" s="116" t="inlineStr">
        <is>
          <t>1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MODERATE-HIGH</t>
        </is>
      </c>
      <c r="Z14" s="253" t="inlineStr">
        <is>
          <t>Affordable Comp #4: LIHTC property, 1996 vintage (1 yr diff), 64 units, 25.7 mi from subject. Same income-eligible renter pool.</t>
        </is>
      </c>
      <c r="AA14" s="257" t="inlineStr">
        <is>
          <t>HUD LIHTC Database (huduser.gov)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Bridgepoint</t>
        </is>
      </c>
      <c r="D15" s="254" t="inlineStr">
        <is>
          <t>2200 Brown St</t>
        </is>
      </c>
      <c r="E15" s="116" t="inlineStr">
        <is>
          <t>Waxahachie</t>
        </is>
      </c>
      <c r="F15" s="116" t="inlineStr">
        <is>
          <t>TX</t>
        </is>
      </c>
      <c r="G15" s="116" t="inlineStr">
        <is>
          <t>75165</t>
        </is>
      </c>
      <c r="H15" s="116" t="inlineStr">
        <is>
          <t>1.5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1247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116" t="inlineStr">
        <is>
          <t>N/A (Market Rate)</t>
        </is>
      </c>
      <c r="Q15" s="255" t="inlineStr">
        <is>
          <t>N/A (Market Rate)</t>
        </is>
      </c>
      <c r="R15" s="116" t="n">
        <v>2015</v>
      </c>
      <c r="S15" s="116" t="inlineStr">
        <is>
          <t>N/A (Market Rate)</t>
        </is>
      </c>
      <c r="T15" s="116" t="inlineStr">
        <is>
          <t>Market Rate Comp #1: No income restrictions, 2015 vintage, Waxahachie TX 75165. 2BD $1,247 (2BD only — no 4BD market rate units available in this market)</t>
        </is>
      </c>
      <c r="U15" s="116" t="inlineStr">
        <is>
          <t>Apartments.com verified, May 2026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1997 vintage (0 yr diff), N/A units, N/A from subject. Shows market-rate rents vs. affordable housing discount.</t>
        </is>
      </c>
      <c r="AA15" s="257" t="inlineStr">
        <is>
          <t>HUD FY2026 FMR - Ellis County, TX (limited market rate listings in Waxahachie)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Oxford at Crossroads Centre</t>
        </is>
      </c>
      <c r="D16" s="254" t="inlineStr">
        <is>
          <t>411 Alliance Blvd</t>
        </is>
      </c>
      <c r="E16" s="116" t="inlineStr">
        <is>
          <t>Waxahachie</t>
        </is>
      </c>
      <c r="F16" s="116" t="inlineStr">
        <is>
          <t>TX</t>
        </is>
      </c>
      <c r="G16" s="116" t="inlineStr">
        <is>
          <t>75165</t>
        </is>
      </c>
      <c r="H16" s="116" t="inlineStr">
        <is>
          <t>2.0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1525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116" t="inlineStr">
        <is>
          <t>N/A (Market Rate)</t>
        </is>
      </c>
      <c r="Q16" s="255" t="inlineStr">
        <is>
          <t>N/A (Market Rate)</t>
        </is>
      </c>
      <c r="R16" s="116" t="n">
        <v>2018</v>
      </c>
      <c r="S16" s="116" t="inlineStr">
        <is>
          <t>N/A (Market Rate)</t>
        </is>
      </c>
      <c r="T16" s="116" t="inlineStr">
        <is>
          <t>Market Rate Comp #2: No income restrictions, 2018 vintage, Waxahachie TX 75165. 2BD $1,525 (2BD only — no 4BD market rate units available in this market)</t>
        </is>
      </c>
      <c r="U16" s="116" t="inlineStr">
        <is>
          <t>Apartments.com verified, May 2026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1999 vintage (2 yr diff), 66 units, 12.0 mi from subject. Shows market-rate rents vs. affordable housing discount.</t>
        </is>
      </c>
      <c r="AA16" s="257" t="inlineStr">
        <is>
          <t>https://www.rentcafe.com/apartments-for-rent/us/tx/ennis/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Emory on Grand</t>
        </is>
      </c>
      <c r="D17" s="254" t="inlineStr">
        <is>
          <t>1831 John Arden Dr</t>
        </is>
      </c>
      <c r="E17" s="116" t="inlineStr">
        <is>
          <t>Waxahachie</t>
        </is>
      </c>
      <c r="F17" s="116" t="inlineStr">
        <is>
          <t>TX</t>
        </is>
      </c>
      <c r="G17" s="116" t="inlineStr">
        <is>
          <t>75165</t>
        </is>
      </c>
      <c r="H17" s="116" t="inlineStr">
        <is>
          <t>1.8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1395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116" t="inlineStr">
        <is>
          <t>N/A (Market Rate)</t>
        </is>
      </c>
      <c r="Q17" s="255" t="inlineStr">
        <is>
          <t>N/A (Market Rate)</t>
        </is>
      </c>
      <c r="R17" s="116" t="n">
        <v>2016</v>
      </c>
      <c r="S17" s="116" t="inlineStr">
        <is>
          <t>N/A (Market Rate)</t>
        </is>
      </c>
      <c r="T17" s="116" t="inlineStr">
        <is>
          <t>Market Rate Comp #3: No income restrictions, 2016 vintage, Waxahachie TX 75165. 2BD $1,395 (2BD only — no 4BD market rate units available in this market)</t>
        </is>
      </c>
      <c r="U17" s="116" t="inlineStr">
        <is>
          <t>Apartments.com verified, May 2026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53" t="inlineStr">
        <is>
          <t>Market Rate Comp #3: No income restrictions, 2000 vintage (3 yr diff), 80 units, 15.0 mi from subject. Shows market-rate rents vs. affordable housing discount.</t>
        </is>
      </c>
      <c r="AA17" s="257" t="inlineStr">
        <is>
          <t>https://www.rentcafe.com/apartments-for-rent/us/tx/midlothian/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Blue Lake Villas</t>
        </is>
      </c>
      <c r="D18" s="254" t="inlineStr">
        <is>
          <t>155 Lakeside Dr</t>
        </is>
      </c>
      <c r="E18" s="116" t="inlineStr">
        <is>
          <t>Waxahachie</t>
        </is>
      </c>
      <c r="F18" s="116" t="inlineStr">
        <is>
          <t>TX</t>
        </is>
      </c>
      <c r="G18" s="116" t="inlineStr">
        <is>
          <t>75165</t>
        </is>
      </c>
      <c r="H18" s="116" t="inlineStr">
        <is>
          <t>2.2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1349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116" t="inlineStr">
        <is>
          <t>N/A (Market Rate)</t>
        </is>
      </c>
      <c r="Q18" s="255" t="inlineStr">
        <is>
          <t>N/A (Market Rate)</t>
        </is>
      </c>
      <c r="R18" s="116" t="n">
        <v>2012</v>
      </c>
      <c r="S18" s="116" t="inlineStr">
        <is>
          <t>N/A (Market Rate)</t>
        </is>
      </c>
      <c r="T18" s="116" t="inlineStr">
        <is>
          <t>Market Rate Comp #4: No income restrictions, 2012 vintage, Waxahachie TX 75165. 2BD $1,349 (2BD only — no 4BD market rate units available in this market)</t>
        </is>
      </c>
      <c r="U18" s="116" t="inlineStr">
        <is>
          <t>Apartments.com verified, May 2026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53" t="inlineStr">
        <is>
          <t>Market Rate Comp #4: No income restrictions, 1998 vintage (1 yr diff), 72 units, 10.0 mi from subject. Shows market-rate rents vs. affordable housing discount.</t>
        </is>
      </c>
      <c r="AA18" s="257" t="inlineStr">
        <is>
          <t>https://www.rentcafe.com/apartments-for-rent/us/tx/red-oak/</t>
        </is>
      </c>
      <c r="AB18" s="258" t="n"/>
    </row>
    <row r="19" ht="21.75" customFormat="1" customHeight="1" s="3">
      <c r="B19" s="252" t="inlineStr">
        <is>
          <t>MARKET RATE</t>
        </is>
      </c>
      <c r="C19" s="253" t="inlineStr">
        <is>
          <t>Hunter's Cove Apartments</t>
        </is>
      </c>
      <c r="D19" s="254" t="inlineStr">
        <is>
          <t>1250 W Highway 287 Bypass</t>
        </is>
      </c>
      <c r="E19" s="116" t="inlineStr">
        <is>
          <t>Waxahachie</t>
        </is>
      </c>
      <c r="F19" s="116" t="inlineStr">
        <is>
          <t>TX</t>
        </is>
      </c>
      <c r="G19" s="116" t="inlineStr">
        <is>
          <t>75165</t>
        </is>
      </c>
      <c r="H19" s="116" t="inlineStr">
        <is>
          <t>1.2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1599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116" t="inlineStr">
        <is>
          <t>N/A (Market Rate)</t>
        </is>
      </c>
      <c r="Q19" s="255" t="inlineStr">
        <is>
          <t>N/A (Market Rate)</t>
        </is>
      </c>
      <c r="R19" s="116" t="n">
        <v>2014</v>
      </c>
      <c r="S19" s="116" t="inlineStr">
        <is>
          <t>N/A (Market Rate)</t>
        </is>
      </c>
      <c r="T19" s="116" t="inlineStr">
        <is>
          <t>Market Rate Comp #5: No income restrictions, 2014 vintage, Waxahachie TX 75165. 2BD $1,599 (2BD only — no 4BD market rate units available in this market)</t>
        </is>
      </c>
      <c r="U19" s="116" t="inlineStr">
        <is>
          <t>Apartments.com verified, May 2026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MARKET RATE</t>
        </is>
      </c>
      <c r="C20" s="253" t="inlineStr">
        <is>
          <t>Bent Tree Townhomes</t>
        </is>
      </c>
      <c r="D20" s="254" t="inlineStr">
        <is>
          <t>1721 S IH-35 E</t>
        </is>
      </c>
      <c r="E20" s="116" t="inlineStr">
        <is>
          <t>Waxahachie</t>
        </is>
      </c>
      <c r="F20" s="116" t="inlineStr">
        <is>
          <t>TX</t>
        </is>
      </c>
      <c r="G20" s="116" t="inlineStr">
        <is>
          <t>75165</t>
        </is>
      </c>
      <c r="H20" s="116" t="inlineStr">
        <is>
          <t>1.0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84" t="n">
        <v>1289</v>
      </c>
      <c r="M20" s="25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116" t="inlineStr">
        <is>
          <t>N/A (Market Rate)</t>
        </is>
      </c>
      <c r="Q20" s="255" t="inlineStr">
        <is>
          <t>N/A (Market Rate)</t>
        </is>
      </c>
      <c r="R20" s="116" t="n">
        <v>2010</v>
      </c>
      <c r="S20" s="116" t="inlineStr">
        <is>
          <t>N/A (Market Rate)</t>
        </is>
      </c>
      <c r="T20" s="116" t="inlineStr">
        <is>
          <t>Market Rate Comp #6: No income restrictions, 2010 vintage, Waxahachie TX 75165. 2BD $1,289 (2BD only — no 4BD market rate units available in this market)</t>
        </is>
      </c>
      <c r="U20" s="116" t="inlineStr">
        <is>
          <t>Apartments.com verified, May 2026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2BD</t>
        </is>
      </c>
      <c r="C27" s="375" t="n">
        <v>964</v>
      </c>
      <c r="D27" s="376" t="n">
        <v>1401</v>
      </c>
      <c r="E27" s="377" t="n">
        <v>-437</v>
      </c>
    </row>
    <row r="28" ht="20.25" customFormat="1" customHeight="1" s="3">
      <c r="B28" s="272" t="inlineStr">
        <is>
          <t>4BD</t>
        </is>
      </c>
      <c r="C28" s="375" t="n">
        <v>1221</v>
      </c>
      <c r="D28" s="376" t="n">
        <v>1221</v>
      </c>
      <c r="E28" s="381" t="n">
        <v>0</v>
      </c>
    </row>
    <row r="29" ht="20.25" customFormat="1" customHeight="1" s="3">
      <c r="B29" s="272" t="inlineStr">
        <is>
          <t>2BD</t>
        </is>
      </c>
      <c r="C29" s="375" t="n">
        <v>964</v>
      </c>
      <c r="D29" s="376" t="n">
        <v>0</v>
      </c>
      <c r="E29" s="381" t="n">
        <v>964</v>
      </c>
    </row>
    <row r="30" ht="20.25" customFormat="1" customHeight="1" s="3">
      <c r="B30" s="272" t="inlineStr">
        <is>
          <t>4BD</t>
        </is>
      </c>
      <c r="C30" s="375" t="n">
        <v>1221</v>
      </c>
      <c r="D30" s="376" t="n">
        <v>1618</v>
      </c>
      <c r="E30" s="377" t="n">
        <v>-397</v>
      </c>
    </row>
    <row r="31" ht="20.25" customFormat="1" customHeight="1" s="3">
      <c r="B31" s="272" t="inlineStr">
        <is>
          <t>4BD</t>
        </is>
      </c>
      <c r="C31" s="375" t="n">
        <v>1221</v>
      </c>
      <c r="D31" s="376" t="n">
        <v>1269</v>
      </c>
      <c r="E31" s="377" t="n">
        <v>-48</v>
      </c>
    </row>
    <row r="32" ht="20.25" customFormat="1" customHeight="1" s="3">
      <c r="B32" s="272" t="inlineStr">
        <is>
          <t>2BD</t>
        </is>
      </c>
      <c r="C32" s="375" t="n">
        <v>964</v>
      </c>
      <c r="D32" s="376" t="n">
        <v>1125</v>
      </c>
      <c r="E32" s="377" t="n">
        <v>-161</v>
      </c>
    </row>
    <row r="33" ht="20.25" customFormat="1" customHeight="1" s="3">
      <c r="B33" s="272" t="inlineStr">
        <is>
          <t>4BD</t>
        </is>
      </c>
      <c r="C33" s="375" t="n">
        <v>1221</v>
      </c>
      <c r="D33" s="376" t="n">
        <v>1618</v>
      </c>
      <c r="E33" s="377" t="n">
        <v>-397</v>
      </c>
    </row>
    <row r="34" ht="20.25" customFormat="1" customHeight="1" s="3">
      <c r="B34" s="272" t="inlineStr">
        <is>
          <t>2BD</t>
        </is>
      </c>
      <c r="C34" s="375" t="n">
        <v>964</v>
      </c>
      <c r="D34" s="376" t="n">
        <v>1537</v>
      </c>
      <c r="E34" s="377" t="n">
        <v>-573</v>
      </c>
    </row>
    <row r="35" ht="20.25" customFormat="1" customHeight="1" s="3">
      <c r="B35" s="272" t="inlineStr">
        <is>
          <t>4BD</t>
        </is>
      </c>
      <c r="C35" s="375" t="n">
        <v>1221</v>
      </c>
      <c r="D35" s="376" t="n">
        <v>1840</v>
      </c>
      <c r="E35" s="377" t="n">
        <v>-619</v>
      </c>
    </row>
    <row r="38" ht="18" customFormat="1" customHeight="1" s="3">
      <c r="B38" s="270" t="inlineStr">
        <is>
          <t>PMTS — Vouchers / FMR / UAP / NET</t>
        </is>
      </c>
      <c r="C38" s="294" t="n"/>
      <c r="D38" s="294" t="n"/>
      <c r="E38" s="294" t="n"/>
      <c r="F38" s="294" t="n"/>
      <c r="G38" s="294" t="n"/>
      <c r="H38" s="295" t="n"/>
    </row>
    <row r="39" ht="15.75" customFormat="1" customHeight="1" s="3">
      <c r="C39" s="378">
        <f>'Current Rents'!E17</f>
        <v/>
      </c>
      <c r="D39" s="271" t="inlineStr">
        <is>
          <t>VCH</t>
        </is>
      </c>
      <c r="E39" s="271" t="inlineStr">
        <is>
          <t>FMR</t>
        </is>
      </c>
      <c r="F39" s="271" t="inlineStr">
        <is>
          <t>UAP</t>
        </is>
      </c>
      <c r="G39" s="271" t="inlineStr">
        <is>
          <t>NET</t>
        </is>
      </c>
    </row>
    <row r="40" ht="20.25" customFormat="1" customHeight="1" s="3">
      <c r="B40" s="272" t="inlineStr">
        <is>
          <t>2BD</t>
        </is>
      </c>
      <c r="C40" s="292">
        <f>'Current Rents'!G17</f>
        <v/>
      </c>
      <c r="D40" s="49" t="n"/>
      <c r="E40" s="379" t="n">
        <v>1560</v>
      </c>
      <c r="F40" s="380" t="n">
        <v>477</v>
      </c>
      <c r="G40" s="292" t="n">
        <v>1083</v>
      </c>
    </row>
    <row r="41" ht="20.25" customFormat="1" customHeight="1" s="3">
      <c r="B41" s="272" t="inlineStr">
        <is>
          <t>4BD</t>
        </is>
      </c>
      <c r="C41" s="292" t="n">
        <v>1221</v>
      </c>
      <c r="D41" s="382" t="n">
        <v>1618</v>
      </c>
      <c r="E41" s="379" t="n">
        <v>2510</v>
      </c>
      <c r="F41" s="380" t="n">
        <v>477</v>
      </c>
      <c r="G41" s="292" t="n">
        <v>2033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23 - Grace Townhomes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Grace Townhomes (SUBJECT)</t>
        </is>
      </c>
      <c r="D10" s="285" t="inlineStr">
        <is>
          <t>1212 Grace Circle</t>
        </is>
      </c>
      <c r="E10" s="239" t="inlineStr">
        <is>
          <t>Ennis</t>
        </is>
      </c>
      <c r="F10" s="239" t="inlineStr">
        <is>
          <t>TX</t>
        </is>
      </c>
      <c r="G10" s="239" t="inlineStr">
        <is>
          <t>75119</t>
        </is>
      </c>
      <c r="H10" s="239" t="inlineStr">
        <is>
          <t>0.0 mi</t>
        </is>
      </c>
      <c r="I10" s="239" t="inlineStr">
        <is>
          <t>$3,668</t>
        </is>
      </c>
      <c r="J10" s="239" t="inlineStr">
        <is>
          <t>$4,402</t>
        </is>
      </c>
      <c r="K10" s="239" t="inlineStr">
        <is>
          <t>$1,411</t>
        </is>
      </c>
      <c r="L10" s="239">
        <f>B29</f>
        <v/>
      </c>
      <c r="M10" s="255" t="inlineStr">
        <is>
          <t>$4,400</t>
        </is>
      </c>
      <c r="N10" s="239" t="inlineStr">
        <is>
          <t>$5,280</t>
        </is>
      </c>
      <c r="O10" s="239" t="inlineStr">
        <is>
          <t>$1,931</t>
        </is>
      </c>
      <c r="P10" s="239">
        <f>B30</f>
        <v/>
      </c>
      <c r="Q10" s="255" t="inlineStr">
        <is>
          <t>$4,887</t>
        </is>
      </c>
      <c r="R10" s="239" t="inlineStr">
        <is>
          <t>$5,865</t>
        </is>
      </c>
      <c r="S10" s="239" t="inlineStr">
        <is>
          <t>$2,431</t>
        </is>
      </c>
      <c r="T10" s="239">
        <f>B31</f>
        <v/>
      </c>
      <c r="U10" s="255" t="inlineStr">
        <is>
          <t>112</t>
        </is>
      </c>
      <c r="V10" s="239" t="inlineStr">
        <is>
          <t>2001</t>
        </is>
      </c>
      <c r="W10" s="239" t="inlineStr">
        <is>
          <t>0</t>
        </is>
      </c>
      <c r="X10" s="239" t="inlineStr">
        <is>
          <t>No</t>
        </is>
      </c>
      <c r="Y10" s="242" t="inlineStr">
        <is>
          <t>No</t>
        </is>
      </c>
      <c r="Z10" s="242" t="inlineStr">
        <is>
          <t>No</t>
        </is>
      </c>
      <c r="AA10" s="242" t="inlineStr">
        <is>
          <t>No</t>
        </is>
      </c>
      <c r="AB10" s="241" t="inlineStr">
        <is>
          <t>Yes</t>
        </is>
      </c>
      <c r="AC10" s="239" t="inlineStr">
        <is>
          <t>SUBJECT</t>
        </is>
      </c>
      <c r="AD10" s="253" t="inlineStr">
        <is>
          <t>112 units | LIHTC property. Year built: 2001.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252" t="inlineStr">
        <is>
          <t>AFFORDABLE</t>
        </is>
      </c>
      <c r="C11" s="253" t="inlineStr">
        <is>
          <t>Villas Of Hickory Estates</t>
        </is>
      </c>
      <c r="D11" s="254" t="inlineStr">
        <is>
          <t>3211 Hickory Tree Rd</t>
        </is>
      </c>
      <c r="E11" s="116" t="inlineStr">
        <is>
          <t>Balch Springs</t>
        </is>
      </c>
      <c r="F11" s="116" t="inlineStr">
        <is>
          <t>TX</t>
        </is>
      </c>
      <c r="G11" s="116" t="inlineStr">
        <is>
          <t>75180</t>
        </is>
      </c>
      <c r="H11" s="116" t="inlineStr">
        <is>
          <t>27.4 mi</t>
        </is>
      </c>
      <c r="I11" s="116" t="inlineStr">
        <is>
          <t>$3,668</t>
        </is>
      </c>
      <c r="J11" s="116" t="inlineStr">
        <is>
          <t>$4,402</t>
        </is>
      </c>
      <c r="K11" s="116" t="inlineStr">
        <is>
          <t>$1,411</t>
        </is>
      </c>
      <c r="L11" s="116" t="inlineStr">
        <is>
          <t>Not Listed</t>
        </is>
      </c>
      <c r="M11" s="255" t="inlineStr">
        <is>
          <t>$4,400</t>
        </is>
      </c>
      <c r="N11" s="116" t="inlineStr">
        <is>
          <t>$5,280</t>
        </is>
      </c>
      <c r="O11" s="116" t="inlineStr">
        <is>
          <t>$1,931</t>
        </is>
      </c>
      <c r="P11" s="116" t="inlineStr">
        <is>
          <t>Not Listed</t>
        </is>
      </c>
      <c r="Q11" s="255" t="inlineStr">
        <is>
          <t>$4,887</t>
        </is>
      </c>
      <c r="R11" s="116" t="inlineStr">
        <is>
          <t>$5,865</t>
        </is>
      </c>
      <c r="S11" s="116" t="inlineStr">
        <is>
          <t>$2,431</t>
        </is>
      </c>
      <c r="T11" s="116" t="inlineStr">
        <is>
          <t>Not Listed</t>
        </is>
      </c>
      <c r="U11" s="255" t="inlineStr">
        <is>
          <t>128</t>
        </is>
      </c>
      <c r="V11" s="116" t="inlineStr">
        <is>
          <t>2001</t>
        </is>
      </c>
      <c r="W11" s="116" t="inlineStr">
        <is>
          <t>0</t>
        </is>
      </c>
      <c r="X11" s="116" t="inlineStr">
        <is>
          <t>Yes</t>
        </is>
      </c>
      <c r="Y11" s="256" t="inlineStr">
        <is>
          <t>No</t>
        </is>
      </c>
      <c r="Z11" s="256" t="inlineStr">
        <is>
          <t>No</t>
        </is>
      </c>
      <c r="AA11" s="256" t="inlineStr">
        <is>
          <t>No</t>
        </is>
      </c>
      <c r="AB11" s="256" t="inlineStr">
        <is>
          <t>No</t>
        </is>
      </c>
      <c r="AC11" s="116" t="inlineStr">
        <is>
          <t>MODERATE-HIGH</t>
        </is>
      </c>
      <c r="AD11" s="253" t="inlineStr">
        <is>
          <t>Affordable Comp #1: LIHTC property, 2001 vintage (0 yr diff), 128 units, 27.4 mi from subject. Same income-eligible renter pool.</t>
        </is>
      </c>
      <c r="AE11" s="257" t="inlineStr">
        <is>
          <t>HUD LIHTC Database (huduser.gov)</t>
        </is>
      </c>
      <c r="AF11" s="258" t="n"/>
    </row>
    <row r="12" ht="21.75" customFormat="1" customHeight="1" s="3">
      <c r="B12" s="252" t="inlineStr">
        <is>
          <t>AFFORDABLE</t>
        </is>
      </c>
      <c r="C12" s="253" t="inlineStr">
        <is>
          <t>Ryans Crossing (Pemberton Place)</t>
        </is>
      </c>
      <c r="D12" s="254" t="inlineStr">
        <is>
          <t>1509 Mlk Jr Blvd</t>
        </is>
      </c>
      <c r="E12" s="116" t="inlineStr">
        <is>
          <t>Marshall</t>
        </is>
      </c>
      <c r="F12" s="116" t="inlineStr">
        <is>
          <t>TX</t>
        </is>
      </c>
      <c r="G12" s="116" t="n"/>
      <c r="H12" s="116" t="inlineStr">
        <is>
          <t>N/A</t>
        </is>
      </c>
      <c r="I12" s="116" t="inlineStr">
        <is>
          <t>$3,668</t>
        </is>
      </c>
      <c r="J12" s="116" t="inlineStr">
        <is>
          <t>$4,402</t>
        </is>
      </c>
      <c r="K12" s="116" t="inlineStr">
        <is>
          <t>$1,411</t>
        </is>
      </c>
      <c r="L12" s="116" t="inlineStr">
        <is>
          <t>$867</t>
        </is>
      </c>
      <c r="M12" s="255" t="inlineStr">
        <is>
          <t>$4,400</t>
        </is>
      </c>
      <c r="N12" s="116" t="inlineStr">
        <is>
          <t>$5,280</t>
        </is>
      </c>
      <c r="O12" s="116" t="inlineStr">
        <is>
          <t>$1,931</t>
        </is>
      </c>
      <c r="P12" s="116" t="inlineStr">
        <is>
          <t>$1,101</t>
        </is>
      </c>
      <c r="Q12" s="255" t="inlineStr">
        <is>
          <t>$4,887</t>
        </is>
      </c>
      <c r="R12" s="116" t="inlineStr">
        <is>
          <t>$5,865</t>
        </is>
      </c>
      <c r="S12" s="116" t="inlineStr">
        <is>
          <t>$2,431</t>
        </is>
      </c>
      <c r="T12" s="116" t="inlineStr">
        <is>
          <t>$1,221</t>
        </is>
      </c>
      <c r="U12" s="255" t="inlineStr">
        <is>
          <t>112</t>
        </is>
      </c>
      <c r="V12" s="116" t="inlineStr">
        <is>
          <t>2002</t>
        </is>
      </c>
      <c r="W12" s="116" t="inlineStr">
        <is>
          <t>1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MODERATE</t>
        </is>
      </c>
      <c r="AD12" s="253" t="inlineStr">
        <is>
          <t>Affordable Comp #2: LIHTC property, 2002 vintage (1 yr diff), 112 units, N/A from subject. Same income-eligible renter pool.</t>
        </is>
      </c>
      <c r="AE12" s="257" t="inlineStr">
        <is>
          <t>HUD LIHTC Database (huduser.gov)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May Road Apts</t>
        </is>
      </c>
      <c r="D13" s="254" t="inlineStr">
        <is>
          <t>1488 May Cir</t>
        </is>
      </c>
      <c r="E13" s="116" t="inlineStr">
        <is>
          <t>Seagoville</t>
        </is>
      </c>
      <c r="F13" s="116" t="inlineStr">
        <is>
          <t>TX</t>
        </is>
      </c>
      <c r="G13" s="116" t="n"/>
      <c r="H13" s="116" t="inlineStr">
        <is>
          <t>N/A</t>
        </is>
      </c>
      <c r="I13" s="116" t="inlineStr">
        <is>
          <t>$3,668</t>
        </is>
      </c>
      <c r="J13" s="116" t="inlineStr">
        <is>
          <t>$4,402</t>
        </is>
      </c>
      <c r="K13" s="116" t="inlineStr">
        <is>
          <t>$1,411</t>
        </is>
      </c>
      <c r="L13" s="116" t="inlineStr">
        <is>
          <t>Not Listed</t>
        </is>
      </c>
      <c r="M13" s="255" t="inlineStr">
        <is>
          <t>$4,400</t>
        </is>
      </c>
      <c r="N13" s="116" t="inlineStr">
        <is>
          <t>$5,280</t>
        </is>
      </c>
      <c r="O13" s="116" t="inlineStr">
        <is>
          <t>$1,931</t>
        </is>
      </c>
      <c r="P13" s="116" t="inlineStr">
        <is>
          <t>Not Listed</t>
        </is>
      </c>
      <c r="Q13" s="255" t="inlineStr">
        <is>
          <t>$4,887</t>
        </is>
      </c>
      <c r="R13" s="116" t="inlineStr">
        <is>
          <t>$5,865</t>
        </is>
      </c>
      <c r="S13" s="116" t="inlineStr">
        <is>
          <t>$2,431</t>
        </is>
      </c>
      <c r="T13" s="116" t="inlineStr">
        <is>
          <t>Not Listed</t>
        </is>
      </c>
      <c r="U13" s="255" t="inlineStr">
        <is>
          <t>81</t>
        </is>
      </c>
      <c r="V13" s="116" t="inlineStr">
        <is>
          <t>2001</t>
        </is>
      </c>
      <c r="W13" s="116" t="inlineStr">
        <is>
          <t>0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MODERATE</t>
        </is>
      </c>
      <c r="AD13" s="253" t="inlineStr">
        <is>
          <t>Affordable Comp #3: LIHTC property, 2001 vintage (0 yr diff), 81 units, N/A from subject. Same income-eligible renter pool.</t>
        </is>
      </c>
      <c r="AE13" s="257" t="inlineStr">
        <is>
          <t>HUD LIHTC Database (huduser.gov)</t>
        </is>
      </c>
      <c r="AF13" s="258" t="n"/>
    </row>
    <row r="14" ht="21.75" customFormat="1" customHeight="1" s="3">
      <c r="B14" s="252" t="inlineStr">
        <is>
          <t>AFFORDABLE</t>
        </is>
      </c>
      <c r="C14" s="253" t="inlineStr">
        <is>
          <t>Creekside Terrace Apts</t>
        </is>
      </c>
      <c r="D14" s="254" t="inlineStr">
        <is>
          <t>1000 E Burnett St</t>
        </is>
      </c>
      <c r="E14" s="116" t="inlineStr">
        <is>
          <t>Ennis</t>
        </is>
      </c>
      <c r="F14" s="116" t="inlineStr">
        <is>
          <t>TX</t>
        </is>
      </c>
      <c r="G14" s="116" t="inlineStr">
        <is>
          <t>75119</t>
        </is>
      </c>
      <c r="H14" s="116" t="inlineStr">
        <is>
          <t>0.7 mi</t>
        </is>
      </c>
      <c r="I14" s="116" t="inlineStr">
        <is>
          <t>$3,668</t>
        </is>
      </c>
      <c r="J14" s="116" t="inlineStr">
        <is>
          <t>$4,402</t>
        </is>
      </c>
      <c r="K14" s="116" t="inlineStr">
        <is>
          <t>$1,411</t>
        </is>
      </c>
      <c r="L14" s="116" t="inlineStr">
        <is>
          <t>$1,150</t>
        </is>
      </c>
      <c r="M14" s="255" t="inlineStr">
        <is>
          <t>$4,400</t>
        </is>
      </c>
      <c r="N14" s="116" t="inlineStr">
        <is>
          <t>$5,280</t>
        </is>
      </c>
      <c r="O14" s="116" t="inlineStr">
        <is>
          <t>$1,931</t>
        </is>
      </c>
      <c r="P14" s="116" t="inlineStr">
        <is>
          <t>$1,270</t>
        </is>
      </c>
      <c r="Q14" s="255" t="inlineStr">
        <is>
          <t>$4,887</t>
        </is>
      </c>
      <c r="R14" s="116" t="inlineStr">
        <is>
          <t>$5,865</t>
        </is>
      </c>
      <c r="S14" s="116" t="inlineStr">
        <is>
          <t>$2,431</t>
        </is>
      </c>
      <c r="T14" s="116" t="inlineStr">
        <is>
          <t>$1,450</t>
        </is>
      </c>
      <c r="U14" s="255" t="inlineStr">
        <is>
          <t>80</t>
        </is>
      </c>
      <c r="V14" s="116" t="inlineStr">
        <is>
          <t>1998</t>
        </is>
      </c>
      <c r="W14" s="116" t="inlineStr">
        <is>
          <t>3</t>
        </is>
      </c>
      <c r="X14" s="116" t="inlineStr">
        <is>
          <t>Yes</t>
        </is>
      </c>
      <c r="Y14" s="256" t="inlineStr">
        <is>
          <t>No</t>
        </is>
      </c>
      <c r="Z14" s="256" t="inlineStr">
        <is>
          <t>No</t>
        </is>
      </c>
      <c r="AA14" s="256" t="inlineStr">
        <is>
          <t>No</t>
        </is>
      </c>
      <c r="AB14" s="256" t="inlineStr">
        <is>
          <t>No</t>
        </is>
      </c>
      <c r="AC14" s="116" t="inlineStr">
        <is>
          <t>HIGH</t>
        </is>
      </c>
      <c r="AD14" s="253" t="inlineStr">
        <is>
          <t>Affordable Comp #4: LIHTC property, 1998 vintage (3 yr diff), 80 units, 0.7 mi from subject. Same income-eligible renter pool.</t>
        </is>
      </c>
      <c r="AE14" s="257" t="inlineStr">
        <is>
          <t>HUD LIHTC Database (huduser.gov)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Silverton Village</t>
        </is>
      </c>
      <c r="D15" s="254" t="inlineStr">
        <is>
          <t>3700 Fm-85</t>
        </is>
      </c>
      <c r="E15" s="116" t="inlineStr">
        <is>
          <t>Ennis</t>
        </is>
      </c>
      <c r="F15" s="116" t="inlineStr">
        <is>
          <t>TX</t>
        </is>
      </c>
      <c r="G15" s="116" t="inlineStr">
        <is>
          <t>75119</t>
        </is>
      </c>
      <c r="H15" s="116" t="inlineStr">
        <is>
          <t>1.2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$1,411</t>
        </is>
      </c>
      <c r="L15" s="116" t="inlineStr">
        <is>
          <t>$867</t>
        </is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384" t="n">
        <v>1497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N/A (Market Rate)</t>
        </is>
      </c>
      <c r="T15" s="384" t="n">
        <v>1725</v>
      </c>
      <c r="U15" s="255" t="inlineStr">
        <is>
          <t>100</t>
        </is>
      </c>
      <c r="V15" s="116" t="inlineStr">
        <is>
          <t>2003</t>
        </is>
      </c>
      <c r="W15" s="116" t="inlineStr">
        <is>
          <t>2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53" t="inlineStr">
        <is>
          <t>Market Rate Comp #1: No income restrictions, 2003 vintage (2 yr diff), 100 units, 1.8 mi from subject. Shows market-rate rents vs. affordable housing discount.</t>
        </is>
      </c>
      <c r="AE15" s="257" t="inlineStr">
        <is>
          <t>https://www.rentcafe.com/apartments-for-rent/us/tx/ennis/ryans-crossing/</t>
        </is>
      </c>
      <c r="AF15" s="258" t="n"/>
    </row>
    <row r="16" ht="21.75" customFormat="1" customHeight="1" s="3">
      <c r="B16" s="252" t="inlineStr">
        <is>
          <t>MARKET RATE</t>
        </is>
      </c>
      <c r="C16" s="253" t="inlineStr">
        <is>
          <t>The Willows</t>
        </is>
      </c>
      <c r="D16" s="254" t="inlineStr">
        <is>
          <t>2300 Yorkstown Dr</t>
        </is>
      </c>
      <c r="E16" s="116" t="inlineStr">
        <is>
          <t>Ennis</t>
        </is>
      </c>
      <c r="F16" s="116" t="inlineStr">
        <is>
          <t>TX</t>
        </is>
      </c>
      <c r="G16" s="116" t="inlineStr">
        <is>
          <t>75119</t>
        </is>
      </c>
      <c r="H16" s="116" t="inlineStr">
        <is>
          <t>0.8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1074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1424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$2,431</t>
        </is>
      </c>
      <c r="T16" s="116" t="inlineStr">
        <is>
          <t>$1,375</t>
        </is>
      </c>
      <c r="U16" s="255" t="inlineStr">
        <is>
          <t>88</t>
        </is>
      </c>
      <c r="V16" s="116" t="inlineStr">
        <is>
          <t>2000</t>
        </is>
      </c>
      <c r="W16" s="116" t="inlineStr">
        <is>
          <t>1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53" t="inlineStr">
        <is>
          <t>Market Rate Comp #2: No income restrictions, 2000 vintage (1 yr diff), 88 units, 12.5 mi from subject. Shows market-rate rents vs. affordable housing discount.</t>
        </is>
      </c>
      <c r="AE16" s="257" t="inlineStr">
        <is>
          <t>https://www.rentcafe.com/apartments-for-rent/us/tx/waxahachie/</t>
        </is>
      </c>
      <c r="AF16" s="258" t="n"/>
    </row>
    <row r="17" ht="21.75" customFormat="1" customHeight="1" s="3">
      <c r="B17" s="252" t="inlineStr">
        <is>
          <t>MARKET RATE</t>
        </is>
      </c>
      <c r="C17" s="253" t="inlineStr">
        <is>
          <t>Spyglass of Ennis</t>
        </is>
      </c>
      <c r="D17" s="254" t="inlineStr">
        <is>
          <t>1803 W Ennis Ave</t>
        </is>
      </c>
      <c r="E17" s="116" t="inlineStr">
        <is>
          <t>Ennis</t>
        </is>
      </c>
      <c r="F17" s="116" t="inlineStr">
        <is>
          <t>TX</t>
        </is>
      </c>
      <c r="G17" s="116" t="inlineStr">
        <is>
          <t>75119</t>
        </is>
      </c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1304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1559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$2,431</t>
        </is>
      </c>
      <c r="T17" s="116" t="inlineStr">
        <is>
          <t>$1,325</t>
        </is>
      </c>
      <c r="U17" s="255" t="inlineStr">
        <is>
          <t>72</t>
        </is>
      </c>
      <c r="V17" s="116" t="inlineStr">
        <is>
          <t>1999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MODERATE-HIGH</t>
        </is>
      </c>
      <c r="AD17" s="253" t="inlineStr">
        <is>
          <t>Market Rate Comp #3: No income restrictions, 1999 vintage (2 yr diff), 72 units, 28.0 mi from subject. Shows market-rate rents vs. affordable housing discount.</t>
        </is>
      </c>
      <c r="AE17" s="257" t="inlineStr">
        <is>
          <t>https://www.rentcafe.com/apartments-for-rent/us/tx/corsicana/</t>
        </is>
      </c>
      <c r="AF17" s="258" t="n"/>
    </row>
    <row r="18" ht="21.75" customFormat="1" customHeight="1" s="3">
      <c r="B18" s="252" t="inlineStr">
        <is>
          <t>MARKET RATE</t>
        </is>
      </c>
      <c r="C18" s="253" t="inlineStr">
        <is>
          <t>Townhouse Apartments</t>
        </is>
      </c>
      <c r="D18" s="254" t="inlineStr">
        <is>
          <t>1001 Biloxi Dr</t>
        </is>
      </c>
      <c r="E18" s="116" t="inlineStr">
        <is>
          <t>Ennis</t>
        </is>
      </c>
      <c r="F18" s="116" t="inlineStr">
        <is>
          <t>TX</t>
        </is>
      </c>
      <c r="G18" s="116" t="inlineStr">
        <is>
          <t>75119</t>
        </is>
      </c>
      <c r="H18" s="116" t="inlineStr">
        <is>
          <t>0.9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1014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1505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$2,431</t>
        </is>
      </c>
      <c r="T18" s="116" t="inlineStr">
        <is>
          <t>$1,400</t>
        </is>
      </c>
      <c r="U18" s="255" t="inlineStr">
        <is>
          <t>80</t>
        </is>
      </c>
      <c r="V18" s="116" t="inlineStr">
        <is>
          <t>2002</t>
        </is>
      </c>
      <c r="W18" s="116" t="inlineStr">
        <is>
          <t>1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MODERATE-HIGH</t>
        </is>
      </c>
      <c r="AD18" s="253" t="inlineStr">
        <is>
          <t>Market Rate Comp #4: No income restrictions, 2002 vintage (1 yr diff), 80 units, 18.0 mi from subject. Shows market-rate rents vs. affordable housing discount.</t>
        </is>
      </c>
      <c r="AE18" s="257" t="inlineStr">
        <is>
          <t>https://www.rentcafe.com/apartments-for-rent/us/tx/midlothian/</t>
        </is>
      </c>
      <c r="AF18" s="258" t="n"/>
    </row>
    <row r="19" ht="21.75" customFormat="1" customHeight="1" s="3">
      <c r="B19" s="252" t="inlineStr">
        <is>
          <t>MARKET RATE</t>
        </is>
      </c>
      <c r="C19" s="253" t="inlineStr">
        <is>
          <t>Emerald Garden Apartments</t>
        </is>
      </c>
      <c r="D19" s="254" t="inlineStr">
        <is>
          <t>901 N I-45</t>
        </is>
      </c>
      <c r="E19" s="116" t="inlineStr">
        <is>
          <t>Ennis</t>
        </is>
      </c>
      <c r="F19" s="116" t="inlineStr">
        <is>
          <t>TX</t>
        </is>
      </c>
      <c r="G19" s="116" t="inlineStr">
        <is>
          <t>75119</t>
        </is>
      </c>
      <c r="H19" s="116" t="inlineStr">
        <is>
          <t>1.1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1025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1150</v>
      </c>
      <c r="Q19" s="255" t="inlineStr">
        <is>
          <t>N/A (Market Rate)</t>
        </is>
      </c>
      <c r="R19" s="116" t="inlineStr">
        <is>
          <t>N/A (Market Rate)</t>
        </is>
      </c>
      <c r="S19" s="116" t="inlineStr">
        <is>
          <t>N/A (Market Rate)</t>
        </is>
      </c>
      <c r="T19" s="384" t="n">
        <v>1600</v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57" t="inlineStr">
        <is>
          <t>HUD FMR Database (huduser.gov)</t>
        </is>
      </c>
      <c r="AF19" s="258" t="n"/>
    </row>
    <row r="20" ht="21.75" customFormat="1" customHeight="1" s="3">
      <c r="B20" s="252" t="inlineStr">
        <is>
          <t>MARKET RATE</t>
        </is>
      </c>
      <c r="C20" s="253" t="inlineStr">
        <is>
          <t>Ennis Place Apartments</t>
        </is>
      </c>
      <c r="D20" s="254" t="inlineStr">
        <is>
          <t>2000 N Kaufman St</t>
        </is>
      </c>
      <c r="E20" s="116" t="inlineStr">
        <is>
          <t>Ennis</t>
        </is>
      </c>
      <c r="F20" s="116" t="inlineStr">
        <is>
          <t>TX</t>
        </is>
      </c>
      <c r="G20" s="116" t="inlineStr">
        <is>
          <t>75119</t>
        </is>
      </c>
      <c r="H20" s="116" t="inlineStr">
        <is>
          <t>0.7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84" t="n">
        <v>999</v>
      </c>
      <c r="M20" s="255" t="inlineStr">
        <is>
          <t>$2,124</t>
        </is>
      </c>
      <c r="N20" s="116" t="inlineStr">
        <is>
          <t>$2,124</t>
        </is>
      </c>
      <c r="O20" s="116" t="inlineStr">
        <is>
          <t>$2,124</t>
        </is>
      </c>
      <c r="P20" s="116" t="inlineStr">
        <is>
          <t>N/A</t>
        </is>
      </c>
      <c r="Q20" s="255" t="inlineStr">
        <is>
          <t>$2,674</t>
        </is>
      </c>
      <c r="R20" s="116" t="inlineStr">
        <is>
          <t>$2,674</t>
        </is>
      </c>
      <c r="S20" s="116" t="inlineStr">
        <is>
          <t>$2,674</t>
        </is>
      </c>
      <c r="T20" s="116" t="inlineStr">
        <is>
          <t>N/A</t>
        </is>
      </c>
      <c r="U20" s="25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53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57" t="inlineStr">
        <is>
          <t>HUD FMR + Market Estimate</t>
        </is>
      </c>
      <c r="AF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1198</v>
      </c>
      <c r="D27" s="376" t="n">
        <v>1047</v>
      </c>
      <c r="E27" s="381" t="n">
        <v>151</v>
      </c>
    </row>
    <row r="28" ht="20.25" customFormat="1" customHeight="1" s="3">
      <c r="B28" s="272" t="inlineStr">
        <is>
          <t>2BD</t>
        </is>
      </c>
      <c r="C28" s="375" t="n">
        <v>1430</v>
      </c>
      <c r="D28" s="376" t="n">
        <v>1427</v>
      </c>
      <c r="E28" s="381" t="n">
        <v>3</v>
      </c>
    </row>
    <row r="29" ht="20.25" customFormat="1" customHeight="1" s="3">
      <c r="B29" s="272" t="inlineStr">
        <is>
          <t>3BD</t>
        </is>
      </c>
      <c r="C29" s="375" t="n">
        <v>1656</v>
      </c>
      <c r="D29" s="376" t="n">
        <v>1485</v>
      </c>
      <c r="E29" s="381" t="n">
        <v>171</v>
      </c>
    </row>
    <row r="30" ht="20.25" customFormat="1" customHeight="1" s="3">
      <c r="B30" s="272" t="inlineStr">
        <is>
          <t>1BD</t>
        </is>
      </c>
      <c r="C30" s="375" t="n">
        <v>1198</v>
      </c>
      <c r="D30" s="376" t="n">
        <v>1198</v>
      </c>
      <c r="E30" s="381" t="n">
        <v>0</v>
      </c>
    </row>
    <row r="31" ht="20.25" customFormat="1" customHeight="1" s="3">
      <c r="B31" s="272" t="inlineStr">
        <is>
          <t>2BD</t>
        </is>
      </c>
      <c r="C31" s="375" t="n">
        <v>1430</v>
      </c>
      <c r="D31" s="376" t="n">
        <v>1430</v>
      </c>
      <c r="E31" s="381" t="n">
        <v>0</v>
      </c>
    </row>
    <row r="32" ht="20.25" customFormat="1" customHeight="1" s="3">
      <c r="B32" s="272" t="inlineStr">
        <is>
          <t>3BD</t>
        </is>
      </c>
      <c r="C32" s="375" t="n">
        <v>1656</v>
      </c>
      <c r="D32" s="376" t="n">
        <v>1645</v>
      </c>
      <c r="E32" s="381" t="n">
        <v>11</v>
      </c>
    </row>
    <row r="33" ht="20.25" customFormat="1" customHeight="1" s="3">
      <c r="B33" s="272" t="inlineStr">
        <is>
          <t>1BD</t>
        </is>
      </c>
      <c r="C33" s="375" t="n">
        <v>1198</v>
      </c>
      <c r="D33" s="376" t="n">
        <v>1198</v>
      </c>
      <c r="E33" s="381" t="n">
        <v>0</v>
      </c>
    </row>
    <row r="34" ht="20.25" customFormat="1" customHeight="1" s="3">
      <c r="B34" s="272" t="inlineStr">
        <is>
          <t>2BD</t>
        </is>
      </c>
      <c r="C34" s="375" t="n">
        <v>1430</v>
      </c>
      <c r="D34" s="376" t="n">
        <v>1430</v>
      </c>
      <c r="E34" s="381" t="n">
        <v>0</v>
      </c>
    </row>
    <row r="35" ht="20.25" customFormat="1" customHeight="1" s="3">
      <c r="B35" s="272" t="inlineStr">
        <is>
          <t>3BD</t>
        </is>
      </c>
      <c r="C35" s="375" t="n">
        <v>1656</v>
      </c>
      <c r="D35" s="376" t="n">
        <v>1645</v>
      </c>
      <c r="E35" s="381" t="n">
        <v>11</v>
      </c>
    </row>
    <row r="36" ht="20.25" customFormat="1" customHeight="1" s="3">
      <c r="B36" s="272" t="inlineStr">
        <is>
          <t>1BD</t>
        </is>
      </c>
      <c r="C36" s="375" t="n">
        <v>1198</v>
      </c>
      <c r="D36" s="376" t="n">
        <v>1248</v>
      </c>
      <c r="E36" s="377" t="n">
        <v>-50</v>
      </c>
    </row>
    <row r="37" ht="20.25" customFormat="1" customHeight="1" s="3">
      <c r="B37" s="272" t="inlineStr">
        <is>
          <t>2BD</t>
        </is>
      </c>
      <c r="C37" s="375" t="n">
        <v>1430</v>
      </c>
      <c r="D37" s="376" t="n">
        <v>1463</v>
      </c>
      <c r="E37" s="377" t="n">
        <v>-33</v>
      </c>
    </row>
    <row r="38" ht="20.25" customFormat="1" customHeight="1" s="3">
      <c r="B38" s="272" t="inlineStr">
        <is>
          <t>3BD</t>
        </is>
      </c>
      <c r="C38" s="375" t="n">
        <v>1656</v>
      </c>
      <c r="D38" s="376" t="n">
        <v>1798</v>
      </c>
      <c r="E38" s="377" t="n">
        <v>-142</v>
      </c>
    </row>
    <row r="41" ht="18" customFormat="1" customHeight="1" s="3">
      <c r="B41" s="270" t="inlineStr">
        <is>
          <t>PMTS — Vouchers / FMR / UAP / NET</t>
        </is>
      </c>
      <c r="C41" s="294" t="n"/>
      <c r="D41" s="294" t="n"/>
      <c r="E41" s="294" t="n"/>
      <c r="F41" s="294" t="n"/>
      <c r="G41" s="294" t="n"/>
      <c r="H41" s="295" t="n"/>
    </row>
    <row r="42" ht="15.75" customFormat="1" customHeight="1" s="3">
      <c r="C42" s="378">
        <f>'Current Rents'!D18</f>
        <v/>
      </c>
      <c r="D42" s="271" t="inlineStr">
        <is>
          <t>VCH</t>
        </is>
      </c>
      <c r="E42" s="271" t="inlineStr">
        <is>
          <t>FMR</t>
        </is>
      </c>
      <c r="F42" s="271" t="inlineStr">
        <is>
          <t>UAP</t>
        </is>
      </c>
      <c r="G42" s="271" t="inlineStr">
        <is>
          <t>NET</t>
        </is>
      </c>
    </row>
    <row r="43" ht="20.25" customFormat="1" customHeight="1" s="3">
      <c r="B43" s="272" t="inlineStr">
        <is>
          <t>1BD</t>
        </is>
      </c>
      <c r="C43" s="292">
        <f>'Current Rents'!E18</f>
        <v/>
      </c>
      <c r="D43" s="382" t="n">
        <v>1198</v>
      </c>
      <c r="E43" s="379" t="n">
        <v>1290</v>
      </c>
      <c r="F43" s="380" t="n">
        <v>157</v>
      </c>
      <c r="G43" s="292" t="n">
        <v>1133</v>
      </c>
    </row>
    <row r="44" ht="20.25" customFormat="1" customHeight="1" s="3">
      <c r="B44" s="272" t="inlineStr">
        <is>
          <t>2BD</t>
        </is>
      </c>
      <c r="C44" s="292">
        <f>'Current Rents'!F18</f>
        <v/>
      </c>
      <c r="D44" s="382" t="n">
        <v>1430</v>
      </c>
      <c r="E44" s="379" t="n">
        <v>1520</v>
      </c>
      <c r="F44" s="380" t="n">
        <v>196</v>
      </c>
      <c r="G44" s="292" t="n">
        <v>1324</v>
      </c>
    </row>
    <row r="45" ht="20.25" customFormat="1" customHeight="1" s="3">
      <c r="B45" s="272" t="inlineStr">
        <is>
          <t>3BD</t>
        </is>
      </c>
      <c r="C45" s="292" t="n">
        <v>1656</v>
      </c>
      <c r="D45" s="382" t="n">
        <v>1645</v>
      </c>
      <c r="E45" s="379" t="n">
        <v>1900</v>
      </c>
      <c r="F45" s="380" t="n">
        <v>233</v>
      </c>
      <c r="G45" s="292" t="n">
        <v>1667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46 - Grove Park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Grove Park Terrace (SUBJECT)</t>
        </is>
      </c>
      <c r="D10" s="285" t="inlineStr">
        <is>
          <t>400 Peters St</t>
        </is>
      </c>
      <c r="E10" s="239" t="inlineStr">
        <is>
          <t>Waxahachie</t>
        </is>
      </c>
      <c r="F10" s="239" t="inlineStr">
        <is>
          <t>TX</t>
        </is>
      </c>
      <c r="G10" s="239" t="inlineStr">
        <is>
          <t>75165</t>
        </is>
      </c>
      <c r="H10" s="239" t="inlineStr">
        <is>
          <t>0.0 mi</t>
        </is>
      </c>
      <c r="I10" s="239" t="inlineStr">
        <is>
          <t>$3,668</t>
        </is>
      </c>
      <c r="J10" s="239" t="inlineStr">
        <is>
          <t>$4,402</t>
        </is>
      </c>
      <c r="K10" s="239" t="inlineStr">
        <is>
          <t>$1,411</t>
        </is>
      </c>
      <c r="L10" s="239">
        <f>B29</f>
        <v/>
      </c>
      <c r="M10" s="255" t="inlineStr">
        <is>
          <t>$4,400</t>
        </is>
      </c>
      <c r="N10" s="239" t="inlineStr">
        <is>
          <t>$5,280</t>
        </is>
      </c>
      <c r="O10" s="239" t="inlineStr">
        <is>
          <t>$1,931</t>
        </is>
      </c>
      <c r="P10" s="239">
        <f>B30</f>
        <v/>
      </c>
      <c r="Q10" s="255" t="inlineStr">
        <is>
          <t>$4,887</t>
        </is>
      </c>
      <c r="R10" s="239" t="inlineStr">
        <is>
          <t>$5,865</t>
        </is>
      </c>
      <c r="S10" s="239" t="inlineStr">
        <is>
          <t>$2,431</t>
        </is>
      </c>
      <c r="T10" s="239">
        <f>B31</f>
        <v/>
      </c>
      <c r="U10" s="255" t="inlineStr">
        <is>
          <t>60</t>
        </is>
      </c>
      <c r="V10" s="239" t="inlineStr">
        <is>
          <t>1998</t>
        </is>
      </c>
      <c r="W10" s="239" t="inlineStr">
        <is>
          <t>0</t>
        </is>
      </c>
      <c r="X10" s="239" t="inlineStr">
        <is>
          <t>Partial</t>
        </is>
      </c>
      <c r="Y10" s="242" t="inlineStr">
        <is>
          <t>No</t>
        </is>
      </c>
      <c r="Z10" s="242" t="inlineStr">
        <is>
          <t>No</t>
        </is>
      </c>
      <c r="AA10" s="242" t="inlineStr">
        <is>
          <t>No</t>
        </is>
      </c>
      <c r="AB10" s="242" t="inlineStr">
        <is>
          <t>No</t>
        </is>
      </c>
      <c r="AC10" s="239" t="inlineStr">
        <is>
          <t>SUBJECT</t>
        </is>
      </c>
      <c r="AD10" s="253" t="inlineStr">
        <is>
          <t>60 units | Layered HUD/LIHTC property. Year built: 1998.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252" t="inlineStr">
        <is>
          <t>AFFORDABLE</t>
        </is>
      </c>
      <c r="C11" s="253" t="inlineStr">
        <is>
          <t>Lexington Arms</t>
        </is>
      </c>
      <c r="D11" s="254" t="inlineStr">
        <is>
          <t>418 Lexington Dr</t>
        </is>
      </c>
      <c r="E11" s="116" t="inlineStr">
        <is>
          <t>Waxahachie</t>
        </is>
      </c>
      <c r="F11" s="116" t="inlineStr">
        <is>
          <t>TX</t>
        </is>
      </c>
      <c r="G11" s="116" t="inlineStr">
        <is>
          <t>75165</t>
        </is>
      </c>
      <c r="H11" s="116" t="inlineStr">
        <is>
          <t>1.6 mi</t>
        </is>
      </c>
      <c r="I11" s="116" t="inlineStr">
        <is>
          <t>$3,668</t>
        </is>
      </c>
      <c r="J11" s="116" t="inlineStr">
        <is>
          <t>$4,402</t>
        </is>
      </c>
      <c r="K11" s="116" t="inlineStr">
        <is>
          <t>$1,411</t>
        </is>
      </c>
      <c r="L11" s="116" t="inlineStr">
        <is>
          <t>Not Listed</t>
        </is>
      </c>
      <c r="M11" s="255" t="inlineStr">
        <is>
          <t>$4,400</t>
        </is>
      </c>
      <c r="N11" s="116" t="inlineStr">
        <is>
          <t>$5,280</t>
        </is>
      </c>
      <c r="O11" s="116" t="inlineStr">
        <is>
          <t>$1,931</t>
        </is>
      </c>
      <c r="P11" s="116" t="inlineStr">
        <is>
          <t>Not Listed</t>
        </is>
      </c>
      <c r="Q11" s="255" t="inlineStr">
        <is>
          <t>$4,887</t>
        </is>
      </c>
      <c r="R11" s="116" t="inlineStr">
        <is>
          <t>$5,865</t>
        </is>
      </c>
      <c r="S11" s="116" t="inlineStr">
        <is>
          <t>$2,431</t>
        </is>
      </c>
      <c r="T11" s="116" t="inlineStr">
        <is>
          <t>Not Listed</t>
        </is>
      </c>
      <c r="U11" s="255" t="inlineStr">
        <is>
          <t>61</t>
        </is>
      </c>
      <c r="V11" s="116" t="inlineStr">
        <is>
          <t>1997</t>
        </is>
      </c>
      <c r="W11" s="116" t="inlineStr">
        <is>
          <t>1</t>
        </is>
      </c>
      <c r="X11" s="116" t="inlineStr">
        <is>
          <t>Yes</t>
        </is>
      </c>
      <c r="Y11" s="256" t="inlineStr">
        <is>
          <t>No</t>
        </is>
      </c>
      <c r="Z11" s="256" t="inlineStr">
        <is>
          <t>No</t>
        </is>
      </c>
      <c r="AA11" s="256" t="inlineStr">
        <is>
          <t>No</t>
        </is>
      </c>
      <c r="AB11" s="256" t="inlineStr">
        <is>
          <t>No</t>
        </is>
      </c>
      <c r="AC11" s="116" t="inlineStr">
        <is>
          <t>HIGH</t>
        </is>
      </c>
      <c r="AD11" s="253" t="inlineStr">
        <is>
          <t>Affordable Comp #1: LIHTC property, 1997 vintage (1 yr diff), 61 units, 1.6 mi from subject. Same income-eligible renter pool.</t>
        </is>
      </c>
      <c r="AE11" s="257" t="inlineStr">
        <is>
          <t>HUD LIHTC Database (huduser.gov)</t>
        </is>
      </c>
      <c r="AF11" s="258" t="n"/>
    </row>
    <row r="12" ht="21.75" customFormat="1" customHeight="1" s="3">
      <c r="B12" s="252" t="inlineStr">
        <is>
          <t>AFFORDABLE</t>
        </is>
      </c>
      <c r="C12" s="253" t="inlineStr">
        <is>
          <t>Creekside Terrace Apts</t>
        </is>
      </c>
      <c r="D12" s="254" t="inlineStr">
        <is>
          <t>1000 E Burnett St</t>
        </is>
      </c>
      <c r="E12" s="116" t="inlineStr">
        <is>
          <t>Ennis</t>
        </is>
      </c>
      <c r="F12" s="116" t="inlineStr">
        <is>
          <t>TX</t>
        </is>
      </c>
      <c r="G12" s="116" t="inlineStr">
        <is>
          <t>75119</t>
        </is>
      </c>
      <c r="H12" s="116" t="inlineStr">
        <is>
          <t>14.3 mi</t>
        </is>
      </c>
      <c r="I12" s="116" t="inlineStr">
        <is>
          <t>$3,668</t>
        </is>
      </c>
      <c r="J12" s="116" t="inlineStr">
        <is>
          <t>$4,402</t>
        </is>
      </c>
      <c r="K12" s="116" t="inlineStr">
        <is>
          <t>$1,411</t>
        </is>
      </c>
      <c r="L12" s="116" t="inlineStr">
        <is>
          <t>$1,150</t>
        </is>
      </c>
      <c r="M12" s="255" t="inlineStr">
        <is>
          <t>$4,400</t>
        </is>
      </c>
      <c r="N12" s="116" t="inlineStr">
        <is>
          <t>$5,280</t>
        </is>
      </c>
      <c r="O12" s="116" t="inlineStr">
        <is>
          <t>$1,931</t>
        </is>
      </c>
      <c r="P12" s="116" t="inlineStr">
        <is>
          <t>$1,270</t>
        </is>
      </c>
      <c r="Q12" s="255" t="inlineStr">
        <is>
          <t>$4,887</t>
        </is>
      </c>
      <c r="R12" s="116" t="inlineStr">
        <is>
          <t>$5,865</t>
        </is>
      </c>
      <c r="S12" s="116" t="inlineStr">
        <is>
          <t>$2,431</t>
        </is>
      </c>
      <c r="T12" s="116" t="inlineStr">
        <is>
          <t>$1,450</t>
        </is>
      </c>
      <c r="U12" s="255" t="inlineStr">
        <is>
          <t>80</t>
        </is>
      </c>
      <c r="V12" s="116" t="inlineStr">
        <is>
          <t>1998</t>
        </is>
      </c>
      <c r="W12" s="116" t="inlineStr">
        <is>
          <t>0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HIGH</t>
        </is>
      </c>
      <c r="AD12" s="253" t="inlineStr">
        <is>
          <t>Affordable Comp #2: LIHTC property, 1998 vintage (0 yr diff), 80 units, 14.3 mi from subject. Same income-eligible renter pool.</t>
        </is>
      </c>
      <c r="AE12" s="257" t="inlineStr">
        <is>
          <t>HUD LIHTC Database (huduser.gov)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Breckenridge Village</t>
        </is>
      </c>
      <c r="D13" s="254" t="inlineStr">
        <is>
          <t>2001A Floyd St</t>
        </is>
      </c>
      <c r="E13" s="116" t="inlineStr">
        <is>
          <t>Ennis</t>
        </is>
      </c>
      <c r="F13" s="116" t="inlineStr">
        <is>
          <t>TX</t>
        </is>
      </c>
      <c r="G13" s="116" t="inlineStr">
        <is>
          <t>75119</t>
        </is>
      </c>
      <c r="H13" s="116" t="inlineStr">
        <is>
          <t>12.8 mi</t>
        </is>
      </c>
      <c r="I13" s="116" t="inlineStr">
        <is>
          <t>$3,668</t>
        </is>
      </c>
      <c r="J13" s="116" t="inlineStr">
        <is>
          <t>$4,402</t>
        </is>
      </c>
      <c r="K13" s="116" t="inlineStr">
        <is>
          <t>$1,411</t>
        </is>
      </c>
      <c r="L13" s="116" t="inlineStr">
        <is>
          <t>Not Listed</t>
        </is>
      </c>
      <c r="M13" s="255" t="inlineStr">
        <is>
          <t>$4,400</t>
        </is>
      </c>
      <c r="N13" s="116" t="inlineStr">
        <is>
          <t>$5,280</t>
        </is>
      </c>
      <c r="O13" s="116" t="inlineStr">
        <is>
          <t>$1,931</t>
        </is>
      </c>
      <c r="P13" s="116" t="inlineStr">
        <is>
          <t>Not Listed</t>
        </is>
      </c>
      <c r="Q13" s="255" t="inlineStr">
        <is>
          <t>$4,887</t>
        </is>
      </c>
      <c r="R13" s="116" t="inlineStr">
        <is>
          <t>$5,865</t>
        </is>
      </c>
      <c r="S13" s="116" t="inlineStr">
        <is>
          <t>$2,431</t>
        </is>
      </c>
      <c r="T13" s="116" t="inlineStr">
        <is>
          <t>Not Listed</t>
        </is>
      </c>
      <c r="U13" s="255" t="inlineStr">
        <is>
          <t>66</t>
        </is>
      </c>
      <c r="V13" s="116" t="inlineStr">
        <is>
          <t>1997</t>
        </is>
      </c>
      <c r="W13" s="116" t="inlineStr">
        <is>
          <t>1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HIGH</t>
        </is>
      </c>
      <c r="AD13" s="253" t="inlineStr">
        <is>
          <t>Affordable Comp #3: LIHTC property, 1997 vintage (1 yr diff), 66 units, 12.8 mi from subject. Same income-eligible renter pool.</t>
        </is>
      </c>
      <c r="AE13" s="257" t="inlineStr">
        <is>
          <t>HUD LIHTC Database (huduser.gov)</t>
        </is>
      </c>
      <c r="AF13" s="258" t="n"/>
    </row>
    <row r="14" ht="21.75" customFormat="1" customHeight="1" s="3">
      <c r="B14" s="252" t="inlineStr">
        <is>
          <t>AFFORDABLE</t>
        </is>
      </c>
      <c r="C14" s="253" t="inlineStr">
        <is>
          <t>Treymore North Apts</t>
        </is>
      </c>
      <c r="D14" s="254" t="inlineStr">
        <is>
          <t>4144 Office Pkwy</t>
        </is>
      </c>
      <c r="E14" s="116" t="inlineStr">
        <is>
          <t>Dallas</t>
        </is>
      </c>
      <c r="F14" s="116" t="inlineStr">
        <is>
          <t>TX</t>
        </is>
      </c>
      <c r="G14" s="116" t="inlineStr">
        <is>
          <t>75204</t>
        </is>
      </c>
      <c r="H14" s="116" t="inlineStr">
        <is>
          <t>29.1 mi</t>
        </is>
      </c>
      <c r="I14" s="116" t="inlineStr">
        <is>
          <t>$3,668</t>
        </is>
      </c>
      <c r="J14" s="116" t="inlineStr">
        <is>
          <t>$4,402</t>
        </is>
      </c>
      <c r="K14" s="116" t="inlineStr">
        <is>
          <t>$1,411</t>
        </is>
      </c>
      <c r="L14" s="116" t="inlineStr">
        <is>
          <t>Not Listed</t>
        </is>
      </c>
      <c r="M14" s="255" t="inlineStr">
        <is>
          <t>$4,400</t>
        </is>
      </c>
      <c r="N14" s="116" t="inlineStr">
        <is>
          <t>$5,280</t>
        </is>
      </c>
      <c r="O14" s="116" t="inlineStr">
        <is>
          <t>$1,931</t>
        </is>
      </c>
      <c r="P14" s="116" t="inlineStr">
        <is>
          <t>Not Listed</t>
        </is>
      </c>
      <c r="Q14" s="255" t="inlineStr">
        <is>
          <t>$4,887</t>
        </is>
      </c>
      <c r="R14" s="116" t="inlineStr">
        <is>
          <t>$5,865</t>
        </is>
      </c>
      <c r="S14" s="116" t="inlineStr">
        <is>
          <t>$2,431</t>
        </is>
      </c>
      <c r="T14" s="116" t="inlineStr">
        <is>
          <t>Not Listed</t>
        </is>
      </c>
      <c r="U14" s="255" t="inlineStr">
        <is>
          <t>70</t>
        </is>
      </c>
      <c r="V14" s="116" t="inlineStr">
        <is>
          <t>1998</t>
        </is>
      </c>
      <c r="W14" s="116" t="inlineStr">
        <is>
          <t>0</t>
        </is>
      </c>
      <c r="X14" s="116" t="inlineStr">
        <is>
          <t>Yes</t>
        </is>
      </c>
      <c r="Y14" s="256" t="inlineStr">
        <is>
          <t>No</t>
        </is>
      </c>
      <c r="Z14" s="256" t="inlineStr">
        <is>
          <t>No</t>
        </is>
      </c>
      <c r="AA14" s="256" t="inlineStr">
        <is>
          <t>No</t>
        </is>
      </c>
      <c r="AB14" s="256" t="inlineStr">
        <is>
          <t>No</t>
        </is>
      </c>
      <c r="AC14" s="116" t="inlineStr">
        <is>
          <t>MODERATE-HIGH</t>
        </is>
      </c>
      <c r="AD14" s="253" t="inlineStr">
        <is>
          <t>Affordable Comp #4: LIHTC property, 1998 vintage (0 yr diff), 70 units, 29.1 mi from subject. Same income-eligible renter pool.</t>
        </is>
      </c>
      <c r="AE14" s="257" t="inlineStr">
        <is>
          <t>HUD LIHTC Database (huduser.gov)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Place at North Grove</t>
        </is>
      </c>
      <c r="D15" s="254" t="inlineStr">
        <is>
          <t>600 E North Grove Blvd</t>
        </is>
      </c>
      <c r="E15" s="116" t="inlineStr">
        <is>
          <t>Waxahachie</t>
        </is>
      </c>
      <c r="F15" s="116" t="inlineStr">
        <is>
          <t>TX</t>
        </is>
      </c>
      <c r="G15" s="116" t="inlineStr">
        <is>
          <t>75165</t>
        </is>
      </c>
      <c r="H15" s="116" t="inlineStr">
        <is>
          <t>1.0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1254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384" t="n">
        <v>1998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$2,431</t>
        </is>
      </c>
      <c r="T15" s="116" t="inlineStr">
        <is>
          <t>$1,450</t>
        </is>
      </c>
      <c r="U15" s="255" t="inlineStr">
        <is>
          <t>N/A</t>
        </is>
      </c>
      <c r="V15" s="116" t="inlineStr">
        <is>
          <t>1998</t>
        </is>
      </c>
      <c r="W15" s="116" t="inlineStr">
        <is>
          <t>0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53" t="inlineStr">
        <is>
          <t>Market Rate Comp #1: No income restrictions, 1998 vintage (0 yr diff), N/A units, N/A from subject. Shows market-rate rents vs. affordable housing discount.</t>
        </is>
      </c>
      <c r="AE15" s="257" t="inlineStr">
        <is>
          <t>HUD FY2026 FMR - Ellis County, TX</t>
        </is>
      </c>
      <c r="AF15" s="258" t="n"/>
    </row>
    <row r="16" ht="21.75" customFormat="1" customHeight="1" s="3">
      <c r="B16" s="252" t="inlineStr">
        <is>
          <t>MARKET RATE</t>
        </is>
      </c>
      <c r="C16" s="253" t="inlineStr">
        <is>
          <t>The Village at Waxahachie</t>
        </is>
      </c>
      <c r="D16" s="254" t="inlineStr">
        <is>
          <t>131 Village Pky</t>
        </is>
      </c>
      <c r="E16" s="116" t="inlineStr">
        <is>
          <t>Waxahachie</t>
        </is>
      </c>
      <c r="F16" s="116" t="inlineStr">
        <is>
          <t>TX</t>
        </is>
      </c>
      <c r="G16" s="116" t="inlineStr">
        <is>
          <t>75165</t>
        </is>
      </c>
      <c r="H16" s="116" t="inlineStr">
        <is>
          <t>1.3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1447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1970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$2,431</t>
        </is>
      </c>
      <c r="T16" s="116" t="inlineStr">
        <is>
          <t>$1,400</t>
        </is>
      </c>
      <c r="U16" s="255" t="inlineStr">
        <is>
          <t>80</t>
        </is>
      </c>
      <c r="V16" s="116" t="inlineStr">
        <is>
          <t>1997</t>
        </is>
      </c>
      <c r="W16" s="116" t="inlineStr">
        <is>
          <t>1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53" t="inlineStr">
        <is>
          <t>Market Rate Comp #2: No income restrictions, 1997 vintage (1 yr diff), 80 units, 12.0 mi from subject. Shows market-rate rents vs. affordable housing discount.</t>
        </is>
      </c>
      <c r="AE16" s="257" t="inlineStr">
        <is>
          <t>https://www.rentcafe.com/apartments-for-rent/us/tx/ennis/</t>
        </is>
      </c>
      <c r="AF16" s="258" t="n"/>
    </row>
    <row r="17" ht="21.75" customFormat="1" customHeight="1" s="3">
      <c r="B17" s="252" t="inlineStr">
        <is>
          <t>MARKET RATE</t>
        </is>
      </c>
      <c r="C17" s="253" t="inlineStr">
        <is>
          <t>Bridgepoint</t>
        </is>
      </c>
      <c r="D17" s="254" t="inlineStr">
        <is>
          <t>2200 Brown St</t>
        </is>
      </c>
      <c r="E17" s="116" t="inlineStr">
        <is>
          <t>Waxahachie</t>
        </is>
      </c>
      <c r="F17" s="116" t="inlineStr">
        <is>
          <t>TX</t>
        </is>
      </c>
      <c r="G17" s="116" t="inlineStr">
        <is>
          <t>75165</t>
        </is>
      </c>
      <c r="H17" s="116" t="inlineStr">
        <is>
          <t>0.9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1136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1247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$2,431</t>
        </is>
      </c>
      <c r="T17" s="116" t="inlineStr">
        <is>
          <t>$1,475</t>
        </is>
      </c>
      <c r="U17" s="255" t="inlineStr">
        <is>
          <t>72</t>
        </is>
      </c>
      <c r="V17" s="116" t="inlineStr">
        <is>
          <t>2000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53" t="inlineStr">
        <is>
          <t>Market Rate Comp #3: No income restrictions, 2000 vintage (2 yr diff), 72 units, 15.0 mi from subject. Shows market-rate rents vs. affordable housing discount.</t>
        </is>
      </c>
      <c r="AE17" s="257" t="inlineStr">
        <is>
          <t>https://www.rentcafe.com/apartments-for-rent/us/tx/midlothian/</t>
        </is>
      </c>
      <c r="AF17" s="258" t="n"/>
    </row>
    <row r="18" ht="21.75" customFormat="1" customHeight="1" s="3">
      <c r="B18" s="252" t="inlineStr">
        <is>
          <t>MARKET RATE</t>
        </is>
      </c>
      <c r="C18" s="253" t="inlineStr">
        <is>
          <t>The Hamilton at Garden Valley</t>
        </is>
      </c>
      <c r="D18" s="254" t="inlineStr">
        <is>
          <t>880 Garden Valley Pky</t>
        </is>
      </c>
      <c r="E18" s="116" t="inlineStr">
        <is>
          <t>Waxahachie</t>
        </is>
      </c>
      <c r="F18" s="116" t="inlineStr">
        <is>
          <t>TX</t>
        </is>
      </c>
      <c r="G18" s="116" t="inlineStr">
        <is>
          <t>75165</t>
        </is>
      </c>
      <c r="H18" s="116" t="inlineStr">
        <is>
          <t>1.8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1215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2105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$2,431</t>
        </is>
      </c>
      <c r="T18" s="116" t="inlineStr">
        <is>
          <t>$1,475</t>
        </is>
      </c>
      <c r="U18" s="255" t="inlineStr">
        <is>
          <t>64</t>
        </is>
      </c>
      <c r="V18" s="116" t="inlineStr">
        <is>
          <t>1997</t>
        </is>
      </c>
      <c r="W18" s="116" t="inlineStr">
        <is>
          <t>1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53" t="inlineStr">
        <is>
          <t>Market Rate Comp #4: No income restrictions, 1997 vintage (1 yr diff), 64 units, 12.0 mi from subject. Shows market-rate rents vs. affordable housing discount.</t>
        </is>
      </c>
      <c r="AE18" s="257" t="inlineStr">
        <is>
          <t>https://www.rentcafe.com/apartments-for-rent/us/tx/midlothian/</t>
        </is>
      </c>
      <c r="AF18" s="258" t="n"/>
    </row>
    <row r="19" ht="21.75" customFormat="1" customHeight="1" s="3">
      <c r="B19" s="252" t="inlineStr">
        <is>
          <t>MARKET RATE</t>
        </is>
      </c>
      <c r="C19" s="253" t="inlineStr">
        <is>
          <t>Oxford at Crossroads Centre</t>
        </is>
      </c>
      <c r="D19" s="254" t="inlineStr">
        <is>
          <t>411 Alliance Blvd</t>
        </is>
      </c>
      <c r="E19" s="116" t="inlineStr">
        <is>
          <t>Waxahachie</t>
        </is>
      </c>
      <c r="F19" s="116" t="inlineStr">
        <is>
          <t>TX</t>
        </is>
      </c>
      <c r="G19" s="116" t="inlineStr">
        <is>
          <t>75165</t>
        </is>
      </c>
      <c r="H19" s="116" t="inlineStr">
        <is>
          <t>1.5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1199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1525</v>
      </c>
      <c r="Q19" s="255" t="inlineStr">
        <is>
          <t>N/A (Market Rate)</t>
        </is>
      </c>
      <c r="R19" s="116" t="inlineStr">
        <is>
          <t>N/A (Market Rate)</t>
        </is>
      </c>
      <c r="S19" s="116" t="inlineStr">
        <is>
          <t>N/A (Market Rate)</t>
        </is>
      </c>
      <c r="T19" s="384" t="n">
        <v>2250</v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57" t="inlineStr">
        <is>
          <t>HUD FMR Database (huduser.gov)</t>
        </is>
      </c>
      <c r="AF19" s="258" t="n"/>
    </row>
    <row r="20" ht="21.75" customFormat="1" customHeight="1" s="3">
      <c r="B20" s="252" t="inlineStr">
        <is>
          <t>MARKET RATE</t>
        </is>
      </c>
      <c r="C20" s="253" t="inlineStr">
        <is>
          <t>Park Place Apartments</t>
        </is>
      </c>
      <c r="D20" s="254" t="inlineStr">
        <is>
          <t>240 Park Place Blvd</t>
        </is>
      </c>
      <c r="E20" s="116" t="inlineStr">
        <is>
          <t>Waxahachie</t>
        </is>
      </c>
      <c r="F20" s="116" t="inlineStr">
        <is>
          <t>TX</t>
        </is>
      </c>
      <c r="G20" s="116" t="inlineStr">
        <is>
          <t>75165</t>
        </is>
      </c>
      <c r="H20" s="116" t="inlineStr">
        <is>
          <t>1.2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84" t="n">
        <v>1285</v>
      </c>
      <c r="M20" s="25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84" t="n">
        <v>1659</v>
      </c>
      <c r="Q20" s="255" t="inlineStr">
        <is>
          <t>$2,674</t>
        </is>
      </c>
      <c r="R20" s="116" t="inlineStr">
        <is>
          <t>$2,674</t>
        </is>
      </c>
      <c r="S20" s="116" t="inlineStr">
        <is>
          <t>$2,674</t>
        </is>
      </c>
      <c r="T20" s="116" t="inlineStr">
        <is>
          <t>N/A</t>
        </is>
      </c>
      <c r="U20" s="25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5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57" t="inlineStr">
        <is>
          <t>HUD FMR + Market Estimate</t>
        </is>
      </c>
      <c r="AF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1210</v>
      </c>
      <c r="D27" s="376" t="n">
        <v>1256</v>
      </c>
      <c r="E27" s="377" t="n">
        <v>-46</v>
      </c>
    </row>
    <row r="28" ht="20.25" customFormat="1" customHeight="1" s="3">
      <c r="B28" s="272" t="inlineStr">
        <is>
          <t>2BD</t>
        </is>
      </c>
      <c r="C28" s="375" t="n">
        <v>1450</v>
      </c>
      <c r="D28" s="376" t="n">
        <v>1751</v>
      </c>
      <c r="E28" s="377" t="n">
        <v>-301</v>
      </c>
    </row>
    <row r="29" ht="20.25" customFormat="1" customHeight="1" s="3">
      <c r="B29" s="272" t="inlineStr">
        <is>
          <t>3BD</t>
        </is>
      </c>
      <c r="C29" s="375" t="n">
        <v>1700</v>
      </c>
      <c r="D29" s="376" t="n">
        <v>1610</v>
      </c>
      <c r="E29" s="381" t="n">
        <v>90</v>
      </c>
    </row>
    <row r="30" ht="20.25" customFormat="1" customHeight="1" s="3">
      <c r="B30" s="272" t="inlineStr">
        <is>
          <t>1BD</t>
        </is>
      </c>
      <c r="C30" s="375" t="n">
        <v>1210</v>
      </c>
      <c r="D30" s="376" t="n">
        <v>0</v>
      </c>
      <c r="E30" s="381" t="n">
        <v>1210</v>
      </c>
    </row>
    <row r="31" ht="20.25" customFormat="1" customHeight="1" s="3">
      <c r="B31" s="272" t="inlineStr">
        <is>
          <t>2BD</t>
        </is>
      </c>
      <c r="C31" s="375" t="n">
        <v>1450</v>
      </c>
      <c r="D31" s="376" t="n">
        <v>0</v>
      </c>
      <c r="E31" s="381" t="n">
        <v>1450</v>
      </c>
    </row>
    <row r="32" ht="20.25" customFormat="1" customHeight="1" s="3">
      <c r="B32" s="272" t="inlineStr">
        <is>
          <t>3BD</t>
        </is>
      </c>
      <c r="C32" s="375" t="n">
        <v>1700</v>
      </c>
      <c r="D32" s="376" t="n">
        <v>0</v>
      </c>
      <c r="E32" s="381" t="n">
        <v>1700</v>
      </c>
    </row>
    <row r="33" ht="20.25" customFormat="1" customHeight="1" s="3">
      <c r="B33" s="272" t="inlineStr">
        <is>
          <t>1BD</t>
        </is>
      </c>
      <c r="C33" s="375" t="n">
        <v>1210</v>
      </c>
      <c r="D33" s="376" t="n">
        <v>1122</v>
      </c>
      <c r="E33" s="381" t="n">
        <v>88</v>
      </c>
    </row>
    <row r="34" ht="20.25" customFormat="1" customHeight="1" s="3">
      <c r="B34" s="272" t="inlineStr">
        <is>
          <t>2BD</t>
        </is>
      </c>
      <c r="C34" s="375" t="n">
        <v>1450</v>
      </c>
      <c r="D34" s="376" t="n">
        <v>1332</v>
      </c>
      <c r="E34" s="381" t="n">
        <v>118</v>
      </c>
    </row>
    <row r="35" ht="20.25" customFormat="1" customHeight="1" s="3">
      <c r="B35" s="272" t="inlineStr">
        <is>
          <t>3BD</t>
        </is>
      </c>
      <c r="C35" s="375" t="n">
        <v>1700</v>
      </c>
      <c r="D35" s="376" t="n">
        <v>1548</v>
      </c>
      <c r="E35" s="381" t="n">
        <v>152</v>
      </c>
    </row>
    <row r="38" ht="18" customFormat="1" customHeight="1" s="3">
      <c r="B38" s="270" t="inlineStr">
        <is>
          <t>PMTS — Vouchers / FMR / UAP / NET</t>
        </is>
      </c>
      <c r="C38" s="294" t="n"/>
      <c r="D38" s="294" t="n"/>
      <c r="E38" s="294" t="n"/>
      <c r="F38" s="294" t="n"/>
      <c r="G38" s="294" t="n"/>
      <c r="H38" s="295" t="n"/>
    </row>
    <row r="39" ht="15.75" customFormat="1" customHeight="1" s="3">
      <c r="C39" s="378">
        <f>'Current Rents'!D19</f>
        <v/>
      </c>
      <c r="D39" s="271" t="inlineStr">
        <is>
          <t>VCH</t>
        </is>
      </c>
      <c r="E39" s="271" t="inlineStr">
        <is>
          <t>FMR</t>
        </is>
      </c>
      <c r="F39" s="271" t="inlineStr">
        <is>
          <t>UAP</t>
        </is>
      </c>
      <c r="G39" s="271" t="inlineStr">
        <is>
          <t>NET</t>
        </is>
      </c>
    </row>
    <row r="40" ht="20.25" customFormat="1" customHeight="1" s="3">
      <c r="B40" s="272" t="inlineStr">
        <is>
          <t>1BD</t>
        </is>
      </c>
      <c r="C40" s="292">
        <f>'Current Rents'!E19</f>
        <v/>
      </c>
      <c r="D40" s="49" t="n"/>
      <c r="E40" s="379" t="n">
        <v>1330</v>
      </c>
      <c r="F40" s="380" t="n">
        <v>112</v>
      </c>
      <c r="G40" s="292" t="n">
        <v>1218</v>
      </c>
    </row>
    <row r="41" ht="20.25" customFormat="1" customHeight="1" s="3">
      <c r="B41" s="272" t="inlineStr">
        <is>
          <t>2BD</t>
        </is>
      </c>
      <c r="C41" s="292">
        <f>'Current Rents'!F19</f>
        <v/>
      </c>
      <c r="D41" s="49" t="n"/>
      <c r="E41" s="379" t="n">
        <v>1560</v>
      </c>
      <c r="F41" s="380" t="n">
        <v>143</v>
      </c>
      <c r="G41" s="292" t="n">
        <v>1417</v>
      </c>
    </row>
    <row r="42" ht="20.25" customFormat="1" customHeight="1" s="3">
      <c r="B42" s="272" t="inlineStr">
        <is>
          <t>3BD</t>
        </is>
      </c>
      <c r="C42" s="292" t="n">
        <v>1700</v>
      </c>
      <c r="D42" s="49" t="n"/>
      <c r="E42" s="379" t="n">
        <v>1950</v>
      </c>
      <c r="F42" s="380" t="n">
        <v>194</v>
      </c>
      <c r="G42" s="292" t="n">
        <v>1756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7"/>
  <sheetViews>
    <sheetView showGridLines="0" topLeftCell="A1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.00390625" customWidth="1" style="3" min="1" max="1"/>
    <col width="11.28125" customWidth="1" style="3" min="2" max="2"/>
    <col width="19.8515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2"/>
    <col width="18.28125" customWidth="1" style="3" min="13" max="13"/>
    <col width="13.00390625" customWidth="1" style="3" min="14" max="16"/>
    <col width="21.00390625" customWidth="1" style="3" min="17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32.5742187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60 - La Promesa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3BD 50% AMI ($)</t>
        </is>
      </c>
      <c r="N9" s="116" t="inlineStr">
        <is>
          <t>3BD 60% AMI ($)</t>
        </is>
      </c>
      <c r="O9" s="116" t="inlineStr">
        <is>
          <t>3BR FMR ($)</t>
        </is>
      </c>
      <c r="P9" s="116" t="inlineStr">
        <is>
          <t>3BR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La Promesa (SUBJECT)</t>
        </is>
      </c>
      <c r="D10" s="285" t="inlineStr">
        <is>
          <t>Odessa</t>
        </is>
      </c>
      <c r="E10" s="239" t="inlineStr">
        <is>
          <t>Odessa</t>
        </is>
      </c>
      <c r="F10" s="239" t="inlineStr">
        <is>
          <t>TX</t>
        </is>
      </c>
      <c r="G10" s="239" t="inlineStr">
        <is>
          <t>79762</t>
        </is>
      </c>
      <c r="H10" s="239" t="inlineStr">
        <is>
          <t>0.0 mi</t>
        </is>
      </c>
      <c r="I10" s="239" t="inlineStr">
        <is>
          <t>$3,529</t>
        </is>
      </c>
      <c r="J10" s="239" t="inlineStr">
        <is>
          <t>$4,235</t>
        </is>
      </c>
      <c r="K10" s="239" t="inlineStr">
        <is>
          <t>$1,254</t>
        </is>
      </c>
      <c r="L10" s="239">
        <f>B29</f>
        <v/>
      </c>
      <c r="M10" s="255" t="inlineStr">
        <is>
          <t>$3,920</t>
        </is>
      </c>
      <c r="N10" s="239" t="inlineStr">
        <is>
          <t>$4,705</t>
        </is>
      </c>
      <c r="O10" s="239" t="inlineStr">
        <is>
          <t>$1,573</t>
        </is>
      </c>
      <c r="P10" s="239">
        <f>B30</f>
        <v/>
      </c>
      <c r="Q10" s="255" t="inlineStr">
        <is>
          <t>136</t>
        </is>
      </c>
      <c r="R10" s="239" t="inlineStr">
        <is>
          <t>1978</t>
        </is>
      </c>
      <c r="S10" s="239" t="inlineStr">
        <is>
          <t>0</t>
        </is>
      </c>
      <c r="T10" s="239" t="inlineStr">
        <is>
          <t>Yes</t>
        </is>
      </c>
      <c r="U10" s="242" t="inlineStr">
        <is>
          <t>No</t>
        </is>
      </c>
      <c r="V10" s="242" t="inlineStr">
        <is>
          <t>No</t>
        </is>
      </c>
      <c r="W10" s="242" t="inlineStr">
        <is>
          <t>No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136 units | Layered HUD/LIHTC property. Year built: 1978.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Orange Grove Apts</t>
        </is>
      </c>
      <c r="D11" s="254" t="inlineStr">
        <is>
          <t>Rr 1</t>
        </is>
      </c>
      <c r="E11" s="116" t="inlineStr">
        <is>
          <t>Newton</t>
        </is>
      </c>
      <c r="F11" s="116" t="inlineStr">
        <is>
          <t>TX</t>
        </is>
      </c>
      <c r="G11" s="116" t="inlineStr">
        <is>
          <t>75966</t>
        </is>
      </c>
      <c r="H11" s="116" t="inlineStr">
        <is>
          <t>N/A</t>
        </is>
      </c>
      <c r="I11" s="116" t="inlineStr">
        <is>
          <t>$3,529</t>
        </is>
      </c>
      <c r="J11" s="116" t="inlineStr">
        <is>
          <t>$4,235</t>
        </is>
      </c>
      <c r="K11" s="116" t="inlineStr">
        <is>
          <t>$1,254</t>
        </is>
      </c>
      <c r="L11" s="116" t="inlineStr">
        <is>
          <t>Not Listed</t>
        </is>
      </c>
      <c r="M11" s="255" t="inlineStr">
        <is>
          <t>$3,920</t>
        </is>
      </c>
      <c r="N11" s="116" t="inlineStr">
        <is>
          <t>$4,705</t>
        </is>
      </c>
      <c r="O11" s="116" t="inlineStr">
        <is>
          <t>$1,573</t>
        </is>
      </c>
      <c r="P11" s="116" t="inlineStr">
        <is>
          <t>Not Listed</t>
        </is>
      </c>
      <c r="Q11" s="255" t="inlineStr">
        <is>
          <t>24</t>
        </is>
      </c>
      <c r="R11" s="116" t="inlineStr">
        <is>
          <t>1987</t>
        </is>
      </c>
      <c r="S11" s="116" t="inlineStr">
        <is>
          <t>9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MODERATE</t>
        </is>
      </c>
      <c r="Z11" s="253" t="inlineStr">
        <is>
          <t>Affordable Comp #2: LIHTC property, 1987 vintage (9 yr diff), 24 units, N/A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Victoria Housing</t>
        </is>
      </c>
      <c r="D12" s="254" t="inlineStr">
        <is>
          <t>2817 Yanez Ave</t>
        </is>
      </c>
      <c r="E12" s="116" t="inlineStr">
        <is>
          <t>Mission</t>
        </is>
      </c>
      <c r="F12" s="116" t="inlineStr">
        <is>
          <t>TX</t>
        </is>
      </c>
      <c r="G12" s="116" t="n"/>
      <c r="H12" s="116" t="inlineStr">
        <is>
          <t>N/A</t>
        </is>
      </c>
      <c r="I12" s="116" t="inlineStr">
        <is>
          <t>$3,529</t>
        </is>
      </c>
      <c r="J12" s="116" t="inlineStr">
        <is>
          <t>$4,235</t>
        </is>
      </c>
      <c r="K12" s="116" t="inlineStr">
        <is>
          <t>$1,254</t>
        </is>
      </c>
      <c r="L12" s="116" t="inlineStr">
        <is>
          <t>Not Listed</t>
        </is>
      </c>
      <c r="M12" s="255" t="inlineStr">
        <is>
          <t>$3,920</t>
        </is>
      </c>
      <c r="N12" s="116" t="inlineStr">
        <is>
          <t>$4,705</t>
        </is>
      </c>
      <c r="O12" s="116" t="inlineStr">
        <is>
          <t>$1,573</t>
        </is>
      </c>
      <c r="P12" s="116" t="inlineStr">
        <is>
          <t>Not Listed</t>
        </is>
      </c>
      <c r="Q12" s="255" t="inlineStr">
        <is>
          <t>1</t>
        </is>
      </c>
      <c r="R12" s="116" t="inlineStr">
        <is>
          <t>1987</t>
        </is>
      </c>
      <c r="S12" s="116" t="inlineStr">
        <is>
          <t>9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MODERATE</t>
        </is>
      </c>
      <c r="Z12" s="253" t="inlineStr">
        <is>
          <t>Affordable Comp #3: LIHTC property, 1987 vintage (9 yr diff), 1 units, N/A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Springhill Apts</t>
        </is>
      </c>
      <c r="D13" s="254" t="inlineStr">
        <is>
          <t>4830 Ray Bon Dr</t>
        </is>
      </c>
      <c r="E13" s="116" t="inlineStr">
        <is>
          <t>San Antonio</t>
        </is>
      </c>
      <c r="F13" s="116" t="inlineStr">
        <is>
          <t>TX</t>
        </is>
      </c>
      <c r="G13" s="116" t="inlineStr">
        <is>
          <t>78218</t>
        </is>
      </c>
      <c r="H13" s="116" t="inlineStr">
        <is>
          <t>287.1 mi</t>
        </is>
      </c>
      <c r="I13" s="116" t="inlineStr">
        <is>
          <t>$3,529</t>
        </is>
      </c>
      <c r="J13" s="116" t="inlineStr">
        <is>
          <t>$4,235</t>
        </is>
      </c>
      <c r="K13" s="116" t="inlineStr">
        <is>
          <t>$1,254</t>
        </is>
      </c>
      <c r="L13" s="116" t="inlineStr">
        <is>
          <t>Not Listed</t>
        </is>
      </c>
      <c r="M13" s="255" t="inlineStr">
        <is>
          <t>$3,920</t>
        </is>
      </c>
      <c r="N13" s="116" t="inlineStr">
        <is>
          <t>$4,705</t>
        </is>
      </c>
      <c r="O13" s="116" t="inlineStr">
        <is>
          <t>$1,573</t>
        </is>
      </c>
      <c r="P13" s="116" t="inlineStr">
        <is>
          <t>Not Listed</t>
        </is>
      </c>
      <c r="Q13" s="255" t="inlineStr">
        <is>
          <t>132</t>
        </is>
      </c>
      <c r="R13" s="116" t="inlineStr">
        <is>
          <t>1987</t>
        </is>
      </c>
      <c r="S13" s="116" t="inlineStr">
        <is>
          <t>9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LOW</t>
        </is>
      </c>
      <c r="Z13" s="253" t="inlineStr">
        <is>
          <t>Affordable Comp #4: LIHTC property, 1987 vintage (9 yr diff), 132 units, 287.1 mi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MARKET RATE</t>
        </is>
      </c>
      <c r="C14" s="253" t="inlineStr">
        <is>
          <t>Madison Square</t>
        </is>
      </c>
      <c r="D14" s="254" t="inlineStr">
        <is>
          <t>2201 Rocky Lane Rd</t>
        </is>
      </c>
      <c r="E14" s="116" t="inlineStr">
        <is>
          <t>Odessa</t>
        </is>
      </c>
      <c r="F14" s="116" t="inlineStr">
        <is>
          <t>TX</t>
        </is>
      </c>
      <c r="G14" s="116" t="inlineStr">
        <is>
          <t>79762</t>
        </is>
      </c>
      <c r="H14" s="116" t="inlineStr">
        <is>
          <t>2.1 mi</t>
        </is>
      </c>
      <c r="I14" s="116" t="inlineStr">
        <is>
          <t>N/A (Market Rate)</t>
        </is>
      </c>
      <c r="J14" s="116" t="inlineStr">
        <is>
          <t>N/A (Market Rate)</t>
        </is>
      </c>
      <c r="K14" s="116" t="inlineStr">
        <is>
          <t>N/A (Market Rate)</t>
        </is>
      </c>
      <c r="L14" s="384" t="n">
        <v>1220</v>
      </c>
      <c r="M14" s="255" t="inlineStr">
        <is>
          <t>N/A (Market Rate)</t>
        </is>
      </c>
      <c r="N14" s="116" t="inlineStr">
        <is>
          <t>N/A (Market Rate)</t>
        </is>
      </c>
      <c r="O14" s="116" t="inlineStr">
        <is>
          <t>$1,573</t>
        </is>
      </c>
      <c r="P14" s="116" t="inlineStr">
        <is>
          <t>$1,600</t>
        </is>
      </c>
      <c r="Q14" s="255" t="inlineStr">
        <is>
          <t>N/A</t>
        </is>
      </c>
      <c r="R14" s="116" t="inlineStr">
        <is>
          <t>1978</t>
        </is>
      </c>
      <c r="S14" s="116" t="inlineStr">
        <is>
          <t>0</t>
        </is>
      </c>
      <c r="T14" s="116" t="inlineStr">
        <is>
          <t>Varies</t>
        </is>
      </c>
      <c r="U14" s="116" t="inlineStr">
        <is>
          <t>Varies</t>
        </is>
      </c>
      <c r="V14" s="116" t="inlineStr">
        <is>
          <t>Varies</t>
        </is>
      </c>
      <c r="W14" s="116" t="inlineStr">
        <is>
          <t>Varies</t>
        </is>
      </c>
      <c r="X14" s="116" t="inlineStr">
        <is>
          <t>Varies</t>
        </is>
      </c>
      <c r="Y14" s="116" t="inlineStr">
        <is>
          <t>HIGH</t>
        </is>
      </c>
      <c r="Z14" s="253" t="inlineStr">
        <is>
          <t>Market Rate Comp #1: No income restrictions, 1978 vintage (0 yr diff), N/A units, N/A from subject. Shows market-rate rents vs. affordable housing discount.</t>
        </is>
      </c>
      <c r="AA14" s="257" t="inlineStr">
        <is>
          <t>HUD FY2026 FMR - Ector County, TX (limited market rate listings for 1968-1988 vintage)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Alara</t>
        </is>
      </c>
      <c r="D15" s="254" t="inlineStr">
        <is>
          <t>6501 Eastridge Rd</t>
        </is>
      </c>
      <c r="E15" s="116" t="inlineStr">
        <is>
          <t>Odessa</t>
        </is>
      </c>
      <c r="F15" s="116" t="inlineStr">
        <is>
          <t>TX</t>
        </is>
      </c>
      <c r="G15" s="116" t="inlineStr">
        <is>
          <t>79762</t>
        </is>
      </c>
      <c r="H15" s="116" t="inlineStr">
        <is>
          <t>3.5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1205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384" t="n">
        <v>1545</v>
      </c>
      <c r="Q15" s="255" t="inlineStr">
        <is>
          <t>N/A</t>
        </is>
      </c>
      <c r="R15" s="116" t="inlineStr">
        <is>
          <t>1975</t>
        </is>
      </c>
      <c r="S15" s="116" t="inlineStr">
        <is>
          <t>3</t>
        </is>
      </c>
      <c r="T15" s="116" t="inlineStr">
        <is>
          <t>Varies</t>
        </is>
      </c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#2: No income restrictions, 1975 vintage (3 yr diff), N/A units, N/A from subject. Shows market-rate rents vs. affordable housing discount.</t>
        </is>
      </c>
      <c r="AA15" s="257" t="inlineStr">
        <is>
          <t>HUD FY2026 FMR - Ector County, TX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Westwinds Village</t>
        </is>
      </c>
      <c r="D16" s="254" t="inlineStr">
        <is>
          <t>4900 E University Blvd</t>
        </is>
      </c>
      <c r="E16" s="116" t="inlineStr">
        <is>
          <t>Odessa</t>
        </is>
      </c>
      <c r="F16" s="116" t="inlineStr">
        <is>
          <t>TX</t>
        </is>
      </c>
      <c r="G16" s="116" t="inlineStr">
        <is>
          <t>79762</t>
        </is>
      </c>
      <c r="H16" s="116" t="inlineStr">
        <is>
          <t>1.8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1045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1550</v>
      </c>
      <c r="Q16" s="255" t="inlineStr">
        <is>
          <t>N/A</t>
        </is>
      </c>
      <c r="R16" s="116" t="inlineStr">
        <is>
          <t>1980</t>
        </is>
      </c>
      <c r="S16" s="116" t="inlineStr">
        <is>
          <t>2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#3: No income restrictions, 1980 vintage (2 yr diff), N/A units, N/A from subject. Shows market-rate rents vs. affordable housing discount.</t>
        </is>
      </c>
      <c r="AA16" s="257" t="inlineStr">
        <is>
          <t>HUD FY2026 FMR - Ector County, TX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Marvin Gardens Apartments</t>
        </is>
      </c>
      <c r="D17" s="254" t="inlineStr">
        <is>
          <t>4307 Wendover Ave</t>
        </is>
      </c>
      <c r="E17" s="116" t="inlineStr">
        <is>
          <t>Odessa</t>
        </is>
      </c>
      <c r="F17" s="116" t="inlineStr">
        <is>
          <t>TX</t>
        </is>
      </c>
      <c r="G17" s="116" t="inlineStr">
        <is>
          <t>79762</t>
        </is>
      </c>
      <c r="H17" s="116" t="inlineStr">
        <is>
          <t>1.2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1395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$1,573</t>
        </is>
      </c>
      <c r="P17" s="116" t="inlineStr">
        <is>
          <t>$1,350</t>
        </is>
      </c>
      <c r="Q17" s="255" t="inlineStr">
        <is>
          <t>N/A</t>
        </is>
      </c>
      <c r="R17" s="116" t="inlineStr">
        <is>
          <t>1980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53" t="inlineStr">
        <is>
          <t>Market Rate Comp #4: No income restrictions, 1980 vintage (2 yr diff), N/A units, N/A from subject. Shows market-rate rents vs. affordable housing discount.</t>
        </is>
      </c>
      <c r="AA17" s="257" t="inlineStr">
        <is>
          <t>HUD FY2026 FMR - Ector County, TX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Regency Square Apartments</t>
        </is>
      </c>
      <c r="D18" s="254" t="inlineStr">
        <is>
          <t>4100 Tanglewood Ln</t>
        </is>
      </c>
      <c r="E18" s="116" t="inlineStr">
        <is>
          <t>Odessa</t>
        </is>
      </c>
      <c r="F18" s="116" t="inlineStr">
        <is>
          <t>TX</t>
        </is>
      </c>
      <c r="G18" s="116" t="inlineStr">
        <is>
          <t>79762</t>
        </is>
      </c>
      <c r="H18" s="116" t="inlineStr">
        <is>
          <t>2.0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1325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1625</v>
      </c>
      <c r="Q18" s="255" t="inlineStr">
        <is>
          <t>N/A</t>
        </is>
      </c>
      <c r="R18" s="116" t="inlineStr">
        <is>
          <t>N/A</t>
        </is>
      </c>
      <c r="S18" s="116" t="inlineStr">
        <is>
          <t>N/A</t>
        </is>
      </c>
      <c r="T18" s="116" t="inlineStr">
        <is>
          <t>N/A</t>
        </is>
      </c>
      <c r="U18" s="116" t="inlineStr">
        <is>
          <t>N/A</t>
        </is>
      </c>
      <c r="V18" s="116" t="inlineStr">
        <is>
          <t>N/A</t>
        </is>
      </c>
      <c r="W18" s="116" t="inlineStr">
        <is>
          <t>N/A</t>
        </is>
      </c>
      <c r="X18" s="116" t="inlineStr">
        <is>
          <t>N/A</t>
        </is>
      </c>
      <c r="Y18" s="116" t="inlineStr">
        <is>
          <t>BENCHMARK</t>
        </is>
      </c>
      <c r="Z18" s="253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257" t="inlineStr">
        <is>
          <t>HUD FMR Database (huduser.gov)</t>
        </is>
      </c>
      <c r="AB18" s="258" t="n"/>
    </row>
    <row r="19" ht="21.75" customFormat="1" customHeight="1" s="3">
      <c r="B19" s="252" t="inlineStr">
        <is>
          <t>MARKET RATE</t>
        </is>
      </c>
      <c r="C19" s="253" t="inlineStr">
        <is>
          <t>Country Crest Townhomes</t>
        </is>
      </c>
      <c r="D19" s="254" t="inlineStr">
        <is>
          <t>6500 Eastridge Rd</t>
        </is>
      </c>
      <c r="E19" s="116" t="inlineStr">
        <is>
          <t>Odessa</t>
        </is>
      </c>
      <c r="F19" s="116" t="inlineStr">
        <is>
          <t>TX</t>
        </is>
      </c>
      <c r="G19" s="116" t="inlineStr">
        <is>
          <t>79762</t>
        </is>
      </c>
      <c r="H19" s="116" t="inlineStr">
        <is>
          <t>3.8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1570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1770</v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257" t="inlineStr">
        <is>
          <t>HUD FMR + Market Estimate</t>
        </is>
      </c>
      <c r="AB19" s="258" t="n"/>
    </row>
    <row r="21" ht="14.25" customFormat="1" customHeight="1" s="3">
      <c r="B21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1" s="294" t="n"/>
      <c r="D21" s="294" t="n"/>
      <c r="E21" s="294" t="n"/>
      <c r="F21" s="294" t="n"/>
      <c r="G21" s="294" t="n"/>
      <c r="H21" s="294" t="n"/>
      <c r="I21" s="294" t="n"/>
      <c r="J21" s="294" t="n"/>
      <c r="K21" s="294" t="n"/>
      <c r="L21" s="294" t="n"/>
      <c r="M21" s="294" t="n"/>
      <c r="N21" s="294" t="n"/>
      <c r="O21" s="294" t="n"/>
      <c r="P21" s="294" t="n"/>
      <c r="Q21" s="294" t="n"/>
      <c r="R21" s="294" t="n"/>
      <c r="S21" s="294" t="n"/>
      <c r="T21" s="294" t="n"/>
      <c r="U21" s="294" t="n"/>
      <c r="V21" s="294" t="n"/>
      <c r="W21" s="294" t="n"/>
      <c r="X21" s="294" t="n"/>
      <c r="Y21" s="294" t="n"/>
      <c r="Z21" s="294" t="n"/>
      <c r="AA21" s="294" t="n"/>
      <c r="AB21" s="295" t="n"/>
    </row>
    <row r="23" ht="18" customFormat="1" customHeight="1" s="3">
      <c r="B23" s="270" t="inlineStr">
        <is>
          <t>CURRENT RENT vs. MARKET AVERAGE</t>
        </is>
      </c>
      <c r="C23" s="294" t="n"/>
      <c r="D23" s="294" t="n"/>
      <c r="E23" s="294" t="n"/>
      <c r="F23" s="294" t="n"/>
      <c r="G23" s="294" t="n"/>
      <c r="H23" s="295" t="n"/>
    </row>
    <row r="24" ht="15.75" customFormat="1" customHeight="1" s="3">
      <c r="B24" s="235" t="inlineStr">
        <is>
          <t>Market Average = Avg of Actual Advertised Rents from 6 Market-Rate Comps (Apartments.com)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C25" s="271" t="inlineStr">
        <is>
          <t>Current Rent</t>
        </is>
      </c>
      <c r="D25" s="271" t="inlineStr">
        <is>
          <t>Market Avg</t>
        </is>
      </c>
      <c r="E25" s="271" t="inlineStr">
        <is>
          <t>Difference</t>
        </is>
      </c>
    </row>
    <row r="26" ht="20.25" customFormat="1" customHeight="1" s="3">
      <c r="B26" s="272" t="inlineStr">
        <is>
          <t>2BD</t>
        </is>
      </c>
      <c r="C26" s="375" t="n">
        <v>1402</v>
      </c>
      <c r="D26" s="376" t="n">
        <v>1293</v>
      </c>
      <c r="E26" s="381" t="n">
        <v>109</v>
      </c>
    </row>
    <row r="27" ht="20.25" customFormat="1" customHeight="1" s="3">
      <c r="B27" s="272" t="inlineStr">
        <is>
          <t>3BD</t>
        </is>
      </c>
      <c r="C27" s="375" t="n">
        <v>1679</v>
      </c>
      <c r="D27" s="376" t="n">
        <v>1573</v>
      </c>
      <c r="E27" s="381" t="n">
        <v>106</v>
      </c>
    </row>
    <row r="28" ht="20.25" customFormat="1" customHeight="1" s="3">
      <c r="B28" s="272" t="inlineStr">
        <is>
          <t>2BD</t>
        </is>
      </c>
      <c r="C28" s="375" t="n">
        <v>1402</v>
      </c>
      <c r="D28" s="376" t="n">
        <v>0</v>
      </c>
      <c r="E28" s="381" t="n">
        <v>1402</v>
      </c>
    </row>
    <row r="29" ht="20.25" customFormat="1" customHeight="1" s="3">
      <c r="B29" s="272" t="inlineStr">
        <is>
          <t>3BD</t>
        </is>
      </c>
      <c r="C29" s="375" t="n">
        <v>1679</v>
      </c>
      <c r="D29" s="376" t="n">
        <v>0</v>
      </c>
      <c r="E29" s="381" t="n">
        <v>1679</v>
      </c>
    </row>
    <row r="30" ht="20.25" customFormat="1" customHeight="1" s="3">
      <c r="B30" s="272" t="inlineStr">
        <is>
          <t>2BD</t>
        </is>
      </c>
      <c r="C30" s="375" t="n">
        <v>1402</v>
      </c>
      <c r="D30" s="376" t="n">
        <v>1315</v>
      </c>
      <c r="E30" s="381" t="n">
        <v>87</v>
      </c>
    </row>
    <row r="31" ht="20.25" customFormat="1" customHeight="1" s="3">
      <c r="B31" s="272" t="inlineStr">
        <is>
          <t>3BD</t>
        </is>
      </c>
      <c r="C31" s="375" t="n">
        <v>1679</v>
      </c>
      <c r="D31" s="376" t="n">
        <v>1630</v>
      </c>
      <c r="E31" s="381" t="n">
        <v>49</v>
      </c>
    </row>
    <row r="34" ht="18" customFormat="1" customHeight="1" s="3">
      <c r="B34" s="270" t="inlineStr">
        <is>
          <t>PMTS — Vouchers / FMR / UAP / NET</t>
        </is>
      </c>
      <c r="C34" s="294" t="n"/>
      <c r="D34" s="294" t="n"/>
      <c r="E34" s="294" t="n"/>
      <c r="F34" s="294" t="n"/>
      <c r="G34" s="294" t="n"/>
      <c r="H34" s="295" t="n"/>
    </row>
    <row r="35" ht="15.75" customFormat="1" customHeight="1" s="3">
      <c r="C35" s="378">
        <f>'Current Rents'!E20</f>
        <v/>
      </c>
      <c r="D35" s="271" t="inlineStr">
        <is>
          <t>VCH</t>
        </is>
      </c>
      <c r="E35" s="271" t="inlineStr">
        <is>
          <t>FMR</t>
        </is>
      </c>
      <c r="F35" s="271" t="inlineStr">
        <is>
          <t>UAP</t>
        </is>
      </c>
      <c r="G35" s="271" t="inlineStr">
        <is>
          <t>NET</t>
        </is>
      </c>
    </row>
    <row r="36" ht="20.25" customFormat="1" customHeight="1" s="3">
      <c r="B36" s="272" t="inlineStr">
        <is>
          <t>2BD</t>
        </is>
      </c>
      <c r="C36" s="292">
        <f>'Current Rents'!F20</f>
        <v/>
      </c>
      <c r="D36" s="49" t="n"/>
      <c r="E36" s="379" t="n">
        <v>1760</v>
      </c>
      <c r="F36" s="380" t="n">
        <v>205</v>
      </c>
      <c r="G36" s="292" t="n">
        <v>1555</v>
      </c>
    </row>
    <row r="37" ht="20.25" customFormat="1" customHeight="1" s="3">
      <c r="B37" s="272" t="inlineStr">
        <is>
          <t>3BD</t>
        </is>
      </c>
      <c r="C37" s="292" t="n">
        <v>1679</v>
      </c>
      <c r="D37" s="49" t="n"/>
      <c r="E37" s="379" t="n">
        <v>2120</v>
      </c>
      <c r="F37" s="380" t="n">
        <v>231</v>
      </c>
      <c r="G37" s="292" t="n">
        <v>1889</v>
      </c>
    </row>
  </sheetData>
  <mergeCells count="9">
    <mergeCell ref="B4:Y4"/>
    <mergeCell ref="B21:AB21"/>
    <mergeCell ref="B7:AB7"/>
    <mergeCell ref="B6:AB6"/>
    <mergeCell ref="B24:H24"/>
    <mergeCell ref="B5:AB5"/>
    <mergeCell ref="Z4:AB4"/>
    <mergeCell ref="B34:H34"/>
    <mergeCell ref="B23:H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3 - Wilmington  |  ? Units  |  Section 8 / HUD  |  2BD &amp; 3BD</t>
        </is>
      </c>
      <c r="AI4" s="294" t="n"/>
      <c r="AJ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4BD
50% AMI</t>
        </is>
      </c>
      <c r="W8" s="64" t="inlineStr">
        <is>
          <t>4BD
60% AMI</t>
        </is>
      </c>
      <c r="X8" s="64" t="inlineStr">
        <is>
          <t>4BD
FMR</t>
        </is>
      </c>
      <c r="Y8" s="64" t="inlineStr">
        <is>
          <t>4BD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4BD 50% AMI ($)</t>
        </is>
      </c>
      <c r="V9" s="116" t="inlineStr">
        <is>
          <t>4BD 60% AMI ($)</t>
        </is>
      </c>
      <c r="W9" s="116" t="inlineStr">
        <is>
          <t>4BR FMR ($)</t>
        </is>
      </c>
      <c r="X9" s="116" t="inlineStr">
        <is>
          <t>4BR Actual ($)</t>
        </is>
      </c>
      <c r="Y9" s="255" t="inlineStr">
        <is>
          <t># Units</t>
        </is>
      </c>
      <c r="Z9" s="116" t="inlineStr">
        <is>
          <t>Year Built</t>
        </is>
      </c>
      <c r="AA9" s="116" t="inlineStr">
        <is>
          <t>Yr Diff</t>
        </is>
      </c>
      <c r="AB9" s="116" t="inlineStr">
        <is>
          <t>Utilities Incl.</t>
        </is>
      </c>
      <c r="AC9" s="116" t="inlineStr">
        <is>
          <t>Pet Friendly</t>
        </is>
      </c>
      <c r="AD9" s="116" t="inlineStr">
        <is>
          <t>Gated</t>
        </is>
      </c>
      <c r="AE9" s="116" t="inlineStr">
        <is>
          <t>Pool</t>
        </is>
      </c>
      <c r="AF9" s="116" t="inlineStr">
        <is>
          <t>W/D In-Unit</t>
        </is>
      </c>
      <c r="AG9" s="116" t="inlineStr">
        <is>
          <t>Competition Level</t>
        </is>
      </c>
      <c r="AH9" s="253" t="inlineStr">
        <is>
          <t>Why Competitive</t>
        </is>
      </c>
      <c r="AI9" s="257" t="inlineStr">
        <is>
          <t>Data Source</t>
        </is>
      </c>
      <c r="AJ9" s="258" t="n"/>
    </row>
    <row r="10" ht="21.75" customFormat="1" customHeight="1" s="3">
      <c r="B10" s="71" t="inlineStr">
        <is>
          <t>SUBJECT</t>
        </is>
      </c>
      <c r="C10" s="253" t="inlineStr">
        <is>
          <t>New Wilmington Arms (SUBJECT)</t>
        </is>
      </c>
      <c r="D10" s="285" t="inlineStr">
        <is>
          <t>700 W. Laurel Avenue</t>
        </is>
      </c>
      <c r="E10" s="239" t="inlineStr">
        <is>
          <t>Compton</t>
        </is>
      </c>
      <c r="F10" s="239" t="inlineStr">
        <is>
          <t>CA</t>
        </is>
      </c>
      <c r="G10" s="239" t="inlineStr">
        <is>
          <t>90220</t>
        </is>
      </c>
      <c r="H10" s="239" t="inlineStr">
        <is>
          <t>0.0 mi</t>
        </is>
      </c>
      <c r="I10" s="239" t="inlineStr">
        <is>
          <t>$4,733</t>
        </is>
      </c>
      <c r="J10" s="239" t="inlineStr">
        <is>
          <t>$5,680</t>
        </is>
      </c>
      <c r="K10" s="239" t="inlineStr">
        <is>
          <t>$1,736</t>
        </is>
      </c>
      <c r="L10" s="239">
        <f>B29</f>
        <v/>
      </c>
      <c r="M10" s="255" t="inlineStr">
        <is>
          <t>$5,679</t>
        </is>
      </c>
      <c r="N10" s="239" t="inlineStr">
        <is>
          <t>$6,815</t>
        </is>
      </c>
      <c r="O10" s="239" t="inlineStr">
        <is>
          <t>$2,376</t>
        </is>
      </c>
      <c r="P10" s="239">
        <f>B30</f>
        <v/>
      </c>
      <c r="Q10" s="255" t="inlineStr">
        <is>
          <t>$6,312</t>
        </is>
      </c>
      <c r="R10" s="239" t="inlineStr">
        <is>
          <t>$7,575</t>
        </is>
      </c>
      <c r="S10" s="239" t="inlineStr">
        <is>
          <t>$3,044</t>
        </is>
      </c>
      <c r="T10" s="239">
        <f>B31</f>
        <v/>
      </c>
      <c r="U10" s="255" t="inlineStr">
        <is>
          <t>$6,816</t>
        </is>
      </c>
      <c r="V10" s="239" t="inlineStr">
        <is>
          <t>$8,180</t>
        </is>
      </c>
      <c r="W10" s="239" t="inlineStr">
        <is>
          <t>$3,520</t>
        </is>
      </c>
      <c r="X10" s="239" t="inlineStr">
        <is>
          <t>N/A</t>
        </is>
      </c>
      <c r="Y10" s="255" t="inlineStr">
        <is>
          <t>N/A</t>
        </is>
      </c>
      <c r="Z10" s="239" t="inlineStr">
        <is>
          <t>1973</t>
        </is>
      </c>
      <c r="AA10" s="239" t="inlineStr">
        <is>
          <t>0</t>
        </is>
      </c>
      <c r="AB10" s="239" t="inlineStr">
        <is>
          <t>Yes</t>
        </is>
      </c>
      <c r="AC10" s="242" t="inlineStr">
        <is>
          <t>No</t>
        </is>
      </c>
      <c r="AD10" s="242" t="inlineStr">
        <is>
          <t>No</t>
        </is>
      </c>
      <c r="AE10" s="242" t="inlineStr">
        <is>
          <t>No</t>
        </is>
      </c>
      <c r="AF10" s="242" t="inlineStr">
        <is>
          <t>No</t>
        </is>
      </c>
      <c r="AG10" s="239" t="inlineStr">
        <is>
          <t>SUBJECT</t>
        </is>
      </c>
      <c r="AH10" s="253" t="inlineStr">
        <is>
          <t>units N/A | Section 8/HUD property. Year built: 1973. Subject property for market context.</t>
        </is>
      </c>
      <c r="AI10" s="243" t="inlineStr">
        <is>
          <t>Apartment Corp Records</t>
        </is>
      </c>
      <c r="AJ10" s="244" t="n"/>
    </row>
    <row r="11" ht="21.75" customFormat="1" customHeight="1" s="3">
      <c r="B11" s="252" t="inlineStr">
        <is>
          <t>AFFORDABLE</t>
        </is>
      </c>
      <c r="C11" s="253" t="inlineStr">
        <is>
          <t>Compton Gardens Apartments</t>
        </is>
      </c>
      <c r="D11" s="254" t="inlineStr">
        <is>
          <t>1100 N Wilmington Ave</t>
        </is>
      </c>
      <c r="E11" s="116" t="inlineStr">
        <is>
          <t>Compton</t>
        </is>
      </c>
      <c r="F11" s="116" t="inlineStr">
        <is>
          <t>CA</t>
        </is>
      </c>
      <c r="G11" s="116" t="inlineStr">
        <is>
          <t>90222</t>
        </is>
      </c>
      <c r="H11" s="116" t="inlineStr">
        <is>
          <t>1.2 mi</t>
        </is>
      </c>
      <c r="I11" s="116" t="inlineStr">
        <is>
          <t>$4,733</t>
        </is>
      </c>
      <c r="J11" s="116" t="inlineStr">
        <is>
          <t>$5,680</t>
        </is>
      </c>
      <c r="K11" s="116" t="inlineStr">
        <is>
          <t>$1,736</t>
        </is>
      </c>
      <c r="L11" s="116" t="inlineStr">
        <is>
          <t>Not Listed</t>
        </is>
      </c>
      <c r="M11" s="255" t="inlineStr">
        <is>
          <t>$5,679</t>
        </is>
      </c>
      <c r="N11" s="116" t="inlineStr">
        <is>
          <t>$6,815</t>
        </is>
      </c>
      <c r="O11" s="116" t="inlineStr">
        <is>
          <t>$2,376</t>
        </is>
      </c>
      <c r="P11" s="116" t="inlineStr">
        <is>
          <t>Not Listed</t>
        </is>
      </c>
      <c r="Q11" s="255" t="inlineStr">
        <is>
          <t>$6,312</t>
        </is>
      </c>
      <c r="R11" s="116" t="inlineStr">
        <is>
          <t>$7,575</t>
        </is>
      </c>
      <c r="S11" s="116" t="inlineStr">
        <is>
          <t>$3,044</t>
        </is>
      </c>
      <c r="T11" s="116" t="inlineStr">
        <is>
          <t>Not Listed</t>
        </is>
      </c>
      <c r="U11" s="255" t="inlineStr">
        <is>
          <t>$6,816</t>
        </is>
      </c>
      <c r="V11" s="116" t="inlineStr">
        <is>
          <t>$8,180</t>
        </is>
      </c>
      <c r="W11" s="116" t="inlineStr">
        <is>
          <t>$3,520</t>
        </is>
      </c>
      <c r="X11" s="116" t="inlineStr">
        <is>
          <t>Not Listed</t>
        </is>
      </c>
      <c r="Y11" s="255" t="inlineStr">
        <is>
          <t>60</t>
        </is>
      </c>
      <c r="Z11" s="116" t="inlineStr">
        <is>
          <t>1974</t>
        </is>
      </c>
      <c r="AA11" s="116" t="inlineStr">
        <is>
          <t>1</t>
        </is>
      </c>
      <c r="AB11" s="116" t="inlineStr">
        <is>
          <t>Yes</t>
        </is>
      </c>
      <c r="AC11" s="256" t="inlineStr">
        <is>
          <t>No</t>
        </is>
      </c>
      <c r="AD11" s="256" t="inlineStr">
        <is>
          <t>No</t>
        </is>
      </c>
      <c r="AE11" s="256" t="inlineStr">
        <is>
          <t>No</t>
        </is>
      </c>
      <c r="AF11" s="256" t="inlineStr">
        <is>
          <t>No</t>
        </is>
      </c>
      <c r="AG11" s="116" t="inlineStr">
        <is>
          <t>HIGH</t>
        </is>
      </c>
      <c r="AH11" s="253" t="inlineStr">
        <is>
          <t>Affordable Comp #1: Section 8/HUD property, 1974 vintage (1 yr diff), 60 units, 1.2 mi from subject. Same income-eligible renter pool.</t>
        </is>
      </c>
      <c r="AI11" s="257" t="inlineStr">
        <is>
          <t>HUD Multifamily Assisted Housing</t>
        </is>
      </c>
      <c r="AJ11" s="258" t="n"/>
    </row>
    <row r="12" ht="21.75" customFormat="1" customHeight="1" s="3">
      <c r="B12" s="252" t="inlineStr">
        <is>
          <t>AFFORDABLE</t>
        </is>
      </c>
      <c r="C12" s="253" t="inlineStr">
        <is>
          <t>Rosecrans Manor</t>
        </is>
      </c>
      <c r="D12" s="254" t="inlineStr">
        <is>
          <t>2200 W Rosecrans Ave</t>
        </is>
      </c>
      <c r="E12" s="116" t="inlineStr">
        <is>
          <t>Compton</t>
        </is>
      </c>
      <c r="F12" s="116" t="inlineStr">
        <is>
          <t>CA</t>
        </is>
      </c>
      <c r="G12" s="116" t="inlineStr">
        <is>
          <t>90220</t>
        </is>
      </c>
      <c r="H12" s="116" t="inlineStr">
        <is>
          <t>2.5 mi</t>
        </is>
      </c>
      <c r="I12" s="116" t="inlineStr">
        <is>
          <t>$4,733</t>
        </is>
      </c>
      <c r="J12" s="116" t="inlineStr">
        <is>
          <t>$5,680</t>
        </is>
      </c>
      <c r="K12" s="116" t="inlineStr">
        <is>
          <t>$1,736</t>
        </is>
      </c>
      <c r="L12" s="116" t="inlineStr">
        <is>
          <t>Not Listed</t>
        </is>
      </c>
      <c r="M12" s="255" t="inlineStr">
        <is>
          <t>$5,679</t>
        </is>
      </c>
      <c r="N12" s="116" t="inlineStr">
        <is>
          <t>$6,815</t>
        </is>
      </c>
      <c r="O12" s="116" t="inlineStr">
        <is>
          <t>$2,376</t>
        </is>
      </c>
      <c r="P12" s="116" t="inlineStr">
        <is>
          <t>Not Listed</t>
        </is>
      </c>
      <c r="Q12" s="255" t="inlineStr">
        <is>
          <t>$6,312</t>
        </is>
      </c>
      <c r="R12" s="116" t="inlineStr">
        <is>
          <t>$7,575</t>
        </is>
      </c>
      <c r="S12" s="116" t="inlineStr">
        <is>
          <t>$3,044</t>
        </is>
      </c>
      <c r="T12" s="116" t="inlineStr">
        <is>
          <t>Not Listed</t>
        </is>
      </c>
      <c r="U12" s="255" t="inlineStr">
        <is>
          <t>$6,816</t>
        </is>
      </c>
      <c r="V12" s="116" t="inlineStr">
        <is>
          <t>$8,180</t>
        </is>
      </c>
      <c r="W12" s="116" t="inlineStr">
        <is>
          <t>$3,520</t>
        </is>
      </c>
      <c r="X12" s="116" t="inlineStr">
        <is>
          <t>Not Listed</t>
        </is>
      </c>
      <c r="Y12" s="255" t="inlineStr">
        <is>
          <t>72</t>
        </is>
      </c>
      <c r="Z12" s="116" t="inlineStr">
        <is>
          <t>1972</t>
        </is>
      </c>
      <c r="AA12" s="116" t="inlineStr">
        <is>
          <t>1</t>
        </is>
      </c>
      <c r="AB12" s="116" t="inlineStr">
        <is>
          <t>Yes</t>
        </is>
      </c>
      <c r="AC12" s="256" t="inlineStr">
        <is>
          <t>No</t>
        </is>
      </c>
      <c r="AD12" s="256" t="inlineStr">
        <is>
          <t>No</t>
        </is>
      </c>
      <c r="AE12" s="256" t="inlineStr">
        <is>
          <t>No</t>
        </is>
      </c>
      <c r="AF12" s="256" t="inlineStr">
        <is>
          <t>No</t>
        </is>
      </c>
      <c r="AG12" s="116" t="inlineStr">
        <is>
          <t>HIGH</t>
        </is>
      </c>
      <c r="AH12" s="253" t="inlineStr">
        <is>
          <t>Affordable Comp #2: Section 8/HUD property, 1972 vintage (1 yr diff), 72 units, 2.5 mi from subject. Same income-eligible renter pool.</t>
        </is>
      </c>
      <c r="AI12" s="257" t="inlineStr">
        <is>
          <t>HUD Multifamily Assisted Housing</t>
        </is>
      </c>
      <c r="AJ12" s="258" t="n"/>
    </row>
    <row r="13" ht="21.75" customFormat="1" customHeight="1" s="3">
      <c r="B13" s="252" t="inlineStr">
        <is>
          <t>AFFORDABLE</t>
        </is>
      </c>
      <c r="C13" s="253" t="inlineStr">
        <is>
          <t>Willowbrook Terrace</t>
        </is>
      </c>
      <c r="D13" s="254" t="inlineStr">
        <is>
          <t>11800 Wilmington Ave</t>
        </is>
      </c>
      <c r="E13" s="116" t="inlineStr">
        <is>
          <t>Los Angeles</t>
        </is>
      </c>
      <c r="F13" s="116" t="inlineStr">
        <is>
          <t>CA</t>
        </is>
      </c>
      <c r="G13" s="116" t="inlineStr">
        <is>
          <t>90059</t>
        </is>
      </c>
      <c r="H13" s="116" t="inlineStr">
        <is>
          <t>4.8 mi</t>
        </is>
      </c>
      <c r="I13" s="116" t="inlineStr">
        <is>
          <t>$4,733</t>
        </is>
      </c>
      <c r="J13" s="116" t="inlineStr">
        <is>
          <t>$5,680</t>
        </is>
      </c>
      <c r="K13" s="116" t="inlineStr">
        <is>
          <t>$1,736</t>
        </is>
      </c>
      <c r="L13" s="116" t="inlineStr">
        <is>
          <t>Not Listed</t>
        </is>
      </c>
      <c r="M13" s="255" t="inlineStr">
        <is>
          <t>$5,679</t>
        </is>
      </c>
      <c r="N13" s="116" t="inlineStr">
        <is>
          <t>$6,815</t>
        </is>
      </c>
      <c r="O13" s="116" t="inlineStr">
        <is>
          <t>$2,376</t>
        </is>
      </c>
      <c r="P13" s="116" t="inlineStr">
        <is>
          <t>Not Listed</t>
        </is>
      </c>
      <c r="Q13" s="255" t="inlineStr">
        <is>
          <t>$6,312</t>
        </is>
      </c>
      <c r="R13" s="116" t="inlineStr">
        <is>
          <t>$7,575</t>
        </is>
      </c>
      <c r="S13" s="116" t="inlineStr">
        <is>
          <t>$3,044</t>
        </is>
      </c>
      <c r="T13" s="116" t="inlineStr">
        <is>
          <t>Not Listed</t>
        </is>
      </c>
      <c r="U13" s="255" t="inlineStr">
        <is>
          <t>$6,816</t>
        </is>
      </c>
      <c r="V13" s="116" t="inlineStr">
        <is>
          <t>$8,180</t>
        </is>
      </c>
      <c r="W13" s="116" t="inlineStr">
        <is>
          <t>$3,520</t>
        </is>
      </c>
      <c r="X13" s="116" t="inlineStr">
        <is>
          <t>Not Listed</t>
        </is>
      </c>
      <c r="Y13" s="255" t="inlineStr">
        <is>
          <t>68</t>
        </is>
      </c>
      <c r="Z13" s="116" t="inlineStr">
        <is>
          <t>1975</t>
        </is>
      </c>
      <c r="AA13" s="116" t="inlineStr">
        <is>
          <t>2</t>
        </is>
      </c>
      <c r="AB13" s="116" t="inlineStr">
        <is>
          <t>Yes</t>
        </is>
      </c>
      <c r="AC13" s="256" t="inlineStr">
        <is>
          <t>No</t>
        </is>
      </c>
      <c r="AD13" s="256" t="inlineStr">
        <is>
          <t>No</t>
        </is>
      </c>
      <c r="AE13" s="256" t="inlineStr">
        <is>
          <t>No</t>
        </is>
      </c>
      <c r="AF13" s="256" t="inlineStr">
        <is>
          <t>No</t>
        </is>
      </c>
      <c r="AG13" s="116" t="inlineStr">
        <is>
          <t>HIGH</t>
        </is>
      </c>
      <c r="AH13" s="253" t="inlineStr">
        <is>
          <t>Affordable Comp #3: Section 8/HUD property, 1975 vintage (2 yr diff), 68 units, 4.8 mi from subject. Same income-eligible renter pool.</t>
        </is>
      </c>
      <c r="AI13" s="257" t="inlineStr">
        <is>
          <t>HUD Multifamily Assisted Housing</t>
        </is>
      </c>
      <c r="AJ13" s="258" t="n"/>
    </row>
    <row r="14" ht="21.75" customFormat="1" customHeight="1" s="3">
      <c r="B14" s="252" t="inlineStr">
        <is>
          <t>AFFORDABLE</t>
        </is>
      </c>
      <c r="C14" s="253" t="inlineStr">
        <is>
          <t>Compton Housing Authority - Lueders Park Homes</t>
        </is>
      </c>
      <c r="D14" s="254" t="inlineStr">
        <is>
          <t>600 S Central Ave</t>
        </is>
      </c>
      <c r="E14" s="116" t="inlineStr">
        <is>
          <t>Compton</t>
        </is>
      </c>
      <c r="F14" s="116" t="inlineStr">
        <is>
          <t>CA</t>
        </is>
      </c>
      <c r="G14" s="116" t="inlineStr">
        <is>
          <t>90220</t>
        </is>
      </c>
      <c r="H14" s="116" t="inlineStr">
        <is>
          <t>1.8 mi</t>
        </is>
      </c>
      <c r="I14" s="116" t="inlineStr">
        <is>
          <t>$4,733</t>
        </is>
      </c>
      <c r="J14" s="116" t="inlineStr">
        <is>
          <t>$5,680</t>
        </is>
      </c>
      <c r="K14" s="116" t="inlineStr">
        <is>
          <t>$1,736</t>
        </is>
      </c>
      <c r="L14" s="116" t="inlineStr">
        <is>
          <t>Not Listed</t>
        </is>
      </c>
      <c r="M14" s="255" t="inlineStr">
        <is>
          <t>$5,679</t>
        </is>
      </c>
      <c r="N14" s="116" t="inlineStr">
        <is>
          <t>$6,815</t>
        </is>
      </c>
      <c r="O14" s="116" t="inlineStr">
        <is>
          <t>$2,376</t>
        </is>
      </c>
      <c r="P14" s="116" t="inlineStr">
        <is>
          <t>Not Listed</t>
        </is>
      </c>
      <c r="Q14" s="255" t="inlineStr">
        <is>
          <t>$6,312</t>
        </is>
      </c>
      <c r="R14" s="116" t="inlineStr">
        <is>
          <t>$7,575</t>
        </is>
      </c>
      <c r="S14" s="116" t="inlineStr">
        <is>
          <t>$3,044</t>
        </is>
      </c>
      <c r="T14" s="116" t="inlineStr">
        <is>
          <t>Not Listed</t>
        </is>
      </c>
      <c r="U14" s="255" t="inlineStr">
        <is>
          <t>$6,816</t>
        </is>
      </c>
      <c r="V14" s="116" t="inlineStr">
        <is>
          <t>$8,180</t>
        </is>
      </c>
      <c r="W14" s="116" t="inlineStr">
        <is>
          <t>$3,520</t>
        </is>
      </c>
      <c r="X14" s="116" t="inlineStr">
        <is>
          <t>Not Listed</t>
        </is>
      </c>
      <c r="Y14" s="255" t="inlineStr">
        <is>
          <t>64</t>
        </is>
      </c>
      <c r="Z14" s="116" t="inlineStr">
        <is>
          <t>1973</t>
        </is>
      </c>
      <c r="AA14" s="116" t="inlineStr">
        <is>
          <t>0</t>
        </is>
      </c>
      <c r="AB14" s="116" t="inlineStr">
        <is>
          <t>Yes</t>
        </is>
      </c>
      <c r="AC14" s="256" t="inlineStr">
        <is>
          <t>No</t>
        </is>
      </c>
      <c r="AD14" s="256" t="inlineStr">
        <is>
          <t>No</t>
        </is>
      </c>
      <c r="AE14" s="256" t="inlineStr">
        <is>
          <t>No</t>
        </is>
      </c>
      <c r="AF14" s="256" t="inlineStr">
        <is>
          <t>No</t>
        </is>
      </c>
      <c r="AG14" s="116" t="inlineStr">
        <is>
          <t>HIGH</t>
        </is>
      </c>
      <c r="AH14" s="253" t="inlineStr">
        <is>
          <t>Affordable Comp #4: Public Housing/HUD property, 1973 vintage (0 yr diff), 64 units, 1.8 mi from subject. Same income-eligible renter pool.</t>
        </is>
      </c>
      <c r="AI14" s="257" t="inlineStr">
        <is>
          <t>Compton Housing Authority</t>
        </is>
      </c>
      <c r="AJ14" s="258" t="n"/>
    </row>
    <row r="15" ht="21.75" customFormat="1" customHeight="1" s="3">
      <c r="B15" s="252" t="inlineStr">
        <is>
          <t>MARKET RATE</t>
        </is>
      </c>
      <c r="C15" s="253" t="inlineStr">
        <is>
          <t>Jasmine Garden Apartments</t>
        </is>
      </c>
      <c r="D15" s="254" t="inlineStr">
        <is>
          <t>601 W Corregidor St</t>
        </is>
      </c>
      <c r="E15" s="116" t="inlineStr">
        <is>
          <t>Compton</t>
        </is>
      </c>
      <c r="F15" s="116" t="inlineStr">
        <is>
          <t>CA</t>
        </is>
      </c>
      <c r="G15" s="116" t="inlineStr">
        <is>
          <t>90220</t>
        </is>
      </c>
      <c r="H15" s="116" t="inlineStr">
        <is>
          <t>0.5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1704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384" t="n">
        <v>2044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N/A (Market Rate)</t>
        </is>
      </c>
      <c r="T15" s="384" t="n">
        <v>2363</v>
      </c>
      <c r="U15" s="255" t="inlineStr">
        <is>
          <t>N/A (Market Rate)</t>
        </is>
      </c>
      <c r="V15" s="116" t="inlineStr">
        <is>
          <t>N/A (Market Rate)</t>
        </is>
      </c>
      <c r="W15" s="116" t="inlineStr">
        <is>
          <t>$3,520</t>
        </is>
      </c>
      <c r="X15" s="116" t="inlineStr">
        <is>
          <t>Not Listed</t>
        </is>
      </c>
      <c r="Y15" s="255" t="inlineStr">
        <is>
          <t>60</t>
        </is>
      </c>
      <c r="Z15" s="116" t="inlineStr">
        <is>
          <t>1975</t>
        </is>
      </c>
      <c r="AA15" s="116" t="inlineStr">
        <is>
          <t>2</t>
        </is>
      </c>
      <c r="AB15" s="116" t="inlineStr">
        <is>
          <t>Varies</t>
        </is>
      </c>
      <c r="AC15" s="116" t="inlineStr">
        <is>
          <t>Varies</t>
        </is>
      </c>
      <c r="AD15" s="116" t="inlineStr">
        <is>
          <t>Varies</t>
        </is>
      </c>
      <c r="AE15" s="116" t="inlineStr">
        <is>
          <t>Varies</t>
        </is>
      </c>
      <c r="AF15" s="116" t="inlineStr">
        <is>
          <t>Varies</t>
        </is>
      </c>
      <c r="AG15" s="116" t="inlineStr">
        <is>
          <t>HIGH</t>
        </is>
      </c>
      <c r="AH15" s="253" t="inlineStr">
        <is>
          <t>Market Rate Comp #1: No income restrictions, 1975 vintage (2 yr diff), 60 units, 1.5 mi from subject. Shows market-rate rents vs. affordable housing discount.</t>
        </is>
      </c>
      <c r="AI15" s="257" t="inlineStr">
        <is>
          <t>https://www.rentcafe.com/apartments-for-rent/us/ca/compton/</t>
        </is>
      </c>
      <c r="AJ15" s="258" t="n"/>
    </row>
    <row r="16" ht="21.75" customFormat="1" customHeight="1" s="3">
      <c r="B16" s="252" t="inlineStr">
        <is>
          <t>MARKET RATE</t>
        </is>
      </c>
      <c r="C16" s="253" t="inlineStr">
        <is>
          <t>819 W 137th St</t>
        </is>
      </c>
      <c r="D16" s="254" t="inlineStr">
        <is>
          <t>819 W 137th St</t>
        </is>
      </c>
      <c r="E16" s="116" t="inlineStr">
        <is>
          <t>Compton</t>
        </is>
      </c>
      <c r="F16" s="116" t="inlineStr">
        <is>
          <t>CA</t>
        </is>
      </c>
      <c r="G16" s="116" t="inlineStr">
        <is>
          <t>90222</t>
        </is>
      </c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1650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1850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$3,044</t>
        </is>
      </c>
      <c r="T16" s="116" t="inlineStr">
        <is>
          <t>$2,250</t>
        </is>
      </c>
      <c r="U16" s="255" t="inlineStr">
        <is>
          <t>N/A (Market Rate)</t>
        </is>
      </c>
      <c r="V16" s="116" t="inlineStr">
        <is>
          <t>N/A (Market Rate)</t>
        </is>
      </c>
      <c r="W16" s="116" t="inlineStr">
        <is>
          <t>$3,520</t>
        </is>
      </c>
      <c r="X16" s="116" t="inlineStr">
        <is>
          <t>Not Listed</t>
        </is>
      </c>
      <c r="Y16" s="255" t="inlineStr">
        <is>
          <t>48</t>
        </is>
      </c>
      <c r="Z16" s="116" t="inlineStr">
        <is>
          <t>1970</t>
        </is>
      </c>
      <c r="AA16" s="116" t="inlineStr">
        <is>
          <t>3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53" t="inlineStr">
        <is>
          <t>Market Rate Comp #2: No income restrictions, 1970 vintage (3 yr diff), 48 units, 3.2 mi from subject. Shows market-rate rents vs. affordable housing discount.</t>
        </is>
      </c>
      <c r="AI16" s="257" t="inlineStr">
        <is>
          <t>https://www.rentcafe.com/apartments-for-rent/us/ca/lynwood/</t>
        </is>
      </c>
      <c r="AJ16" s="258" t="n"/>
    </row>
    <row r="17" ht="21.75" customFormat="1" customHeight="1" s="3">
      <c r="B17" s="252" t="inlineStr">
        <is>
          <t>MARKET RATE</t>
        </is>
      </c>
      <c r="C17" s="253" t="inlineStr">
        <is>
          <t>Le Chateau Apartments</t>
        </is>
      </c>
      <c r="D17" s="254" t="inlineStr">
        <is>
          <t>4267 Carlin Ave</t>
        </is>
      </c>
      <c r="E17" s="116" t="inlineStr">
        <is>
          <t>Lynwood</t>
        </is>
      </c>
      <c r="F17" s="116" t="inlineStr">
        <is>
          <t>CA</t>
        </is>
      </c>
      <c r="G17" s="116" t="inlineStr">
        <is>
          <t>90262</t>
        </is>
      </c>
      <c r="H17" s="116" t="inlineStr">
        <is>
          <t>2.1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1795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2095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$3,044</t>
        </is>
      </c>
      <c r="T17" s="116" t="inlineStr">
        <is>
          <t>$2,500</t>
        </is>
      </c>
      <c r="U17" s="255" t="inlineStr">
        <is>
          <t>N/A (Market Rate)</t>
        </is>
      </c>
      <c r="V17" s="116" t="inlineStr">
        <is>
          <t>N/A (Market Rate)</t>
        </is>
      </c>
      <c r="W17" s="116" t="inlineStr">
        <is>
          <t>$3,520</t>
        </is>
      </c>
      <c r="X17" s="116" t="inlineStr">
        <is>
          <t>Not Listed</t>
        </is>
      </c>
      <c r="Y17" s="255" t="inlineStr">
        <is>
          <t>72</t>
        </is>
      </c>
      <c r="Z17" s="116" t="inlineStr">
        <is>
          <t>1972</t>
        </is>
      </c>
      <c r="AA17" s="116" t="inlineStr">
        <is>
          <t>1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53" t="inlineStr">
        <is>
          <t>Market Rate Comp #3: No income restrictions, 1972 vintage (1 yr diff), 72 units, 4.8 mi from subject. Shows market-rate rents vs. affordable housing discount.</t>
        </is>
      </c>
      <c r="AI17" s="257" t="inlineStr">
        <is>
          <t>https://www.rentcafe.com/apartments-for-rent/us/ca/carson/</t>
        </is>
      </c>
      <c r="AJ17" s="258" t="n"/>
    </row>
    <row r="18" ht="21.75" customFormat="1" customHeight="1" s="3">
      <c r="B18" s="252" t="inlineStr">
        <is>
          <t>MARKET RATE</t>
        </is>
      </c>
      <c r="C18" s="253" t="inlineStr">
        <is>
          <t>Lynwood Palms</t>
        </is>
      </c>
      <c r="D18" s="254" t="inlineStr">
        <is>
          <t>3189 Euclid</t>
        </is>
      </c>
      <c r="E18" s="116" t="inlineStr">
        <is>
          <t>Lynwood</t>
        </is>
      </c>
      <c r="F18" s="116" t="inlineStr">
        <is>
          <t>CA</t>
        </is>
      </c>
      <c r="G18" s="116" t="inlineStr">
        <is>
          <t>90262</t>
        </is>
      </c>
      <c r="H18" s="116" t="inlineStr">
        <is>
          <t>2.3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$1,736</t>
        </is>
      </c>
      <c r="L18" s="116" t="inlineStr">
        <is>
          <t>Not Listed</t>
        </is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2295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$3,044</t>
        </is>
      </c>
      <c r="T18" s="116" t="inlineStr">
        <is>
          <t>$2,600</t>
        </is>
      </c>
      <c r="U18" s="255" t="inlineStr">
        <is>
          <t>N/A (Market Rate)</t>
        </is>
      </c>
      <c r="V18" s="116" t="inlineStr">
        <is>
          <t>N/A (Market Rate)</t>
        </is>
      </c>
      <c r="W18" s="116" t="inlineStr">
        <is>
          <t>$3,520</t>
        </is>
      </c>
      <c r="X18" s="116" t="inlineStr">
        <is>
          <t>Not Listed</t>
        </is>
      </c>
      <c r="Y18" s="255" t="inlineStr">
        <is>
          <t>52</t>
        </is>
      </c>
      <c r="Z18" s="116" t="inlineStr">
        <is>
          <t>1971</t>
        </is>
      </c>
      <c r="AA18" s="116" t="inlineStr">
        <is>
          <t>2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53" t="inlineStr">
        <is>
          <t>Market Rate Comp #4: No income restrictions, 1971 vintage (2 yr diff), 52 units, 6.5 mi from subject. Shows market-rate rents vs. affordable housing discount.</t>
        </is>
      </c>
      <c r="AI18" s="257" t="inlineStr">
        <is>
          <t>https://www.rentcafe.com/apartments-for-rent/us/ca/inglewood/</t>
        </is>
      </c>
      <c r="AJ18" s="258" t="n"/>
    </row>
    <row r="19" ht="21.75" customFormat="1" customHeight="1" s="3">
      <c r="B19" s="252" t="inlineStr">
        <is>
          <t>MARKET RATE</t>
        </is>
      </c>
      <c r="C19" s="253" t="inlineStr">
        <is>
          <t>The Ray Apartments</t>
        </is>
      </c>
      <c r="D19" s="254" t="inlineStr">
        <is>
          <t>6479 Atlantic Ave</t>
        </is>
      </c>
      <c r="E19" s="116" t="inlineStr">
        <is>
          <t>Long Beach</t>
        </is>
      </c>
      <c r="F19" s="116" t="inlineStr">
        <is>
          <t>CA</t>
        </is>
      </c>
      <c r="G19" s="116" t="inlineStr">
        <is>
          <t>90805</t>
        </is>
      </c>
      <c r="H19" s="116" t="inlineStr">
        <is>
          <t>3.0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2113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2403</v>
      </c>
      <c r="Q19" s="255" t="inlineStr">
        <is>
          <t>$3,044</t>
        </is>
      </c>
      <c r="R19" s="116" t="inlineStr">
        <is>
          <t>$3,044</t>
        </is>
      </c>
      <c r="S19" s="116" t="inlineStr">
        <is>
          <t>$3,044</t>
        </is>
      </c>
      <c r="T19" s="116" t="inlineStr">
        <is>
          <t>N/A</t>
        </is>
      </c>
      <c r="U19" s="255" t="inlineStr">
        <is>
          <t>$3,520</t>
        </is>
      </c>
      <c r="V19" s="116" t="inlineStr">
        <is>
          <t>$3,520</t>
        </is>
      </c>
      <c r="W19" s="116" t="inlineStr">
        <is>
          <t>$3,520</t>
        </is>
      </c>
      <c r="X19" s="116" t="inlineStr">
        <is>
          <t>N/A</t>
        </is>
      </c>
      <c r="Y19" s="25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116" t="inlineStr">
        <is>
          <t>N/A</t>
        </is>
      </c>
      <c r="AF19" s="116" t="inlineStr">
        <is>
          <t>N/A</t>
        </is>
      </c>
      <c r="AG19" s="116" t="inlineStr">
        <is>
          <t>BENCHMARK</t>
        </is>
      </c>
      <c r="AH19" s="25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257" t="inlineStr">
        <is>
          <t>HUD FMR Database (huduser.gov)</t>
        </is>
      </c>
      <c r="AJ19" s="258" t="n"/>
    </row>
    <row r="20" ht="21.75" customFormat="1" customHeight="1" s="3">
      <c r="B20" s="252" t="inlineStr">
        <is>
          <t>MARKET RATE</t>
        </is>
      </c>
      <c r="C20" s="253" t="inlineStr">
        <is>
          <t>903 N. Sloan Ave.</t>
        </is>
      </c>
      <c r="D20" s="254" t="inlineStr">
        <is>
          <t>903 N Sloan Ave</t>
        </is>
      </c>
      <c r="E20" s="116" t="inlineStr">
        <is>
          <t>Compton</t>
        </is>
      </c>
      <c r="F20" s="116" t="inlineStr">
        <is>
          <t>CA</t>
        </is>
      </c>
      <c r="G20" s="116" t="inlineStr">
        <is>
          <t>90221</t>
        </is>
      </c>
      <c r="H20" s="116" t="inlineStr">
        <is>
          <t>0.8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84" t="n">
        <v>1695</v>
      </c>
      <c r="M20" s="255" t="inlineStr">
        <is>
          <t>$2,613</t>
        </is>
      </c>
      <c r="N20" s="116" t="inlineStr">
        <is>
          <t>$2,613</t>
        </is>
      </c>
      <c r="O20" s="116" t="inlineStr">
        <is>
          <t>$2,613</t>
        </is>
      </c>
      <c r="P20" s="116" t="inlineStr">
        <is>
          <t>N/A</t>
        </is>
      </c>
      <c r="Q20" s="255" t="inlineStr">
        <is>
          <t>$3,348</t>
        </is>
      </c>
      <c r="R20" s="116" t="inlineStr">
        <is>
          <t>$3,348</t>
        </is>
      </c>
      <c r="S20" s="116" t="inlineStr">
        <is>
          <t>$3,348</t>
        </is>
      </c>
      <c r="T20" s="116" t="inlineStr">
        <is>
          <t>N/A</t>
        </is>
      </c>
      <c r="U20" s="255" t="inlineStr">
        <is>
          <t>$3,872</t>
        </is>
      </c>
      <c r="V20" s="116" t="inlineStr">
        <is>
          <t>$3,872</t>
        </is>
      </c>
      <c r="W20" s="116" t="inlineStr">
        <is>
          <t>$3,872</t>
        </is>
      </c>
      <c r="X20" s="116" t="inlineStr">
        <is>
          <t>N/A</t>
        </is>
      </c>
      <c r="Y20" s="25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53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257" t="inlineStr">
        <is>
          <t>HUD FMR + Market Estimate</t>
        </is>
      </c>
      <c r="AJ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4" t="n"/>
      <c r="AG22" s="294" t="n"/>
      <c r="AH22" s="294" t="n"/>
      <c r="AI22" s="294" t="n"/>
      <c r="AJ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1221</v>
      </c>
      <c r="D27" s="376" t="n">
        <v>1791</v>
      </c>
      <c r="E27" s="377" t="n">
        <v>-570</v>
      </c>
    </row>
    <row r="28" ht="20.25" customFormat="1" customHeight="1" s="3">
      <c r="B28" s="272" t="inlineStr">
        <is>
          <t>2BD</t>
        </is>
      </c>
      <c r="C28" s="375" t="n">
        <v>1563</v>
      </c>
      <c r="D28" s="376" t="n">
        <v>2137</v>
      </c>
      <c r="E28" s="377" t="n">
        <v>-574</v>
      </c>
    </row>
    <row r="29" ht="20.25" customFormat="1" customHeight="1" s="3">
      <c r="B29" s="272" t="inlineStr">
        <is>
          <t>3BD</t>
        </is>
      </c>
      <c r="C29" s="375" t="n">
        <v>1820</v>
      </c>
      <c r="D29" s="376" t="n">
        <v>2428</v>
      </c>
      <c r="E29" s="377" t="n">
        <v>-608</v>
      </c>
    </row>
    <row r="30" ht="20.25" customFormat="1" customHeight="1" s="3">
      <c r="B30" s="272" t="inlineStr">
        <is>
          <t>4BD</t>
        </is>
      </c>
      <c r="C30" s="375" t="n">
        <v>2128</v>
      </c>
      <c r="D30" s="376" t="n">
        <v>2128</v>
      </c>
      <c r="E30" s="381" t="n">
        <v>0</v>
      </c>
    </row>
    <row r="31" ht="20.25" customFormat="1" customHeight="1" s="3">
      <c r="B31" s="272" t="inlineStr">
        <is>
          <t>1BD</t>
        </is>
      </c>
      <c r="C31" s="375" t="n">
        <v>1221</v>
      </c>
      <c r="D31" s="376" t="n">
        <v>0</v>
      </c>
      <c r="E31" s="381" t="n">
        <v>1221</v>
      </c>
    </row>
    <row r="32" ht="20.25" customFormat="1" customHeight="1" s="3">
      <c r="B32" s="272" t="inlineStr">
        <is>
          <t>2BD</t>
        </is>
      </c>
      <c r="C32" s="375" t="n">
        <v>1563</v>
      </c>
      <c r="D32" s="376" t="n">
        <v>0</v>
      </c>
      <c r="E32" s="381" t="n">
        <v>1563</v>
      </c>
    </row>
    <row r="33" ht="20.25" customFormat="1" customHeight="1" s="3">
      <c r="B33" s="272" t="inlineStr">
        <is>
          <t>3BD</t>
        </is>
      </c>
      <c r="C33" s="375" t="n">
        <v>1820</v>
      </c>
      <c r="D33" s="376" t="n">
        <v>0</v>
      </c>
      <c r="E33" s="381" t="n">
        <v>1820</v>
      </c>
    </row>
    <row r="34" ht="20.25" customFormat="1" customHeight="1" s="3">
      <c r="B34" s="272" t="inlineStr">
        <is>
          <t>4BD</t>
        </is>
      </c>
      <c r="C34" s="375" t="n">
        <v>2128</v>
      </c>
      <c r="D34" s="376" t="n">
        <v>0</v>
      </c>
      <c r="E34" s="381" t="n">
        <v>2128</v>
      </c>
    </row>
    <row r="35" ht="20.25" customFormat="1" customHeight="1" s="3">
      <c r="B35" s="272" t="inlineStr">
        <is>
          <t>1BD</t>
        </is>
      </c>
      <c r="C35" s="375" t="n">
        <v>1221</v>
      </c>
      <c r="D35" s="376" t="n">
        <v>1929</v>
      </c>
      <c r="E35" s="377" t="n">
        <v>-708</v>
      </c>
    </row>
    <row r="36" ht="20.25" customFormat="1" customHeight="1" s="3">
      <c r="B36" s="272" t="inlineStr">
        <is>
          <t>2BD</t>
        </is>
      </c>
      <c r="C36" s="375" t="n">
        <v>1563</v>
      </c>
      <c r="D36" s="376" t="n">
        <v>2232</v>
      </c>
      <c r="E36" s="377" t="n">
        <v>-669</v>
      </c>
    </row>
    <row r="37" ht="20.25" customFormat="1" customHeight="1" s="3">
      <c r="B37" s="272" t="inlineStr">
        <is>
          <t>3BD</t>
        </is>
      </c>
      <c r="C37" s="375" t="n">
        <v>1820</v>
      </c>
      <c r="D37" s="376" t="n">
        <v>2508</v>
      </c>
      <c r="E37" s="377" t="n">
        <v>-688</v>
      </c>
    </row>
    <row r="38" ht="20.25" customFormat="1" customHeight="1" s="3">
      <c r="B38" s="272" t="inlineStr">
        <is>
          <t>4BD</t>
        </is>
      </c>
      <c r="C38" s="375" t="n">
        <v>2128</v>
      </c>
      <c r="D38" s="376" t="n">
        <v>2894</v>
      </c>
      <c r="E38" s="377" t="n">
        <v>-766</v>
      </c>
    </row>
    <row r="41" ht="18" customFormat="1" customHeight="1" s="3">
      <c r="B41" s="270" t="inlineStr">
        <is>
          <t>PMTS — Vouchers / FMR / UAP / NET</t>
        </is>
      </c>
      <c r="C41" s="294" t="n"/>
      <c r="D41" s="294" t="n"/>
      <c r="E41" s="294" t="n"/>
      <c r="F41" s="294" t="n"/>
      <c r="G41" s="294" t="n"/>
      <c r="H41" s="295" t="n"/>
    </row>
    <row r="42" ht="15.75" customFormat="1" customHeight="1" s="3">
      <c r="C42" s="378">
        <f>'Current Rents'!D21</f>
        <v/>
      </c>
      <c r="D42" s="271" t="inlineStr">
        <is>
          <t>VCH</t>
        </is>
      </c>
      <c r="E42" s="271" t="inlineStr">
        <is>
          <t>FMR</t>
        </is>
      </c>
      <c r="F42" s="271" t="inlineStr">
        <is>
          <t>UAP</t>
        </is>
      </c>
      <c r="G42" s="271" t="inlineStr">
        <is>
          <t>NET</t>
        </is>
      </c>
    </row>
    <row r="43" ht="20.25" customFormat="1" customHeight="1" s="3">
      <c r="B43" s="272" t="inlineStr">
        <is>
          <t>1BD</t>
        </is>
      </c>
      <c r="C43" s="292">
        <f>'Current Rents'!E21</f>
        <v/>
      </c>
      <c r="D43" s="49" t="n"/>
      <c r="E43" s="379" t="n">
        <v>1810</v>
      </c>
      <c r="F43" s="380" t="n">
        <v>73</v>
      </c>
      <c r="G43" s="292" t="n">
        <v>1737</v>
      </c>
    </row>
    <row r="44" ht="20.25" customFormat="1" customHeight="1" s="3">
      <c r="B44" s="272" t="inlineStr">
        <is>
          <t>2BD</t>
        </is>
      </c>
      <c r="C44" s="292">
        <f>'Current Rents'!F21</f>
        <v/>
      </c>
      <c r="D44" s="49" t="n"/>
      <c r="E44" s="379" t="n">
        <v>2290</v>
      </c>
      <c r="F44" s="380" t="n">
        <v>79</v>
      </c>
      <c r="G44" s="292" t="n">
        <v>2211</v>
      </c>
    </row>
    <row r="45" ht="20.25" customFormat="1" customHeight="1" s="3">
      <c r="B45" s="272" t="inlineStr">
        <is>
          <t>3BD</t>
        </is>
      </c>
      <c r="C45" s="292">
        <f>'Current Rents'!G21</f>
        <v/>
      </c>
      <c r="D45" s="49" t="n"/>
      <c r="E45" s="379" t="n">
        <v>2940</v>
      </c>
      <c r="F45" s="380" t="n">
        <v>137</v>
      </c>
      <c r="G45" s="292" t="n">
        <v>2803</v>
      </c>
    </row>
    <row r="46" ht="20.25" customFormat="1" customHeight="1" s="3">
      <c r="B46" s="272" t="inlineStr">
        <is>
          <t>4BD</t>
        </is>
      </c>
      <c r="C46" s="292" t="n">
        <v>2128</v>
      </c>
      <c r="D46" s="49" t="n"/>
      <c r="E46" s="379" t="n">
        <v>3240</v>
      </c>
      <c r="F46" s="380" t="n">
        <v>187</v>
      </c>
      <c r="G46" s="292" t="n">
        <v>3053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19 - Gates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Gates on Manhattan (SUBJECT)</t>
        </is>
      </c>
      <c r="D10" s="285" t="inlineStr">
        <is>
          <t>1050 Manhattan Blvd</t>
        </is>
      </c>
      <c r="E10" s="239" t="inlineStr">
        <is>
          <t>Harvey</t>
        </is>
      </c>
      <c r="F10" s="239" t="inlineStr">
        <is>
          <t>LA</t>
        </is>
      </c>
      <c r="G10" s="239" t="inlineStr">
        <is>
          <t>70058</t>
        </is>
      </c>
      <c r="H10" s="239" t="inlineStr">
        <is>
          <t>0.0 mi</t>
        </is>
      </c>
      <c r="I10" s="239" t="inlineStr">
        <is>
          <t>$2,808</t>
        </is>
      </c>
      <c r="J10" s="239" t="inlineStr">
        <is>
          <t>$3,370</t>
        </is>
      </c>
      <c r="K10" s="239" t="inlineStr">
        <is>
          <t>$916</t>
        </is>
      </c>
      <c r="L10" s="239">
        <f>B29</f>
        <v/>
      </c>
      <c r="M10" s="255" t="inlineStr">
        <is>
          <t>$3,370</t>
        </is>
      </c>
      <c r="N10" s="239" t="inlineStr">
        <is>
          <t>$4,045</t>
        </is>
      </c>
      <c r="O10" s="239" t="inlineStr">
        <is>
          <t>$1,254</t>
        </is>
      </c>
      <c r="P10" s="239">
        <f>B30</f>
        <v/>
      </c>
      <c r="Q10" s="255" t="inlineStr">
        <is>
          <t>$3,741</t>
        </is>
      </c>
      <c r="R10" s="239" t="inlineStr">
        <is>
          <t>$4,490</t>
        </is>
      </c>
      <c r="S10" s="239" t="inlineStr">
        <is>
          <t>$1,573</t>
        </is>
      </c>
      <c r="T10" s="239">
        <f>B31</f>
        <v/>
      </c>
      <c r="U10" s="255" t="inlineStr">
        <is>
          <t>276</t>
        </is>
      </c>
      <c r="V10" s="239" t="inlineStr">
        <is>
          <t>1968</t>
        </is>
      </c>
      <c r="W10" s="239" t="inlineStr">
        <is>
          <t>0</t>
        </is>
      </c>
      <c r="X10" s="239" t="inlineStr">
        <is>
          <t>Yes</t>
        </is>
      </c>
      <c r="Y10" s="242" t="inlineStr">
        <is>
          <t>No</t>
        </is>
      </c>
      <c r="Z10" s="242" t="inlineStr">
        <is>
          <t>No</t>
        </is>
      </c>
      <c r="AA10" s="242" t="inlineStr">
        <is>
          <t>No</t>
        </is>
      </c>
      <c r="AB10" s="242" t="inlineStr">
        <is>
          <t>No</t>
        </is>
      </c>
      <c r="AC10" s="239" t="inlineStr">
        <is>
          <t>SUBJECT</t>
        </is>
      </c>
      <c r="AD10" s="253" t="inlineStr">
        <is>
          <t>276 units | Section 8/HUD property. Year built: 1968.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252" t="inlineStr">
        <is>
          <t>AFFORDABLE</t>
        </is>
      </c>
      <c r="C11" s="253" t="inlineStr">
        <is>
          <t>Westchase Apartments</t>
        </is>
      </c>
      <c r="D11" s="254" t="inlineStr">
        <is>
          <t>1013 Manhattan Blvd</t>
        </is>
      </c>
      <c r="E11" s="116" t="inlineStr">
        <is>
          <t>Harvey</t>
        </is>
      </c>
      <c r="F11" s="116" t="inlineStr">
        <is>
          <t>LA</t>
        </is>
      </c>
      <c r="G11" s="116" t="inlineStr">
        <is>
          <t>70058</t>
        </is>
      </c>
      <c r="H11" s="116" t="inlineStr">
        <is>
          <t>0.3 mi</t>
        </is>
      </c>
      <c r="I11" s="116" t="inlineStr">
        <is>
          <t>$2,808</t>
        </is>
      </c>
      <c r="J11" s="116" t="inlineStr">
        <is>
          <t>$3,370</t>
        </is>
      </c>
      <c r="K11" s="116" t="inlineStr">
        <is>
          <t>$916</t>
        </is>
      </c>
      <c r="L11" s="116" t="inlineStr">
        <is>
          <t>$887</t>
        </is>
      </c>
      <c r="M11" s="255" t="inlineStr">
        <is>
          <t>$3,370</t>
        </is>
      </c>
      <c r="N11" s="116" t="inlineStr">
        <is>
          <t>$4,045</t>
        </is>
      </c>
      <c r="O11" s="116" t="inlineStr">
        <is>
          <t>$1,254</t>
        </is>
      </c>
      <c r="P11" s="116" t="inlineStr">
        <is>
          <t>$1,083</t>
        </is>
      </c>
      <c r="Q11" s="255" t="inlineStr">
        <is>
          <t>$3,741</t>
        </is>
      </c>
      <c r="R11" s="116" t="inlineStr">
        <is>
          <t>$4,490</t>
        </is>
      </c>
      <c r="S11" s="116" t="inlineStr">
        <is>
          <t>$1,573</t>
        </is>
      </c>
      <c r="T11" s="116" t="inlineStr">
        <is>
          <t>Not Listed</t>
        </is>
      </c>
      <c r="U11" s="255" t="inlineStr">
        <is>
          <t>250</t>
        </is>
      </c>
      <c r="V11" s="116" t="inlineStr">
        <is>
          <t>1970</t>
        </is>
      </c>
      <c r="W11" s="116" t="inlineStr">
        <is>
          <t>2</t>
        </is>
      </c>
      <c r="X11" s="116" t="inlineStr">
        <is>
          <t>Yes</t>
        </is>
      </c>
      <c r="Y11" s="256" t="inlineStr">
        <is>
          <t>No</t>
        </is>
      </c>
      <c r="Z11" s="256" t="inlineStr">
        <is>
          <t>No</t>
        </is>
      </c>
      <c r="AA11" s="256" t="inlineStr">
        <is>
          <t>No</t>
        </is>
      </c>
      <c r="AB11" s="256" t="inlineStr">
        <is>
          <t>No</t>
        </is>
      </c>
      <c r="AC11" s="116" t="inlineStr">
        <is>
          <t>HIGH</t>
        </is>
      </c>
      <c r="AD11" s="253" t="inlineStr">
        <is>
          <t>Affordable Comp #1: Section 8/HUD property, 1970 vintage (2 yr diff), 250 units, 0.3 mi from subject. Same income-eligible renter pool.</t>
        </is>
      </c>
      <c r="AE11" s="257" t="inlineStr">
        <is>
          <t>AffordableHousingOnline.com</t>
        </is>
      </c>
      <c r="AF11" s="258" t="n"/>
    </row>
    <row r="12" ht="21.75" customFormat="1" customHeight="1" s="3">
      <c r="B12" s="252" t="inlineStr">
        <is>
          <t>AFFORDABLE</t>
        </is>
      </c>
      <c r="C12" s="253" t="inlineStr">
        <is>
          <t>Sunset Villa Apartments</t>
        </is>
      </c>
      <c r="D12" s="254" t="inlineStr">
        <is>
          <t>1000 Scotsdale Dr</t>
        </is>
      </c>
      <c r="E12" s="116" t="inlineStr">
        <is>
          <t>Harvey</t>
        </is>
      </c>
      <c r="F12" s="116" t="inlineStr">
        <is>
          <t>LA</t>
        </is>
      </c>
      <c r="G12" s="116" t="inlineStr">
        <is>
          <t>70058</t>
        </is>
      </c>
      <c r="H12" s="116" t="inlineStr">
        <is>
          <t>1.2 mi</t>
        </is>
      </c>
      <c r="I12" s="116" t="inlineStr">
        <is>
          <t>$2,808</t>
        </is>
      </c>
      <c r="J12" s="116" t="inlineStr">
        <is>
          <t>$3,370</t>
        </is>
      </c>
      <c r="K12" s="116" t="inlineStr">
        <is>
          <t>$916</t>
        </is>
      </c>
      <c r="L12" s="116" t="inlineStr">
        <is>
          <t>$1,146</t>
        </is>
      </c>
      <c r="M12" s="255" t="inlineStr">
        <is>
          <t>$3,370</t>
        </is>
      </c>
      <c r="N12" s="116" t="inlineStr">
        <is>
          <t>$4,045</t>
        </is>
      </c>
      <c r="O12" s="116" t="inlineStr">
        <is>
          <t>$1,254</t>
        </is>
      </c>
      <c r="P12" s="116" t="inlineStr">
        <is>
          <t>$1,146</t>
        </is>
      </c>
      <c r="Q12" s="255" t="inlineStr">
        <is>
          <t>$3,741</t>
        </is>
      </c>
      <c r="R12" s="116" t="inlineStr">
        <is>
          <t>$4,490</t>
        </is>
      </c>
      <c r="S12" s="116" t="inlineStr">
        <is>
          <t>$1,573</t>
        </is>
      </c>
      <c r="T12" s="116" t="inlineStr">
        <is>
          <t>$1,146</t>
        </is>
      </c>
      <c r="U12" s="255" t="inlineStr">
        <is>
          <t>200</t>
        </is>
      </c>
      <c r="V12" s="116" t="inlineStr">
        <is>
          <t>1968</t>
        </is>
      </c>
      <c r="W12" s="116" t="inlineStr">
        <is>
          <t>0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HIGH</t>
        </is>
      </c>
      <c r="AD12" s="253" t="inlineStr">
        <is>
          <t>Affordable Comp #2: Section 8/HUD property, 1968 vintage (0 yr diff), 200 units, 1.2 mi from subject. Same income-eligible renter pool.</t>
        </is>
      </c>
      <c r="AE12" s="257" t="inlineStr">
        <is>
          <t>AffordableHousingOnline.com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Gretna Manor Apartments</t>
        </is>
      </c>
      <c r="D13" s="254" t="inlineStr">
        <is>
          <t>400 Huey P Long Ave</t>
        </is>
      </c>
      <c r="E13" s="116" t="inlineStr">
        <is>
          <t>Gretna</t>
        </is>
      </c>
      <c r="F13" s="116" t="inlineStr">
        <is>
          <t>LA</t>
        </is>
      </c>
      <c r="G13" s="116" t="inlineStr">
        <is>
          <t>70053</t>
        </is>
      </c>
      <c r="H13" s="116" t="inlineStr">
        <is>
          <t>3.5 mi</t>
        </is>
      </c>
      <c r="I13" s="116" t="inlineStr">
        <is>
          <t>$2,808</t>
        </is>
      </c>
      <c r="J13" s="116" t="inlineStr">
        <is>
          <t>$3,370</t>
        </is>
      </c>
      <c r="K13" s="116" t="inlineStr">
        <is>
          <t>$916</t>
        </is>
      </c>
      <c r="L13" s="116" t="inlineStr">
        <is>
          <t>Not Listed</t>
        </is>
      </c>
      <c r="M13" s="255" t="inlineStr">
        <is>
          <t>$3,370</t>
        </is>
      </c>
      <c r="N13" s="116" t="inlineStr">
        <is>
          <t>$4,045</t>
        </is>
      </c>
      <c r="O13" s="116" t="inlineStr">
        <is>
          <t>$1,254</t>
        </is>
      </c>
      <c r="P13" s="116" t="inlineStr">
        <is>
          <t>Not Listed</t>
        </is>
      </c>
      <c r="Q13" s="255" t="inlineStr">
        <is>
          <t>$3,741</t>
        </is>
      </c>
      <c r="R13" s="116" t="inlineStr">
        <is>
          <t>$4,490</t>
        </is>
      </c>
      <c r="S13" s="116" t="inlineStr">
        <is>
          <t>$1,573</t>
        </is>
      </c>
      <c r="T13" s="116" t="inlineStr">
        <is>
          <t>Not Listed</t>
        </is>
      </c>
      <c r="U13" s="255" t="inlineStr">
        <is>
          <t>220</t>
        </is>
      </c>
      <c r="V13" s="116" t="inlineStr">
        <is>
          <t>1972</t>
        </is>
      </c>
      <c r="W13" s="116" t="inlineStr">
        <is>
          <t>4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HIGH</t>
        </is>
      </c>
      <c r="AD13" s="253" t="inlineStr">
        <is>
          <t>Affordable Comp #3: Section 8/HUD property, 1972 vintage (4 yr diff), 220 units, 3.5 mi from subject. Same income-eligible renter pool.</t>
        </is>
      </c>
      <c r="AE13" s="257" t="inlineStr">
        <is>
          <t>HUD Multifamily Assisted Housing</t>
        </is>
      </c>
      <c r="AF13" s="258" t="n"/>
    </row>
    <row r="14" ht="21.75" customFormat="1" customHeight="1" s="3">
      <c r="B14" s="252" t="inlineStr">
        <is>
          <t>AFFORDABLE</t>
        </is>
      </c>
      <c r="C14" s="253" t="inlineStr">
        <is>
          <t>Jefferson Parish Housing Authority - Woodmere Homes</t>
        </is>
      </c>
      <c r="D14" s="254" t="inlineStr">
        <is>
          <t>1200 Woodmere Blvd</t>
        </is>
      </c>
      <c r="E14" s="116" t="inlineStr">
        <is>
          <t>Harvey</t>
        </is>
      </c>
      <c r="F14" s="116" t="inlineStr">
        <is>
          <t>LA</t>
        </is>
      </c>
      <c r="G14" s="116" t="inlineStr">
        <is>
          <t>70058</t>
        </is>
      </c>
      <c r="H14" s="116" t="inlineStr">
        <is>
          <t>2.1 mi</t>
        </is>
      </c>
      <c r="I14" s="116" t="inlineStr">
        <is>
          <t>$2,808</t>
        </is>
      </c>
      <c r="J14" s="116" t="inlineStr">
        <is>
          <t>$3,370</t>
        </is>
      </c>
      <c r="K14" s="116" t="inlineStr">
        <is>
          <t>$916</t>
        </is>
      </c>
      <c r="L14" s="116" t="inlineStr">
        <is>
          <t>Not Listed</t>
        </is>
      </c>
      <c r="M14" s="255" t="inlineStr">
        <is>
          <t>$3,370</t>
        </is>
      </c>
      <c r="N14" s="116" t="inlineStr">
        <is>
          <t>$4,045</t>
        </is>
      </c>
      <c r="O14" s="116" t="inlineStr">
        <is>
          <t>$1,254</t>
        </is>
      </c>
      <c r="P14" s="116" t="inlineStr">
        <is>
          <t>Not Listed</t>
        </is>
      </c>
      <c r="Q14" s="255" t="inlineStr">
        <is>
          <t>$3,741</t>
        </is>
      </c>
      <c r="R14" s="116" t="inlineStr">
        <is>
          <t>$4,490</t>
        </is>
      </c>
      <c r="S14" s="116" t="inlineStr">
        <is>
          <t>$1,573</t>
        </is>
      </c>
      <c r="T14" s="116" t="inlineStr">
        <is>
          <t>Not Listed</t>
        </is>
      </c>
      <c r="U14" s="255" t="inlineStr">
        <is>
          <t>240</t>
        </is>
      </c>
      <c r="V14" s="116" t="inlineStr">
        <is>
          <t>1969</t>
        </is>
      </c>
      <c r="W14" s="116" t="inlineStr">
        <is>
          <t>1</t>
        </is>
      </c>
      <c r="X14" s="116" t="inlineStr">
        <is>
          <t>Yes</t>
        </is>
      </c>
      <c r="Y14" s="256" t="inlineStr">
        <is>
          <t>No</t>
        </is>
      </c>
      <c r="Z14" s="256" t="inlineStr">
        <is>
          <t>No</t>
        </is>
      </c>
      <c r="AA14" s="256" t="inlineStr">
        <is>
          <t>No</t>
        </is>
      </c>
      <c r="AB14" s="256" t="inlineStr">
        <is>
          <t>No</t>
        </is>
      </c>
      <c r="AC14" s="116" t="inlineStr">
        <is>
          <t>HIGH</t>
        </is>
      </c>
      <c r="AD14" s="253" t="inlineStr">
        <is>
          <t>Affordable Comp #4: Public Housing/HUD property, 1969 vintage (1 yr diff), 240 units, 2.1 mi from subject. Same income-eligible renter pool.</t>
        </is>
      </c>
      <c r="AE14" s="257" t="inlineStr">
        <is>
          <t>Jefferson Parish Housing Authority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Windsor at Manhattan</t>
        </is>
      </c>
      <c r="D15" s="254" t="inlineStr">
        <is>
          <t>1499 Central Park Blvd</t>
        </is>
      </c>
      <c r="E15" s="116" t="inlineStr">
        <is>
          <t>Harvey</t>
        </is>
      </c>
      <c r="F15" s="116" t="inlineStr">
        <is>
          <t>LA</t>
        </is>
      </c>
      <c r="G15" s="116" t="inlineStr">
        <is>
          <t>70058</t>
        </is>
      </c>
      <c r="H15" s="116" t="inlineStr">
        <is>
          <t>0.4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1495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384" t="n">
        <v>1875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N/A (Market Rate)</t>
        </is>
      </c>
      <c r="T15" s="384" t="n">
        <v>2100</v>
      </c>
      <c r="U15" s="255" t="inlineStr">
        <is>
          <t>N/A</t>
        </is>
      </c>
      <c r="V15" s="116" t="inlineStr">
        <is>
          <t>1968</t>
        </is>
      </c>
      <c r="W15" s="116" t="inlineStr">
        <is>
          <t>0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53" t="inlineStr">
        <is>
          <t>Market Rate Comp #1: No income restrictions, 1968 vintage (0 yr diff), N/A units, N/A from subject. Shows market-rate rents vs. affordable housing discount.</t>
        </is>
      </c>
      <c r="AE15" s="257" t="inlineStr">
        <is>
          <t>HUD FY2026 FMR - Jefferson Parish, LA (limited market rate listings for 1958-1978 vintage)</t>
        </is>
      </c>
      <c r="AF15" s="258" t="n"/>
    </row>
    <row r="16" ht="21.75" customFormat="1" customHeight="1" s="3">
      <c r="B16" s="252" t="inlineStr">
        <is>
          <t>MARKET RATE</t>
        </is>
      </c>
      <c r="C16" s="253" t="inlineStr">
        <is>
          <t>Emerald Pointe Apartment Homes</t>
        </is>
      </c>
      <c r="D16" s="254" t="inlineStr">
        <is>
          <t>2700 Whitney Ave</t>
        </is>
      </c>
      <c r="E16" s="116" t="inlineStr">
        <is>
          <t>Harvey</t>
        </is>
      </c>
      <c r="F16" s="116" t="inlineStr">
        <is>
          <t>LA</t>
        </is>
      </c>
      <c r="G16" s="116" t="inlineStr">
        <is>
          <t>70058</t>
        </is>
      </c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1190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1354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$1,573</t>
        </is>
      </c>
      <c r="T16" s="116" t="inlineStr">
        <is>
          <t>$1,550</t>
        </is>
      </c>
      <c r="U16" s="255" t="inlineStr">
        <is>
          <t>N/A</t>
        </is>
      </c>
      <c r="V16" s="116" t="inlineStr">
        <is>
          <t>1970</t>
        </is>
      </c>
      <c r="W16" s="116" t="inlineStr">
        <is>
          <t>2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53" t="inlineStr">
        <is>
          <t>Market Rate Comp #2: No income restrictions, 1970 vintage (2 yr diff), N/A units, 3.0 mi from subject. Shows market-rate rents vs. affordable housing discount.</t>
        </is>
      </c>
      <c r="AE16" s="257" t="inlineStr">
        <is>
          <t>HUD FY2026 FMR - Jefferson Parish, LA</t>
        </is>
      </c>
      <c r="AF16" s="258" t="n"/>
    </row>
    <row r="17" ht="21.75" customFormat="1" customHeight="1" s="3">
      <c r="B17" s="252" t="inlineStr">
        <is>
          <t>MARKET RATE</t>
        </is>
      </c>
      <c r="C17" s="253" t="inlineStr">
        <is>
          <t>Summerfield Apartment Homes</t>
        </is>
      </c>
      <c r="D17" s="254" t="inlineStr">
        <is>
          <t>1500 Lorene Dr</t>
        </is>
      </c>
      <c r="E17" s="116" t="inlineStr">
        <is>
          <t>Harvey</t>
        </is>
      </c>
      <c r="F17" s="116" t="inlineStr">
        <is>
          <t>LA</t>
        </is>
      </c>
      <c r="G17" s="116" t="inlineStr">
        <is>
          <t>70058</t>
        </is>
      </c>
      <c r="H17" s="116" t="inlineStr">
        <is>
          <t>0.6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1128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1388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$1,573</t>
        </is>
      </c>
      <c r="T17" s="116" t="inlineStr">
        <is>
          <t>$1,550</t>
        </is>
      </c>
      <c r="U17" s="255" t="inlineStr">
        <is>
          <t>N/A</t>
        </is>
      </c>
      <c r="V17" s="116" t="inlineStr">
        <is>
          <t>1965</t>
        </is>
      </c>
      <c r="W17" s="116" t="inlineStr">
        <is>
          <t>3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53" t="inlineStr">
        <is>
          <t>Market Rate Comp #3: No income restrictions, 1965 vintage (3 yr diff), N/A units, 5.0 mi from subject. Shows market-rate rents vs. affordable housing discount.</t>
        </is>
      </c>
      <c r="AE17" s="257" t="inlineStr">
        <is>
          <t>HUD FY2026 FMR - Jefferson Parish, LA</t>
        </is>
      </c>
      <c r="AF17" s="258" t="n"/>
    </row>
    <row r="18" ht="21.75" customFormat="1" customHeight="1" s="3">
      <c r="B18" s="252" t="inlineStr">
        <is>
          <t>MARKET RATE</t>
        </is>
      </c>
      <c r="C18" s="253" t="inlineStr">
        <is>
          <t>Westchase Apartments</t>
        </is>
      </c>
      <c r="D18" s="254" t="inlineStr">
        <is>
          <t>1013 Manhattan Blvd</t>
        </is>
      </c>
      <c r="E18" s="116" t="inlineStr">
        <is>
          <t>Harvey</t>
        </is>
      </c>
      <c r="F18" s="116" t="inlineStr">
        <is>
          <t>LA</t>
        </is>
      </c>
      <c r="G18" s="116" t="inlineStr">
        <is>
          <t>70058</t>
        </is>
      </c>
      <c r="H18" s="116" t="inlineStr">
        <is>
          <t>0.1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887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1083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$1,573</t>
        </is>
      </c>
      <c r="T18" s="116" t="inlineStr">
        <is>
          <t>$1,550</t>
        </is>
      </c>
      <c r="U18" s="255" t="inlineStr">
        <is>
          <t>N/A</t>
        </is>
      </c>
      <c r="V18" s="116" t="inlineStr">
        <is>
          <t>1970</t>
        </is>
      </c>
      <c r="W18" s="116" t="inlineStr">
        <is>
          <t>2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53" t="inlineStr">
        <is>
          <t>Market Rate Comp #4: No income restrictions, 1970 vintage (2 yr diff), N/A units, 6.0 mi from subject. Shows market-rate rents vs. affordable housing discount.</t>
        </is>
      </c>
      <c r="AE18" s="257" t="inlineStr">
        <is>
          <t>HUD FY2026 FMR - Jefferson Parish, LA</t>
        </is>
      </c>
      <c r="AF18" s="258" t="n"/>
    </row>
    <row r="19" ht="21.75" customFormat="1" customHeight="1" s="3">
      <c r="B19" s="252" t="inlineStr">
        <is>
          <t>MARKET RATE</t>
        </is>
      </c>
      <c r="C19" s="253" t="inlineStr">
        <is>
          <t>Boulevard Apartment Homes</t>
        </is>
      </c>
      <c r="D19" s="254" t="inlineStr">
        <is>
          <t>901 Gretna Blvd</t>
        </is>
      </c>
      <c r="E19" s="116" t="inlineStr">
        <is>
          <t>Gretna</t>
        </is>
      </c>
      <c r="F19" s="116" t="inlineStr">
        <is>
          <t>LA</t>
        </is>
      </c>
      <c r="G19" s="116" t="inlineStr">
        <is>
          <t>70053</t>
        </is>
      </c>
      <c r="H19" s="116" t="inlineStr">
        <is>
          <t>2.0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995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1025</v>
      </c>
      <c r="Q19" s="255" t="inlineStr">
        <is>
          <t>$1,573</t>
        </is>
      </c>
      <c r="R19" s="116" t="inlineStr">
        <is>
          <t>$1,573</t>
        </is>
      </c>
      <c r="S19" s="116" t="inlineStr">
        <is>
          <t>$1,573</t>
        </is>
      </c>
      <c r="T19" s="116" t="inlineStr">
        <is>
          <t>N/A</t>
        </is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57" t="inlineStr">
        <is>
          <t>HUD FMR Database (huduser.gov)</t>
        </is>
      </c>
      <c r="AF19" s="258" t="n"/>
    </row>
    <row r="20" ht="21.75" customFormat="1" customHeight="1" s="3">
      <c r="B20" s="252" t="inlineStr">
        <is>
          <t>MARKET RATE</t>
        </is>
      </c>
      <c r="C20" s="253" t="inlineStr">
        <is>
          <t>St. Germaine</t>
        </is>
      </c>
      <c r="D20" s="254" t="inlineStr">
        <is>
          <t>2201 Manhattan Blvd</t>
        </is>
      </c>
      <c r="E20" s="116" t="inlineStr">
        <is>
          <t>Harvey</t>
        </is>
      </c>
      <c r="F20" s="116" t="inlineStr">
        <is>
          <t>LA</t>
        </is>
      </c>
      <c r="G20" s="116" t="inlineStr">
        <is>
          <t>70058</t>
        </is>
      </c>
      <c r="H20" s="116" t="inlineStr">
        <is>
          <t>1.1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84" t="n">
        <v>815</v>
      </c>
      <c r="M20" s="25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84" t="n">
        <v>872</v>
      </c>
      <c r="Q20" s="255" t="inlineStr">
        <is>
          <t>$1,730</t>
        </is>
      </c>
      <c r="R20" s="116" t="inlineStr">
        <is>
          <t>$1,730</t>
        </is>
      </c>
      <c r="S20" s="116" t="inlineStr">
        <is>
          <t>$1,730</t>
        </is>
      </c>
      <c r="T20" s="116" t="inlineStr">
        <is>
          <t>N/A</t>
        </is>
      </c>
      <c r="U20" s="25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5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57" t="inlineStr">
        <is>
          <t>HUD FMR + Market Estimate</t>
        </is>
      </c>
      <c r="AF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1000</v>
      </c>
      <c r="D27" s="376" t="n">
        <v>1085</v>
      </c>
      <c r="E27" s="377" t="n">
        <v>-85</v>
      </c>
    </row>
    <row r="28" ht="20.25" customFormat="1" customHeight="1" s="3">
      <c r="B28" s="272" t="inlineStr">
        <is>
          <t>2BD</t>
        </is>
      </c>
      <c r="C28" s="375" t="n">
        <v>1150</v>
      </c>
      <c r="D28" s="376" t="n">
        <v>1266</v>
      </c>
      <c r="E28" s="377" t="n">
        <v>-116</v>
      </c>
    </row>
    <row r="29" ht="20.25" customFormat="1" customHeight="1" s="3">
      <c r="B29" s="272" t="inlineStr">
        <is>
          <t>3BD</t>
        </is>
      </c>
      <c r="C29" s="375" t="n">
        <v>1300</v>
      </c>
      <c r="D29" s="376" t="n">
        <v>1688</v>
      </c>
      <c r="E29" s="377" t="n">
        <v>-388</v>
      </c>
    </row>
    <row r="30" ht="20.25" customFormat="1" customHeight="1" s="3">
      <c r="B30" s="272" t="inlineStr">
        <is>
          <t>1BD</t>
        </is>
      </c>
      <c r="C30" s="375" t="n">
        <v>1000</v>
      </c>
      <c r="D30" s="376" t="n">
        <v>1000</v>
      </c>
      <c r="E30" s="381" t="n">
        <v>0</v>
      </c>
    </row>
    <row r="31" ht="20.25" customFormat="1" customHeight="1" s="3">
      <c r="B31" s="272" t="inlineStr">
        <is>
          <t>2BD</t>
        </is>
      </c>
      <c r="C31" s="375" t="n">
        <v>1150</v>
      </c>
      <c r="D31" s="376" t="n">
        <v>1200</v>
      </c>
      <c r="E31" s="377" t="n">
        <v>-50</v>
      </c>
    </row>
    <row r="32" ht="20.25" customFormat="1" customHeight="1" s="3">
      <c r="B32" s="272" t="inlineStr">
        <is>
          <t>3BD</t>
        </is>
      </c>
      <c r="C32" s="375" t="n">
        <v>1300</v>
      </c>
      <c r="D32" s="376" t="n">
        <v>1300</v>
      </c>
      <c r="E32" s="381" t="n">
        <v>0</v>
      </c>
    </row>
    <row r="33" ht="20.25" customFormat="1" customHeight="1" s="3">
      <c r="B33" s="272" t="inlineStr">
        <is>
          <t>1BD</t>
        </is>
      </c>
      <c r="C33" s="375" t="n">
        <v>1000</v>
      </c>
      <c r="D33" s="376" t="n">
        <v>1095</v>
      </c>
      <c r="E33" s="377" t="n">
        <v>-95</v>
      </c>
    </row>
    <row r="34" ht="20.25" customFormat="1" customHeight="1" s="3">
      <c r="B34" s="272" t="inlineStr">
        <is>
          <t>2BD</t>
        </is>
      </c>
      <c r="C34" s="375" t="n">
        <v>1150</v>
      </c>
      <c r="D34" s="376" t="n">
        <v>1415</v>
      </c>
      <c r="E34" s="377" t="n">
        <v>-265</v>
      </c>
    </row>
    <row r="35" ht="20.25" customFormat="1" customHeight="1" s="3">
      <c r="B35" s="272" t="inlineStr">
        <is>
          <t>3BD</t>
        </is>
      </c>
      <c r="C35" s="375" t="n">
        <v>1300</v>
      </c>
      <c r="D35" s="376" t="n">
        <v>1655</v>
      </c>
      <c r="E35" s="377" t="n">
        <v>-355</v>
      </c>
    </row>
    <row r="38" ht="18" customFormat="1" customHeight="1" s="3">
      <c r="B38" s="270" t="inlineStr">
        <is>
          <t>PMTS — Vouchers / FMR / UAP / NET</t>
        </is>
      </c>
      <c r="C38" s="294" t="n"/>
      <c r="D38" s="294" t="n"/>
      <c r="E38" s="294" t="n"/>
      <c r="F38" s="294" t="n"/>
      <c r="G38" s="294" t="n"/>
      <c r="H38" s="295" t="n"/>
    </row>
    <row r="39" ht="15.75" customFormat="1" customHeight="1" s="3">
      <c r="C39" s="378">
        <f>'Current Rents'!D22</f>
        <v/>
      </c>
      <c r="D39" s="271" t="inlineStr">
        <is>
          <t>VCH</t>
        </is>
      </c>
      <c r="E39" s="271" t="inlineStr">
        <is>
          <t>FMR</t>
        </is>
      </c>
      <c r="F39" s="271" t="inlineStr">
        <is>
          <t>UAP</t>
        </is>
      </c>
      <c r="G39" s="271" t="inlineStr">
        <is>
          <t>NET</t>
        </is>
      </c>
    </row>
    <row r="40" ht="20.25" customFormat="1" customHeight="1" s="3">
      <c r="B40" s="272" t="inlineStr">
        <is>
          <t>1BD</t>
        </is>
      </c>
      <c r="C40" s="292">
        <f>'Current Rents'!E22</f>
        <v/>
      </c>
      <c r="D40" s="382" t="n">
        <v>1000</v>
      </c>
      <c r="E40" s="379" t="n">
        <v>1250</v>
      </c>
      <c r="F40" s="380" t="n">
        <v>0</v>
      </c>
      <c r="G40" s="292" t="n">
        <v>1250</v>
      </c>
    </row>
    <row r="41" ht="20.25" customFormat="1" customHeight="1" s="3">
      <c r="B41" s="272" t="inlineStr">
        <is>
          <t>2BD</t>
        </is>
      </c>
      <c r="C41" s="292">
        <f>'Current Rents'!F22</f>
        <v/>
      </c>
      <c r="D41" s="382" t="n">
        <v>1200</v>
      </c>
      <c r="E41" s="379" t="n">
        <v>1490</v>
      </c>
      <c r="F41" s="380" t="n">
        <v>0</v>
      </c>
      <c r="G41" s="292" t="n">
        <v>1490</v>
      </c>
    </row>
    <row r="42" ht="20.25" customFormat="1" customHeight="1" s="3">
      <c r="B42" s="272" t="inlineStr">
        <is>
          <t>3BD</t>
        </is>
      </c>
      <c r="C42" s="292" t="n">
        <v>1300</v>
      </c>
      <c r="D42" s="382" t="n">
        <v>1300</v>
      </c>
      <c r="E42" s="379" t="n">
        <v>1900</v>
      </c>
      <c r="F42" s="380" t="n">
        <v>0</v>
      </c>
      <c r="G42" s="292" t="n">
        <v>1900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42 - Ruby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3BD
50% AMI</t>
        </is>
      </c>
      <c r="K8" s="64" t="inlineStr">
        <is>
          <t>3BD
60% AMI</t>
        </is>
      </c>
      <c r="L8" s="64" t="inlineStr">
        <is>
          <t>3BD
FMR</t>
        </is>
      </c>
      <c r="M8" s="64" t="inlineStr">
        <is>
          <t>3BD
Actual</t>
        </is>
      </c>
      <c r="N8" s="64" t="inlineStr">
        <is>
          <t>4BD
50% AMI</t>
        </is>
      </c>
      <c r="O8" s="64" t="inlineStr">
        <is>
          <t>4BD
60% AMI</t>
        </is>
      </c>
      <c r="P8" s="64" t="inlineStr">
        <is>
          <t>4BD
FMR</t>
        </is>
      </c>
      <c r="Q8" s="64" t="inlineStr">
        <is>
          <t>4BD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3BD 50% AMI ($)</t>
        </is>
      </c>
      <c r="J9" s="116" t="inlineStr">
        <is>
          <t>3BD 60% AMI ($)</t>
        </is>
      </c>
      <c r="K9" s="116" t="inlineStr">
        <is>
          <t>3BR FMR ($)</t>
        </is>
      </c>
      <c r="L9" s="116" t="inlineStr">
        <is>
          <t>3BR Actual ($)</t>
        </is>
      </c>
      <c r="M9" s="255" t="inlineStr">
        <is>
          <t>4BD 50% AMI ($)</t>
        </is>
      </c>
      <c r="N9" s="116" t="inlineStr">
        <is>
          <t>4BD 60% AMI ($)</t>
        </is>
      </c>
      <c r="O9" s="116" t="inlineStr">
        <is>
          <t>4BR FMR ($)</t>
        </is>
      </c>
      <c r="P9" s="116" t="inlineStr">
        <is>
          <t>4BR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Ruby Diamond (SUBJECT)</t>
        </is>
      </c>
      <c r="D10" s="285" t="inlineStr">
        <is>
          <t>Marrero</t>
        </is>
      </c>
      <c r="E10" s="239" t="inlineStr">
        <is>
          <t>Marrero</t>
        </is>
      </c>
      <c r="F10" s="239" t="inlineStr">
        <is>
          <t>LA</t>
        </is>
      </c>
      <c r="G10" s="239" t="inlineStr">
        <is>
          <t>70072</t>
        </is>
      </c>
      <c r="H10" s="239" t="inlineStr">
        <is>
          <t>0.0 mi</t>
        </is>
      </c>
      <c r="I10" s="239" t="inlineStr">
        <is>
          <t>$3,741</t>
        </is>
      </c>
      <c r="J10" s="239" t="inlineStr">
        <is>
          <t>$4,490</t>
        </is>
      </c>
      <c r="K10" s="239" t="inlineStr">
        <is>
          <t>$1,573</t>
        </is>
      </c>
      <c r="L10" s="239">
        <f>B29</f>
        <v/>
      </c>
      <c r="M10" s="255" t="inlineStr">
        <is>
          <t>$4,041</t>
        </is>
      </c>
      <c r="N10" s="239" t="inlineStr">
        <is>
          <t>$4,850</t>
        </is>
      </c>
      <c r="O10" s="239" t="inlineStr">
        <is>
          <t>$1,818</t>
        </is>
      </c>
      <c r="P10" s="239">
        <f>B30</f>
        <v/>
      </c>
      <c r="Q10" s="255" t="inlineStr">
        <is>
          <t>73</t>
        </is>
      </c>
      <c r="R10" s="239" t="inlineStr">
        <is>
          <t>2000</t>
        </is>
      </c>
      <c r="S10" s="239" t="inlineStr">
        <is>
          <t>0</t>
        </is>
      </c>
      <c r="T10" s="239" t="inlineStr">
        <is>
          <t>No</t>
        </is>
      </c>
      <c r="U10" s="242" t="inlineStr">
        <is>
          <t>No</t>
        </is>
      </c>
      <c r="V10" s="242" t="inlineStr">
        <is>
          <t>No</t>
        </is>
      </c>
      <c r="W10" s="242" t="inlineStr">
        <is>
          <t>No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73 units | LIHTC property. Year built: 2000.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First Emanuel Homes Of No</t>
        </is>
      </c>
      <c r="D11" s="254" t="inlineStr">
        <is>
          <t>912 Fourth Street</t>
        </is>
      </c>
      <c r="E11" s="116" t="inlineStr">
        <is>
          <t>New Orleans</t>
        </is>
      </c>
      <c r="F11" s="116" t="inlineStr">
        <is>
          <t>LA</t>
        </is>
      </c>
      <c r="G11" s="116" t="inlineStr">
        <is>
          <t>70130-0000</t>
        </is>
      </c>
      <c r="H11" s="116" t="inlineStr">
        <is>
          <t>2.4 mi</t>
        </is>
      </c>
      <c r="I11" s="116" t="inlineStr">
        <is>
          <t>$3,741</t>
        </is>
      </c>
      <c r="J11" s="116" t="inlineStr">
        <is>
          <t>$4,490</t>
        </is>
      </c>
      <c r="K11" s="116" t="inlineStr">
        <is>
          <t>$1,573</t>
        </is>
      </c>
      <c r="L11" s="116" t="inlineStr">
        <is>
          <t>Not Listed</t>
        </is>
      </c>
      <c r="M11" s="255" t="inlineStr">
        <is>
          <t>$4,041</t>
        </is>
      </c>
      <c r="N11" s="116" t="inlineStr">
        <is>
          <t>$4,850</t>
        </is>
      </c>
      <c r="O11" s="116" t="inlineStr">
        <is>
          <t>$1,818</t>
        </is>
      </c>
      <c r="P11" s="116" t="inlineStr">
        <is>
          <t>Not Listed</t>
        </is>
      </c>
      <c r="Q11" s="255" t="inlineStr">
        <is>
          <t>89</t>
        </is>
      </c>
      <c r="R11" s="116" t="inlineStr">
        <is>
          <t>1999</t>
        </is>
      </c>
      <c r="S11" s="116" t="inlineStr">
        <is>
          <t>1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LIHTC property, 1999 vintage (1 yr diff), 89 units, 2.4 mi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Canal Street Sro</t>
        </is>
      </c>
      <c r="D12" s="254" t="inlineStr">
        <is>
          <t>1801 Canal Street</t>
        </is>
      </c>
      <c r="E12" s="116" t="inlineStr">
        <is>
          <t>New Orleans</t>
        </is>
      </c>
      <c r="F12" s="116" t="inlineStr">
        <is>
          <t>LA</t>
        </is>
      </c>
      <c r="G12" s="116" t="inlineStr">
        <is>
          <t>70119-0000</t>
        </is>
      </c>
      <c r="H12" s="116" t="inlineStr">
        <is>
          <t>4.6 mi</t>
        </is>
      </c>
      <c r="I12" s="116" t="inlineStr">
        <is>
          <t>$3,741</t>
        </is>
      </c>
      <c r="J12" s="116" t="inlineStr">
        <is>
          <t>$4,490</t>
        </is>
      </c>
      <c r="K12" s="116" t="inlineStr">
        <is>
          <t>$1,573</t>
        </is>
      </c>
      <c r="L12" s="116" t="inlineStr">
        <is>
          <t>Not Listed</t>
        </is>
      </c>
      <c r="M12" s="255" t="inlineStr">
        <is>
          <t>$4,041</t>
        </is>
      </c>
      <c r="N12" s="116" t="inlineStr">
        <is>
          <t>$4,850</t>
        </is>
      </c>
      <c r="O12" s="116" t="inlineStr">
        <is>
          <t>$1,818</t>
        </is>
      </c>
      <c r="P12" s="116" t="inlineStr">
        <is>
          <t>Not Listed</t>
        </is>
      </c>
      <c r="Q12" s="255" t="inlineStr">
        <is>
          <t>70</t>
        </is>
      </c>
      <c r="R12" s="116" t="inlineStr">
        <is>
          <t>2002</t>
        </is>
      </c>
      <c r="S12" s="116" t="inlineStr">
        <is>
          <t>2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HIGH</t>
        </is>
      </c>
      <c r="Z12" s="253" t="inlineStr">
        <is>
          <t>Affordable Comp #2: LIHTC property, 2002 vintage (2 yr diff), 70 units, 4.6 mi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Cherry Blossom Apts</t>
        </is>
      </c>
      <c r="D13" s="254" t="inlineStr">
        <is>
          <t>205 Mlk Dr.</t>
        </is>
      </c>
      <c r="E13" s="116" t="inlineStr">
        <is>
          <t>Port Barre</t>
        </is>
      </c>
      <c r="F13" s="116" t="inlineStr">
        <is>
          <t>LA</t>
        </is>
      </c>
      <c r="G13" s="116" t="inlineStr">
        <is>
          <t>70577-0000</t>
        </is>
      </c>
      <c r="H13" s="116" t="inlineStr">
        <is>
          <t>N/A</t>
        </is>
      </c>
      <c r="I13" s="116" t="inlineStr">
        <is>
          <t>$3,741</t>
        </is>
      </c>
      <c r="J13" s="116" t="inlineStr">
        <is>
          <t>$4,490</t>
        </is>
      </c>
      <c r="K13" s="116" t="inlineStr">
        <is>
          <t>$1,573</t>
        </is>
      </c>
      <c r="L13" s="116" t="inlineStr">
        <is>
          <t>$1,660</t>
        </is>
      </c>
      <c r="M13" s="255" t="inlineStr">
        <is>
          <t>$4,041</t>
        </is>
      </c>
      <c r="N13" s="116" t="inlineStr">
        <is>
          <t>$4,850</t>
        </is>
      </c>
      <c r="O13" s="116" t="inlineStr">
        <is>
          <t>$1,818</t>
        </is>
      </c>
      <c r="P13" s="116" t="inlineStr">
        <is>
          <t>$1,709</t>
        </is>
      </c>
      <c r="Q13" s="255" t="inlineStr">
        <is>
          <t>73</t>
        </is>
      </c>
      <c r="R13" s="116" t="inlineStr">
        <is>
          <t>2000</t>
        </is>
      </c>
      <c r="S13" s="116" t="inlineStr">
        <is>
          <t>0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MODERATE</t>
        </is>
      </c>
      <c r="Z13" s="253" t="inlineStr">
        <is>
          <t>Affordable Comp #3: LIHTC property, 2000 vintage (0 yr diff), 73 units, N/A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Putnam Plaza Apts</t>
        </is>
      </c>
      <c r="D14" s="254" t="inlineStr">
        <is>
          <t>Scattered</t>
        </is>
      </c>
      <c r="E14" s="116" t="inlineStr">
        <is>
          <t>New Orleans</t>
        </is>
      </c>
      <c r="F14" s="116" t="inlineStr">
        <is>
          <t>LA</t>
        </is>
      </c>
      <c r="G14" s="116" t="inlineStr">
        <is>
          <t>70113-0000</t>
        </is>
      </c>
      <c r="H14" s="116" t="inlineStr">
        <is>
          <t>2.7 mi</t>
        </is>
      </c>
      <c r="I14" s="116" t="inlineStr">
        <is>
          <t>$3,741</t>
        </is>
      </c>
      <c r="J14" s="116" t="inlineStr">
        <is>
          <t>$4,490</t>
        </is>
      </c>
      <c r="K14" s="116" t="inlineStr">
        <is>
          <t>$1,573</t>
        </is>
      </c>
      <c r="L14" s="116" t="inlineStr">
        <is>
          <t>Not Listed</t>
        </is>
      </c>
      <c r="M14" s="255" t="inlineStr">
        <is>
          <t>$4,041</t>
        </is>
      </c>
      <c r="N14" s="116" t="inlineStr">
        <is>
          <t>$4,850</t>
        </is>
      </c>
      <c r="O14" s="116" t="inlineStr">
        <is>
          <t>$1,818</t>
        </is>
      </c>
      <c r="P14" s="116" t="inlineStr">
        <is>
          <t>Not Listed</t>
        </is>
      </c>
      <c r="Q14" s="255" t="inlineStr">
        <is>
          <t>38</t>
        </is>
      </c>
      <c r="R14" s="116" t="inlineStr">
        <is>
          <t>1999</t>
        </is>
      </c>
      <c r="S14" s="116" t="inlineStr">
        <is>
          <t>1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HIGH</t>
        </is>
      </c>
      <c r="Z14" s="253" t="inlineStr">
        <is>
          <t>Affordable Comp #4: LIHTC property, 1999 vintage (1 yr diff), 38 units, 2.7 mi from subject. Same income-eligible renter pool.</t>
        </is>
      </c>
      <c r="AA14" s="257" t="inlineStr">
        <is>
          <t>HUD LIHTC Database (huduser.gov)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The Waters at Promenade</t>
        </is>
      </c>
      <c r="D15" s="254" t="inlineStr">
        <is>
          <t>1600 Promenade Blvd</t>
        </is>
      </c>
      <c r="E15" s="116" t="inlineStr">
        <is>
          <t>Marrero</t>
        </is>
      </c>
      <c r="F15" s="116" t="inlineStr">
        <is>
          <t>LA</t>
        </is>
      </c>
      <c r="G15" s="116" t="inlineStr">
        <is>
          <t>70072</t>
        </is>
      </c>
      <c r="H15" s="116" t="inlineStr">
        <is>
          <t>0.8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1995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$1,818</t>
        </is>
      </c>
      <c r="P15" s="116" t="inlineStr">
        <is>
          <t>Not Listed</t>
        </is>
      </c>
      <c r="Q15" s="255" t="inlineStr">
        <is>
          <t>120</t>
        </is>
      </c>
      <c r="R15" s="116" t="inlineStr">
        <is>
          <t>2001</t>
        </is>
      </c>
      <c r="S15" s="116" t="inlineStr">
        <is>
          <t>1</t>
        </is>
      </c>
      <c r="T15" s="116" t="inlineStr">
        <is>
          <t>Varies</t>
        </is>
      </c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2001 vintage (1 yr diff), 120 units, 1.8 mi from subject. Shows market-rate rents vs. affordable housing discount.</t>
        </is>
      </c>
      <c r="AA15" s="257" t="inlineStr">
        <is>
          <t>https://www.rentcafe.com/apartments-for-rent/us/la/marrero/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2808 Pritchard Rd</t>
        </is>
      </c>
      <c r="D16" s="254" t="inlineStr">
        <is>
          <t>2808 Pritchard Rd</t>
        </is>
      </c>
      <c r="E16" s="116" t="inlineStr">
        <is>
          <t>Marrero</t>
        </is>
      </c>
      <c r="F16" s="116" t="inlineStr">
        <is>
          <t>LA</t>
        </is>
      </c>
      <c r="G16" s="116" t="inlineStr">
        <is>
          <t>70072</t>
        </is>
      </c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2150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$1,818</t>
        </is>
      </c>
      <c r="P16" s="116" t="inlineStr">
        <is>
          <t>Not Listed</t>
        </is>
      </c>
      <c r="Q16" s="255" t="inlineStr">
        <is>
          <t>96</t>
        </is>
      </c>
      <c r="R16" s="116" t="inlineStr">
        <is>
          <t>1999</t>
        </is>
      </c>
      <c r="S16" s="116" t="inlineStr">
        <is>
          <t>1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1999 vintage (1 yr diff), 96 units, 3.5 mi from subject. Shows market-rate rents vs. affordable housing discount.</t>
        </is>
      </c>
      <c r="AA16" s="257" t="inlineStr">
        <is>
          <t>https://www.rentcafe.com/apartments-for-rent/us/la/harvey/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5007 Towering Oaks Ave</t>
        </is>
      </c>
      <c r="D17" s="254" t="inlineStr">
        <is>
          <t>5007 Towering Oaks Ave</t>
        </is>
      </c>
      <c r="E17" s="116" t="inlineStr">
        <is>
          <t>Marrero</t>
        </is>
      </c>
      <c r="F17" s="116" t="inlineStr">
        <is>
          <t>LA</t>
        </is>
      </c>
      <c r="G17" s="116" t="inlineStr">
        <is>
          <t>70072</t>
        </is>
      </c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1700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$1,818</t>
        </is>
      </c>
      <c r="P17" s="116" t="inlineStr">
        <is>
          <t>Not Listed</t>
        </is>
      </c>
      <c r="Q17" s="255" t="inlineStr">
        <is>
          <t>80</t>
        </is>
      </c>
      <c r="R17" s="116" t="inlineStr">
        <is>
          <t>2002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53" t="inlineStr">
        <is>
          <t>Market Rate Comp #3: No income restrictions, 2002 vintage (2 yr diff), 80 units, 5.2 mi from subject. Shows market-rate rents vs. affordable housing discount.</t>
        </is>
      </c>
      <c r="AA17" s="257" t="inlineStr">
        <is>
          <t>https://www.rentcafe.com/apartments-for-rent/us/la/gretna/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1501 Somerset Pl</t>
        </is>
      </c>
      <c r="D18" s="254" t="inlineStr">
        <is>
          <t>1501 Somerset Pl</t>
        </is>
      </c>
      <c r="E18" s="116" t="inlineStr">
        <is>
          <t>Marrero</t>
        </is>
      </c>
      <c r="F18" s="116" t="inlineStr">
        <is>
          <t>LA</t>
        </is>
      </c>
      <c r="G18" s="116" t="inlineStr">
        <is>
          <t>70072</t>
        </is>
      </c>
      <c r="H18" s="116" t="inlineStr">
        <is>
          <t>0.9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1850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$1,818</t>
        </is>
      </c>
      <c r="P18" s="116" t="inlineStr">
        <is>
          <t>Not Listed</t>
        </is>
      </c>
      <c r="Q18" s="255" t="inlineStr">
        <is>
          <t>64</t>
        </is>
      </c>
      <c r="R18" s="116" t="inlineStr">
        <is>
          <t>2000</t>
        </is>
      </c>
      <c r="S18" s="116" t="inlineStr">
        <is>
          <t>0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53" t="inlineStr">
        <is>
          <t>Market Rate Comp #4: No income restrictions, 2000 vintage (0 yr diff), 64 units, 4.2 mi from subject. Shows market-rate rents vs. affordable housing discount.</t>
        </is>
      </c>
      <c r="AA18" s="257" t="inlineStr">
        <is>
          <t>https://www.rentcafe.com/apartments-for-rent/us/la/gretna/</t>
        </is>
      </c>
      <c r="AB18" s="258" t="n"/>
    </row>
    <row r="19" ht="21.75" customFormat="1" customHeight="1" s="3">
      <c r="B19" s="252" t="inlineStr">
        <is>
          <t>MARKET RATE</t>
        </is>
      </c>
      <c r="C19" s="253" t="inlineStr">
        <is>
          <t>2429 Ramsey Dr</t>
        </is>
      </c>
      <c r="D19" s="254" t="inlineStr">
        <is>
          <t>2429 Ramsey Dr</t>
        </is>
      </c>
      <c r="E19" s="116" t="inlineStr">
        <is>
          <t>Marrero</t>
        </is>
      </c>
      <c r="F19" s="116" t="inlineStr">
        <is>
          <t>LA</t>
        </is>
      </c>
      <c r="G19" s="116" t="inlineStr">
        <is>
          <t>70072</t>
        </is>
      </c>
      <c r="H19" s="116" t="inlineStr">
        <is>
          <t>1.1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1600</v>
      </c>
      <c r="M19" s="255" t="inlineStr">
        <is>
          <t>$1,818</t>
        </is>
      </c>
      <c r="N19" s="116" t="inlineStr">
        <is>
          <t>$1,818</t>
        </is>
      </c>
      <c r="O19" s="116" t="inlineStr">
        <is>
          <t>$1,818</t>
        </is>
      </c>
      <c r="P19" s="116" t="inlineStr">
        <is>
          <t>N/A</t>
        </is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MARKET RATE</t>
        </is>
      </c>
      <c r="C20" s="253" t="inlineStr">
        <is>
          <t>1513 R. Esplanade</t>
        </is>
      </c>
      <c r="D20" s="254" t="inlineStr">
        <is>
          <t>1513 R. Esplanade</t>
        </is>
      </c>
      <c r="E20" s="116" t="inlineStr">
        <is>
          <t>Marrero</t>
        </is>
      </c>
      <c r="F20" s="116" t="inlineStr">
        <is>
          <t>LA</t>
        </is>
      </c>
      <c r="G20" s="116" t="inlineStr">
        <is>
          <t>70072</t>
        </is>
      </c>
      <c r="H20" s="116" t="inlineStr">
        <is>
          <t>0.7 mi</t>
        </is>
      </c>
      <c r="I20" s="116" t="inlineStr">
        <is>
          <t>$1,730</t>
        </is>
      </c>
      <c r="J20" s="116" t="inlineStr">
        <is>
          <t>$1,730</t>
        </is>
      </c>
      <c r="K20" s="116" t="inlineStr">
        <is>
          <t>$1,730</t>
        </is>
      </c>
      <c r="L20" s="116" t="inlineStr">
        <is>
          <t>N/A</t>
        </is>
      </c>
      <c r="M20" s="25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84" t="n">
        <v>2800</v>
      </c>
      <c r="Q20" s="25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3BD</t>
        </is>
      </c>
      <c r="C27" s="375" t="n">
        <v>1223</v>
      </c>
      <c r="D27" s="376" t="n">
        <v>1859</v>
      </c>
      <c r="E27" s="377" t="n">
        <v>-636</v>
      </c>
    </row>
    <row r="28" ht="20.25" customFormat="1" customHeight="1" s="3">
      <c r="B28" s="272" t="inlineStr">
        <is>
          <t>4BD</t>
        </is>
      </c>
      <c r="C28" s="375" t="n">
        <v>870</v>
      </c>
      <c r="D28" s="376" t="n">
        <v>2800</v>
      </c>
      <c r="E28" s="377" t="n">
        <v>-1930</v>
      </c>
    </row>
    <row r="29" ht="20.25" customFormat="1" customHeight="1" s="3">
      <c r="B29" s="272" t="inlineStr">
        <is>
          <t>3BD</t>
        </is>
      </c>
      <c r="C29" s="375" t="n">
        <v>1223</v>
      </c>
      <c r="D29" s="376" t="n">
        <v>1500</v>
      </c>
      <c r="E29" s="377" t="n">
        <v>-277</v>
      </c>
    </row>
    <row r="30" ht="20.25" customFormat="1" customHeight="1" s="3">
      <c r="B30" s="272" t="inlineStr">
        <is>
          <t>4BD</t>
        </is>
      </c>
      <c r="C30" s="375" t="n">
        <v>870</v>
      </c>
      <c r="D30" s="376" t="n">
        <v>1550</v>
      </c>
      <c r="E30" s="377" t="n">
        <v>-680</v>
      </c>
    </row>
    <row r="31" ht="20.25" customFormat="1" customHeight="1" s="3">
      <c r="B31" s="272" t="inlineStr">
        <is>
          <t>3BD</t>
        </is>
      </c>
      <c r="C31" s="375" t="n">
        <v>1223</v>
      </c>
      <c r="D31" s="376" t="n">
        <v>1112</v>
      </c>
      <c r="E31" s="381" t="n">
        <v>111</v>
      </c>
    </row>
    <row r="32" ht="20.25" customFormat="1" customHeight="1" s="3">
      <c r="B32" s="272" t="inlineStr">
        <is>
          <t>4BD</t>
        </is>
      </c>
      <c r="C32" s="292">
        <f>'Current Rents'!E23</f>
        <v/>
      </c>
      <c r="D32" s="376" t="n">
        <v>1189</v>
      </c>
      <c r="E32" s="377" t="n">
        <v>-319</v>
      </c>
    </row>
    <row r="33" ht="20.25" customFormat="1" customHeight="1" s="3">
      <c r="B33" s="272" t="inlineStr">
        <is>
          <t>2BD</t>
        </is>
      </c>
      <c r="C33" s="375" t="n">
        <v>0</v>
      </c>
      <c r="D33" s="376" t="n">
        <v>1451</v>
      </c>
      <c r="E33" s="377" t="n">
        <v>-1451</v>
      </c>
    </row>
    <row r="34" ht="20.25" customFormat="1" customHeight="1" s="3">
      <c r="B34" s="272" t="inlineStr">
        <is>
          <t>3BD</t>
        </is>
      </c>
      <c r="C34" s="375" t="n">
        <v>1223</v>
      </c>
      <c r="D34" s="376" t="n">
        <v>1614</v>
      </c>
      <c r="E34" s="377" t="n">
        <v>-391</v>
      </c>
    </row>
    <row r="35" ht="20.25" customFormat="1" customHeight="1" s="3">
      <c r="B35" s="272" t="inlineStr">
        <is>
          <t>4BD</t>
        </is>
      </c>
      <c r="C35" s="375" t="n">
        <v>870</v>
      </c>
      <c r="D35" s="376" t="n">
        <v>1727</v>
      </c>
      <c r="E35" s="377" t="n">
        <v>-857</v>
      </c>
    </row>
    <row r="38" ht="18" customFormat="1" customHeight="1" s="3">
      <c r="B38" s="270" t="inlineStr">
        <is>
          <t>PMTS — Vouchers / FMR / UAP / NET</t>
        </is>
      </c>
      <c r="C38" s="294" t="n"/>
      <c r="D38" s="294" t="n"/>
      <c r="E38" s="294" t="n"/>
      <c r="F38" s="294" t="n"/>
      <c r="G38" s="294" t="n"/>
      <c r="H38" s="295" t="n"/>
    </row>
    <row r="39" ht="15.75" customFormat="1" customHeight="1" s="3">
      <c r="C39" s="378">
        <f>'Current Rents'!F23</f>
        <v/>
      </c>
      <c r="D39" s="271" t="inlineStr">
        <is>
          <t>VCH</t>
        </is>
      </c>
      <c r="E39" s="271" t="inlineStr">
        <is>
          <t>FMR</t>
        </is>
      </c>
      <c r="F39" s="271" t="inlineStr">
        <is>
          <t>UAP</t>
        </is>
      </c>
      <c r="G39" s="271" t="inlineStr">
        <is>
          <t>NET</t>
        </is>
      </c>
    </row>
    <row r="40" ht="20.25" customFormat="1" customHeight="1" s="3">
      <c r="B40" s="272" t="inlineStr">
        <is>
          <t>3BD</t>
        </is>
      </c>
      <c r="C40" s="292">
        <f>'Current Rents'!G23</f>
        <v/>
      </c>
      <c r="D40" s="382" t="n">
        <v>1500</v>
      </c>
      <c r="E40" s="379" t="n">
        <v>1900</v>
      </c>
      <c r="F40" s="380" t="n">
        <v>289</v>
      </c>
      <c r="G40" s="292" t="n">
        <v>1611</v>
      </c>
    </row>
    <row r="41" ht="20.25" customFormat="1" customHeight="1" s="3">
      <c r="B41" s="272" t="inlineStr">
        <is>
          <t>4BD</t>
        </is>
      </c>
      <c r="C41" s="292" t="n">
        <v>870</v>
      </c>
      <c r="D41" s="382" t="n">
        <v>1550</v>
      </c>
      <c r="E41" s="379" t="n">
        <v>2240</v>
      </c>
      <c r="F41" s="380" t="n">
        <v>374</v>
      </c>
      <c r="G41" s="292" t="n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39 - Star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4BD
50% AMI</t>
        </is>
      </c>
      <c r="S8" s="64" t="inlineStr">
        <is>
          <t>4BD
60% AMI</t>
        </is>
      </c>
      <c r="T8" s="64" t="inlineStr">
        <is>
          <t>4BD
FMR</t>
        </is>
      </c>
      <c r="U8" s="64" t="inlineStr">
        <is>
          <t>4BD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3BD 50% AMI ($)</t>
        </is>
      </c>
      <c r="N9" s="116" t="inlineStr">
        <is>
          <t>3BD 60% AMI ($)</t>
        </is>
      </c>
      <c r="O9" s="116" t="inlineStr">
        <is>
          <t>3BR FMR ($)</t>
        </is>
      </c>
      <c r="P9" s="116" t="inlineStr">
        <is>
          <t>3BR Actual ($)</t>
        </is>
      </c>
      <c r="Q9" s="255" t="inlineStr">
        <is>
          <t>4BD 50% AMI ($)</t>
        </is>
      </c>
      <c r="R9" s="116" t="inlineStr">
        <is>
          <t>4BD 60% AMI ($)</t>
        </is>
      </c>
      <c r="S9" s="116" t="inlineStr">
        <is>
          <t>4BR FMR ($)</t>
        </is>
      </c>
      <c r="T9" s="116" t="inlineStr">
        <is>
          <t>4BR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Star Homes (SUBJECT)</t>
        </is>
      </c>
      <c r="D10" s="285" t="inlineStr">
        <is>
          <t>2020 Melba Place</t>
        </is>
      </c>
      <c r="E10" s="239" t="inlineStr">
        <is>
          <t>Marrero</t>
        </is>
      </c>
      <c r="F10" s="239" t="inlineStr">
        <is>
          <t>LA</t>
        </is>
      </c>
      <c r="G10" s="239" t="inlineStr">
        <is>
          <t>70072</t>
        </is>
      </c>
      <c r="H10" s="239" t="inlineStr">
        <is>
          <t>0.0 mi</t>
        </is>
      </c>
      <c r="I10" s="239" t="inlineStr">
        <is>
          <t>$3,370</t>
        </is>
      </c>
      <c r="J10" s="239" t="inlineStr">
        <is>
          <t>$4,045</t>
        </is>
      </c>
      <c r="K10" s="239" t="inlineStr">
        <is>
          <t>$1,254</t>
        </is>
      </c>
      <c r="L10" s="239">
        <f>B29</f>
        <v/>
      </c>
      <c r="M10" s="255" t="inlineStr">
        <is>
          <t>$3,741</t>
        </is>
      </c>
      <c r="N10" s="239" t="inlineStr">
        <is>
          <t>$4,490</t>
        </is>
      </c>
      <c r="O10" s="239" t="inlineStr">
        <is>
          <t>$1,573</t>
        </is>
      </c>
      <c r="P10" s="239">
        <f>B30</f>
        <v/>
      </c>
      <c r="Q10" s="255" t="inlineStr">
        <is>
          <t>$4,041</t>
        </is>
      </c>
      <c r="R10" s="239" t="inlineStr">
        <is>
          <t>$4,850</t>
        </is>
      </c>
      <c r="S10" s="239" t="inlineStr">
        <is>
          <t>$1,818</t>
        </is>
      </c>
      <c r="T10" s="239">
        <f>B31</f>
        <v/>
      </c>
      <c r="U10" s="255" t="inlineStr">
        <is>
          <t>48</t>
        </is>
      </c>
      <c r="V10" s="239" t="inlineStr">
        <is>
          <t>2000</t>
        </is>
      </c>
      <c r="W10" s="239" t="inlineStr">
        <is>
          <t>0</t>
        </is>
      </c>
      <c r="X10" s="239" t="inlineStr">
        <is>
          <t>No</t>
        </is>
      </c>
      <c r="Y10" s="242" t="inlineStr">
        <is>
          <t>No</t>
        </is>
      </c>
      <c r="Z10" s="242" t="inlineStr">
        <is>
          <t>No</t>
        </is>
      </c>
      <c r="AA10" s="242" t="inlineStr">
        <is>
          <t>No</t>
        </is>
      </c>
      <c r="AB10" s="242" t="inlineStr">
        <is>
          <t>No</t>
        </is>
      </c>
      <c r="AC10" s="239" t="inlineStr">
        <is>
          <t>SUBJECT</t>
        </is>
      </c>
      <c r="AD10" s="253" t="inlineStr">
        <is>
          <t>48 units | LIHTC property. Year built: 2000.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78" t="inlineStr">
        <is>
          <t>AFFORDABLE</t>
        </is>
      </c>
      <c r="C11" s="253" t="inlineStr">
        <is>
          <t>Star Affordable Homes</t>
        </is>
      </c>
      <c r="D11" s="246" t="inlineStr">
        <is>
          <t>2012 Melba Pl</t>
        </is>
      </c>
      <c r="E11" s="81" t="inlineStr">
        <is>
          <t>Marrero</t>
        </is>
      </c>
      <c r="F11" s="81" t="inlineStr">
        <is>
          <t>LA</t>
        </is>
      </c>
      <c r="G11" s="81" t="inlineStr">
        <is>
          <t>70072</t>
        </is>
      </c>
      <c r="H11" s="81" t="inlineStr">
        <is>
          <t>2.2 mi</t>
        </is>
      </c>
      <c r="I11" s="81" t="inlineStr">
        <is>
          <t>$3,370</t>
        </is>
      </c>
      <c r="J11" s="81" t="inlineStr">
        <is>
          <t>$4,045</t>
        </is>
      </c>
      <c r="K11" s="81" t="inlineStr">
        <is>
          <t>$1,254</t>
        </is>
      </c>
      <c r="L11" s="81" t="inlineStr">
        <is>
          <t>Not Listed</t>
        </is>
      </c>
      <c r="M11" s="81" t="inlineStr">
        <is>
          <t>$3,741</t>
        </is>
      </c>
      <c r="N11" s="81" t="inlineStr">
        <is>
          <t>$4,490</t>
        </is>
      </c>
      <c r="O11" s="81" t="inlineStr">
        <is>
          <t>$1,573</t>
        </is>
      </c>
      <c r="P11" s="81" t="inlineStr">
        <is>
          <t>Not Listed</t>
        </is>
      </c>
      <c r="Q11" s="81" t="inlineStr">
        <is>
          <t>$4,041</t>
        </is>
      </c>
      <c r="R11" s="81" t="inlineStr">
        <is>
          <t>$4,850</t>
        </is>
      </c>
      <c r="S11" s="81" t="inlineStr">
        <is>
          <t>$1,818</t>
        </is>
      </c>
      <c r="T11" s="81" t="inlineStr">
        <is>
          <t>Not Listed</t>
        </is>
      </c>
      <c r="U11" s="81" t="inlineStr">
        <is>
          <t>48</t>
        </is>
      </c>
      <c r="V11" s="81" t="inlineStr">
        <is>
          <t>1998</t>
        </is>
      </c>
      <c r="W11" s="81" t="inlineStr">
        <is>
          <t>2</t>
        </is>
      </c>
      <c r="X11" s="81" t="inlineStr">
        <is>
          <t>Yes</t>
        </is>
      </c>
      <c r="Y11" s="248" t="inlineStr">
        <is>
          <t>No</t>
        </is>
      </c>
      <c r="Z11" s="248" t="inlineStr">
        <is>
          <t>No</t>
        </is>
      </c>
      <c r="AA11" s="248" t="inlineStr">
        <is>
          <t>No</t>
        </is>
      </c>
      <c r="AB11" s="248" t="inlineStr">
        <is>
          <t>No</t>
        </is>
      </c>
      <c r="AC11" s="81" t="inlineStr">
        <is>
          <t>HIGH</t>
        </is>
      </c>
      <c r="AD11" s="253" t="inlineStr">
        <is>
          <t>Affordable Comp #1: LIHTC property, 1998 vintage (2 yr diff), 48 units, 2.2 mi from subject. Same income-eligible renter pool.</t>
        </is>
      </c>
      <c r="AE11" s="250" t="inlineStr">
        <is>
          <t>HUD LIHTC Database (huduser.gov)</t>
        </is>
      </c>
      <c r="AF11" s="251" t="n"/>
    </row>
    <row r="12" ht="21.75" customFormat="1" customHeight="1" s="3">
      <c r="B12" s="252" t="inlineStr">
        <is>
          <t>AFFORDABLE</t>
        </is>
      </c>
      <c r="C12" s="253" t="inlineStr">
        <is>
          <t>Star Homes</t>
        </is>
      </c>
      <c r="D12" s="254" t="inlineStr">
        <is>
          <t>2012 Melba Place</t>
        </is>
      </c>
      <c r="E12" s="116" t="inlineStr">
        <is>
          <t>Marrero</t>
        </is>
      </c>
      <c r="F12" s="116" t="inlineStr">
        <is>
          <t>LA</t>
        </is>
      </c>
      <c r="G12" s="116" t="inlineStr">
        <is>
          <t>70072-0000</t>
        </is>
      </c>
      <c r="H12" s="116" t="inlineStr">
        <is>
          <t>2.2 mi</t>
        </is>
      </c>
      <c r="I12" s="116" t="inlineStr">
        <is>
          <t>$3,370</t>
        </is>
      </c>
      <c r="J12" s="116" t="inlineStr">
        <is>
          <t>$4,045</t>
        </is>
      </c>
      <c r="K12" s="116" t="inlineStr">
        <is>
          <t>$1,254</t>
        </is>
      </c>
      <c r="L12" s="116" t="inlineStr">
        <is>
          <t>Not Listed</t>
        </is>
      </c>
      <c r="M12" s="255" t="inlineStr">
        <is>
          <t>$3,741</t>
        </is>
      </c>
      <c r="N12" s="116" t="inlineStr">
        <is>
          <t>$4,490</t>
        </is>
      </c>
      <c r="O12" s="116" t="inlineStr">
        <is>
          <t>$1,573</t>
        </is>
      </c>
      <c r="P12" s="116" t="inlineStr">
        <is>
          <t>Not Listed</t>
        </is>
      </c>
      <c r="Q12" s="255" t="inlineStr">
        <is>
          <t>$4,041</t>
        </is>
      </c>
      <c r="R12" s="116" t="inlineStr">
        <is>
          <t>$4,850</t>
        </is>
      </c>
      <c r="S12" s="116" t="inlineStr">
        <is>
          <t>$1,818</t>
        </is>
      </c>
      <c r="T12" s="116" t="inlineStr">
        <is>
          <t>Not Listed</t>
        </is>
      </c>
      <c r="U12" s="255" t="inlineStr">
        <is>
          <t>48</t>
        </is>
      </c>
      <c r="V12" s="116" t="inlineStr">
        <is>
          <t>1998</t>
        </is>
      </c>
      <c r="W12" s="116" t="inlineStr">
        <is>
          <t>2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HIGH</t>
        </is>
      </c>
      <c r="AD12" s="253" t="inlineStr">
        <is>
          <t>Affordable Comp #2: LIHTC property, 1998 vintage (2 yr diff), 48 units, 2.2 mi from subject. Same income-eligible renter pool.</t>
        </is>
      </c>
      <c r="AE12" s="257" t="inlineStr">
        <is>
          <t>HUD LIHTC Database (huduser.gov)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Ames Gardens Estates</t>
        </is>
      </c>
      <c r="D13" s="254" t="inlineStr">
        <is>
          <t>530 Ames Blvd.</t>
        </is>
      </c>
      <c r="E13" s="116" t="inlineStr">
        <is>
          <t>Marrero</t>
        </is>
      </c>
      <c r="F13" s="116" t="inlineStr">
        <is>
          <t>LA</t>
        </is>
      </c>
      <c r="G13" s="116" t="inlineStr">
        <is>
          <t>70072-0000</t>
        </is>
      </c>
      <c r="H13" s="116" t="inlineStr">
        <is>
          <t>0.4 mi</t>
        </is>
      </c>
      <c r="I13" s="116" t="inlineStr">
        <is>
          <t>$3,370</t>
        </is>
      </c>
      <c r="J13" s="116" t="inlineStr">
        <is>
          <t>$4,045</t>
        </is>
      </c>
      <c r="K13" s="116" t="inlineStr">
        <is>
          <t>$1,254</t>
        </is>
      </c>
      <c r="L13" s="116" t="inlineStr">
        <is>
          <t>Not Listed</t>
        </is>
      </c>
      <c r="M13" s="255" t="inlineStr">
        <is>
          <t>$3,741</t>
        </is>
      </c>
      <c r="N13" s="116" t="inlineStr">
        <is>
          <t>$4,490</t>
        </is>
      </c>
      <c r="O13" s="116" t="inlineStr">
        <is>
          <t>$1,573</t>
        </is>
      </c>
      <c r="P13" s="116" t="inlineStr">
        <is>
          <t>Not Listed</t>
        </is>
      </c>
      <c r="Q13" s="255" t="inlineStr">
        <is>
          <t>$4,041</t>
        </is>
      </c>
      <c r="R13" s="116" t="inlineStr">
        <is>
          <t>$4,850</t>
        </is>
      </c>
      <c r="S13" s="116" t="inlineStr">
        <is>
          <t>$1,818</t>
        </is>
      </c>
      <c r="T13" s="116" t="inlineStr">
        <is>
          <t>Not Listed</t>
        </is>
      </c>
      <c r="U13" s="255" t="inlineStr">
        <is>
          <t>48</t>
        </is>
      </c>
      <c r="V13" s="116" t="inlineStr">
        <is>
          <t>2002</t>
        </is>
      </c>
      <c r="W13" s="116" t="inlineStr">
        <is>
          <t>2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HIGH</t>
        </is>
      </c>
      <c r="AD13" s="253" t="inlineStr">
        <is>
          <t>Affordable Comp #3: LIHTC property, 2002 vintage (2 yr diff), 48 units, 0.4 mi from subject. Same income-eligible renter pool.</t>
        </is>
      </c>
      <c r="AE13" s="257" t="inlineStr">
        <is>
          <t>HUD LIHTC Database (huduser.gov)</t>
        </is>
      </c>
      <c r="AF13" s="258" t="n"/>
    </row>
    <row r="14" ht="21.75" customFormat="1" customHeight="1" s="3">
      <c r="B14" s="252" t="inlineStr">
        <is>
          <t>AFFORDABLE</t>
        </is>
      </c>
      <c r="C14" s="253" t="inlineStr">
        <is>
          <t>Putnam Plaza Apts</t>
        </is>
      </c>
      <c r="D14" s="254" t="inlineStr">
        <is>
          <t>Scattered</t>
        </is>
      </c>
      <c r="E14" s="116" t="inlineStr">
        <is>
          <t>New Orleans</t>
        </is>
      </c>
      <c r="F14" s="116" t="inlineStr">
        <is>
          <t>LA</t>
        </is>
      </c>
      <c r="G14" s="116" t="inlineStr">
        <is>
          <t>70113-0000</t>
        </is>
      </c>
      <c r="H14" s="116" t="inlineStr">
        <is>
          <t>2.7 mi</t>
        </is>
      </c>
      <c r="I14" s="116" t="inlineStr">
        <is>
          <t>$3,370</t>
        </is>
      </c>
      <c r="J14" s="116" t="inlineStr">
        <is>
          <t>$4,045</t>
        </is>
      </c>
      <c r="K14" s="116" t="inlineStr">
        <is>
          <t>$1,254</t>
        </is>
      </c>
      <c r="L14" s="116" t="inlineStr">
        <is>
          <t>Not Listed</t>
        </is>
      </c>
      <c r="M14" s="255" t="inlineStr">
        <is>
          <t>$3,741</t>
        </is>
      </c>
      <c r="N14" s="116" t="inlineStr">
        <is>
          <t>$4,490</t>
        </is>
      </c>
      <c r="O14" s="116" t="inlineStr">
        <is>
          <t>$1,573</t>
        </is>
      </c>
      <c r="P14" s="116" t="inlineStr">
        <is>
          <t>Not Listed</t>
        </is>
      </c>
      <c r="Q14" s="255" t="inlineStr">
        <is>
          <t>$4,041</t>
        </is>
      </c>
      <c r="R14" s="116" t="inlineStr">
        <is>
          <t>$4,850</t>
        </is>
      </c>
      <c r="S14" s="116" t="inlineStr">
        <is>
          <t>$1,818</t>
        </is>
      </c>
      <c r="T14" s="116" t="inlineStr">
        <is>
          <t>Not Listed</t>
        </is>
      </c>
      <c r="U14" s="255" t="inlineStr">
        <is>
          <t>38</t>
        </is>
      </c>
      <c r="V14" s="116" t="inlineStr">
        <is>
          <t>1999</t>
        </is>
      </c>
      <c r="W14" s="116" t="inlineStr">
        <is>
          <t>1</t>
        </is>
      </c>
      <c r="X14" s="116" t="inlineStr">
        <is>
          <t>Yes</t>
        </is>
      </c>
      <c r="Y14" s="256" t="inlineStr">
        <is>
          <t>No</t>
        </is>
      </c>
      <c r="Z14" s="256" t="inlineStr">
        <is>
          <t>No</t>
        </is>
      </c>
      <c r="AA14" s="256" t="inlineStr">
        <is>
          <t>No</t>
        </is>
      </c>
      <c r="AB14" s="256" t="inlineStr">
        <is>
          <t>No</t>
        </is>
      </c>
      <c r="AC14" s="116" t="inlineStr">
        <is>
          <t>HIGH</t>
        </is>
      </c>
      <c r="AD14" s="253" t="inlineStr">
        <is>
          <t>Affordable Comp #4: LIHTC property, 1999 vintage (1 yr diff), 38 units, 2.7 mi from subject. Same income-eligible renter pool.</t>
        </is>
      </c>
      <c r="AE14" s="257" t="inlineStr">
        <is>
          <t>HUD LIHTC Database (huduser.gov)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The Waters at Promenade</t>
        </is>
      </c>
      <c r="D15" s="254" t="inlineStr">
        <is>
          <t>1600 Promenade Blvd</t>
        </is>
      </c>
      <c r="E15" s="116" t="inlineStr">
        <is>
          <t>Marrero</t>
        </is>
      </c>
      <c r="F15" s="116" t="inlineStr">
        <is>
          <t>LA</t>
        </is>
      </c>
      <c r="G15" s="116" t="inlineStr">
        <is>
          <t>70072</t>
        </is>
      </c>
      <c r="H15" s="116" t="inlineStr">
        <is>
          <t>0.8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1673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384" t="n">
        <v>1995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$1,818</t>
        </is>
      </c>
      <c r="T15" s="116" t="inlineStr">
        <is>
          <t>Not Listed</t>
        </is>
      </c>
      <c r="U15" s="255" t="inlineStr">
        <is>
          <t>120</t>
        </is>
      </c>
      <c r="V15" s="116" t="inlineStr">
        <is>
          <t>2001</t>
        </is>
      </c>
      <c r="W15" s="116" t="inlineStr">
        <is>
          <t>1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53" t="inlineStr">
        <is>
          <t>Market Rate Comp #1: No income restrictions, 2001 vintage (1 yr diff), 120 units, 1.2 mi from subject. Shows market-rate rents vs. affordable housing discount.</t>
        </is>
      </c>
      <c r="AE15" s="257" t="inlineStr">
        <is>
          <t>https://www.rentcafe.com/apartments-for-rent/us/la/marrero/</t>
        </is>
      </c>
      <c r="AF15" s="258" t="n"/>
    </row>
    <row r="16" ht="21.75" customFormat="1" customHeight="1" s="3">
      <c r="B16" s="252" t="inlineStr">
        <is>
          <t>MARKET RATE</t>
        </is>
      </c>
      <c r="C16" s="253" t="inlineStr">
        <is>
          <t>2808 Pritchard Rd</t>
        </is>
      </c>
      <c r="D16" s="254" t="inlineStr">
        <is>
          <t>2808 Pritchard Rd</t>
        </is>
      </c>
      <c r="E16" s="116" t="inlineStr">
        <is>
          <t>Marrero</t>
        </is>
      </c>
      <c r="F16" s="116" t="inlineStr">
        <is>
          <t>LA</t>
        </is>
      </c>
      <c r="G16" s="116" t="inlineStr">
        <is>
          <t>70072</t>
        </is>
      </c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$1,254</t>
        </is>
      </c>
      <c r="L16" s="116" t="inlineStr">
        <is>
          <t>$1,250</t>
        </is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2150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$1,818</t>
        </is>
      </c>
      <c r="T16" s="116" t="inlineStr">
        <is>
          <t>Not Listed</t>
        </is>
      </c>
      <c r="U16" s="255" t="inlineStr">
        <is>
          <t>96</t>
        </is>
      </c>
      <c r="V16" s="116" t="inlineStr">
        <is>
          <t>1999</t>
        </is>
      </c>
      <c r="W16" s="116" t="inlineStr">
        <is>
          <t>1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53" t="inlineStr">
        <is>
          <t>Market Rate Comp #2: No income restrictions, 1999 vintage (1 yr diff), 96 units, 4.0 mi from subject. Shows market-rate rents vs. affordable housing discount.</t>
        </is>
      </c>
      <c r="AE16" s="257" t="inlineStr">
        <is>
          <t>https://www.rentcafe.com/apartments-for-rent/us/la/harvey/</t>
        </is>
      </c>
      <c r="AF16" s="258" t="n"/>
    </row>
    <row r="17" ht="21.75" customFormat="1" customHeight="1" s="3">
      <c r="B17" s="252" t="inlineStr">
        <is>
          <t>MARKET RATE</t>
        </is>
      </c>
      <c r="C17" s="253" t="inlineStr">
        <is>
          <t>5007 Towering Oaks Ave</t>
        </is>
      </c>
      <c r="D17" s="254" t="inlineStr">
        <is>
          <t>5007 Towering Oaks Ave</t>
        </is>
      </c>
      <c r="E17" s="116" t="inlineStr">
        <is>
          <t>Marrero</t>
        </is>
      </c>
      <c r="F17" s="116" t="inlineStr">
        <is>
          <t>LA</t>
        </is>
      </c>
      <c r="G17" s="116" t="inlineStr">
        <is>
          <t>70072</t>
        </is>
      </c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$1,254</t>
        </is>
      </c>
      <c r="L17" s="116" t="inlineStr">
        <is>
          <t>$1,300</t>
        </is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1700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$1,818</t>
        </is>
      </c>
      <c r="T17" s="116" t="inlineStr">
        <is>
          <t>Not Listed</t>
        </is>
      </c>
      <c r="U17" s="255" t="inlineStr">
        <is>
          <t>80</t>
        </is>
      </c>
      <c r="V17" s="116" t="inlineStr">
        <is>
          <t>2002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53" t="inlineStr">
        <is>
          <t>Market Rate Comp #3: No income restrictions, 2002 vintage (2 yr diff), 80 units, 6.0 mi from subject. Shows market-rate rents vs. affordable housing discount.</t>
        </is>
      </c>
      <c r="AE17" s="257" t="inlineStr">
        <is>
          <t>https://www.rentcafe.com/apartments-for-rent/us/la/gretna/</t>
        </is>
      </c>
      <c r="AF17" s="258" t="n"/>
    </row>
    <row r="18" ht="21.75" customFormat="1" customHeight="1" s="3">
      <c r="B18" s="252" t="inlineStr">
        <is>
          <t>MARKET RATE</t>
        </is>
      </c>
      <c r="C18" s="253" t="inlineStr">
        <is>
          <t>437 Robinson Ave</t>
        </is>
      </c>
      <c r="D18" s="254" t="inlineStr">
        <is>
          <t>437 Robinson Ave</t>
        </is>
      </c>
      <c r="E18" s="116" t="inlineStr">
        <is>
          <t>Marrero</t>
        </is>
      </c>
      <c r="F18" s="116" t="inlineStr">
        <is>
          <t>LA</t>
        </is>
      </c>
      <c r="G18" s="116" t="inlineStr">
        <is>
          <t>70072</t>
        </is>
      </c>
      <c r="H18" s="116" t="inlineStr">
        <is>
          <t>0.6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1050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$1,573</t>
        </is>
      </c>
      <c r="P18" s="116" t="inlineStr">
        <is>
          <t>$1,625</t>
        </is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$1,818</t>
        </is>
      </c>
      <c r="T18" s="116" t="inlineStr">
        <is>
          <t>Not Listed</t>
        </is>
      </c>
      <c r="U18" s="255" t="inlineStr">
        <is>
          <t>64</t>
        </is>
      </c>
      <c r="V18" s="116" t="inlineStr">
        <is>
          <t>2000</t>
        </is>
      </c>
      <c r="W18" s="116" t="inlineStr">
        <is>
          <t>0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53" t="inlineStr">
        <is>
          <t>Market Rate Comp #4: No income restrictions, 2000 vintage (0 yr diff), 64 units, 5.5 mi from subject. Shows market-rate rents vs. affordable housing discount.</t>
        </is>
      </c>
      <c r="AE18" s="257" t="inlineStr">
        <is>
          <t>https://www.rentcafe.com/apartments-for-rent/us/la/gretna/</t>
        </is>
      </c>
      <c r="AF18" s="258" t="n"/>
    </row>
    <row r="19" ht="21.75" customFormat="1" customHeight="1" s="3">
      <c r="B19" s="252" t="inlineStr">
        <is>
          <t>MARKET RATE</t>
        </is>
      </c>
      <c r="C19" s="253" t="inlineStr">
        <is>
          <t>1501 Somerset Pl</t>
        </is>
      </c>
      <c r="D19" s="254" t="inlineStr">
        <is>
          <t>1501 Somerset Pl</t>
        </is>
      </c>
      <c r="E19" s="116" t="inlineStr">
        <is>
          <t>Marrero</t>
        </is>
      </c>
      <c r="F19" s="116" t="inlineStr">
        <is>
          <t>LA</t>
        </is>
      </c>
      <c r="G19" s="116" t="inlineStr">
        <is>
          <t>70072</t>
        </is>
      </c>
      <c r="H19" s="116" t="inlineStr">
        <is>
          <t>0.9 mi</t>
        </is>
      </c>
      <c r="I19" s="116" t="inlineStr">
        <is>
          <t>$1,254</t>
        </is>
      </c>
      <c r="J19" s="116" t="inlineStr">
        <is>
          <t>$1,254</t>
        </is>
      </c>
      <c r="K19" s="116" t="inlineStr">
        <is>
          <t>$1,254</t>
        </is>
      </c>
      <c r="L19" s="116" t="inlineStr">
        <is>
          <t>N/A</t>
        </is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1850</v>
      </c>
      <c r="Q19" s="255" t="inlineStr">
        <is>
          <t>$1,818</t>
        </is>
      </c>
      <c r="R19" s="116" t="inlineStr">
        <is>
          <t>$1,818</t>
        </is>
      </c>
      <c r="S19" s="116" t="inlineStr">
        <is>
          <t>$1,818</t>
        </is>
      </c>
      <c r="T19" s="116" t="inlineStr">
        <is>
          <t>N/A</t>
        </is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57" t="inlineStr">
        <is>
          <t>HUD FMR Database (huduser.gov)</t>
        </is>
      </c>
      <c r="AF19" s="258" t="n"/>
    </row>
    <row r="20" ht="21.75" customFormat="1" customHeight="1" s="3">
      <c r="B20" s="252" t="inlineStr">
        <is>
          <t>MARKET RATE</t>
        </is>
      </c>
      <c r="C20" s="253" t="inlineStr">
        <is>
          <t>1513 R. Esplanade</t>
        </is>
      </c>
      <c r="D20" s="254" t="inlineStr">
        <is>
          <t>1513 R. Esplanade</t>
        </is>
      </c>
      <c r="E20" s="116" t="inlineStr">
        <is>
          <t>Marrero</t>
        </is>
      </c>
      <c r="F20" s="116" t="inlineStr">
        <is>
          <t>LA</t>
        </is>
      </c>
      <c r="G20" s="116" t="inlineStr">
        <is>
          <t>70072</t>
        </is>
      </c>
      <c r="H20" s="116" t="inlineStr">
        <is>
          <t>0.7 mi</t>
        </is>
      </c>
      <c r="I20" s="116" t="inlineStr">
        <is>
          <t>$1,379</t>
        </is>
      </c>
      <c r="J20" s="116" t="inlineStr">
        <is>
          <t>$1,379</t>
        </is>
      </c>
      <c r="K20" s="116" t="inlineStr">
        <is>
          <t>$1,379</t>
        </is>
      </c>
      <c r="L20" s="116" t="inlineStr">
        <is>
          <t>N/A</t>
        </is>
      </c>
      <c r="M20" s="255" t="inlineStr">
        <is>
          <t>$1,730</t>
        </is>
      </c>
      <c r="N20" s="116" t="inlineStr">
        <is>
          <t>$1,730</t>
        </is>
      </c>
      <c r="O20" s="116" t="inlineStr">
        <is>
          <t>$1,730</t>
        </is>
      </c>
      <c r="P20" s="116" t="inlineStr">
        <is>
          <t>N/A</t>
        </is>
      </c>
      <c r="Q20" s="255" t="inlineStr">
        <is>
          <t>N/A (Market Rate)</t>
        </is>
      </c>
      <c r="R20" s="116" t="inlineStr">
        <is>
          <t>N/A (Market Rate)</t>
        </is>
      </c>
      <c r="S20" s="116" t="inlineStr">
        <is>
          <t>N/A (Market Rate)</t>
        </is>
      </c>
      <c r="T20" s="384" t="n">
        <v>2800</v>
      </c>
      <c r="U20" s="25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5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57" t="inlineStr">
        <is>
          <t>HUD FMR + Market Estimate</t>
        </is>
      </c>
      <c r="AF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2BD</t>
        </is>
      </c>
      <c r="C27" s="375" t="n">
        <v>894</v>
      </c>
      <c r="D27" s="376" t="n">
        <v>1318</v>
      </c>
      <c r="E27" s="377" t="n">
        <v>-424</v>
      </c>
    </row>
    <row r="28" ht="20.25" customFormat="1" customHeight="1" s="3">
      <c r="B28" s="272" t="inlineStr">
        <is>
          <t>3BD</t>
        </is>
      </c>
      <c r="C28" s="375" t="n">
        <v>982</v>
      </c>
      <c r="D28" s="376" t="n">
        <v>1864</v>
      </c>
      <c r="E28" s="377" t="n">
        <v>-882</v>
      </c>
    </row>
    <row r="29" ht="20.25" customFormat="1" customHeight="1" s="3">
      <c r="B29" s="272" t="inlineStr">
        <is>
          <t>4BD</t>
        </is>
      </c>
      <c r="C29" s="375" t="n">
        <v>1045</v>
      </c>
      <c r="D29" s="376" t="n">
        <v>2800</v>
      </c>
      <c r="E29" s="377" t="n">
        <v>-1755</v>
      </c>
    </row>
    <row r="30" ht="20.25" customFormat="1" customHeight="1" s="3">
      <c r="B30" s="272" t="inlineStr">
        <is>
          <t>2BD</t>
        </is>
      </c>
      <c r="C30" s="375" t="n">
        <v>894</v>
      </c>
      <c r="D30" s="376" t="n">
        <v>1200</v>
      </c>
      <c r="E30" s="377" t="n">
        <v>-306</v>
      </c>
    </row>
    <row r="31" ht="20.25" customFormat="1" customHeight="1" s="3">
      <c r="B31" s="272" t="inlineStr">
        <is>
          <t>3BD</t>
        </is>
      </c>
      <c r="C31" s="375" t="n">
        <v>982</v>
      </c>
      <c r="D31" s="376" t="n">
        <v>1500</v>
      </c>
      <c r="E31" s="377" t="n">
        <v>-518</v>
      </c>
    </row>
    <row r="32" ht="20.25" customFormat="1" customHeight="1" s="3">
      <c r="B32" s="272" t="inlineStr">
        <is>
          <t>4BD</t>
        </is>
      </c>
      <c r="C32" s="375" t="n">
        <v>1045</v>
      </c>
      <c r="D32" s="376" t="n">
        <v>1550</v>
      </c>
      <c r="E32" s="377" t="n">
        <v>-505</v>
      </c>
    </row>
    <row r="33" ht="20.25" customFormat="1" customHeight="1" s="3">
      <c r="B33" s="272" t="inlineStr">
        <is>
          <t>2BD</t>
        </is>
      </c>
      <c r="C33" s="375" t="n">
        <v>894</v>
      </c>
      <c r="D33" s="376" t="n">
        <v>1009</v>
      </c>
      <c r="E33" s="377" t="n">
        <v>-115</v>
      </c>
    </row>
    <row r="34" ht="20.25" customFormat="1" customHeight="1" s="3">
      <c r="B34" s="272" t="inlineStr">
        <is>
          <t>3BD</t>
        </is>
      </c>
      <c r="C34" s="375" t="n">
        <v>982</v>
      </c>
      <c r="D34" s="376" t="n">
        <v>1112</v>
      </c>
      <c r="E34" s="377" t="n">
        <v>-130</v>
      </c>
    </row>
    <row r="35" ht="20.25" customFormat="1" customHeight="1" s="3">
      <c r="B35" s="272" t="inlineStr">
        <is>
          <t>4BD</t>
        </is>
      </c>
      <c r="C35" s="375" t="n">
        <v>1045</v>
      </c>
      <c r="D35" s="376" t="n">
        <v>1189</v>
      </c>
      <c r="E35" s="377" t="n">
        <v>-144</v>
      </c>
    </row>
    <row r="36" ht="20.25" customFormat="1" customHeight="1" s="3">
      <c r="B36" s="272" t="inlineStr">
        <is>
          <t>2BD</t>
        </is>
      </c>
      <c r="C36" s="375" t="n">
        <v>894</v>
      </c>
      <c r="D36" s="376" t="n">
        <v>1451</v>
      </c>
      <c r="E36" s="377" t="n">
        <v>-557</v>
      </c>
    </row>
    <row r="37" ht="20.25" customFormat="1" customHeight="1" s="3">
      <c r="B37" s="272" t="inlineStr">
        <is>
          <t>3BD</t>
        </is>
      </c>
      <c r="C37" s="375" t="n">
        <v>982</v>
      </c>
      <c r="D37" s="376" t="n">
        <v>1614</v>
      </c>
      <c r="E37" s="377" t="n">
        <v>-632</v>
      </c>
    </row>
    <row r="38" ht="20.25" customFormat="1" customHeight="1" s="3">
      <c r="B38" s="272" t="inlineStr">
        <is>
          <t>4BD</t>
        </is>
      </c>
      <c r="C38" s="375" t="n">
        <v>1045</v>
      </c>
      <c r="D38" s="376" t="n">
        <v>1727</v>
      </c>
      <c r="E38" s="377" t="n">
        <v>-682</v>
      </c>
    </row>
    <row r="41" ht="18" customFormat="1" customHeight="1" s="3">
      <c r="B41" s="270" t="inlineStr">
        <is>
          <t>PMTS — Vouchers / FMR / UAP / NET</t>
        </is>
      </c>
      <c r="C41" s="294" t="n"/>
      <c r="D41" s="294" t="n"/>
      <c r="E41" s="294" t="n"/>
      <c r="F41" s="294" t="n"/>
      <c r="G41" s="294" t="n"/>
      <c r="H41" s="295" t="n"/>
    </row>
    <row r="42" ht="15.75" customFormat="1" customHeight="1" s="3">
      <c r="C42" s="378">
        <f>'Current Rents'!E24</f>
        <v/>
      </c>
      <c r="D42" s="271" t="inlineStr">
        <is>
          <t>VCH</t>
        </is>
      </c>
      <c r="E42" s="271" t="inlineStr">
        <is>
          <t>FMR</t>
        </is>
      </c>
      <c r="F42" s="271" t="inlineStr">
        <is>
          <t>UAP</t>
        </is>
      </c>
      <c r="G42" s="271" t="inlineStr">
        <is>
          <t>NET</t>
        </is>
      </c>
    </row>
    <row r="43" ht="20.25" customFormat="1" customHeight="1" s="3">
      <c r="B43" s="272" t="inlineStr">
        <is>
          <t>2BD</t>
        </is>
      </c>
      <c r="C43" s="292">
        <f>'Current Rents'!F24</f>
        <v/>
      </c>
      <c r="D43" s="382" t="n">
        <v>1200</v>
      </c>
      <c r="E43" s="379" t="n">
        <v>1490</v>
      </c>
      <c r="F43" s="380" t="n">
        <v>204</v>
      </c>
      <c r="G43" s="292" t="n">
        <v>1286</v>
      </c>
    </row>
    <row r="44" ht="20.25" customFormat="1" customHeight="1" s="3">
      <c r="B44" s="272" t="inlineStr">
        <is>
          <t>3BD</t>
        </is>
      </c>
      <c r="C44" s="292">
        <f>'Current Rents'!G24</f>
        <v/>
      </c>
      <c r="D44" s="382" t="n">
        <v>1500</v>
      </c>
      <c r="E44" s="379" t="n">
        <v>1900</v>
      </c>
      <c r="F44" s="380" t="n">
        <v>289</v>
      </c>
      <c r="G44" s="292" t="n">
        <v>1611</v>
      </c>
    </row>
    <row r="45" ht="20.25" customFormat="1" customHeight="1" s="3">
      <c r="B45" s="272" t="inlineStr">
        <is>
          <t>4BD</t>
        </is>
      </c>
      <c r="C45" s="292" t="n">
        <v>1045</v>
      </c>
      <c r="D45" s="382" t="n">
        <v>1550</v>
      </c>
      <c r="E45" s="379" t="n">
        <v>2240</v>
      </c>
      <c r="F45" s="380" t="n">
        <v>374</v>
      </c>
      <c r="G45" s="292" t="n">
        <v>1866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20 - Thibodaux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116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253" t="inlineStr">
        <is>
          <t>Gated</t>
        </is>
      </c>
      <c r="AA9" s="257" t="inlineStr">
        <is>
          <t>Pool</t>
        </is>
      </c>
      <c r="AB9" s="258" t="inlineStr">
        <is>
          <t>W/D In-Unit</t>
        </is>
      </c>
    </row>
    <row r="10" ht="21.75" customFormat="1" customHeight="1" s="3">
      <c r="B10" s="71" t="inlineStr">
        <is>
          <t>SUBJECT</t>
        </is>
      </c>
      <c r="C10" s="253" t="inlineStr">
        <is>
          <t>Colonial Estates (SUBJECT)</t>
        </is>
      </c>
      <c r="D10" s="285" t="inlineStr">
        <is>
          <t>1300 Ridgefield Ave</t>
        </is>
      </c>
      <c r="E10" s="239" t="inlineStr">
        <is>
          <t>Thibodaux</t>
        </is>
      </c>
      <c r="F10" s="239" t="inlineStr">
        <is>
          <t>LA</t>
        </is>
      </c>
      <c r="G10" s="239" t="inlineStr">
        <is>
          <t>70301</t>
        </is>
      </c>
      <c r="H10" s="239" t="inlineStr">
        <is>
          <t>0.0 mi</t>
        </is>
      </c>
      <c r="I10" s="239" t="inlineStr">
        <is>
          <t>$2,368</t>
        </is>
      </c>
      <c r="J10" s="239" t="inlineStr">
        <is>
          <t>$2,842</t>
        </is>
      </c>
      <c r="K10" s="239" t="inlineStr">
        <is>
          <t>$739</t>
        </is>
      </c>
      <c r="L10" s="239">
        <f>B29</f>
        <v/>
      </c>
      <c r="M10" s="255" t="inlineStr">
        <is>
          <t>$2,841</t>
        </is>
      </c>
      <c r="N10" s="239" t="inlineStr">
        <is>
          <t>$3,410</t>
        </is>
      </c>
      <c r="O10" s="239" t="inlineStr">
        <is>
          <t>$1,012</t>
        </is>
      </c>
      <c r="P10" s="239">
        <f>B30</f>
        <v/>
      </c>
      <c r="Q10" s="255" t="inlineStr">
        <is>
          <t>$3,154</t>
        </is>
      </c>
      <c r="R10" s="239" t="inlineStr">
        <is>
          <t>$3,785</t>
        </is>
      </c>
      <c r="S10" s="239" t="inlineStr">
        <is>
          <t>$1,264</t>
        </is>
      </c>
      <c r="T10" s="239">
        <f>B31</f>
        <v/>
      </c>
      <c r="U10" s="239" t="inlineStr">
        <is>
          <t>107</t>
        </is>
      </c>
      <c r="V10" s="239" t="inlineStr">
        <is>
          <t>1975</t>
        </is>
      </c>
      <c r="W10" s="239" t="inlineStr">
        <is>
          <t>0</t>
        </is>
      </c>
      <c r="X10" s="241" t="inlineStr">
        <is>
          <t>Yes</t>
        </is>
      </c>
      <c r="Y10" s="242" t="inlineStr">
        <is>
          <t>No</t>
        </is>
      </c>
      <c r="Z10" s="253" t="inlineStr">
        <is>
          <t>No</t>
        </is>
      </c>
      <c r="AA10" s="243" t="inlineStr">
        <is>
          <t>No</t>
        </is>
      </c>
      <c r="AB10" s="244" t="inlineStr">
        <is>
          <t>No</t>
        </is>
      </c>
    </row>
    <row r="11" ht="21.75" customFormat="1" customHeight="1" s="3">
      <c r="B11" s="252" t="inlineStr">
        <is>
          <t>AFFORDABLE</t>
        </is>
      </c>
      <c r="C11" s="253" t="inlineStr">
        <is>
          <t>Bayou Terrace Apartments</t>
        </is>
      </c>
      <c r="D11" s="254" t="inlineStr">
        <is>
          <t>600 Canal Blvd</t>
        </is>
      </c>
      <c r="E11" s="116" t="inlineStr">
        <is>
          <t>Thibodaux</t>
        </is>
      </c>
      <c r="F11" s="116" t="inlineStr">
        <is>
          <t>LA</t>
        </is>
      </c>
      <c r="G11" s="116" t="inlineStr">
        <is>
          <t>70301</t>
        </is>
      </c>
      <c r="H11" s="116" t="inlineStr">
        <is>
          <t>1.5 mi</t>
        </is>
      </c>
      <c r="I11" s="116" t="inlineStr">
        <is>
          <t>$2,368</t>
        </is>
      </c>
      <c r="J11" s="116" t="inlineStr">
        <is>
          <t>$2,842</t>
        </is>
      </c>
      <c r="K11" s="116" t="inlineStr">
        <is>
          <t>$739</t>
        </is>
      </c>
      <c r="L11" s="116" t="inlineStr">
        <is>
          <t>Not Listed</t>
        </is>
      </c>
      <c r="M11" s="255" t="inlineStr">
        <is>
          <t>$2,841</t>
        </is>
      </c>
      <c r="N11" s="116" t="inlineStr">
        <is>
          <t>$3,410</t>
        </is>
      </c>
      <c r="O11" s="116" t="inlineStr">
        <is>
          <t>$1,012</t>
        </is>
      </c>
      <c r="P11" s="116" t="inlineStr">
        <is>
          <t>Not Listed</t>
        </is>
      </c>
      <c r="Q11" s="255" t="inlineStr">
        <is>
          <t>$3,154</t>
        </is>
      </c>
      <c r="R11" s="116" t="inlineStr">
        <is>
          <t>$3,785</t>
        </is>
      </c>
      <c r="S11" s="116" t="inlineStr">
        <is>
          <t>$1,264</t>
        </is>
      </c>
      <c r="T11" s="116" t="inlineStr">
        <is>
          <t>Not Listed</t>
        </is>
      </c>
      <c r="U11" s="116" t="inlineStr">
        <is>
          <t>100</t>
        </is>
      </c>
      <c r="V11" s="116" t="inlineStr">
        <is>
          <t>1976</t>
        </is>
      </c>
      <c r="W11" s="116" t="inlineStr">
        <is>
          <t>1</t>
        </is>
      </c>
      <c r="X11" s="259" t="inlineStr">
        <is>
          <t>Yes</t>
        </is>
      </c>
      <c r="Y11" s="256" t="inlineStr">
        <is>
          <t>No</t>
        </is>
      </c>
      <c r="Z11" s="253" t="inlineStr">
        <is>
          <t>No</t>
        </is>
      </c>
      <c r="AA11" s="257" t="inlineStr">
        <is>
          <t>No</t>
        </is>
      </c>
      <c r="AB11" s="258" t="inlineStr">
        <is>
          <t>No</t>
        </is>
      </c>
    </row>
    <row r="12" ht="21.75" customFormat="1" customHeight="1" s="3">
      <c r="B12" s="252" t="inlineStr">
        <is>
          <t>AFFORDABLE</t>
        </is>
      </c>
      <c r="C12" s="253" t="inlineStr">
        <is>
          <t>Houma Gardens</t>
        </is>
      </c>
      <c r="D12" s="254" t="inlineStr">
        <is>
          <t>1200 Grand Caillou Rd</t>
        </is>
      </c>
      <c r="E12" s="116" t="inlineStr">
        <is>
          <t>Houma</t>
        </is>
      </c>
      <c r="F12" s="116" t="inlineStr">
        <is>
          <t>LA</t>
        </is>
      </c>
      <c r="G12" s="116" t="inlineStr">
        <is>
          <t>70363</t>
        </is>
      </c>
      <c r="H12" s="116" t="inlineStr">
        <is>
          <t>18.0 mi</t>
        </is>
      </c>
      <c r="I12" s="116" t="inlineStr">
        <is>
          <t>$2,368</t>
        </is>
      </c>
      <c r="J12" s="116" t="inlineStr">
        <is>
          <t>$2,842</t>
        </is>
      </c>
      <c r="K12" s="116" t="inlineStr">
        <is>
          <t>$739</t>
        </is>
      </c>
      <c r="L12" s="116" t="inlineStr">
        <is>
          <t>Not Listed</t>
        </is>
      </c>
      <c r="M12" s="255" t="inlineStr">
        <is>
          <t>$2,841</t>
        </is>
      </c>
      <c r="N12" s="116" t="inlineStr">
        <is>
          <t>$3,410</t>
        </is>
      </c>
      <c r="O12" s="116" t="inlineStr">
        <is>
          <t>$1,012</t>
        </is>
      </c>
      <c r="P12" s="116" t="inlineStr">
        <is>
          <t>Not Listed</t>
        </is>
      </c>
      <c r="Q12" s="255" t="inlineStr">
        <is>
          <t>$3,154</t>
        </is>
      </c>
      <c r="R12" s="116" t="inlineStr">
        <is>
          <t>$3,785</t>
        </is>
      </c>
      <c r="S12" s="116" t="inlineStr">
        <is>
          <t>$1,264</t>
        </is>
      </c>
      <c r="T12" s="116" t="inlineStr">
        <is>
          <t>Not Listed</t>
        </is>
      </c>
      <c r="U12" s="116" t="inlineStr">
        <is>
          <t>120</t>
        </is>
      </c>
      <c r="V12" s="116" t="inlineStr">
        <is>
          <t>1975</t>
        </is>
      </c>
      <c r="W12" s="116" t="inlineStr">
        <is>
          <t>0</t>
        </is>
      </c>
      <c r="X12" s="259" t="inlineStr">
        <is>
          <t>Yes</t>
        </is>
      </c>
      <c r="Y12" s="256" t="inlineStr">
        <is>
          <t>No</t>
        </is>
      </c>
      <c r="Z12" s="253" t="inlineStr">
        <is>
          <t>No</t>
        </is>
      </c>
      <c r="AA12" s="257" t="inlineStr">
        <is>
          <t>No</t>
        </is>
      </c>
      <c r="AB12" s="258" t="inlineStr">
        <is>
          <t>No</t>
        </is>
      </c>
    </row>
    <row r="13" ht="21.75" customFormat="1" customHeight="1" s="3">
      <c r="B13" s="252" t="inlineStr">
        <is>
          <t>AFFORDABLE</t>
        </is>
      </c>
      <c r="C13" s="253" t="inlineStr">
        <is>
          <t>Morgan City Manor</t>
        </is>
      </c>
      <c r="D13" s="254" t="inlineStr">
        <is>
          <t>700 Brashear Ave</t>
        </is>
      </c>
      <c r="E13" s="116" t="inlineStr">
        <is>
          <t>Morgan City</t>
        </is>
      </c>
      <c r="F13" s="116" t="inlineStr">
        <is>
          <t>LA</t>
        </is>
      </c>
      <c r="G13" s="116" t="inlineStr">
        <is>
          <t>70380</t>
        </is>
      </c>
      <c r="H13" s="116" t="inlineStr">
        <is>
          <t>42.0 mi</t>
        </is>
      </c>
      <c r="I13" s="116" t="inlineStr">
        <is>
          <t>$2,368</t>
        </is>
      </c>
      <c r="J13" s="116" t="inlineStr">
        <is>
          <t>$2,842</t>
        </is>
      </c>
      <c r="K13" s="116" t="inlineStr">
        <is>
          <t>$739</t>
        </is>
      </c>
      <c r="L13" s="116" t="inlineStr">
        <is>
          <t>$670</t>
        </is>
      </c>
      <c r="M13" s="255" t="inlineStr">
        <is>
          <t>$2,841</t>
        </is>
      </c>
      <c r="N13" s="116" t="inlineStr">
        <is>
          <t>$3,410</t>
        </is>
      </c>
      <c r="O13" s="116" t="inlineStr">
        <is>
          <t>$1,012</t>
        </is>
      </c>
      <c r="P13" s="116" t="inlineStr">
        <is>
          <t>$924</t>
        </is>
      </c>
      <c r="Q13" s="255" t="inlineStr">
        <is>
          <t>$3,154</t>
        </is>
      </c>
      <c r="R13" s="116" t="inlineStr">
        <is>
          <t>$3,785</t>
        </is>
      </c>
      <c r="S13" s="116" t="inlineStr">
        <is>
          <t>$1,264</t>
        </is>
      </c>
      <c r="T13" s="116" t="inlineStr">
        <is>
          <t>Not Listed</t>
        </is>
      </c>
      <c r="U13" s="116" t="inlineStr">
        <is>
          <t>96</t>
        </is>
      </c>
      <c r="V13" s="116" t="inlineStr">
        <is>
          <t>1977</t>
        </is>
      </c>
      <c r="W13" s="116" t="inlineStr">
        <is>
          <t>2</t>
        </is>
      </c>
      <c r="X13" s="259" t="inlineStr">
        <is>
          <t>Yes</t>
        </is>
      </c>
      <c r="Y13" s="256" t="inlineStr">
        <is>
          <t>No</t>
        </is>
      </c>
      <c r="Z13" s="253" t="inlineStr">
        <is>
          <t>No</t>
        </is>
      </c>
      <c r="AA13" s="257" t="inlineStr">
        <is>
          <t>No</t>
        </is>
      </c>
      <c r="AB13" s="258" t="inlineStr">
        <is>
          <t>No</t>
        </is>
      </c>
    </row>
    <row r="14" ht="21.75" customFormat="1" customHeight="1" s="3">
      <c r="B14" s="252" t="inlineStr">
        <is>
          <t>AFFORDABLE</t>
        </is>
      </c>
      <c r="C14" s="253" t="inlineStr">
        <is>
          <t>Lafourche Parish Housing Authority - Lockport Homes</t>
        </is>
      </c>
      <c r="D14" s="254" t="inlineStr">
        <is>
          <t>200 Main St</t>
        </is>
      </c>
      <c r="E14" s="116" t="inlineStr">
        <is>
          <t>Lockport</t>
        </is>
      </c>
      <c r="F14" s="116" t="inlineStr">
        <is>
          <t>LA</t>
        </is>
      </c>
      <c r="G14" s="116" t="inlineStr">
        <is>
          <t>70374</t>
        </is>
      </c>
      <c r="H14" s="116" t="inlineStr">
        <is>
          <t>12.0 mi</t>
        </is>
      </c>
      <c r="I14" s="116" t="inlineStr">
        <is>
          <t>$2,368</t>
        </is>
      </c>
      <c r="J14" s="116" t="inlineStr">
        <is>
          <t>$2,842</t>
        </is>
      </c>
      <c r="K14" s="116" t="inlineStr">
        <is>
          <t>$739</t>
        </is>
      </c>
      <c r="L14" s="116" t="inlineStr">
        <is>
          <t>Not Listed</t>
        </is>
      </c>
      <c r="M14" s="255" t="inlineStr">
        <is>
          <t>$2,841</t>
        </is>
      </c>
      <c r="N14" s="116" t="inlineStr">
        <is>
          <t>$3,410</t>
        </is>
      </c>
      <c r="O14" s="116" t="inlineStr">
        <is>
          <t>$1,012</t>
        </is>
      </c>
      <c r="P14" s="116" t="inlineStr">
        <is>
          <t>Not Listed</t>
        </is>
      </c>
      <c r="Q14" s="255" t="inlineStr">
        <is>
          <t>$3,154</t>
        </is>
      </c>
      <c r="R14" s="116" t="inlineStr">
        <is>
          <t>$3,785</t>
        </is>
      </c>
      <c r="S14" s="116" t="inlineStr">
        <is>
          <t>$1,264</t>
        </is>
      </c>
      <c r="T14" s="116" t="inlineStr">
        <is>
          <t>Not Listed</t>
        </is>
      </c>
      <c r="U14" s="116" t="inlineStr">
        <is>
          <t>88</t>
        </is>
      </c>
      <c r="V14" s="116" t="inlineStr">
        <is>
          <t>1976</t>
        </is>
      </c>
      <c r="W14" s="116" t="inlineStr">
        <is>
          <t>1</t>
        </is>
      </c>
      <c r="X14" s="259" t="inlineStr">
        <is>
          <t>Yes</t>
        </is>
      </c>
      <c r="Y14" s="256" t="inlineStr">
        <is>
          <t>No</t>
        </is>
      </c>
      <c r="Z14" s="253" t="inlineStr">
        <is>
          <t>No</t>
        </is>
      </c>
      <c r="AA14" s="257" t="inlineStr">
        <is>
          <t>No</t>
        </is>
      </c>
      <c r="AB14" s="258" t="inlineStr">
        <is>
          <t>No</t>
        </is>
      </c>
    </row>
    <row r="15" ht="21.75" customFormat="1" customHeight="1" s="3">
      <c r="B15" s="252" t="inlineStr">
        <is>
          <t>MARKET RATE</t>
        </is>
      </c>
      <c r="C15" s="253" t="inlineStr">
        <is>
          <t>Chateau Audubon Apartments</t>
        </is>
      </c>
      <c r="D15" s="254" t="inlineStr">
        <is>
          <t>106 Beham Ct</t>
        </is>
      </c>
      <c r="E15" s="116" t="inlineStr">
        <is>
          <t>Thibodaux</t>
        </is>
      </c>
      <c r="F15" s="116" t="inlineStr">
        <is>
          <t>LA</t>
        </is>
      </c>
      <c r="G15" s="116" t="inlineStr">
        <is>
          <t>70301</t>
        </is>
      </c>
      <c r="H15" s="116" t="inlineStr">
        <is>
          <t>0.5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$739</t>
        </is>
      </c>
      <c r="L15" s="116" t="inlineStr">
        <is>
          <t>$850</t>
        </is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$1,012</t>
        </is>
      </c>
      <c r="P15" s="116" t="inlineStr">
        <is>
          <t>$1,050</t>
        </is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N/A (Market Rate)</t>
        </is>
      </c>
      <c r="T15" s="116" t="n">
        <v>1295</v>
      </c>
      <c r="U15" s="116" t="inlineStr">
        <is>
          <t>N/A</t>
        </is>
      </c>
      <c r="V15" s="116" t="inlineStr">
        <is>
          <t>1975</t>
        </is>
      </c>
      <c r="W15" s="116" t="inlineStr">
        <is>
          <t>0</t>
        </is>
      </c>
      <c r="X15" s="116" t="inlineStr">
        <is>
          <t>Varies</t>
        </is>
      </c>
      <c r="Y15" s="116" t="inlineStr">
        <is>
          <t>Varies</t>
        </is>
      </c>
      <c r="Z15" s="253" t="inlineStr">
        <is>
          <t>Varies</t>
        </is>
      </c>
      <c r="AA15" s="257" t="inlineStr">
        <is>
          <t>Varies</t>
        </is>
      </c>
      <c r="AB15" s="258" t="inlineStr">
        <is>
          <t>Varies</t>
        </is>
      </c>
    </row>
    <row r="16" ht="21.75" customFormat="1" customHeight="1" s="3">
      <c r="B16" s="252" t="inlineStr">
        <is>
          <t>MARKET RATE</t>
        </is>
      </c>
      <c r="C16" s="253" t="inlineStr">
        <is>
          <t>Bayou Reserve</t>
        </is>
      </c>
      <c r="D16" s="254" t="inlineStr">
        <is>
          <t>2464 Talbot Ave</t>
        </is>
      </c>
      <c r="E16" s="116" t="inlineStr">
        <is>
          <t>Thibodaux</t>
        </is>
      </c>
      <c r="F16" s="116" t="inlineStr">
        <is>
          <t>LA</t>
        </is>
      </c>
      <c r="G16" s="116" t="inlineStr">
        <is>
          <t>70301</t>
        </is>
      </c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939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1089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$1,264</t>
        </is>
      </c>
      <c r="T16" s="116" t="inlineStr">
        <is>
          <t>$1,325</t>
        </is>
      </c>
      <c r="U16" s="116" t="inlineStr">
        <is>
          <t>N/A</t>
        </is>
      </c>
      <c r="V16" s="116" t="inlineStr">
        <is>
          <t>1978</t>
        </is>
      </c>
      <c r="W16" s="116" t="inlineStr">
        <is>
          <t>3</t>
        </is>
      </c>
      <c r="X16" s="116" t="inlineStr">
        <is>
          <t>Varies</t>
        </is>
      </c>
      <c r="Y16" s="116" t="inlineStr">
        <is>
          <t>Varies</t>
        </is>
      </c>
      <c r="Z16" s="253" t="inlineStr">
        <is>
          <t>Varies</t>
        </is>
      </c>
      <c r="AA16" s="257" t="inlineStr">
        <is>
          <t>Varies</t>
        </is>
      </c>
      <c r="AB16" s="258" t="inlineStr">
        <is>
          <t>Varies</t>
        </is>
      </c>
    </row>
    <row r="17" ht="21.75" customFormat="1" customHeight="1" s="3">
      <c r="B17" s="252" t="inlineStr">
        <is>
          <t>MARKET RATE</t>
        </is>
      </c>
      <c r="C17" s="253" t="inlineStr">
        <is>
          <t>Colonial Estates</t>
        </is>
      </c>
      <c r="D17" s="254" t="inlineStr">
        <is>
          <t>1300 Ridgefield Ave</t>
        </is>
      </c>
      <c r="E17" s="116" t="inlineStr">
        <is>
          <t>Thibodaux</t>
        </is>
      </c>
      <c r="F17" s="116" t="inlineStr">
        <is>
          <t>LA</t>
        </is>
      </c>
      <c r="G17" s="116" t="inlineStr">
        <is>
          <t>70301</t>
        </is>
      </c>
      <c r="H17" s="116" t="inlineStr">
        <is>
          <t>0.8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800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900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N/A (Market Rate)</t>
        </is>
      </c>
      <c r="T17" s="116" t="n">
        <v>1000</v>
      </c>
      <c r="U17" s="116" t="inlineStr">
        <is>
          <t>N/A</t>
        </is>
      </c>
      <c r="V17" s="116" t="inlineStr">
        <is>
          <t>1972</t>
        </is>
      </c>
      <c r="W17" s="116" t="inlineStr">
        <is>
          <t>3</t>
        </is>
      </c>
      <c r="X17" s="116" t="inlineStr">
        <is>
          <t>Varies</t>
        </is>
      </c>
      <c r="Y17" s="116" t="inlineStr">
        <is>
          <t>Varies</t>
        </is>
      </c>
      <c r="Z17" s="253" t="inlineStr">
        <is>
          <t>Varies</t>
        </is>
      </c>
      <c r="AA17" s="257" t="inlineStr">
        <is>
          <t>Varies</t>
        </is>
      </c>
      <c r="AB17" s="258" t="inlineStr">
        <is>
          <t>Varies</t>
        </is>
      </c>
    </row>
    <row r="18" ht="21.75" customFormat="1" customHeight="1" s="3">
      <c r="B18" s="252" t="inlineStr">
        <is>
          <t>MARKET RATE</t>
        </is>
      </c>
      <c r="C18" s="253" t="inlineStr">
        <is>
          <t>Turnberry Townhomes</t>
        </is>
      </c>
      <c r="D18" s="254" t="inlineStr">
        <is>
          <t>130 Leighton Dr</t>
        </is>
      </c>
      <c r="E18" s="116" t="inlineStr">
        <is>
          <t>Thibodaux</t>
        </is>
      </c>
      <c r="F18" s="116" t="inlineStr">
        <is>
          <t>LA</t>
        </is>
      </c>
      <c r="G18" s="116" t="inlineStr">
        <is>
          <t>70301</t>
        </is>
      </c>
      <c r="H18" s="116" t="inlineStr">
        <is>
          <t>1.5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$739</t>
        </is>
      </c>
      <c r="L18" s="116" t="inlineStr">
        <is>
          <t>$850</t>
        </is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1275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$1,264</t>
        </is>
      </c>
      <c r="T18" s="116" t="inlineStr">
        <is>
          <t>$1,300</t>
        </is>
      </c>
      <c r="U18" s="116" t="inlineStr">
        <is>
          <t>N/A</t>
        </is>
      </c>
      <c r="V18" s="116" t="inlineStr">
        <is>
          <t>1978</t>
        </is>
      </c>
      <c r="W18" s="116" t="inlineStr">
        <is>
          <t>3</t>
        </is>
      </c>
      <c r="X18" s="116" t="inlineStr">
        <is>
          <t>Varies</t>
        </is>
      </c>
      <c r="Y18" s="116" t="inlineStr">
        <is>
          <t>Varies</t>
        </is>
      </c>
      <c r="Z18" s="253" t="inlineStr">
        <is>
          <t>Varies</t>
        </is>
      </c>
      <c r="AA18" s="257" t="inlineStr">
        <is>
          <t>Varies</t>
        </is>
      </c>
      <c r="AB18" s="258" t="inlineStr">
        <is>
          <t>Varies</t>
        </is>
      </c>
    </row>
    <row r="19" ht="21.75" customFormat="1" customHeight="1" s="3">
      <c r="B19" s="252" t="inlineStr">
        <is>
          <t>MARKET RATE</t>
        </is>
      </c>
      <c r="C19" s="253" t="inlineStr">
        <is>
          <t>Acadia Villas Apartment Homes</t>
        </is>
      </c>
      <c r="D19" s="254" t="inlineStr">
        <is>
          <t>624 Percy Rd</t>
        </is>
      </c>
      <c r="E19" s="116" t="inlineStr">
        <is>
          <t>Thibodaux</t>
        </is>
      </c>
      <c r="F19" s="116" t="inlineStr">
        <is>
          <t>LA</t>
        </is>
      </c>
      <c r="G19" s="116" t="inlineStr">
        <is>
          <t>70301</t>
        </is>
      </c>
      <c r="H19" s="116" t="inlineStr">
        <is>
          <t>1.1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1325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1575</v>
      </c>
      <c r="Q19" s="255" t="inlineStr">
        <is>
          <t>N/A (Market Rate)</t>
        </is>
      </c>
      <c r="R19" s="116" t="inlineStr">
        <is>
          <t>N/A (Market Rate)</t>
        </is>
      </c>
      <c r="S19" s="116" t="inlineStr">
        <is>
          <t>N/A (Market Rate)</t>
        </is>
      </c>
      <c r="T19" s="116" t="n">
        <v>1735</v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253" t="inlineStr">
        <is>
          <t>N/A</t>
        </is>
      </c>
      <c r="AA19" s="257" t="inlineStr">
        <is>
          <t>N/A</t>
        </is>
      </c>
      <c r="AB19" s="258" t="inlineStr">
        <is>
          <t>N/A</t>
        </is>
      </c>
    </row>
    <row r="20" ht="21.75" customFormat="1" customHeight="1" s="3">
      <c r="B20" s="252" t="inlineStr">
        <is>
          <t>MARKET RATE</t>
        </is>
      </c>
      <c r="C20" s="253" t="inlineStr">
        <is>
          <t>1359 LA-20</t>
        </is>
      </c>
      <c r="D20" s="254" t="inlineStr">
        <is>
          <t>1359 LA-20</t>
        </is>
      </c>
      <c r="E20" s="116" t="inlineStr">
        <is>
          <t>Thibodaux</t>
        </is>
      </c>
      <c r="F20" s="116" t="inlineStr">
        <is>
          <t>LA</t>
        </is>
      </c>
      <c r="G20" s="116" t="inlineStr">
        <is>
          <t>70301</t>
        </is>
      </c>
      <c r="H20" s="116" t="inlineStr">
        <is>
          <t>2.0 mi</t>
        </is>
      </c>
      <c r="I20" s="116" t="inlineStr">
        <is>
          <t>$812</t>
        </is>
      </c>
      <c r="J20" s="116" t="inlineStr">
        <is>
          <t>$812</t>
        </is>
      </c>
      <c r="K20" s="116" t="inlineStr">
        <is>
          <t>$812</t>
        </is>
      </c>
      <c r="L20" s="116" t="inlineStr">
        <is>
          <t>N/A</t>
        </is>
      </c>
      <c r="M20" s="25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84" t="n">
        <v>1250</v>
      </c>
      <c r="Q20" s="255" t="inlineStr">
        <is>
          <t>$1,390</t>
        </is>
      </c>
      <c r="R20" s="116" t="inlineStr">
        <is>
          <t>$1,390</t>
        </is>
      </c>
      <c r="S20" s="116" t="inlineStr">
        <is>
          <t>$1,390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253" t="inlineStr">
        <is>
          <t>N/A</t>
        </is>
      </c>
      <c r="AA20" s="257" t="inlineStr">
        <is>
          <t>N/A</t>
        </is>
      </c>
      <c r="AB20" s="258" t="inlineStr">
        <is>
          <t>N/A</t>
        </is>
      </c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800</v>
      </c>
      <c r="D27" s="376" t="n">
        <v>800</v>
      </c>
      <c r="E27" s="381" t="n">
        <v>0</v>
      </c>
    </row>
    <row r="28" ht="20.25" customFormat="1" customHeight="1" s="3">
      <c r="B28" s="272" t="inlineStr">
        <is>
          <t>2BD</t>
        </is>
      </c>
      <c r="C28" s="375" t="n">
        <v>900</v>
      </c>
      <c r="D28" s="376" t="n">
        <v>900</v>
      </c>
      <c r="E28" s="381" t="n">
        <v>0</v>
      </c>
    </row>
    <row r="29" ht="20.25" customFormat="1" customHeight="1" s="3">
      <c r="B29" s="272" t="inlineStr">
        <is>
          <t>3BD</t>
        </is>
      </c>
      <c r="C29" s="375" t="n">
        <v>1000</v>
      </c>
      <c r="D29" s="376" t="n">
        <v>1000</v>
      </c>
      <c r="E29" s="381" t="n">
        <v>0</v>
      </c>
    </row>
    <row r="30" ht="20.25" customFormat="1" customHeight="1" s="3">
      <c r="B30" s="272" t="inlineStr">
        <is>
          <t>1BD</t>
        </is>
      </c>
      <c r="C30" s="375" t="n">
        <v>0</v>
      </c>
      <c r="D30" s="376" t="n">
        <v>926</v>
      </c>
      <c r="E30" s="377" t="n">
        <v>-926</v>
      </c>
    </row>
    <row r="31" ht="20.25" customFormat="1" customHeight="1" s="3">
      <c r="B31" s="272" t="inlineStr">
        <is>
          <t>2BD</t>
        </is>
      </c>
      <c r="C31" s="375" t="n">
        <v>0</v>
      </c>
      <c r="D31" s="376" t="n">
        <v>1116</v>
      </c>
      <c r="E31" s="377" t="n">
        <v>-1116</v>
      </c>
    </row>
    <row r="32" ht="20.25" customFormat="1" customHeight="1" s="3">
      <c r="B32" s="272" t="inlineStr">
        <is>
          <t>3BD</t>
        </is>
      </c>
      <c r="C32" s="375" t="n">
        <v>0</v>
      </c>
      <c r="D32" s="376" t="n">
        <v>1224</v>
      </c>
      <c r="E32" s="377" t="n">
        <v>-1224</v>
      </c>
    </row>
    <row r="35" ht="18" customFormat="1" customHeight="1" s="3">
      <c r="B35" s="270" t="inlineStr">
        <is>
          <t>PMTS — Vouchers / FMR / UAP / NET</t>
        </is>
      </c>
      <c r="C35" s="294" t="n"/>
      <c r="D35" s="294" t="n"/>
      <c r="E35" s="294" t="n"/>
      <c r="F35" s="294" t="n"/>
      <c r="G35" s="294" t="n"/>
      <c r="H35" s="295" t="n"/>
    </row>
    <row r="36" ht="15.75" customFormat="1" customHeight="1" s="3">
      <c r="C36" s="378">
        <f>'Current Rents'!D25</f>
        <v/>
      </c>
      <c r="D36" s="271" t="inlineStr">
        <is>
          <t>VCH</t>
        </is>
      </c>
      <c r="E36" s="271" t="inlineStr">
        <is>
          <t>FMR</t>
        </is>
      </c>
      <c r="F36" s="271" t="inlineStr">
        <is>
          <t>UAP</t>
        </is>
      </c>
      <c r="G36" s="271" t="inlineStr">
        <is>
          <t>NET</t>
        </is>
      </c>
    </row>
    <row r="37" ht="20.25" customFormat="1" customHeight="1" s="3">
      <c r="B37" s="272" t="inlineStr">
        <is>
          <t>1BD</t>
        </is>
      </c>
      <c r="C37" s="292">
        <f>'Current Rents'!E25</f>
        <v/>
      </c>
      <c r="D37" s="382" t="n">
        <v>800</v>
      </c>
      <c r="E37" s="379" t="n">
        <v>930</v>
      </c>
      <c r="F37" s="380" t="n">
        <v>0</v>
      </c>
      <c r="G37" s="292" t="n">
        <v>930</v>
      </c>
    </row>
    <row r="38" ht="20.25" customFormat="1" customHeight="1" s="3">
      <c r="B38" s="272" t="inlineStr">
        <is>
          <t>2BD</t>
        </is>
      </c>
      <c r="C38" s="292">
        <f>'Current Rents'!F25</f>
        <v/>
      </c>
      <c r="D38" s="382" t="n">
        <v>900</v>
      </c>
      <c r="E38" s="379" t="n">
        <v>1140</v>
      </c>
      <c r="F38" s="380" t="n">
        <v>0</v>
      </c>
      <c r="G38" s="292" t="n">
        <v>1140</v>
      </c>
    </row>
    <row r="39" ht="20.25" customFormat="1" customHeight="1" s="3">
      <c r="B39" s="272" t="inlineStr">
        <is>
          <t>3BD</t>
        </is>
      </c>
      <c r="C39" s="292" t="n">
        <v>1000</v>
      </c>
      <c r="D39" s="382" t="n">
        <v>1000</v>
      </c>
      <c r="E39" s="379" t="n">
        <v>1380</v>
      </c>
      <c r="F39" s="380" t="n">
        <v>0</v>
      </c>
      <c r="G39" s="292" t="n">
        <v>1380</v>
      </c>
    </row>
  </sheetData>
  <mergeCells count="9">
    <mergeCell ref="B4:Y4"/>
    <mergeCell ref="B35:H35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40 - Marrero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3BD
50% AMI</t>
        </is>
      </c>
      <c r="K8" s="64" t="inlineStr">
        <is>
          <t>3BD
60% AMI</t>
        </is>
      </c>
      <c r="L8" s="64" t="inlineStr">
        <is>
          <t>3BD
FMR</t>
        </is>
      </c>
      <c r="M8" s="64" t="inlineStr">
        <is>
          <t>3BD
Actual</t>
        </is>
      </c>
      <c r="N8" s="64" t="inlineStr">
        <is>
          <t>4BD
50% AMI</t>
        </is>
      </c>
      <c r="O8" s="64" t="inlineStr">
        <is>
          <t>4BD
60% AMI</t>
        </is>
      </c>
      <c r="P8" s="64" t="inlineStr">
        <is>
          <t>4BD
FMR</t>
        </is>
      </c>
      <c r="Q8" s="64" t="inlineStr">
        <is>
          <t>4BD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3BD 50% AMI ($)</t>
        </is>
      </c>
      <c r="J9" s="116" t="inlineStr">
        <is>
          <t>3BD 60% AMI ($)</t>
        </is>
      </c>
      <c r="K9" s="116" t="inlineStr">
        <is>
          <t>3BR FMR ($)</t>
        </is>
      </c>
      <c r="L9" s="116" t="inlineStr">
        <is>
          <t>3BR Actual ($)</t>
        </is>
      </c>
      <c r="M9" s="255" t="inlineStr">
        <is>
          <t>4BD 50% AMI ($)</t>
        </is>
      </c>
      <c r="N9" s="116" t="inlineStr">
        <is>
          <t>4BD 60% AMI ($)</t>
        </is>
      </c>
      <c r="O9" s="116" t="inlineStr">
        <is>
          <t>4BR FMR ($)</t>
        </is>
      </c>
      <c r="P9" s="116" t="inlineStr">
        <is>
          <t>4BR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Marrero 3 (SUBJECT)</t>
        </is>
      </c>
      <c r="D10" s="285" t="inlineStr">
        <is>
          <t>1050 Manhattan Blvd</t>
        </is>
      </c>
      <c r="E10" s="239" t="inlineStr">
        <is>
          <t>Harvey</t>
        </is>
      </c>
      <c r="F10" s="239" t="inlineStr">
        <is>
          <t>LA</t>
        </is>
      </c>
      <c r="G10" s="239" t="inlineStr">
        <is>
          <t>70058</t>
        </is>
      </c>
      <c r="H10" s="239" t="inlineStr">
        <is>
          <t>0.0 mi</t>
        </is>
      </c>
      <c r="I10" s="239" t="inlineStr">
        <is>
          <t>$3,741</t>
        </is>
      </c>
      <c r="J10" s="239" t="inlineStr">
        <is>
          <t>$4,490</t>
        </is>
      </c>
      <c r="K10" s="239" t="inlineStr">
        <is>
          <t>$1,573</t>
        </is>
      </c>
      <c r="L10" s="239">
        <f>B29</f>
        <v/>
      </c>
      <c r="M10" s="255" t="inlineStr">
        <is>
          <t>$4,041</t>
        </is>
      </c>
      <c r="N10" s="239" t="inlineStr">
        <is>
          <t>$4,850</t>
        </is>
      </c>
      <c r="O10" s="239" t="inlineStr">
        <is>
          <t>$1,818</t>
        </is>
      </c>
      <c r="P10" s="239">
        <f>B30</f>
        <v/>
      </c>
      <c r="Q10" s="255" t="inlineStr">
        <is>
          <t>173</t>
        </is>
      </c>
      <c r="R10" s="239" t="inlineStr">
        <is>
          <t>1968</t>
        </is>
      </c>
      <c r="S10" s="239" t="inlineStr">
        <is>
          <t>0</t>
        </is>
      </c>
      <c r="T10" s="239" t="inlineStr">
        <is>
          <t>Yes</t>
        </is>
      </c>
      <c r="U10" s="242" t="inlineStr">
        <is>
          <t>No</t>
        </is>
      </c>
      <c r="V10" s="242" t="inlineStr">
        <is>
          <t>No</t>
        </is>
      </c>
      <c r="W10" s="242" t="inlineStr">
        <is>
          <t>No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173 units | Section 8/HUD property. Year built: 1968.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Westchase Apartments</t>
        </is>
      </c>
      <c r="D11" s="254" t="inlineStr">
        <is>
          <t>1013 Manhattan Blvd</t>
        </is>
      </c>
      <c r="E11" s="116" t="inlineStr">
        <is>
          <t>Harvey</t>
        </is>
      </c>
      <c r="F11" s="116" t="inlineStr">
        <is>
          <t>LA</t>
        </is>
      </c>
      <c r="G11" s="116" t="inlineStr">
        <is>
          <t>70058</t>
        </is>
      </c>
      <c r="H11" s="116" t="inlineStr">
        <is>
          <t>0.3 mi</t>
        </is>
      </c>
      <c r="I11" s="116" t="inlineStr">
        <is>
          <t>$3,741</t>
        </is>
      </c>
      <c r="J11" s="116" t="inlineStr">
        <is>
          <t>$4,490</t>
        </is>
      </c>
      <c r="K11" s="116" t="inlineStr">
        <is>
          <t>$1,573</t>
        </is>
      </c>
      <c r="L11" s="116" t="inlineStr">
        <is>
          <t>Not Listed</t>
        </is>
      </c>
      <c r="M11" s="255" t="inlineStr">
        <is>
          <t>$4,041</t>
        </is>
      </c>
      <c r="N11" s="116" t="inlineStr">
        <is>
          <t>$4,850</t>
        </is>
      </c>
      <c r="O11" s="116" t="inlineStr">
        <is>
          <t>$1,818</t>
        </is>
      </c>
      <c r="P11" s="116" t="inlineStr">
        <is>
          <t>Not Listed</t>
        </is>
      </c>
      <c r="Q11" s="255" t="inlineStr">
        <is>
          <t>200</t>
        </is>
      </c>
      <c r="R11" s="116" t="inlineStr">
        <is>
          <t>1970</t>
        </is>
      </c>
      <c r="S11" s="116" t="inlineStr">
        <is>
          <t>2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Section 8/HUD property, 1970 vintage (2 yr diff), 200 units, 0.3 mi from subject. Same income-eligible renter pool.</t>
        </is>
      </c>
      <c r="AA11" s="257" t="inlineStr">
        <is>
          <t>AffordableHousingOnline.com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Gretna Manor Apartments</t>
        </is>
      </c>
      <c r="D12" s="254" t="inlineStr">
        <is>
          <t>400 Huey P Long Ave</t>
        </is>
      </c>
      <c r="E12" s="116" t="inlineStr">
        <is>
          <t>Gretna</t>
        </is>
      </c>
      <c r="F12" s="116" t="inlineStr">
        <is>
          <t>LA</t>
        </is>
      </c>
      <c r="G12" s="116" t="inlineStr">
        <is>
          <t>70053</t>
        </is>
      </c>
      <c r="H12" s="116" t="inlineStr">
        <is>
          <t>3.5 mi</t>
        </is>
      </c>
      <c r="I12" s="116" t="inlineStr">
        <is>
          <t>$3,741</t>
        </is>
      </c>
      <c r="J12" s="116" t="inlineStr">
        <is>
          <t>$4,490</t>
        </is>
      </c>
      <c r="K12" s="116" t="inlineStr">
        <is>
          <t>$1,573</t>
        </is>
      </c>
      <c r="L12" s="116" t="inlineStr">
        <is>
          <t>Not Listed</t>
        </is>
      </c>
      <c r="M12" s="255" t="inlineStr">
        <is>
          <t>$4,041</t>
        </is>
      </c>
      <c r="N12" s="116" t="inlineStr">
        <is>
          <t>$4,850</t>
        </is>
      </c>
      <c r="O12" s="116" t="inlineStr">
        <is>
          <t>$1,818</t>
        </is>
      </c>
      <c r="P12" s="116" t="inlineStr">
        <is>
          <t>Not Listed</t>
        </is>
      </c>
      <c r="Q12" s="255" t="inlineStr">
        <is>
          <t>180</t>
        </is>
      </c>
      <c r="R12" s="116" t="inlineStr">
        <is>
          <t>1972</t>
        </is>
      </c>
      <c r="S12" s="116" t="inlineStr">
        <is>
          <t>4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HIGH</t>
        </is>
      </c>
      <c r="Z12" s="253" t="inlineStr">
        <is>
          <t>Affordable Comp #2: Section 8/HUD property, 1972 vintage (4 yr diff), 180 units, 3.5 mi from subject. Same income-eligible renter pool.</t>
        </is>
      </c>
      <c r="AA12" s="257" t="inlineStr">
        <is>
          <t>HUD Multifamily Assisted Housing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New Orleans East Apartments</t>
        </is>
      </c>
      <c r="D13" s="254" t="inlineStr">
        <is>
          <t>6000 Read Blvd</t>
        </is>
      </c>
      <c r="E13" s="116" t="inlineStr">
        <is>
          <t>New Orleans</t>
        </is>
      </c>
      <c r="F13" s="116" t="inlineStr">
        <is>
          <t>LA</t>
        </is>
      </c>
      <c r="G13" s="116" t="inlineStr">
        <is>
          <t>70127</t>
        </is>
      </c>
      <c r="H13" s="116" t="inlineStr">
        <is>
          <t>12.0 mi</t>
        </is>
      </c>
      <c r="I13" s="116" t="inlineStr">
        <is>
          <t>$3,741</t>
        </is>
      </c>
      <c r="J13" s="116" t="inlineStr">
        <is>
          <t>$4,490</t>
        </is>
      </c>
      <c r="K13" s="116" t="inlineStr">
        <is>
          <t>$1,573</t>
        </is>
      </c>
      <c r="L13" s="116" t="inlineStr">
        <is>
          <t>Not Listed</t>
        </is>
      </c>
      <c r="M13" s="255" t="inlineStr">
        <is>
          <t>$4,041</t>
        </is>
      </c>
      <c r="N13" s="116" t="inlineStr">
        <is>
          <t>$4,850</t>
        </is>
      </c>
      <c r="O13" s="116" t="inlineStr">
        <is>
          <t>$1,818</t>
        </is>
      </c>
      <c r="P13" s="116" t="inlineStr">
        <is>
          <t>Not Listed</t>
        </is>
      </c>
      <c r="Q13" s="255" t="inlineStr">
        <is>
          <t>160</t>
        </is>
      </c>
      <c r="R13" s="116" t="inlineStr">
        <is>
          <t>1970</t>
        </is>
      </c>
      <c r="S13" s="116" t="inlineStr">
        <is>
          <t>2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HIGH</t>
        </is>
      </c>
      <c r="Z13" s="253" t="inlineStr">
        <is>
          <t>Affordable Comp #3: Section 8/HUD property, 1970 vintage (2 yr diff), 160 units, 12.0 mi from subject. Same income-eligible renter pool.</t>
        </is>
      </c>
      <c r="AA13" s="257" t="inlineStr">
        <is>
          <t>HUD Multifamily Assisted Housing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Jefferson Parish Housing Authority - Woodmere Homes</t>
        </is>
      </c>
      <c r="D14" s="254" t="inlineStr">
        <is>
          <t>1200 Woodmere Blvd</t>
        </is>
      </c>
      <c r="E14" s="116" t="inlineStr">
        <is>
          <t>Harvey</t>
        </is>
      </c>
      <c r="F14" s="116" t="inlineStr">
        <is>
          <t>LA</t>
        </is>
      </c>
      <c r="G14" s="116" t="inlineStr">
        <is>
          <t>70058</t>
        </is>
      </c>
      <c r="H14" s="116" t="inlineStr">
        <is>
          <t>2.1 mi</t>
        </is>
      </c>
      <c r="I14" s="116" t="inlineStr">
        <is>
          <t>$3,741</t>
        </is>
      </c>
      <c r="J14" s="116" t="inlineStr">
        <is>
          <t>$4,490</t>
        </is>
      </c>
      <c r="K14" s="116" t="inlineStr">
        <is>
          <t>$1,573</t>
        </is>
      </c>
      <c r="L14" s="116" t="inlineStr">
        <is>
          <t>Not Listed</t>
        </is>
      </c>
      <c r="M14" s="255" t="inlineStr">
        <is>
          <t>$4,041</t>
        </is>
      </c>
      <c r="N14" s="116" t="inlineStr">
        <is>
          <t>$4,850</t>
        </is>
      </c>
      <c r="O14" s="116" t="inlineStr">
        <is>
          <t>$1,818</t>
        </is>
      </c>
      <c r="P14" s="116" t="inlineStr">
        <is>
          <t>Not Listed</t>
        </is>
      </c>
      <c r="Q14" s="255" t="inlineStr">
        <is>
          <t>180</t>
        </is>
      </c>
      <c r="R14" s="116" t="inlineStr">
        <is>
          <t>1969</t>
        </is>
      </c>
      <c r="S14" s="116" t="inlineStr">
        <is>
          <t>1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HIGH</t>
        </is>
      </c>
      <c r="Z14" s="253" t="inlineStr">
        <is>
          <t>Affordable Comp #4: Public Housing/HUD property, 1969 vintage (1 yr diff), 180 units, 2.1 mi from subject. Same income-eligible renter pool.</t>
        </is>
      </c>
      <c r="AA14" s="257" t="inlineStr">
        <is>
          <t>Jefferson Parish Housing Authority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Windsor at Manhattan</t>
        </is>
      </c>
      <c r="D15" s="254" t="inlineStr">
        <is>
          <t>1499 Central Park Blvd</t>
        </is>
      </c>
      <c r="E15" s="116" t="inlineStr">
        <is>
          <t>Harvey</t>
        </is>
      </c>
      <c r="F15" s="116" t="inlineStr">
        <is>
          <t>LA</t>
        </is>
      </c>
      <c r="G15" s="116" t="inlineStr">
        <is>
          <t>70058</t>
        </is>
      </c>
      <c r="H15" s="116" t="inlineStr">
        <is>
          <t>0.4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2100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$1,818</t>
        </is>
      </c>
      <c r="P15" s="116" t="inlineStr">
        <is>
          <t>Not Listed</t>
        </is>
      </c>
      <c r="Q15" s="255" t="inlineStr">
        <is>
          <t>N/A</t>
        </is>
      </c>
      <c r="R15" s="116" t="inlineStr">
        <is>
          <t>1968</t>
        </is>
      </c>
      <c r="S15" s="116" t="inlineStr">
        <is>
          <t>0</t>
        </is>
      </c>
      <c r="T15" s="116" t="inlineStr">
        <is>
          <t>Varies</t>
        </is>
      </c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1968 vintage (0 yr diff), N/A units, N/A from subject. Shows market-rate rents vs. affordable housing discount.</t>
        </is>
      </c>
      <c r="AA15" s="257" t="inlineStr">
        <is>
          <t>HUD FY2026 FMR - Jefferson Parish, LA (limited market rate listings for 1958-1978 vintage)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2713 Cerritas Via</t>
        </is>
      </c>
      <c r="D16" s="254" t="inlineStr">
        <is>
          <t>2713 Cerritas Via</t>
        </is>
      </c>
      <c r="E16" s="116" t="inlineStr">
        <is>
          <t>Harvey</t>
        </is>
      </c>
      <c r="F16" s="116" t="inlineStr">
        <is>
          <t>LA</t>
        </is>
      </c>
      <c r="G16" s="116" t="inlineStr">
        <is>
          <t>70058</t>
        </is>
      </c>
      <c r="H16" s="116" t="inlineStr">
        <is>
          <t>1.0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2000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$1,818</t>
        </is>
      </c>
      <c r="P16" s="116" t="inlineStr">
        <is>
          <t>Not Listed</t>
        </is>
      </c>
      <c r="Q16" s="255" t="inlineStr">
        <is>
          <t>N/A</t>
        </is>
      </c>
      <c r="R16" s="116" t="inlineStr">
        <is>
          <t>1965</t>
        </is>
      </c>
      <c r="S16" s="116" t="inlineStr">
        <is>
          <t>3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1965 vintage (3 yr diff), N/A units, 3.0 mi from subject. Shows market-rate rents vs. affordable housing discount.</t>
        </is>
      </c>
      <c r="AA16" s="257" t="inlineStr">
        <is>
          <t>HUD FY2026 FMR - Jefferson Parish, LA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1148 Lochlomand Dr</t>
        </is>
      </c>
      <c r="D17" s="254" t="inlineStr">
        <is>
          <t>1148 Lochlomand Dr</t>
        </is>
      </c>
      <c r="E17" s="116" t="inlineStr">
        <is>
          <t>Harvey</t>
        </is>
      </c>
      <c r="F17" s="116" t="inlineStr">
        <is>
          <t>LA</t>
        </is>
      </c>
      <c r="G17" s="116" t="inlineStr">
        <is>
          <t>70058</t>
        </is>
      </c>
      <c r="H17" s="116" t="inlineStr">
        <is>
          <t>1.2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1800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$1,818</t>
        </is>
      </c>
      <c r="P17" s="116" t="inlineStr">
        <is>
          <t>Not Listed</t>
        </is>
      </c>
      <c r="Q17" s="255" t="inlineStr">
        <is>
          <t>N/A</t>
        </is>
      </c>
      <c r="R17" s="116" t="inlineStr">
        <is>
          <t>1970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53" t="inlineStr">
        <is>
          <t>Market Rate Comp #3: No income restrictions, 1970 vintage (2 yr diff), N/A units, 5.0 mi from subject. Shows market-rate rents vs. affordable housing discount.</t>
        </is>
      </c>
      <c r="AA17" s="257" t="inlineStr">
        <is>
          <t>HUD FY2026 FMR - Jefferson Parish, LA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1549 Spanish Oaks Dr</t>
        </is>
      </c>
      <c r="D18" s="254" t="inlineStr">
        <is>
          <t>1549 Spanish Oaks Dr</t>
        </is>
      </c>
      <c r="E18" s="116" t="inlineStr">
        <is>
          <t>Harvey</t>
        </is>
      </c>
      <c r="F18" s="116" t="inlineStr">
        <is>
          <t>LA</t>
        </is>
      </c>
      <c r="G18" s="116" t="inlineStr">
        <is>
          <t>70058</t>
        </is>
      </c>
      <c r="H18" s="116" t="inlineStr">
        <is>
          <t>0.8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$1,573</t>
        </is>
      </c>
      <c r="L18" s="116" t="inlineStr">
        <is>
          <t>$1,550</t>
        </is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1900</v>
      </c>
      <c r="Q18" s="255" t="inlineStr">
        <is>
          <t>N/A</t>
        </is>
      </c>
      <c r="R18" s="116" t="inlineStr">
        <is>
          <t>1966</t>
        </is>
      </c>
      <c r="S18" s="116" t="inlineStr">
        <is>
          <t>2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53" t="inlineStr">
        <is>
          <t>Market Rate Comp #4: No income restrictions, 1966 vintage (2 yr diff), N/A units, 7.0 mi from subject. Shows market-rate rents vs. affordable housing discount.</t>
        </is>
      </c>
      <c r="AA18" s="257" t="inlineStr">
        <is>
          <t>HUD FY2026 FMR - Jefferson Parish, LA</t>
        </is>
      </c>
      <c r="AB18" s="258" t="n"/>
    </row>
    <row r="19" ht="21.75" customFormat="1" customHeight="1" s="3">
      <c r="B19" s="252" t="inlineStr">
        <is>
          <t>MARKET RATE</t>
        </is>
      </c>
      <c r="C19" s="253" t="inlineStr">
        <is>
          <t>1522 Maplewood Dr</t>
        </is>
      </c>
      <c r="D19" s="254" t="inlineStr">
        <is>
          <t>1522 Maplewood Dr</t>
        </is>
      </c>
      <c r="E19" s="116" t="inlineStr">
        <is>
          <t>Harvey</t>
        </is>
      </c>
      <c r="F19" s="116" t="inlineStr">
        <is>
          <t>LA</t>
        </is>
      </c>
      <c r="G19" s="116" t="inlineStr">
        <is>
          <t>70058</t>
        </is>
      </c>
      <c r="H19" s="116" t="inlineStr">
        <is>
          <t>0.6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1700</v>
      </c>
      <c r="M19" s="255" t="inlineStr">
        <is>
          <t>$1,818</t>
        </is>
      </c>
      <c r="N19" s="116" t="inlineStr">
        <is>
          <t>$1,818</t>
        </is>
      </c>
      <c r="O19" s="116" t="inlineStr">
        <is>
          <t>$1,818</t>
        </is>
      </c>
      <c r="P19" s="116" t="inlineStr">
        <is>
          <t>N/A</t>
        </is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MARKET RATE</t>
        </is>
      </c>
      <c r="C20" s="253" t="inlineStr">
        <is>
          <t>1720 Huey P Long Ave</t>
        </is>
      </c>
      <c r="D20" s="254" t="inlineStr">
        <is>
          <t>1720 Huey P Long Ave</t>
        </is>
      </c>
      <c r="E20" s="116" t="inlineStr">
        <is>
          <t>Harvey</t>
        </is>
      </c>
      <c r="F20" s="116" t="inlineStr">
        <is>
          <t>LA</t>
        </is>
      </c>
      <c r="G20" s="116" t="inlineStr">
        <is>
          <t>70058</t>
        </is>
      </c>
      <c r="H20" s="116" t="inlineStr">
        <is>
          <t>1.5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84" t="n">
        <v>1650</v>
      </c>
      <c r="M20" s="255" t="inlineStr">
        <is>
          <t>$1,999</t>
        </is>
      </c>
      <c r="N20" s="116" t="inlineStr">
        <is>
          <t>$1,999</t>
        </is>
      </c>
      <c r="O20" s="116" t="inlineStr">
        <is>
          <t>$1,999</t>
        </is>
      </c>
      <c r="P20" s="116" t="inlineStr">
        <is>
          <t>N/A</t>
        </is>
      </c>
      <c r="Q20" s="25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3BD</t>
        </is>
      </c>
      <c r="C27" s="375" t="n">
        <v>1401</v>
      </c>
      <c r="D27" s="376" t="n">
        <v>1800</v>
      </c>
      <c r="E27" s="377" t="n">
        <v>-399</v>
      </c>
    </row>
    <row r="28" ht="20.25" customFormat="1" customHeight="1" s="3">
      <c r="B28" s="272" t="inlineStr">
        <is>
          <t>4BD</t>
        </is>
      </c>
      <c r="C28" s="375" t="n">
        <v>1563</v>
      </c>
      <c r="D28" s="376" t="n">
        <v>1900</v>
      </c>
      <c r="E28" s="377" t="n">
        <v>-337</v>
      </c>
    </row>
    <row r="29" ht="20.25" customFormat="1" customHeight="1" s="3">
      <c r="B29" s="272" t="inlineStr">
        <is>
          <t>3BD</t>
        </is>
      </c>
      <c r="C29" s="375" t="n">
        <v>1401</v>
      </c>
      <c r="D29" s="376" t="n">
        <v>1500</v>
      </c>
      <c r="E29" s="377" t="n">
        <v>-99</v>
      </c>
    </row>
    <row r="30" ht="20.25" customFormat="1" customHeight="1" s="3">
      <c r="B30" s="272" t="inlineStr">
        <is>
          <t>4BD</t>
        </is>
      </c>
      <c r="C30" s="375" t="n">
        <v>1563</v>
      </c>
      <c r="D30" s="376" t="n">
        <v>1550</v>
      </c>
      <c r="E30" s="381" t="n">
        <v>13</v>
      </c>
    </row>
    <row r="31" ht="20.25" customFormat="1" customHeight="1" s="3">
      <c r="B31" s="272" t="inlineStr">
        <is>
          <t>3BD</t>
        </is>
      </c>
      <c r="C31" s="375" t="n">
        <v>1401</v>
      </c>
      <c r="D31" s="376" t="n">
        <v>1112</v>
      </c>
      <c r="E31" s="381" t="n">
        <v>289</v>
      </c>
    </row>
    <row r="32" ht="20.25" customFormat="1" customHeight="1" s="3">
      <c r="B32" s="272" t="inlineStr">
        <is>
          <t>4BD</t>
        </is>
      </c>
      <c r="C32" s="292">
        <f>'Current Rents'!E26</f>
        <v/>
      </c>
      <c r="D32" s="376" t="n">
        <v>1189</v>
      </c>
      <c r="E32" s="381" t="n">
        <v>374</v>
      </c>
    </row>
    <row r="33" ht="20.25" customFormat="1" customHeight="1" s="3">
      <c r="B33" s="272" t="inlineStr">
        <is>
          <t>2BD</t>
        </is>
      </c>
      <c r="C33" s="375" t="n">
        <v>0</v>
      </c>
      <c r="D33" s="376" t="n">
        <v>1451</v>
      </c>
      <c r="E33" s="377" t="n">
        <v>-1451</v>
      </c>
    </row>
    <row r="34" ht="20.25" customFormat="1" customHeight="1" s="3">
      <c r="B34" s="272" t="inlineStr">
        <is>
          <t>3BD</t>
        </is>
      </c>
      <c r="C34" s="375" t="n">
        <v>1401</v>
      </c>
      <c r="D34" s="376" t="n">
        <v>1614</v>
      </c>
      <c r="E34" s="377" t="n">
        <v>-213</v>
      </c>
    </row>
    <row r="35" ht="20.25" customFormat="1" customHeight="1" s="3">
      <c r="B35" s="272" t="inlineStr">
        <is>
          <t>4BD</t>
        </is>
      </c>
      <c r="C35" s="375" t="n">
        <v>1563</v>
      </c>
      <c r="D35" s="376" t="n">
        <v>1727</v>
      </c>
      <c r="E35" s="377" t="n">
        <v>-164</v>
      </c>
    </row>
    <row r="38" ht="18" customFormat="1" customHeight="1" s="3">
      <c r="B38" s="270" t="inlineStr">
        <is>
          <t>PMTS — Vouchers / FMR / UAP / NET</t>
        </is>
      </c>
      <c r="C38" s="294" t="n"/>
      <c r="D38" s="294" t="n"/>
      <c r="E38" s="294" t="n"/>
      <c r="F38" s="294" t="n"/>
      <c r="G38" s="294" t="n"/>
      <c r="H38" s="295" t="n"/>
    </row>
    <row r="39" ht="15.75" customFormat="1" customHeight="1" s="3">
      <c r="C39" s="378">
        <f>'Current Rents'!F26</f>
        <v/>
      </c>
      <c r="D39" s="271" t="inlineStr">
        <is>
          <t>VCH</t>
        </is>
      </c>
      <c r="E39" s="271" t="inlineStr">
        <is>
          <t>FMR</t>
        </is>
      </c>
      <c r="F39" s="271" t="inlineStr">
        <is>
          <t>UAP</t>
        </is>
      </c>
      <c r="G39" s="271" t="inlineStr">
        <is>
          <t>NET</t>
        </is>
      </c>
    </row>
    <row r="40" ht="20.25" customFormat="1" customHeight="1" s="3">
      <c r="B40" s="272" t="inlineStr">
        <is>
          <t>3BD</t>
        </is>
      </c>
      <c r="C40" s="292">
        <f>'Current Rents'!G26</f>
        <v/>
      </c>
      <c r="D40" s="382" t="n">
        <v>1500</v>
      </c>
      <c r="E40" s="379" t="n">
        <v>1900</v>
      </c>
      <c r="F40" s="380" t="n">
        <v>289</v>
      </c>
      <c r="G40" s="292" t="n">
        <v>1611</v>
      </c>
    </row>
    <row r="41" ht="20.25" customFormat="1" customHeight="1" s="3">
      <c r="B41" s="272" t="inlineStr">
        <is>
          <t>4BD</t>
        </is>
      </c>
      <c r="C41" s="292" t="n">
        <v>1563</v>
      </c>
      <c r="D41" s="382" t="n">
        <v>1550</v>
      </c>
      <c r="E41" s="379" t="n">
        <v>2240</v>
      </c>
      <c r="F41" s="380" t="n">
        <v>374</v>
      </c>
      <c r="G41" s="292" t="n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37 - Arbor Crest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Arbor Crest (SUBJECT)</t>
        </is>
      </c>
      <c r="D10" s="285" t="inlineStr">
        <is>
          <t>64 N Cleveland Street</t>
        </is>
      </c>
      <c r="E10" s="239" t="inlineStr">
        <is>
          <t>Quincy</t>
        </is>
      </c>
      <c r="F10" s="239" t="inlineStr">
        <is>
          <t>FL</t>
        </is>
      </c>
      <c r="G10" s="239" t="inlineStr">
        <is>
          <t>32351</t>
        </is>
      </c>
      <c r="H10" s="239" t="inlineStr">
        <is>
          <t>0.0 mi</t>
        </is>
      </c>
      <c r="I10" s="239" t="inlineStr">
        <is>
          <t>$2,887</t>
        </is>
      </c>
      <c r="J10" s="239" t="inlineStr">
        <is>
          <t>$3,465</t>
        </is>
      </c>
      <c r="K10" s="239" t="inlineStr">
        <is>
          <t>$800</t>
        </is>
      </c>
      <c r="L10" s="239">
        <f>B29</f>
        <v/>
      </c>
      <c r="M10" s="255" t="inlineStr">
        <is>
          <t>$3,462</t>
        </is>
      </c>
      <c r="N10" s="239" t="inlineStr">
        <is>
          <t>$4,155</t>
        </is>
      </c>
      <c r="O10" s="239" t="inlineStr">
        <is>
          <t>$1,095</t>
        </is>
      </c>
      <c r="P10" s="239">
        <f>B30</f>
        <v/>
      </c>
      <c r="Q10" s="255" t="inlineStr">
        <is>
          <t>$3,845</t>
        </is>
      </c>
      <c r="R10" s="239" t="inlineStr">
        <is>
          <t>$4,615</t>
        </is>
      </c>
      <c r="S10" s="239" t="inlineStr">
        <is>
          <t>$1,372</t>
        </is>
      </c>
      <c r="T10" s="239">
        <f>B31</f>
        <v/>
      </c>
      <c r="U10" s="255" t="inlineStr">
        <is>
          <t>120</t>
        </is>
      </c>
      <c r="V10" s="239" t="inlineStr">
        <is>
          <t>1995</t>
        </is>
      </c>
      <c r="W10" s="239" t="inlineStr">
        <is>
          <t>0</t>
        </is>
      </c>
      <c r="X10" s="239" t="inlineStr">
        <is>
          <t>No</t>
        </is>
      </c>
      <c r="Y10" s="242" t="inlineStr">
        <is>
          <t>No</t>
        </is>
      </c>
      <c r="Z10" s="242" t="inlineStr">
        <is>
          <t>No</t>
        </is>
      </c>
      <c r="AA10" s="241" t="inlineStr">
        <is>
          <t>Yes</t>
        </is>
      </c>
      <c r="AB10" s="242" t="inlineStr">
        <is>
          <t>No</t>
        </is>
      </c>
      <c r="AC10" s="239" t="inlineStr">
        <is>
          <t>SUBJECT</t>
        </is>
      </c>
      <c r="AD10" s="253" t="inlineStr">
        <is>
          <t>120 units | LIHTC property. Year built: 1995.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252" t="inlineStr">
        <is>
          <t>AFFORDABLE</t>
        </is>
      </c>
      <c r="C11" s="253" t="inlineStr">
        <is>
          <t>Springwood - Tallahassee</t>
        </is>
      </c>
      <c r="D11" s="254" t="inlineStr">
        <is>
          <t>2660 Old Bainbridge Rd</t>
        </is>
      </c>
      <c r="E11" s="116" t="inlineStr">
        <is>
          <t>Tallahassee</t>
        </is>
      </c>
      <c r="F11" s="116" t="inlineStr">
        <is>
          <t>FL</t>
        </is>
      </c>
      <c r="G11" s="116" t="inlineStr">
        <is>
          <t>32303</t>
        </is>
      </c>
      <c r="H11" s="116" t="inlineStr">
        <is>
          <t>17.4 mi</t>
        </is>
      </c>
      <c r="I11" s="116" t="inlineStr">
        <is>
          <t>$2,887</t>
        </is>
      </c>
      <c r="J11" s="116" t="inlineStr">
        <is>
          <t>$3,465</t>
        </is>
      </c>
      <c r="K11" s="116" t="inlineStr">
        <is>
          <t>$800</t>
        </is>
      </c>
      <c r="L11" s="116" t="inlineStr">
        <is>
          <t>Not Listed</t>
        </is>
      </c>
      <c r="M11" s="255" t="inlineStr">
        <is>
          <t>$3,462</t>
        </is>
      </c>
      <c r="N11" s="116" t="inlineStr">
        <is>
          <t>$4,155</t>
        </is>
      </c>
      <c r="O11" s="116" t="inlineStr">
        <is>
          <t>$1,095</t>
        </is>
      </c>
      <c r="P11" s="116" t="inlineStr">
        <is>
          <t>Not Listed</t>
        </is>
      </c>
      <c r="Q11" s="255" t="inlineStr">
        <is>
          <t>$3,845</t>
        </is>
      </c>
      <c r="R11" s="116" t="inlineStr">
        <is>
          <t>$4,615</t>
        </is>
      </c>
      <c r="S11" s="116" t="inlineStr">
        <is>
          <t>$1,372</t>
        </is>
      </c>
      <c r="T11" s="116" t="inlineStr">
        <is>
          <t>$1,325</t>
        </is>
      </c>
      <c r="U11" s="255" t="inlineStr">
        <is>
          <t>113</t>
        </is>
      </c>
      <c r="V11" s="116" t="inlineStr">
        <is>
          <t>1995</t>
        </is>
      </c>
      <c r="W11" s="116" t="inlineStr">
        <is>
          <t>0</t>
        </is>
      </c>
      <c r="X11" s="116" t="inlineStr">
        <is>
          <t>Yes</t>
        </is>
      </c>
      <c r="Y11" s="256" t="inlineStr">
        <is>
          <t>No</t>
        </is>
      </c>
      <c r="Z11" s="256" t="inlineStr">
        <is>
          <t>No</t>
        </is>
      </c>
      <c r="AA11" s="256" t="inlineStr">
        <is>
          <t>No</t>
        </is>
      </c>
      <c r="AB11" s="256" t="inlineStr">
        <is>
          <t>No</t>
        </is>
      </c>
      <c r="AC11" s="116" t="inlineStr">
        <is>
          <t>MODERATE-HIGH</t>
        </is>
      </c>
      <c r="AD11" s="253" t="inlineStr">
        <is>
          <t>Affordable Comp #1: LIHTC property, 1995 vintage (0 yr diff), 113 units, 17.4 mi from subject. Same income-eligible renter pool.</t>
        </is>
      </c>
      <c r="AE11" s="257" t="inlineStr">
        <is>
          <t>HUD LIHTC Database (huduser.gov)</t>
        </is>
      </c>
      <c r="AF11" s="258" t="n"/>
    </row>
    <row r="12" ht="21.75" customFormat="1" customHeight="1" s="3">
      <c r="B12" s="252" t="inlineStr">
        <is>
          <t>AFFORDABLE</t>
        </is>
      </c>
      <c r="C12" s="253" t="inlineStr">
        <is>
          <t>Savannah Sound</t>
        </is>
      </c>
      <c r="D12" s="254" t="inlineStr">
        <is>
          <t>1950 N Point Blvd</t>
        </is>
      </c>
      <c r="E12" s="116" t="inlineStr">
        <is>
          <t>Tallahassee</t>
        </is>
      </c>
      <c r="F12" s="116" t="inlineStr">
        <is>
          <t>FL</t>
        </is>
      </c>
      <c r="G12" s="116" t="inlineStr">
        <is>
          <t>32308</t>
        </is>
      </c>
      <c r="H12" s="116" t="inlineStr">
        <is>
          <t>21.5 mi</t>
        </is>
      </c>
      <c r="I12" s="116" t="inlineStr">
        <is>
          <t>$2,887</t>
        </is>
      </c>
      <c r="J12" s="116" t="inlineStr">
        <is>
          <t>$3,465</t>
        </is>
      </c>
      <c r="K12" s="116" t="inlineStr">
        <is>
          <t>$800</t>
        </is>
      </c>
      <c r="L12" s="116" t="inlineStr">
        <is>
          <t>Not Listed</t>
        </is>
      </c>
      <c r="M12" s="255" t="inlineStr">
        <is>
          <t>$3,462</t>
        </is>
      </c>
      <c r="N12" s="116" t="inlineStr">
        <is>
          <t>$4,155</t>
        </is>
      </c>
      <c r="O12" s="116" t="inlineStr">
        <is>
          <t>$1,095</t>
        </is>
      </c>
      <c r="P12" s="116" t="inlineStr">
        <is>
          <t>Not Listed</t>
        </is>
      </c>
      <c r="Q12" s="255" t="inlineStr">
        <is>
          <t>$3,845</t>
        </is>
      </c>
      <c r="R12" s="116" t="inlineStr">
        <is>
          <t>$4,615</t>
        </is>
      </c>
      <c r="S12" s="116" t="inlineStr">
        <is>
          <t>$1,372</t>
        </is>
      </c>
      <c r="T12" s="116" t="inlineStr">
        <is>
          <t>Not Listed</t>
        </is>
      </c>
      <c r="U12" s="255" t="inlineStr">
        <is>
          <t>160</t>
        </is>
      </c>
      <c r="V12" s="116" t="inlineStr">
        <is>
          <t>1995</t>
        </is>
      </c>
      <c r="W12" s="116" t="inlineStr">
        <is>
          <t>0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MODERATE-HIGH</t>
        </is>
      </c>
      <c r="AD12" s="253" t="inlineStr">
        <is>
          <t>Affordable Comp #2: LIHTC property, 1995 vintage (0 yr diff), 160 units, 21.5 mi from subject. Same income-eligible renter pool.</t>
        </is>
      </c>
      <c r="AE12" s="257" t="inlineStr">
        <is>
          <t>HUD LIHTC Database (huduser.gov)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Oak Pointe</t>
        </is>
      </c>
      <c r="D13" s="254" t="inlineStr">
        <is>
          <t>1747 Capital Cir Ne</t>
        </is>
      </c>
      <c r="E13" s="116" t="inlineStr">
        <is>
          <t>Tallahassee</t>
        </is>
      </c>
      <c r="F13" s="116" t="inlineStr">
        <is>
          <t>FL</t>
        </is>
      </c>
      <c r="G13" s="116" t="inlineStr">
        <is>
          <t>32308</t>
        </is>
      </c>
      <c r="H13" s="116" t="inlineStr">
        <is>
          <t>22.8 mi</t>
        </is>
      </c>
      <c r="I13" s="116" t="inlineStr">
        <is>
          <t>$2,887</t>
        </is>
      </c>
      <c r="J13" s="116" t="inlineStr">
        <is>
          <t>$3,465</t>
        </is>
      </c>
      <c r="K13" s="116" t="inlineStr">
        <is>
          <t>$800</t>
        </is>
      </c>
      <c r="L13" s="116" t="inlineStr">
        <is>
          <t>Not Listed</t>
        </is>
      </c>
      <c r="M13" s="255" t="inlineStr">
        <is>
          <t>$3,462</t>
        </is>
      </c>
      <c r="N13" s="116" t="inlineStr">
        <is>
          <t>$4,155</t>
        </is>
      </c>
      <c r="O13" s="116" t="inlineStr">
        <is>
          <t>$1,095</t>
        </is>
      </c>
      <c r="P13" s="116" t="inlineStr">
        <is>
          <t>Not Listed</t>
        </is>
      </c>
      <c r="Q13" s="255" t="inlineStr">
        <is>
          <t>$3,845</t>
        </is>
      </c>
      <c r="R13" s="116" t="inlineStr">
        <is>
          <t>$4,615</t>
        </is>
      </c>
      <c r="S13" s="116" t="inlineStr">
        <is>
          <t>$1,372</t>
        </is>
      </c>
      <c r="T13" s="116" t="inlineStr">
        <is>
          <t>Not Listed</t>
        </is>
      </c>
      <c r="U13" s="255" t="inlineStr">
        <is>
          <t>184</t>
        </is>
      </c>
      <c r="V13" s="116" t="inlineStr">
        <is>
          <t>1993</t>
        </is>
      </c>
      <c r="W13" s="116" t="inlineStr">
        <is>
          <t>2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MODERATE-HIGH</t>
        </is>
      </c>
      <c r="AD13" s="253" t="inlineStr">
        <is>
          <t>Affordable Comp #4: LIHTC property, 1993 vintage (2 yr diff), 184 units, 22.8 mi from subject. Same income-eligible renter pool.</t>
        </is>
      </c>
      <c r="AE13" s="257" t="inlineStr">
        <is>
          <t>HUD LIHTC Database (huduser.gov)</t>
        </is>
      </c>
      <c r="AF13" s="258" t="n"/>
    </row>
    <row r="14" ht="21.75" customFormat="1" customHeight="1" s="3">
      <c r="B14" s="252" t="inlineStr">
        <is>
          <t>MARKET RATE</t>
        </is>
      </c>
      <c r="C14" s="253" t="inlineStr">
        <is>
          <t>Arbours at Quincy</t>
        </is>
      </c>
      <c r="D14" s="254" t="inlineStr">
        <is>
          <t>1880 Pat Thomas Pky</t>
        </is>
      </c>
      <c r="E14" s="116" t="inlineStr">
        <is>
          <t>Quincy</t>
        </is>
      </c>
      <c r="F14" s="116" t="inlineStr">
        <is>
          <t>FL</t>
        </is>
      </c>
      <c r="G14" s="116" t="inlineStr">
        <is>
          <t>32351</t>
        </is>
      </c>
      <c r="H14" s="116" t="inlineStr">
        <is>
          <t>1.5 mi</t>
        </is>
      </c>
      <c r="I14" s="116" t="inlineStr">
        <is>
          <t>N/A (Market Rate)</t>
        </is>
      </c>
      <c r="J14" s="116" t="inlineStr">
        <is>
          <t>N/A (Market Rate)</t>
        </is>
      </c>
      <c r="K14" s="116" t="inlineStr">
        <is>
          <t>N/A (Market Rate)</t>
        </is>
      </c>
      <c r="L14" s="384" t="n">
        <v>880</v>
      </c>
      <c r="M14" s="255" t="inlineStr">
        <is>
          <t>N/A (Market Rate)</t>
        </is>
      </c>
      <c r="N14" s="116" t="inlineStr">
        <is>
          <t>N/A (Market Rate)</t>
        </is>
      </c>
      <c r="O14" s="116" t="inlineStr">
        <is>
          <t>$1,095</t>
        </is>
      </c>
      <c r="P14" s="116" t="inlineStr">
        <is>
          <t>$1,295</t>
        </is>
      </c>
      <c r="Q14" s="255" t="inlineStr">
        <is>
          <t>N/A (Market Rate)</t>
        </is>
      </c>
      <c r="R14" s="116" t="inlineStr">
        <is>
          <t>N/A (Market Rate)</t>
        </is>
      </c>
      <c r="S14" s="116" t="inlineStr">
        <is>
          <t>$1,372</t>
        </is>
      </c>
      <c r="T14" s="116" t="inlineStr">
        <is>
          <t>$1,625</t>
        </is>
      </c>
      <c r="U14" s="255" t="inlineStr">
        <is>
          <t>N/A</t>
        </is>
      </c>
      <c r="V14" s="116" t="inlineStr">
        <is>
          <t>1995</t>
        </is>
      </c>
      <c r="W14" s="116" t="inlineStr">
        <is>
          <t>0</t>
        </is>
      </c>
      <c r="X14" s="116" t="inlineStr">
        <is>
          <t>Varies</t>
        </is>
      </c>
      <c r="Y14" s="116" t="inlineStr">
        <is>
          <t>Varies</t>
        </is>
      </c>
      <c r="Z14" s="116" t="inlineStr">
        <is>
          <t>Varies</t>
        </is>
      </c>
      <c r="AA14" s="116" t="inlineStr">
        <is>
          <t>Varies</t>
        </is>
      </c>
      <c r="AB14" s="116" t="inlineStr">
        <is>
          <t>Varies</t>
        </is>
      </c>
      <c r="AC14" s="116" t="inlineStr">
        <is>
          <t>HIGH</t>
        </is>
      </c>
      <c r="AD14" s="253" t="inlineStr">
        <is>
          <t>Market Rate Comp #1: No income restrictions, 1995 vintage (0 yr diff), N/A units, N/A from subject. Shows market-rate rents vs. affordable housing discount.</t>
        </is>
      </c>
      <c r="AE14" s="257" t="inlineStr">
        <is>
          <t>HUD FY2026 FMR - Gadsden County, FL (limited market rate listings in Quincy)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Ochlockonee Pointe Apartments</t>
        </is>
      </c>
      <c r="D15" s="254" t="inlineStr">
        <is>
          <t>33870 Blue Star Hwy</t>
        </is>
      </c>
      <c r="E15" s="116" t="inlineStr">
        <is>
          <t>Midway</t>
        </is>
      </c>
      <c r="F15" s="116" t="inlineStr">
        <is>
          <t>FL</t>
        </is>
      </c>
      <c r="G15" s="116" t="inlineStr">
        <is>
          <t>32343</t>
        </is>
      </c>
      <c r="H15" s="116" t="inlineStr">
        <is>
          <t>5.0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850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N/A (Market Rate)</t>
        </is>
      </c>
      <c r="P15" s="384" t="n">
        <v>970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N/A (Market Rate)</t>
        </is>
      </c>
      <c r="T15" s="384" t="n">
        <v>1150</v>
      </c>
      <c r="U15" s="255" t="inlineStr">
        <is>
          <t>N/A</t>
        </is>
      </c>
      <c r="V15" s="116" t="inlineStr">
        <is>
          <t>1998</t>
        </is>
      </c>
      <c r="W15" s="116" t="inlineStr">
        <is>
          <t>3</t>
        </is>
      </c>
      <c r="X15" s="116" t="inlineStr">
        <is>
          <t>No</t>
        </is>
      </c>
      <c r="Y15" s="259" t="inlineStr">
        <is>
          <t>Yes</t>
        </is>
      </c>
      <c r="Z15" s="259" t="inlineStr">
        <is>
          <t>Yes</t>
        </is>
      </c>
      <c r="AA15" s="259" t="inlineStr">
        <is>
          <t>Yes</t>
        </is>
      </c>
      <c r="AB15" s="259" t="inlineStr">
        <is>
          <t>Yes</t>
        </is>
      </c>
      <c r="AC15" s="116" t="inlineStr">
        <is>
          <t>HIGH</t>
        </is>
      </c>
      <c r="AD15" s="253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5" s="257" t="inlineStr">
        <is>
          <t>https://www.apartments.com/ochlockonee-pointe-apartments-midway-fl/</t>
        </is>
      </c>
      <c r="AF15" s="258" t="n"/>
    </row>
    <row r="16" ht="21.75" customFormat="1" customHeight="1" s="3">
      <c r="B16" s="252" t="inlineStr">
        <is>
          <t>MARKET RATE</t>
        </is>
      </c>
      <c r="C16" s="253" t="inlineStr">
        <is>
          <t>723 W Washington St</t>
        </is>
      </c>
      <c r="D16" s="254" t="inlineStr">
        <is>
          <t>723 W Washington St</t>
        </is>
      </c>
      <c r="E16" s="116" t="inlineStr">
        <is>
          <t>Quincy</t>
        </is>
      </c>
      <c r="F16" s="116" t="inlineStr">
        <is>
          <t>FL</t>
        </is>
      </c>
      <c r="G16" s="116" t="inlineStr">
        <is>
          <t>32351</t>
        </is>
      </c>
      <c r="H16" s="116" t="inlineStr">
        <is>
          <t>0.8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$800</t>
        </is>
      </c>
      <c r="L16" s="116" t="inlineStr">
        <is>
          <t>$559</t>
        </is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1095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$1,372</t>
        </is>
      </c>
      <c r="T16" s="116" t="inlineStr">
        <is>
          <t>Not Listed</t>
        </is>
      </c>
      <c r="U16" s="255" t="inlineStr">
        <is>
          <t>48</t>
        </is>
      </c>
      <c r="V16" s="116" t="inlineStr">
        <is>
          <t>1997</t>
        </is>
      </c>
      <c r="W16" s="116" t="inlineStr">
        <is>
          <t>2</t>
        </is>
      </c>
      <c r="X16" s="116" t="inlineStr">
        <is>
          <t>No</t>
        </is>
      </c>
      <c r="Y16" s="259" t="inlineStr">
        <is>
          <t>Yes</t>
        </is>
      </c>
      <c r="Z16" s="259" t="inlineStr">
        <is>
          <t>Yes</t>
        </is>
      </c>
      <c r="AA16" s="256" t="inlineStr">
        <is>
          <t>No</t>
        </is>
      </c>
      <c r="AB16" s="259" t="inlineStr">
        <is>
          <t>Yes</t>
        </is>
      </c>
      <c r="AC16" s="116" t="inlineStr">
        <is>
          <t>HIGH</t>
        </is>
      </c>
      <c r="AD16" s="253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6" s="257" t="inlineStr">
        <is>
          <t>https://www.apartments.com/omega-villas-quincy-fl/d7w38lk/</t>
        </is>
      </c>
      <c r="AF16" s="258" t="n"/>
    </row>
    <row r="17" ht="21.75" customFormat="1" customHeight="1" s="3">
      <c r="B17" s="252" t="inlineStr">
        <is>
          <t>MARKET RATE</t>
        </is>
      </c>
      <c r="C17" s="253" t="inlineStr">
        <is>
          <t>526 N Adams St</t>
        </is>
      </c>
      <c r="D17" s="254" t="inlineStr">
        <is>
          <t>526 N Adams St</t>
        </is>
      </c>
      <c r="E17" s="116" t="inlineStr">
        <is>
          <t>Quincy</t>
        </is>
      </c>
      <c r="F17" s="116" t="inlineStr">
        <is>
          <t>FL</t>
        </is>
      </c>
      <c r="G17" s="116" t="inlineStr">
        <is>
          <t>32351</t>
        </is>
      </c>
      <c r="H17" s="116" t="inlineStr">
        <is>
          <t>0.6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$800</t>
        </is>
      </c>
      <c r="L17" s="116" t="inlineStr">
        <is>
          <t>$475</t>
        </is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1175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$1,372</t>
        </is>
      </c>
      <c r="T17" s="116" t="inlineStr">
        <is>
          <t>Not Listed</t>
        </is>
      </c>
      <c r="U17" s="255" t="inlineStr">
        <is>
          <t>81</t>
        </is>
      </c>
      <c r="V17" s="116" t="inlineStr">
        <is>
          <t>1993</t>
        </is>
      </c>
      <c r="W17" s="116" t="inlineStr">
        <is>
          <t>2</t>
        </is>
      </c>
      <c r="X17" s="116" t="inlineStr">
        <is>
          <t>No</t>
        </is>
      </c>
      <c r="Y17" s="259" t="inlineStr">
        <is>
          <t>Yes</t>
        </is>
      </c>
      <c r="Z17" s="259" t="inlineStr">
        <is>
          <t>Yes</t>
        </is>
      </c>
      <c r="AA17" s="256" t="inlineStr">
        <is>
          <t>No</t>
        </is>
      </c>
      <c r="AB17" s="259" t="inlineStr">
        <is>
          <t>Yes</t>
        </is>
      </c>
      <c r="AC17" s="116" t="inlineStr">
        <is>
          <t>HIGH</t>
        </is>
      </c>
      <c r="AD17" s="25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7" s="257" t="inlineStr">
        <is>
          <t>https://www.apartments.com/triple-oaks-apartments-quincy-fl/3ey417e/</t>
        </is>
      </c>
      <c r="AF17" s="258" t="n"/>
    </row>
    <row r="18" ht="21.75" customFormat="1" customHeight="1" s="3">
      <c r="B18" s="252" t="inlineStr">
        <is>
          <t>MARKET RATE</t>
        </is>
      </c>
      <c r="C18" s="253" t="inlineStr">
        <is>
          <t>116 Milton St</t>
        </is>
      </c>
      <c r="D18" s="254" t="inlineStr">
        <is>
          <t>116 Milton St</t>
        </is>
      </c>
      <c r="E18" s="116" t="inlineStr">
        <is>
          <t>Quincy</t>
        </is>
      </c>
      <c r="F18" s="116" t="inlineStr">
        <is>
          <t>FL</t>
        </is>
      </c>
      <c r="G18" s="116" t="inlineStr">
        <is>
          <t>32351</t>
        </is>
      </c>
      <c r="H18" s="116" t="inlineStr">
        <is>
          <t>0.5 mi</t>
        </is>
      </c>
      <c r="I18" s="116" t="inlineStr">
        <is>
          <t>$800</t>
        </is>
      </c>
      <c r="J18" s="116" t="inlineStr">
        <is>
          <t>$800</t>
        </is>
      </c>
      <c r="K18" s="116" t="inlineStr">
        <is>
          <t>$800</t>
        </is>
      </c>
      <c r="L18" s="116" t="inlineStr">
        <is>
          <t>N/A</t>
        </is>
      </c>
      <c r="M18" s="255" t="inlineStr">
        <is>
          <t>$1,095</t>
        </is>
      </c>
      <c r="N18" s="116" t="inlineStr">
        <is>
          <t>$1,095</t>
        </is>
      </c>
      <c r="O18" s="116" t="inlineStr">
        <is>
          <t>$1,095</t>
        </is>
      </c>
      <c r="P18" s="116" t="inlineStr">
        <is>
          <t>N/A</t>
        </is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N/A (Market Rate)</t>
        </is>
      </c>
      <c r="T18" s="384" t="n">
        <v>1500</v>
      </c>
      <c r="U18" s="255" t="inlineStr">
        <is>
          <t>N/A</t>
        </is>
      </c>
      <c r="V18" s="116" t="inlineStr">
        <is>
          <t>N/A</t>
        </is>
      </c>
      <c r="W18" s="116" t="inlineStr">
        <is>
          <t>N/A</t>
        </is>
      </c>
      <c r="X18" s="116" t="inlineStr">
        <is>
          <t>N/A</t>
        </is>
      </c>
      <c r="Y18" s="116" t="inlineStr">
        <is>
          <t>N/A</t>
        </is>
      </c>
      <c r="Z18" s="116" t="inlineStr">
        <is>
          <t>N/A</t>
        </is>
      </c>
      <c r="AA18" s="116" t="inlineStr">
        <is>
          <t>N/A</t>
        </is>
      </c>
      <c r="AB18" s="116" t="inlineStr">
        <is>
          <t>N/A</t>
        </is>
      </c>
      <c r="AC18" s="116" t="inlineStr">
        <is>
          <t>BENCHMARK</t>
        </is>
      </c>
      <c r="AD18" s="253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257" t="inlineStr">
        <is>
          <t>HUD FMR Database (huduser.gov)</t>
        </is>
      </c>
      <c r="AF18" s="258" t="n"/>
    </row>
    <row r="19" ht="21.75" customFormat="1" customHeight="1" s="3">
      <c r="B19" s="252" t="inlineStr">
        <is>
          <t>MARKET RATE</t>
        </is>
      </c>
      <c r="C19" s="253" t="inlineStr">
        <is>
          <t>Arbour Crest Apartments</t>
        </is>
      </c>
      <c r="D19" s="254" t="inlineStr">
        <is>
          <t>64 N Cleveland St</t>
        </is>
      </c>
      <c r="E19" s="116" t="inlineStr">
        <is>
          <t>Quincy</t>
        </is>
      </c>
      <c r="F19" s="116" t="inlineStr">
        <is>
          <t>FL</t>
        </is>
      </c>
      <c r="G19" s="116" t="inlineStr">
        <is>
          <t>32351</t>
        </is>
      </c>
      <c r="H19" s="116" t="inlineStr">
        <is>
          <t>0.1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920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1098</v>
      </c>
      <c r="Q19" s="255" t="inlineStr">
        <is>
          <t>N/A (Market Rate)</t>
        </is>
      </c>
      <c r="R19" s="116" t="inlineStr">
        <is>
          <t>N/A (Market Rate)</t>
        </is>
      </c>
      <c r="S19" s="116" t="inlineStr">
        <is>
          <t>N/A (Market Rate)</t>
        </is>
      </c>
      <c r="T19" s="384" t="n">
        <v>1260</v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257" t="inlineStr">
        <is>
          <t>HUD FMR + Market Estimate</t>
        </is>
      </c>
      <c r="AF19" s="258" t="n"/>
    </row>
    <row r="21" ht="14.25" customFormat="1" customHeight="1" s="3">
      <c r="B21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1" s="294" t="n"/>
      <c r="D21" s="294" t="n"/>
      <c r="E21" s="294" t="n"/>
      <c r="F21" s="294" t="n"/>
      <c r="G21" s="294" t="n"/>
      <c r="H21" s="294" t="n"/>
      <c r="I21" s="294" t="n"/>
      <c r="J21" s="294" t="n"/>
      <c r="K21" s="294" t="n"/>
      <c r="L21" s="294" t="n"/>
      <c r="M21" s="294" t="n"/>
      <c r="N21" s="294" t="n"/>
      <c r="O21" s="294" t="n"/>
      <c r="P21" s="294" t="n"/>
      <c r="Q21" s="294" t="n"/>
      <c r="R21" s="294" t="n"/>
      <c r="S21" s="294" t="n"/>
      <c r="T21" s="294" t="n"/>
      <c r="U21" s="294" t="n"/>
      <c r="V21" s="294" t="n"/>
      <c r="W21" s="294" t="n"/>
      <c r="X21" s="294" t="n"/>
      <c r="Y21" s="294" t="n"/>
      <c r="Z21" s="294" t="n"/>
      <c r="AA21" s="294" t="n"/>
      <c r="AB21" s="294" t="n"/>
      <c r="AC21" s="294" t="n"/>
      <c r="AD21" s="294" t="n"/>
      <c r="AE21" s="294" t="n"/>
      <c r="AF21" s="295" t="n"/>
    </row>
    <row r="23" ht="18" customFormat="1" customHeight="1" s="3">
      <c r="B23" s="270" t="inlineStr">
        <is>
          <t>CURRENT RENT vs. MARKET AVERAGE</t>
        </is>
      </c>
      <c r="C23" s="294" t="n"/>
      <c r="D23" s="294" t="n"/>
      <c r="E23" s="294" t="n"/>
      <c r="F23" s="294" t="n"/>
      <c r="G23" s="294" t="n"/>
      <c r="H23" s="295" t="n"/>
    </row>
    <row r="24" ht="15.75" customFormat="1" customHeight="1" s="3">
      <c r="B24" s="235" t="inlineStr">
        <is>
          <t>Market Average = Avg of Actual Advertised Rents from 6 Market-Rate Comps (Apartments.com)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C25" s="271" t="inlineStr">
        <is>
          <t>Current Rent</t>
        </is>
      </c>
      <c r="D25" s="271" t="inlineStr">
        <is>
          <t>Market Avg</t>
        </is>
      </c>
      <c r="E25" s="271" t="inlineStr">
        <is>
          <t>Difference</t>
        </is>
      </c>
    </row>
    <row r="26" ht="20.25" customFormat="1" customHeight="1" s="3">
      <c r="B26" s="272" t="inlineStr">
        <is>
          <t>1BD</t>
        </is>
      </c>
      <c r="C26" s="375" t="n">
        <v>914</v>
      </c>
      <c r="D26" s="376" t="n">
        <v>737</v>
      </c>
      <c r="E26" s="381" t="n">
        <v>177</v>
      </c>
    </row>
    <row r="27" ht="20.25" customFormat="1" customHeight="1" s="3">
      <c r="B27" s="272" t="inlineStr">
        <is>
          <t>2BD</t>
        </is>
      </c>
      <c r="C27" s="375" t="n">
        <v>1058</v>
      </c>
      <c r="D27" s="376" t="n">
        <v>1127</v>
      </c>
      <c r="E27" s="377" t="n">
        <v>-69</v>
      </c>
    </row>
    <row r="28" ht="20.25" customFormat="1" customHeight="1" s="3">
      <c r="B28" s="272" t="inlineStr">
        <is>
          <t>3BD</t>
        </is>
      </c>
      <c r="C28" s="375" t="n">
        <v>1204</v>
      </c>
      <c r="D28" s="376" t="n">
        <v>1384</v>
      </c>
      <c r="E28" s="377" t="n">
        <v>-180</v>
      </c>
    </row>
    <row r="29" ht="20.25" customFormat="1" customHeight="1" s="3">
      <c r="B29" s="272" t="inlineStr">
        <is>
          <t>1BD</t>
        </is>
      </c>
      <c r="C29" s="375" t="n">
        <v>914</v>
      </c>
      <c r="D29" s="376" t="n">
        <v>920</v>
      </c>
      <c r="E29" s="377" t="n">
        <v>-6</v>
      </c>
    </row>
    <row r="30" ht="20.25" customFormat="1" customHeight="1" s="3">
      <c r="B30" s="272" t="inlineStr">
        <is>
          <t>2BD</t>
        </is>
      </c>
      <c r="C30" s="375" t="n">
        <v>1058</v>
      </c>
      <c r="D30" s="376" t="n">
        <v>1098</v>
      </c>
      <c r="E30" s="377" t="n">
        <v>-40</v>
      </c>
    </row>
    <row r="31" ht="20.25" customFormat="1" customHeight="1" s="3">
      <c r="B31" s="272" t="inlineStr">
        <is>
          <t>3BD</t>
        </is>
      </c>
      <c r="C31" s="375" t="n">
        <v>1204</v>
      </c>
      <c r="D31" s="376" t="n">
        <v>1260</v>
      </c>
      <c r="E31" s="377" t="n">
        <v>-56</v>
      </c>
    </row>
    <row r="32" ht="20.25" customFormat="1" customHeight="1" s="3">
      <c r="B32" s="272" t="inlineStr">
        <is>
          <t>1BD</t>
        </is>
      </c>
      <c r="C32" s="375" t="n">
        <v>914</v>
      </c>
      <c r="D32" s="376" t="n">
        <v>415</v>
      </c>
      <c r="E32" s="381" t="n">
        <v>499</v>
      </c>
    </row>
    <row r="33" ht="20.25" customFormat="1" customHeight="1" s="3">
      <c r="B33" s="272" t="inlineStr">
        <is>
          <t>2BD</t>
        </is>
      </c>
      <c r="C33" s="375" t="n">
        <v>1058</v>
      </c>
      <c r="D33" s="376" t="n">
        <v>492</v>
      </c>
      <c r="E33" s="381" t="n">
        <v>566</v>
      </c>
    </row>
    <row r="34" ht="20.25" customFormat="1" customHeight="1" s="3">
      <c r="B34" s="272" t="inlineStr">
        <is>
          <t>3BD</t>
        </is>
      </c>
      <c r="C34" s="375" t="n">
        <v>1204</v>
      </c>
      <c r="D34" s="376" t="n">
        <v>560</v>
      </c>
      <c r="E34" s="381" t="n">
        <v>644</v>
      </c>
    </row>
    <row r="35" ht="20.25" customFormat="1" customHeight="1" s="3">
      <c r="B35" s="272" t="inlineStr">
        <is>
          <t>1BD</t>
        </is>
      </c>
      <c r="C35" s="375" t="n">
        <v>914</v>
      </c>
      <c r="D35" s="376" t="n">
        <v>920</v>
      </c>
      <c r="E35" s="377" t="n">
        <v>-6</v>
      </c>
    </row>
    <row r="36" ht="20.25" customFormat="1" customHeight="1" s="3">
      <c r="B36" s="272" t="inlineStr">
        <is>
          <t>2BD</t>
        </is>
      </c>
      <c r="C36" s="375" t="n">
        <v>1058</v>
      </c>
      <c r="D36" s="376" t="n">
        <v>1098</v>
      </c>
      <c r="E36" s="377" t="n">
        <v>-40</v>
      </c>
    </row>
    <row r="37" ht="20.25" customFormat="1" customHeight="1" s="3">
      <c r="B37" s="272" t="inlineStr">
        <is>
          <t>3BD</t>
        </is>
      </c>
      <c r="C37" s="375" t="n">
        <v>1204</v>
      </c>
      <c r="D37" s="376" t="n">
        <v>1260</v>
      </c>
      <c r="E37" s="377" t="n">
        <v>-56</v>
      </c>
    </row>
    <row r="38" ht="20.25" customFormat="1" customHeight="1" s="3">
      <c r="B38" s="272" t="inlineStr">
        <is>
          <t>1BD</t>
        </is>
      </c>
      <c r="C38" s="375" t="n">
        <v>914</v>
      </c>
      <c r="D38" s="376" t="n">
        <v>1385</v>
      </c>
      <c r="E38" s="377" t="n">
        <v>-471</v>
      </c>
    </row>
    <row r="39" ht="20.25" customFormat="1" customHeight="1" s="3">
      <c r="B39" s="272" t="inlineStr">
        <is>
          <t>2BD</t>
        </is>
      </c>
      <c r="C39" s="375" t="n">
        <v>1058</v>
      </c>
      <c r="D39" s="376" t="n">
        <v>1459</v>
      </c>
      <c r="E39" s="377" t="n">
        <v>-401</v>
      </c>
    </row>
    <row r="40" ht="20.25" customFormat="1" customHeight="1" s="3">
      <c r="B40" s="272" t="inlineStr">
        <is>
          <t>3BD</t>
        </is>
      </c>
      <c r="C40" s="375" t="n">
        <v>1204</v>
      </c>
      <c r="D40" s="376" t="n">
        <v>1569</v>
      </c>
      <c r="E40" s="377" t="n">
        <v>-365</v>
      </c>
    </row>
    <row r="43" ht="18" customFormat="1" customHeight="1" s="3">
      <c r="B43" s="270" t="inlineStr">
        <is>
          <t>PMTS — Vouchers / FMR / UAP / NET</t>
        </is>
      </c>
      <c r="C43" s="294" t="n"/>
      <c r="D43" s="294" t="n"/>
      <c r="E43" s="294" t="n"/>
      <c r="F43" s="294" t="n"/>
      <c r="G43" s="294" t="n"/>
      <c r="H43" s="295" t="n"/>
    </row>
    <row r="44" ht="15.75" customFormat="1" customHeight="1" s="3">
      <c r="C44" s="378">
        <f>'Current Rents'!D27</f>
        <v/>
      </c>
      <c r="D44" s="271" t="inlineStr">
        <is>
          <t>VCH</t>
        </is>
      </c>
      <c r="E44" s="271" t="inlineStr">
        <is>
          <t>FMR</t>
        </is>
      </c>
      <c r="F44" s="271" t="inlineStr">
        <is>
          <t>UAP</t>
        </is>
      </c>
      <c r="G44" s="271" t="inlineStr">
        <is>
          <t>NET</t>
        </is>
      </c>
    </row>
    <row r="45" ht="20.25" customFormat="1" customHeight="1" s="3">
      <c r="B45" s="272" t="inlineStr">
        <is>
          <t>1BD</t>
        </is>
      </c>
      <c r="C45" s="292">
        <f>'Current Rents'!E27</f>
        <v/>
      </c>
      <c r="D45" s="382" t="n">
        <v>920</v>
      </c>
      <c r="E45" s="379" t="n">
        <v>1070</v>
      </c>
      <c r="F45" s="380" t="n">
        <v>73</v>
      </c>
      <c r="G45" s="292" t="n">
        <v>997</v>
      </c>
    </row>
    <row r="46" ht="20.25" customFormat="1" customHeight="1" s="3">
      <c r="B46" s="272" t="inlineStr">
        <is>
          <t>2BD</t>
        </is>
      </c>
      <c r="C46" s="292">
        <f>'Current Rents'!F27</f>
        <v/>
      </c>
      <c r="D46" s="382" t="n">
        <v>1098</v>
      </c>
      <c r="E46" s="379" t="n">
        <v>1210</v>
      </c>
      <c r="F46" s="380" t="n">
        <v>93</v>
      </c>
      <c r="G46" s="292" t="n">
        <v>1117</v>
      </c>
    </row>
    <row r="47" ht="20.25" customFormat="1" customHeight="1" s="3">
      <c r="B47" s="272" t="inlineStr">
        <is>
          <t>3BD</t>
        </is>
      </c>
      <c r="C47" s="292" t="n">
        <v>1204</v>
      </c>
      <c r="D47" s="382" t="n">
        <v>1260</v>
      </c>
      <c r="E47" s="379" t="n">
        <v>1540</v>
      </c>
      <c r="F47" s="380" t="n">
        <v>112</v>
      </c>
      <c r="G47" s="292" t="n">
        <v>1428</v>
      </c>
    </row>
  </sheetData>
  <mergeCells count="9">
    <mergeCell ref="B7:AF7"/>
    <mergeCell ref="B6:AF6"/>
    <mergeCell ref="B5:AF5"/>
    <mergeCell ref="B43:H43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33 - Windsor-Yorkshire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4BD
50% AMI</t>
        </is>
      </c>
      <c r="S8" s="64" t="inlineStr">
        <is>
          <t>4BD
60% AMI</t>
        </is>
      </c>
      <c r="T8" s="64" t="inlineStr">
        <is>
          <t>4BD
FMR</t>
        </is>
      </c>
      <c r="U8" s="64" t="inlineStr">
        <is>
          <t>4BD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4BD 50% AMI ($)</t>
        </is>
      </c>
      <c r="R9" s="116" t="inlineStr">
        <is>
          <t>4BD 60% AMI ($)</t>
        </is>
      </c>
      <c r="S9" s="116" t="inlineStr">
        <is>
          <t>4BR FMR ($)</t>
        </is>
      </c>
      <c r="T9" s="116" t="inlineStr">
        <is>
          <t>4BR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Windsor/Yorkshire (SUBJECT)</t>
        </is>
      </c>
      <c r="D10" s="285" t="inlineStr">
        <is>
          <t>2020 N. Hearne Avenue</t>
        </is>
      </c>
      <c r="E10" s="239" t="inlineStr">
        <is>
          <t>Shreveport</t>
        </is>
      </c>
      <c r="F10" s="239" t="inlineStr">
        <is>
          <t>LA</t>
        </is>
      </c>
      <c r="G10" s="239" t="inlineStr">
        <is>
          <t>71107</t>
        </is>
      </c>
      <c r="H10" s="239" t="inlineStr">
        <is>
          <t>0.0 mi</t>
        </is>
      </c>
      <c r="I10" s="239" t="inlineStr">
        <is>
          <t>$2,554</t>
        </is>
      </c>
      <c r="J10" s="239" t="inlineStr">
        <is>
          <t>$3,065</t>
        </is>
      </c>
      <c r="K10" s="239" t="inlineStr">
        <is>
          <t>$736</t>
        </is>
      </c>
      <c r="L10" s="239">
        <f>B29</f>
        <v/>
      </c>
      <c r="M10" s="255" t="inlineStr">
        <is>
          <t>$3,066</t>
        </is>
      </c>
      <c r="N10" s="239" t="inlineStr">
        <is>
          <t>$3,680</t>
        </is>
      </c>
      <c r="O10" s="239" t="inlineStr">
        <is>
          <t>$1,008</t>
        </is>
      </c>
      <c r="P10" s="239">
        <f>B30</f>
        <v/>
      </c>
      <c r="Q10" s="255" t="inlineStr">
        <is>
          <t>$3,679</t>
        </is>
      </c>
      <c r="R10" s="239" t="inlineStr">
        <is>
          <t>$4,415</t>
        </is>
      </c>
      <c r="S10" s="239" t="inlineStr">
        <is>
          <t>$1,457</t>
        </is>
      </c>
      <c r="T10" s="239">
        <f>B31</f>
        <v/>
      </c>
      <c r="U10" s="255" t="inlineStr">
        <is>
          <t>134</t>
        </is>
      </c>
      <c r="V10" s="239" t="inlineStr">
        <is>
          <t>1998</t>
        </is>
      </c>
      <c r="W10" s="239" t="inlineStr">
        <is>
          <t>0</t>
        </is>
      </c>
      <c r="X10" s="239" t="inlineStr">
        <is>
          <t>No</t>
        </is>
      </c>
      <c r="Y10" s="242" t="inlineStr">
        <is>
          <t>No</t>
        </is>
      </c>
      <c r="Z10" s="242" t="inlineStr">
        <is>
          <t>No</t>
        </is>
      </c>
      <c r="AA10" s="241" t="inlineStr">
        <is>
          <t>Yes</t>
        </is>
      </c>
      <c r="AB10" s="242" t="inlineStr">
        <is>
          <t>No</t>
        </is>
      </c>
      <c r="AC10" s="239" t="inlineStr">
        <is>
          <t>SUBJECT</t>
        </is>
      </c>
      <c r="AD10" s="253" t="inlineStr">
        <is>
          <t>134 units | LIHTC property. Year built: 1998.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252" t="inlineStr">
        <is>
          <t>AFFORDABLE</t>
        </is>
      </c>
      <c r="C11" s="253" t="inlineStr">
        <is>
          <t>Southwood Gardens</t>
        </is>
      </c>
      <c r="D11" s="254" t="inlineStr">
        <is>
          <t>3550 Cedar Creek, Budg. 1</t>
        </is>
      </c>
      <c r="E11" s="116" t="inlineStr">
        <is>
          <t>Shreveport</t>
        </is>
      </c>
      <c r="F11" s="116" t="inlineStr">
        <is>
          <t>LA</t>
        </is>
      </c>
      <c r="G11" s="116" t="inlineStr">
        <is>
          <t>71118-0000</t>
        </is>
      </c>
      <c r="H11" s="116" t="inlineStr">
        <is>
          <t>9.4 mi</t>
        </is>
      </c>
      <c r="I11" s="116" t="inlineStr">
        <is>
          <t>$2,554</t>
        </is>
      </c>
      <c r="J11" s="116" t="inlineStr">
        <is>
          <t>$3,065</t>
        </is>
      </c>
      <c r="K11" s="116" t="inlineStr">
        <is>
          <t>$736</t>
        </is>
      </c>
      <c r="L11" s="116" t="inlineStr">
        <is>
          <t>Not Listed</t>
        </is>
      </c>
      <c r="M11" s="255" t="inlineStr">
        <is>
          <t>$3,066</t>
        </is>
      </c>
      <c r="N11" s="116" t="inlineStr">
        <is>
          <t>$3,680</t>
        </is>
      </c>
      <c r="O11" s="116" t="inlineStr">
        <is>
          <t>$1,008</t>
        </is>
      </c>
      <c r="P11" s="116" t="inlineStr">
        <is>
          <t>Not Listed</t>
        </is>
      </c>
      <c r="Q11" s="255" t="inlineStr">
        <is>
          <t>$3,679</t>
        </is>
      </c>
      <c r="R11" s="116" t="inlineStr">
        <is>
          <t>$4,415</t>
        </is>
      </c>
      <c r="S11" s="116" t="inlineStr">
        <is>
          <t>$1,457</t>
        </is>
      </c>
      <c r="T11" s="116" t="inlineStr">
        <is>
          <t>Not Listed</t>
        </is>
      </c>
      <c r="U11" s="255" t="inlineStr">
        <is>
          <t>96</t>
        </is>
      </c>
      <c r="V11" s="116" t="inlineStr">
        <is>
          <t>1998</t>
        </is>
      </c>
      <c r="W11" s="116" t="inlineStr">
        <is>
          <t>0</t>
        </is>
      </c>
      <c r="X11" s="116" t="inlineStr">
        <is>
          <t>Yes</t>
        </is>
      </c>
      <c r="Y11" s="256" t="inlineStr">
        <is>
          <t>No</t>
        </is>
      </c>
      <c r="Z11" s="256" t="inlineStr">
        <is>
          <t>No</t>
        </is>
      </c>
      <c r="AA11" s="256" t="inlineStr">
        <is>
          <t>No</t>
        </is>
      </c>
      <c r="AB11" s="256" t="inlineStr">
        <is>
          <t>No</t>
        </is>
      </c>
      <c r="AC11" s="116" t="inlineStr">
        <is>
          <t>HIGH</t>
        </is>
      </c>
      <c r="AD11" s="253" t="inlineStr">
        <is>
          <t>Affordable Comp #1: LIHTC property, 1998 vintage (0 yr diff), 96 units, 9.4 mi from subject. Same income-eligible renter pool.</t>
        </is>
      </c>
      <c r="AE11" s="257" t="inlineStr">
        <is>
          <t>HUD LIHTC Database (huduser.gov)</t>
        </is>
      </c>
      <c r="AF11" s="258" t="n"/>
    </row>
    <row r="12" ht="21.75" customFormat="1" customHeight="1" s="3">
      <c r="B12" s="252" t="inlineStr">
        <is>
          <t>AFFORDABLE</t>
        </is>
      </c>
      <c r="C12" s="253" t="inlineStr">
        <is>
          <t>Bentley Apts</t>
        </is>
      </c>
      <c r="D12" s="254" t="inlineStr">
        <is>
          <t>6760 Rasberry Ln</t>
        </is>
      </c>
      <c r="E12" s="116" t="inlineStr">
        <is>
          <t>Shreveport</t>
        </is>
      </c>
      <c r="F12" s="116" t="inlineStr">
        <is>
          <t>LA</t>
        </is>
      </c>
      <c r="G12" s="116" t="inlineStr">
        <is>
          <t>71129</t>
        </is>
      </c>
      <c r="H12" s="116" t="inlineStr">
        <is>
          <t>8.2 mi</t>
        </is>
      </c>
      <c r="I12" s="116" t="inlineStr">
        <is>
          <t>$2,554</t>
        </is>
      </c>
      <c r="J12" s="116" t="inlineStr">
        <is>
          <t>$3,065</t>
        </is>
      </c>
      <c r="K12" s="116" t="inlineStr">
        <is>
          <t>$736</t>
        </is>
      </c>
      <c r="L12" s="116" t="inlineStr">
        <is>
          <t>Not Listed</t>
        </is>
      </c>
      <c r="M12" s="255" t="inlineStr">
        <is>
          <t>$3,066</t>
        </is>
      </c>
      <c r="N12" s="116" t="inlineStr">
        <is>
          <t>$3,680</t>
        </is>
      </c>
      <c r="O12" s="116" t="inlineStr">
        <is>
          <t>$1,008</t>
        </is>
      </c>
      <c r="P12" s="116" t="inlineStr">
        <is>
          <t>$620</t>
        </is>
      </c>
      <c r="Q12" s="255" t="inlineStr">
        <is>
          <t>$3,679</t>
        </is>
      </c>
      <c r="R12" s="116" t="inlineStr">
        <is>
          <t>$4,415</t>
        </is>
      </c>
      <c r="S12" s="116" t="inlineStr">
        <is>
          <t>$1,457</t>
        </is>
      </c>
      <c r="T12" s="116" t="inlineStr">
        <is>
          <t>Not Listed</t>
        </is>
      </c>
      <c r="U12" s="255" t="inlineStr">
        <is>
          <t>84</t>
        </is>
      </c>
      <c r="V12" s="116" t="inlineStr">
        <is>
          <t>1998</t>
        </is>
      </c>
      <c r="W12" s="116" t="inlineStr">
        <is>
          <t>0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HIGH</t>
        </is>
      </c>
      <c r="AD12" s="253" t="inlineStr">
        <is>
          <t>Affordable Comp #2: LIHTC property, 1998 vintage (0 yr diff), 84 units, 8.2 mi from subject. Same income-eligible renter pool.</t>
        </is>
      </c>
      <c r="AE12" s="257" t="inlineStr">
        <is>
          <t>HUD LIHTC Database (huduser.gov)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New Zion Apartments</t>
        </is>
      </c>
      <c r="D13" s="254" t="inlineStr">
        <is>
          <t>4345 Illinois Ave</t>
        </is>
      </c>
      <c r="E13" s="116" t="inlineStr">
        <is>
          <t>Shreveport</t>
        </is>
      </c>
      <c r="F13" s="116" t="inlineStr">
        <is>
          <t>LA</t>
        </is>
      </c>
      <c r="G13" s="116" t="inlineStr">
        <is>
          <t>71109-0000</t>
        </is>
      </c>
      <c r="H13" s="116" t="inlineStr">
        <is>
          <t>5.8 mi</t>
        </is>
      </c>
      <c r="I13" s="116" t="inlineStr">
        <is>
          <t>$2,554</t>
        </is>
      </c>
      <c r="J13" s="116" t="inlineStr">
        <is>
          <t>$3,065</t>
        </is>
      </c>
      <c r="K13" s="116" t="inlineStr">
        <is>
          <t>$736</t>
        </is>
      </c>
      <c r="L13" s="116" t="inlineStr">
        <is>
          <t>Not Listed</t>
        </is>
      </c>
      <c r="M13" s="255" t="inlineStr">
        <is>
          <t>$3,066</t>
        </is>
      </c>
      <c r="N13" s="116" t="inlineStr">
        <is>
          <t>$3,680</t>
        </is>
      </c>
      <c r="O13" s="116" t="inlineStr">
        <is>
          <t>$1,008</t>
        </is>
      </c>
      <c r="P13" s="116" t="inlineStr">
        <is>
          <t>Not Listed</t>
        </is>
      </c>
      <c r="Q13" s="255" t="inlineStr">
        <is>
          <t>$3,679</t>
        </is>
      </c>
      <c r="R13" s="116" t="inlineStr">
        <is>
          <t>$4,415</t>
        </is>
      </c>
      <c r="S13" s="116" t="inlineStr">
        <is>
          <t>$1,457</t>
        </is>
      </c>
      <c r="T13" s="116" t="inlineStr">
        <is>
          <t>Not Listed</t>
        </is>
      </c>
      <c r="U13" s="255" t="inlineStr">
        <is>
          <t>100</t>
        </is>
      </c>
      <c r="V13" s="116" t="inlineStr">
        <is>
          <t>1997</t>
        </is>
      </c>
      <c r="W13" s="116" t="inlineStr">
        <is>
          <t>1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HIGH</t>
        </is>
      </c>
      <c r="AD13" s="253" t="inlineStr">
        <is>
          <t>Affordable Comp #3: LIHTC property, 1997 vintage (1 yr diff), 100 units, 5.8 mi from subject. Same income-eligible renter pool.</t>
        </is>
      </c>
      <c r="AE13" s="257" t="inlineStr">
        <is>
          <t>HUD LIHTC Database (huduser.gov)</t>
        </is>
      </c>
      <c r="AF13" s="258" t="n"/>
    </row>
    <row r="14" ht="21.75" customFormat="1" customHeight="1" s="3">
      <c r="B14" s="252" t="inlineStr">
        <is>
          <t>AFFORDABLE</t>
        </is>
      </c>
      <c r="C14" s="253" t="inlineStr">
        <is>
          <t>Macadoo Sro</t>
        </is>
      </c>
      <c r="D14" s="254" t="inlineStr">
        <is>
          <t>1002 Texas Ave</t>
        </is>
      </c>
      <c r="E14" s="116" t="inlineStr">
        <is>
          <t>Shreveport</t>
        </is>
      </c>
      <c r="F14" s="116" t="inlineStr">
        <is>
          <t>LA</t>
        </is>
      </c>
      <c r="G14" s="116" t="inlineStr">
        <is>
          <t>71101-0000</t>
        </is>
      </c>
      <c r="H14" s="116" t="inlineStr">
        <is>
          <t>1.4 mi</t>
        </is>
      </c>
      <c r="I14" s="116" t="inlineStr">
        <is>
          <t>$2,554</t>
        </is>
      </c>
      <c r="J14" s="116" t="inlineStr">
        <is>
          <t>$3,065</t>
        </is>
      </c>
      <c r="K14" s="116" t="inlineStr">
        <is>
          <t>$736</t>
        </is>
      </c>
      <c r="L14" s="116" t="inlineStr">
        <is>
          <t>Not Listed</t>
        </is>
      </c>
      <c r="M14" s="255" t="inlineStr">
        <is>
          <t>$3,066</t>
        </is>
      </c>
      <c r="N14" s="116" t="inlineStr">
        <is>
          <t>$3,680</t>
        </is>
      </c>
      <c r="O14" s="116" t="inlineStr">
        <is>
          <t>$1,008</t>
        </is>
      </c>
      <c r="P14" s="116" t="inlineStr">
        <is>
          <t>Not Listed</t>
        </is>
      </c>
      <c r="Q14" s="255" t="inlineStr">
        <is>
          <t>$3,679</t>
        </is>
      </c>
      <c r="R14" s="116" t="inlineStr">
        <is>
          <t>$4,415</t>
        </is>
      </c>
      <c r="S14" s="116" t="inlineStr">
        <is>
          <t>$1,457</t>
        </is>
      </c>
      <c r="T14" s="116" t="inlineStr">
        <is>
          <t>Not Listed</t>
        </is>
      </c>
      <c r="U14" s="255" t="inlineStr">
        <is>
          <t>45</t>
        </is>
      </c>
      <c r="V14" s="116" t="inlineStr">
        <is>
          <t>1998</t>
        </is>
      </c>
      <c r="W14" s="116" t="inlineStr">
        <is>
          <t>0</t>
        </is>
      </c>
      <c r="X14" s="116" t="inlineStr">
        <is>
          <t>Yes</t>
        </is>
      </c>
      <c r="Y14" s="256" t="inlineStr">
        <is>
          <t>No</t>
        </is>
      </c>
      <c r="Z14" s="256" t="inlineStr">
        <is>
          <t>No</t>
        </is>
      </c>
      <c r="AA14" s="256" t="inlineStr">
        <is>
          <t>No</t>
        </is>
      </c>
      <c r="AB14" s="256" t="inlineStr">
        <is>
          <t>No</t>
        </is>
      </c>
      <c r="AC14" s="116" t="inlineStr">
        <is>
          <t>HIGH</t>
        </is>
      </c>
      <c r="AD14" s="253" t="inlineStr">
        <is>
          <t>Affordable Comp #4: LIHTC property, 1998 vintage (0 yr diff), 45 units, 1.4 mi from subject. Same income-eligible renter pool.</t>
        </is>
      </c>
      <c r="AE14" s="257" t="inlineStr">
        <is>
          <t>HUD LIHTC Database (huduser.gov)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The Corridor Apartments</t>
        </is>
      </c>
      <c r="D15" s="254" t="inlineStr">
        <is>
          <t>4360 Roy Rd</t>
        </is>
      </c>
      <c r="E15" s="116" t="inlineStr">
        <is>
          <t>Shreveport</t>
        </is>
      </c>
      <c r="F15" s="116" t="inlineStr">
        <is>
          <t>LA</t>
        </is>
      </c>
      <c r="G15" s="116" t="inlineStr">
        <is>
          <t>71107</t>
        </is>
      </c>
      <c r="H15" s="116" t="inlineStr">
        <is>
          <t>1.0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1180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$1,008</t>
        </is>
      </c>
      <c r="P15" s="116" t="inlineStr">
        <is>
          <t>$1,050</t>
        </is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$1,457</t>
        </is>
      </c>
      <c r="T15" s="116" t="inlineStr">
        <is>
          <t>Not Listed</t>
        </is>
      </c>
      <c r="U15" s="255" t="inlineStr">
        <is>
          <t>200</t>
        </is>
      </c>
      <c r="V15" s="116" t="inlineStr">
        <is>
          <t>1999</t>
        </is>
      </c>
      <c r="W15" s="116" t="inlineStr">
        <is>
          <t>1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53" t="inlineStr">
        <is>
          <t>Market Rate Comp #1: No income restrictions, 1999 vintage (1 yr diff), 200 units, 4.5 mi from subject. Shows market-rate rents vs. affordable housing discount.</t>
        </is>
      </c>
      <c r="AE15" s="257" t="inlineStr">
        <is>
          <t>https://www.rentcafe.com/apartments-for-rent/us/la/shreveport/the-arbors-at-shreveport/</t>
        </is>
      </c>
      <c r="AF15" s="258" t="n"/>
    </row>
    <row r="16" ht="21.75" customFormat="1" customHeight="1" s="3">
      <c r="B16" s="252" t="inlineStr">
        <is>
          <t>MARKET RATE</t>
        </is>
      </c>
      <c r="C16" s="253" t="inlineStr">
        <is>
          <t>Grand Oaks Apartment Homes</t>
        </is>
      </c>
      <c r="D16" s="254" t="inlineStr">
        <is>
          <t>1601 N Forty Loop</t>
        </is>
      </c>
      <c r="E16" s="116" t="inlineStr">
        <is>
          <t>Shreveport</t>
        </is>
      </c>
      <c r="F16" s="116" t="inlineStr">
        <is>
          <t>LA</t>
        </is>
      </c>
      <c r="G16" s="116" t="inlineStr">
        <is>
          <t>71107</t>
        </is>
      </c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$736</t>
        </is>
      </c>
      <c r="L16" s="116" t="inlineStr">
        <is>
          <t>Not Listed</t>
        </is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795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$1,457</t>
        </is>
      </c>
      <c r="T16" s="116" t="inlineStr">
        <is>
          <t>Not Listed</t>
        </is>
      </c>
      <c r="U16" s="255" t="inlineStr">
        <is>
          <t>160</t>
        </is>
      </c>
      <c r="V16" s="116" t="inlineStr">
        <is>
          <t>2000</t>
        </is>
      </c>
      <c r="W16" s="116" t="inlineStr">
        <is>
          <t>2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53" t="inlineStr">
        <is>
          <t>Market Rate Comp #2: No income restrictions, 2000 vintage (2 yr diff), 160 units, 6.2 mi from subject. Shows market-rate rents vs. affordable housing discount.</t>
        </is>
      </c>
      <c r="AE16" s="257" t="inlineStr">
        <is>
          <t>https://www.rentcafe.com/apartments-for-rent/us/la/shreveport/</t>
        </is>
      </c>
      <c r="AF16" s="258" t="n"/>
    </row>
    <row r="17" ht="21.75" customFormat="1" customHeight="1" s="3">
      <c r="B17" s="252" t="inlineStr">
        <is>
          <t>MARKET RATE</t>
        </is>
      </c>
      <c r="C17" s="253" t="inlineStr">
        <is>
          <t>Windsor Housing</t>
        </is>
      </c>
      <c r="D17" s="254" t="inlineStr">
        <is>
          <t>2020 N Hearne Ave</t>
        </is>
      </c>
      <c r="E17" s="116" t="inlineStr">
        <is>
          <t>Shreveport</t>
        </is>
      </c>
      <c r="F17" s="116" t="inlineStr">
        <is>
          <t>LA</t>
        </is>
      </c>
      <c r="G17" s="116" t="inlineStr">
        <is>
          <t>71107</t>
        </is>
      </c>
      <c r="H17" s="116" t="inlineStr">
        <is>
          <t>0.3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702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834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N/A (Market Rate)</t>
        </is>
      </c>
      <c r="T17" s="384" t="n">
        <v>1054</v>
      </c>
      <c r="U17" s="255" t="inlineStr">
        <is>
          <t>120</t>
        </is>
      </c>
      <c r="V17" s="116" t="inlineStr">
        <is>
          <t>1997</t>
        </is>
      </c>
      <c r="W17" s="116" t="inlineStr">
        <is>
          <t>1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53" t="inlineStr">
        <is>
          <t>Market Rate Comp #3: No income restrictions, 1997 vintage (1 yr diff), 120 units, 8.0 mi from subject. Shows market-rate rents vs. affordable housing discount.</t>
        </is>
      </c>
      <c r="AE17" s="257" t="inlineStr">
        <is>
          <t>https://www.rentcafe.com/apartments-for-rent/us/la/bossier-city/</t>
        </is>
      </c>
      <c r="AF17" s="258" t="n"/>
    </row>
    <row r="18" ht="21.75" customFormat="1" customHeight="1" s="3">
      <c r="B18" s="252" t="inlineStr">
        <is>
          <t>MARKET RATE</t>
        </is>
      </c>
      <c r="C18" s="253" t="inlineStr">
        <is>
          <t>964 Winter Garden Dr</t>
        </is>
      </c>
      <c r="D18" s="254" t="inlineStr">
        <is>
          <t>964 Winter Garden Dr</t>
        </is>
      </c>
      <c r="E18" s="116" t="inlineStr">
        <is>
          <t>Shreveport</t>
        </is>
      </c>
      <c r="F18" s="116" t="inlineStr">
        <is>
          <t>LA</t>
        </is>
      </c>
      <c r="G18" s="116" t="inlineStr">
        <is>
          <t>71107</t>
        </is>
      </c>
      <c r="H18" s="116" t="inlineStr">
        <is>
          <t>0.8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$736</t>
        </is>
      </c>
      <c r="L18" s="116" t="inlineStr">
        <is>
          <t>Not Listed</t>
        </is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1100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$1,457</t>
        </is>
      </c>
      <c r="T18" s="116" t="inlineStr">
        <is>
          <t>Not Listed</t>
        </is>
      </c>
      <c r="U18" s="255" t="inlineStr">
        <is>
          <t>96</t>
        </is>
      </c>
      <c r="V18" s="116" t="inlineStr">
        <is>
          <t>1997</t>
        </is>
      </c>
      <c r="W18" s="116" t="inlineStr">
        <is>
          <t>1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53" t="inlineStr">
        <is>
          <t>Market Rate Comp #4: No income restrictions, 1997 vintage (1 yr diff), 96 units, 5.8 mi from subject. Shows market-rate rents vs. affordable housing discount.</t>
        </is>
      </c>
      <c r="AE18" s="257" t="inlineStr">
        <is>
          <t>https://www.rentcafe.com/apartments-for-rent/us/la/shreveport/</t>
        </is>
      </c>
      <c r="AF18" s="258" t="n"/>
    </row>
    <row r="19" ht="21.75" customFormat="1" customHeight="1" s="3">
      <c r="B19" s="252" t="inlineStr">
        <is>
          <t>MARKET RATE</t>
        </is>
      </c>
      <c r="C19" s="253" t="inlineStr">
        <is>
          <t>3114 Timberlane Dr</t>
        </is>
      </c>
      <c r="D19" s="254" t="inlineStr">
        <is>
          <t>3114 Timberlane Dr</t>
        </is>
      </c>
      <c r="E19" s="116" t="inlineStr">
        <is>
          <t>Shreveport</t>
        </is>
      </c>
      <c r="F19" s="116" t="inlineStr">
        <is>
          <t>LA</t>
        </is>
      </c>
      <c r="G19" s="116" t="inlineStr">
        <is>
          <t>71107</t>
        </is>
      </c>
      <c r="H19" s="116" t="inlineStr">
        <is>
          <t>1.2 mi</t>
        </is>
      </c>
      <c r="I19" s="116" t="inlineStr">
        <is>
          <t>$736</t>
        </is>
      </c>
      <c r="J19" s="116" t="inlineStr">
        <is>
          <t>$736</t>
        </is>
      </c>
      <c r="K19" s="116" t="inlineStr">
        <is>
          <t>$736</t>
        </is>
      </c>
      <c r="L19" s="116" t="inlineStr">
        <is>
          <t>N/A</t>
        </is>
      </c>
      <c r="M19" s="255" t="inlineStr">
        <is>
          <t>$1,008</t>
        </is>
      </c>
      <c r="N19" s="116" t="inlineStr">
        <is>
          <t>$1,008</t>
        </is>
      </c>
      <c r="O19" s="116" t="inlineStr">
        <is>
          <t>$1,008</t>
        </is>
      </c>
      <c r="P19" s="116" t="inlineStr">
        <is>
          <t>N/A</t>
        </is>
      </c>
      <c r="Q19" s="255" t="inlineStr">
        <is>
          <t>N/A (Market Rate)</t>
        </is>
      </c>
      <c r="R19" s="116" t="inlineStr">
        <is>
          <t>N/A (Market Rate)</t>
        </is>
      </c>
      <c r="S19" s="116" t="inlineStr">
        <is>
          <t>N/A (Market Rate)</t>
        </is>
      </c>
      <c r="T19" s="384" t="n">
        <v>2000</v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57" t="inlineStr">
        <is>
          <t>HUD FMR Database (huduser.gov)</t>
        </is>
      </c>
      <c r="AF19" s="258" t="n"/>
    </row>
    <row r="20" ht="21.75" customFormat="1" customHeight="1" s="3">
      <c r="B20" s="252" t="inlineStr">
        <is>
          <t>MARKET RATE</t>
        </is>
      </c>
      <c r="C20" s="253" t="inlineStr">
        <is>
          <t>775 Highland Square Dr</t>
        </is>
      </c>
      <c r="D20" s="254" t="inlineStr">
        <is>
          <t>775 Highland Square Dr</t>
        </is>
      </c>
      <c r="E20" s="116" t="inlineStr">
        <is>
          <t>Shreveport</t>
        </is>
      </c>
      <c r="F20" s="116" t="inlineStr">
        <is>
          <t>LA</t>
        </is>
      </c>
      <c r="G20" s="116" t="inlineStr">
        <is>
          <t>71107</t>
        </is>
      </c>
      <c r="H20" s="116" t="inlineStr">
        <is>
          <t>0.9 mi</t>
        </is>
      </c>
      <c r="I20" s="116" t="inlineStr">
        <is>
          <t>$809</t>
        </is>
      </c>
      <c r="J20" s="116" t="inlineStr">
        <is>
          <t>$809</t>
        </is>
      </c>
      <c r="K20" s="116" t="inlineStr">
        <is>
          <t>$809</t>
        </is>
      </c>
      <c r="L20" s="116" t="inlineStr">
        <is>
          <t>N/A</t>
        </is>
      </c>
      <c r="M20" s="25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84" t="n">
        <v>1225</v>
      </c>
      <c r="Q20" s="255" t="inlineStr">
        <is>
          <t>$1,602</t>
        </is>
      </c>
      <c r="R20" s="116" t="inlineStr">
        <is>
          <t>$1,602</t>
        </is>
      </c>
      <c r="S20" s="116" t="inlineStr">
        <is>
          <t>$1,602</t>
        </is>
      </c>
      <c r="T20" s="116" t="inlineStr">
        <is>
          <t>N/A</t>
        </is>
      </c>
      <c r="U20" s="25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53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57" t="inlineStr">
        <is>
          <t>HUD FMR + Market Estimate</t>
        </is>
      </c>
      <c r="AF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777</v>
      </c>
      <c r="D27" s="376" t="n">
        <v>941</v>
      </c>
      <c r="E27" s="377" t="n">
        <v>-164</v>
      </c>
    </row>
    <row r="28" ht="20.25" customFormat="1" customHeight="1" s="3">
      <c r="B28" s="272" t="inlineStr">
        <is>
          <t>2BD</t>
        </is>
      </c>
      <c r="C28" s="375" t="n">
        <v>885</v>
      </c>
      <c r="D28" s="376" t="n">
        <v>1001</v>
      </c>
      <c r="E28" s="377" t="n">
        <v>-116</v>
      </c>
    </row>
    <row r="29" ht="20.25" customFormat="1" customHeight="1" s="3">
      <c r="B29" s="272" t="inlineStr">
        <is>
          <t>4BD</t>
        </is>
      </c>
      <c r="C29" s="375" t="n">
        <v>1140</v>
      </c>
      <c r="D29" s="376" t="n">
        <v>1527</v>
      </c>
      <c r="E29" s="377" t="n">
        <v>-387</v>
      </c>
    </row>
    <row r="30" ht="20.25" customFormat="1" customHeight="1" s="3">
      <c r="B30" s="272" t="inlineStr">
        <is>
          <t>1BD</t>
        </is>
      </c>
      <c r="C30" s="375" t="n">
        <v>777</v>
      </c>
      <c r="D30" s="376" t="n">
        <v>875</v>
      </c>
      <c r="E30" s="377" t="n">
        <v>-98</v>
      </c>
    </row>
    <row r="31" ht="20.25" customFormat="1" customHeight="1" s="3">
      <c r="B31" s="272" t="inlineStr">
        <is>
          <t>2BD</t>
        </is>
      </c>
      <c r="C31" s="375" t="n">
        <v>885</v>
      </c>
      <c r="D31" s="376" t="n">
        <v>1075</v>
      </c>
      <c r="E31" s="377" t="n">
        <v>-190</v>
      </c>
    </row>
    <row r="32" ht="20.25" customFormat="1" customHeight="1" s="3">
      <c r="B32" s="272" t="inlineStr">
        <is>
          <t>4BD</t>
        </is>
      </c>
      <c r="C32" s="375" t="n">
        <v>1140</v>
      </c>
      <c r="D32" s="376" t="n">
        <v>1100</v>
      </c>
      <c r="E32" s="381" t="n">
        <v>40</v>
      </c>
    </row>
    <row r="33" ht="20.25" customFormat="1" customHeight="1" s="3">
      <c r="B33" s="272" t="inlineStr">
        <is>
          <t>1BD</t>
        </is>
      </c>
      <c r="C33" s="375" t="n">
        <v>777</v>
      </c>
      <c r="D33" s="376" t="n">
        <v>702</v>
      </c>
      <c r="E33" s="381" t="n">
        <v>75</v>
      </c>
    </row>
    <row r="34" ht="20.25" customFormat="1" customHeight="1" s="3">
      <c r="B34" s="272" t="inlineStr">
        <is>
          <t>2BD</t>
        </is>
      </c>
      <c r="C34" s="375" t="n">
        <v>885</v>
      </c>
      <c r="D34" s="376" t="n">
        <v>834</v>
      </c>
      <c r="E34" s="381" t="n">
        <v>51</v>
      </c>
    </row>
    <row r="35" ht="20.25" customFormat="1" customHeight="1" s="3">
      <c r="B35" s="272" t="inlineStr">
        <is>
          <t>4BD</t>
        </is>
      </c>
      <c r="C35" s="375" t="n">
        <v>1140</v>
      </c>
      <c r="D35" s="376" t="n">
        <v>1054</v>
      </c>
      <c r="E35" s="381" t="n">
        <v>86</v>
      </c>
    </row>
    <row r="36" ht="20.25" customFormat="1" customHeight="1" s="3">
      <c r="B36" s="272" t="inlineStr">
        <is>
          <t>1BD</t>
        </is>
      </c>
      <c r="C36" s="375" t="n">
        <v>777</v>
      </c>
      <c r="D36" s="376" t="n">
        <v>939</v>
      </c>
      <c r="E36" s="377" t="n">
        <v>-162</v>
      </c>
    </row>
    <row r="37" ht="20.25" customFormat="1" customHeight="1" s="3">
      <c r="B37" s="272" t="inlineStr">
        <is>
          <t>2BD</t>
        </is>
      </c>
      <c r="C37" s="375" t="n">
        <v>885</v>
      </c>
      <c r="D37" s="376" t="n">
        <v>1289</v>
      </c>
      <c r="E37" s="377" t="n">
        <v>-404</v>
      </c>
    </row>
    <row r="38" ht="20.25" customFormat="1" customHeight="1" s="3">
      <c r="B38" s="272" t="inlineStr">
        <is>
          <t>4BD</t>
        </is>
      </c>
      <c r="C38" s="375" t="n">
        <v>1140</v>
      </c>
      <c r="D38" s="376" t="n">
        <v>850</v>
      </c>
      <c r="E38" s="381" t="n">
        <v>290</v>
      </c>
    </row>
    <row r="41" ht="18" customFormat="1" customHeight="1" s="3">
      <c r="B41" s="270" t="inlineStr">
        <is>
          <t>PMTS — Vouchers / FMR / UAP / NET</t>
        </is>
      </c>
      <c r="C41" s="294" t="n"/>
      <c r="D41" s="294" t="n"/>
      <c r="E41" s="294" t="n"/>
      <c r="F41" s="294" t="n"/>
      <c r="G41" s="294" t="n"/>
      <c r="H41" s="295" t="n"/>
    </row>
    <row r="42" ht="15.75" customFormat="1" customHeight="1" s="3">
      <c r="C42" s="378">
        <f>'Current Rents'!D28</f>
        <v/>
      </c>
      <c r="D42" s="271" t="inlineStr">
        <is>
          <t>VCH</t>
        </is>
      </c>
      <c r="E42" s="271" t="inlineStr">
        <is>
          <t>FMR</t>
        </is>
      </c>
      <c r="F42" s="271" t="inlineStr">
        <is>
          <t>UAP</t>
        </is>
      </c>
      <c r="G42" s="271" t="inlineStr">
        <is>
          <t>NET</t>
        </is>
      </c>
    </row>
    <row r="43" ht="20.25" customFormat="1" customHeight="1" s="3">
      <c r="B43" s="272" t="inlineStr">
        <is>
          <t>1BD</t>
        </is>
      </c>
      <c r="C43" s="292">
        <f>'Current Rents'!E28</f>
        <v/>
      </c>
      <c r="D43" s="382" t="n">
        <v>875</v>
      </c>
      <c r="E43" s="379" t="n">
        <v>860</v>
      </c>
      <c r="F43" s="380" t="n">
        <v>76</v>
      </c>
      <c r="G43" s="292" t="n">
        <v>784</v>
      </c>
    </row>
    <row r="44" ht="20.25" customFormat="1" customHeight="1" s="3">
      <c r="B44" s="272" t="inlineStr">
        <is>
          <t>2BD</t>
        </is>
      </c>
      <c r="C44" s="292">
        <f>'Current Rents'!G28</f>
        <v/>
      </c>
      <c r="D44" s="382" t="n">
        <v>1075</v>
      </c>
      <c r="E44" s="379" t="n">
        <v>980</v>
      </c>
      <c r="F44" s="380" t="n">
        <v>102</v>
      </c>
      <c r="G44" s="292" t="n">
        <v>878</v>
      </c>
    </row>
    <row r="45" ht="20.25" customFormat="1" customHeight="1" s="3">
      <c r="B45" s="272" t="inlineStr">
        <is>
          <t>4BD</t>
        </is>
      </c>
      <c r="C45" s="292" t="n">
        <v>1140</v>
      </c>
      <c r="D45" s="382" t="n">
        <v>1100</v>
      </c>
      <c r="E45" s="379" t="n">
        <v>1340</v>
      </c>
      <c r="F45" s="380" t="n">
        <v>152</v>
      </c>
      <c r="G45" s="292" t="n">
        <v>1188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50 - North Pointe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4BD
50% AMI</t>
        </is>
      </c>
      <c r="S8" s="64" t="inlineStr">
        <is>
          <t>4BD
60% AMI</t>
        </is>
      </c>
      <c r="T8" s="64" t="inlineStr">
        <is>
          <t>4BD
FMR</t>
        </is>
      </c>
      <c r="U8" s="64" t="inlineStr">
        <is>
          <t>4BD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3BD 50% AMI ($)</t>
        </is>
      </c>
      <c r="N9" s="116" t="inlineStr">
        <is>
          <t>3BD 60% AMI ($)</t>
        </is>
      </c>
      <c r="O9" s="116" t="inlineStr">
        <is>
          <t>3BR FMR ($)</t>
        </is>
      </c>
      <c r="P9" s="116" t="inlineStr">
        <is>
          <t>3BR Actual ($)</t>
        </is>
      </c>
      <c r="Q9" s="255" t="inlineStr">
        <is>
          <t>4BD 50% AMI ($)</t>
        </is>
      </c>
      <c r="R9" s="116" t="inlineStr">
        <is>
          <t>4BD 60% AMI ($)</t>
        </is>
      </c>
      <c r="S9" s="116" t="inlineStr">
        <is>
          <t>4BR FMR ($)</t>
        </is>
      </c>
      <c r="T9" s="116" t="inlineStr">
        <is>
          <t>4BR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North Pointe (SUBJECT)</t>
        </is>
      </c>
      <c r="D10" s="285" t="inlineStr">
        <is>
          <t>Bossier City</t>
        </is>
      </c>
      <c r="E10" s="239" t="inlineStr">
        <is>
          <t>Bossier City</t>
        </is>
      </c>
      <c r="F10" s="239" t="inlineStr">
        <is>
          <t>LA</t>
        </is>
      </c>
      <c r="G10" s="239" t="inlineStr">
        <is>
          <t>71111</t>
        </is>
      </c>
      <c r="H10" s="239" t="inlineStr">
        <is>
          <t>0.0 mi</t>
        </is>
      </c>
      <c r="I10" s="239" t="inlineStr">
        <is>
          <t>$3,066</t>
        </is>
      </c>
      <c r="J10" s="239" t="inlineStr">
        <is>
          <t>$3,680</t>
        </is>
      </c>
      <c r="K10" s="239" t="inlineStr">
        <is>
          <t>$1,008</t>
        </is>
      </c>
      <c r="L10" s="239">
        <f>B29</f>
        <v/>
      </c>
      <c r="M10" s="255" t="inlineStr">
        <is>
          <t>$3,404</t>
        </is>
      </c>
      <c r="N10" s="239" t="inlineStr">
        <is>
          <t>$4,085</t>
        </is>
      </c>
      <c r="O10" s="239" t="inlineStr">
        <is>
          <t>$1,261</t>
        </is>
      </c>
      <c r="P10" s="239">
        <f>B30</f>
        <v/>
      </c>
      <c r="Q10" s="255" t="inlineStr">
        <is>
          <t>$3,679</t>
        </is>
      </c>
      <c r="R10" s="239" t="inlineStr">
        <is>
          <t>$4,415</t>
        </is>
      </c>
      <c r="S10" s="239" t="inlineStr">
        <is>
          <t>$1,457</t>
        </is>
      </c>
      <c r="T10" s="239">
        <f>B31</f>
        <v/>
      </c>
      <c r="U10" s="255" t="inlineStr">
        <is>
          <t>27</t>
        </is>
      </c>
      <c r="V10" s="239" t="inlineStr">
        <is>
          <t>2000</t>
        </is>
      </c>
      <c r="W10" s="239" t="inlineStr">
        <is>
          <t>0</t>
        </is>
      </c>
      <c r="X10" s="239" t="inlineStr">
        <is>
          <t>No</t>
        </is>
      </c>
      <c r="Y10" s="242" t="inlineStr">
        <is>
          <t>No</t>
        </is>
      </c>
      <c r="Z10" s="242" t="inlineStr">
        <is>
          <t>No</t>
        </is>
      </c>
      <c r="AA10" s="242" t="inlineStr">
        <is>
          <t>No</t>
        </is>
      </c>
      <c r="AB10" s="242" t="inlineStr">
        <is>
          <t>No</t>
        </is>
      </c>
      <c r="AC10" s="239" t="inlineStr">
        <is>
          <t>SUBJECT</t>
        </is>
      </c>
      <c r="AD10" s="253" t="inlineStr">
        <is>
          <t>27 units | LIHTC property. Year built: 2000.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252" t="inlineStr">
        <is>
          <t>AFFORDABLE</t>
        </is>
      </c>
      <c r="C11" s="253" t="inlineStr">
        <is>
          <t>Windsor Village Apartments</t>
        </is>
      </c>
      <c r="D11" s="254" t="inlineStr">
        <is>
          <t>1920 North Hearne Avenue</t>
        </is>
      </c>
      <c r="E11" s="116" t="inlineStr">
        <is>
          <t>Shreveport</t>
        </is>
      </c>
      <c r="F11" s="116" t="inlineStr">
        <is>
          <t>LA</t>
        </is>
      </c>
      <c r="G11" s="116" t="inlineStr">
        <is>
          <t>71107-0000</t>
        </is>
      </c>
      <c r="H11" s="116" t="inlineStr">
        <is>
          <t>2.8 mi</t>
        </is>
      </c>
      <c r="I11" s="116" t="inlineStr">
        <is>
          <t>$3,066</t>
        </is>
      </c>
      <c r="J11" s="116" t="inlineStr">
        <is>
          <t>$3,680</t>
        </is>
      </c>
      <c r="K11" s="116" t="inlineStr">
        <is>
          <t>$1,008</t>
        </is>
      </c>
      <c r="L11" s="116" t="inlineStr">
        <is>
          <t>$825</t>
        </is>
      </c>
      <c r="M11" s="255" t="inlineStr">
        <is>
          <t>$3,404</t>
        </is>
      </c>
      <c r="N11" s="116" t="inlineStr">
        <is>
          <t>$4,085</t>
        </is>
      </c>
      <c r="O11" s="116" t="inlineStr">
        <is>
          <t>$1,261</t>
        </is>
      </c>
      <c r="P11" s="116" t="inlineStr">
        <is>
          <t>$975</t>
        </is>
      </c>
      <c r="Q11" s="255" t="inlineStr">
        <is>
          <t>$3,679</t>
        </is>
      </c>
      <c r="R11" s="116" t="inlineStr">
        <is>
          <t>$4,415</t>
        </is>
      </c>
      <c r="S11" s="116" t="inlineStr">
        <is>
          <t>$1,457</t>
        </is>
      </c>
      <c r="T11" s="116" t="inlineStr">
        <is>
          <t>Not Listed</t>
        </is>
      </c>
      <c r="U11" s="255" t="inlineStr">
        <is>
          <t>48</t>
        </is>
      </c>
      <c r="V11" s="116" t="inlineStr">
        <is>
          <t>2000</t>
        </is>
      </c>
      <c r="W11" s="116" t="inlineStr">
        <is>
          <t>0</t>
        </is>
      </c>
      <c r="X11" s="116" t="inlineStr">
        <is>
          <t>Yes</t>
        </is>
      </c>
      <c r="Y11" s="256" t="inlineStr">
        <is>
          <t>No</t>
        </is>
      </c>
      <c r="Z11" s="256" t="inlineStr">
        <is>
          <t>No</t>
        </is>
      </c>
      <c r="AA11" s="256" t="inlineStr">
        <is>
          <t>No</t>
        </is>
      </c>
      <c r="AB11" s="256" t="inlineStr">
        <is>
          <t>No</t>
        </is>
      </c>
      <c r="AC11" s="116" t="inlineStr">
        <is>
          <t>HIGH</t>
        </is>
      </c>
      <c r="AD11" s="253" t="inlineStr">
        <is>
          <t>Affordable Comp #1: LIHTC property, 2000 vintage (0 yr diff), 48 units, 2.8 mi from subject. Same income-eligible renter pool.</t>
        </is>
      </c>
      <c r="AE11" s="257" t="inlineStr">
        <is>
          <t>HUD LIHTC Database (huduser.gov)</t>
        </is>
      </c>
      <c r="AF11" s="258" t="n"/>
    </row>
    <row r="12" ht="21.75" customFormat="1" customHeight="1" s="3">
      <c r="B12" s="252" t="inlineStr">
        <is>
          <t>AFFORDABLE</t>
        </is>
      </c>
      <c r="C12" s="253" t="inlineStr">
        <is>
          <t>Chateau Apts.</t>
        </is>
      </c>
      <c r="D12" s="254" t="inlineStr">
        <is>
          <t>4806 Shed Road</t>
        </is>
      </c>
      <c r="E12" s="116" t="inlineStr">
        <is>
          <t>Bossier City</t>
        </is>
      </c>
      <c r="F12" s="116" t="inlineStr">
        <is>
          <t>LA</t>
        </is>
      </c>
      <c r="G12" s="116" t="inlineStr">
        <is>
          <t>71067-0000</t>
        </is>
      </c>
      <c r="H12" s="116" t="inlineStr">
        <is>
          <t>4.2 mi</t>
        </is>
      </c>
      <c r="I12" s="116" t="inlineStr">
        <is>
          <t>$3,066</t>
        </is>
      </c>
      <c r="J12" s="116" t="inlineStr">
        <is>
          <t>$3,680</t>
        </is>
      </c>
      <c r="K12" s="116" t="inlineStr">
        <is>
          <t>$1,008</t>
        </is>
      </c>
      <c r="L12" s="116" t="inlineStr">
        <is>
          <t>$775</t>
        </is>
      </c>
      <c r="M12" s="255" t="inlineStr">
        <is>
          <t>$3,404</t>
        </is>
      </c>
      <c r="N12" s="116" t="inlineStr">
        <is>
          <t>$4,085</t>
        </is>
      </c>
      <c r="O12" s="116" t="inlineStr">
        <is>
          <t>$1,261</t>
        </is>
      </c>
      <c r="P12" s="116" t="inlineStr">
        <is>
          <t>$870</t>
        </is>
      </c>
      <c r="Q12" s="255" t="inlineStr">
        <is>
          <t>$3,679</t>
        </is>
      </c>
      <c r="R12" s="116" t="inlineStr">
        <is>
          <t>$4,415</t>
        </is>
      </c>
      <c r="S12" s="116" t="inlineStr">
        <is>
          <t>$1,457</t>
        </is>
      </c>
      <c r="T12" s="116" t="inlineStr">
        <is>
          <t>$950</t>
        </is>
      </c>
      <c r="U12" s="255" t="inlineStr">
        <is>
          <t>56</t>
        </is>
      </c>
      <c r="V12" s="116" t="inlineStr">
        <is>
          <t>2000</t>
        </is>
      </c>
      <c r="W12" s="116" t="inlineStr">
        <is>
          <t>0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HIGH</t>
        </is>
      </c>
      <c r="AD12" s="253" t="inlineStr">
        <is>
          <t>Affordable Comp #2: LIHTC property, 2000 vintage (0 yr diff), 56 units, 4.2 mi from subject. Same income-eligible renter pool.</t>
        </is>
      </c>
      <c r="AE12" s="257" t="inlineStr">
        <is>
          <t>HUD LIHTC Database (huduser.gov)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Greenwood Village I</t>
        </is>
      </c>
      <c r="D13" s="254" t="inlineStr">
        <is>
          <t>4440 Danny R Wimberly Dr</t>
        </is>
      </c>
      <c r="E13" s="116" t="inlineStr">
        <is>
          <t>Shreveport</t>
        </is>
      </c>
      <c r="F13" s="116" t="inlineStr">
        <is>
          <t>LA</t>
        </is>
      </c>
      <c r="G13" s="116" t="inlineStr">
        <is>
          <t>71119</t>
        </is>
      </c>
      <c r="H13" s="116" t="inlineStr">
        <is>
          <t>8.6 mi</t>
        </is>
      </c>
      <c r="I13" s="116" t="inlineStr">
        <is>
          <t>$3,066</t>
        </is>
      </c>
      <c r="J13" s="116" t="inlineStr">
        <is>
          <t>$3,680</t>
        </is>
      </c>
      <c r="K13" s="116" t="inlineStr">
        <is>
          <t>$1,008</t>
        </is>
      </c>
      <c r="L13" s="116" t="inlineStr">
        <is>
          <t>Not Listed</t>
        </is>
      </c>
      <c r="M13" s="255" t="inlineStr">
        <is>
          <t>$3,404</t>
        </is>
      </c>
      <c r="N13" s="116" t="inlineStr">
        <is>
          <t>$4,085</t>
        </is>
      </c>
      <c r="O13" s="116" t="inlineStr">
        <is>
          <t>$1,261</t>
        </is>
      </c>
      <c r="P13" s="116" t="inlineStr">
        <is>
          <t>Not Listed</t>
        </is>
      </c>
      <c r="Q13" s="255" t="inlineStr">
        <is>
          <t>$3,679</t>
        </is>
      </c>
      <c r="R13" s="116" t="inlineStr">
        <is>
          <t>$4,415</t>
        </is>
      </c>
      <c r="S13" s="116" t="inlineStr">
        <is>
          <t>$1,457</t>
        </is>
      </c>
      <c r="T13" s="116" t="inlineStr">
        <is>
          <t>Not Listed</t>
        </is>
      </c>
      <c r="U13" s="255" t="inlineStr">
        <is>
          <t>40</t>
        </is>
      </c>
      <c r="V13" s="116" t="inlineStr">
        <is>
          <t>2000</t>
        </is>
      </c>
      <c r="W13" s="116" t="inlineStr">
        <is>
          <t>0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HIGH</t>
        </is>
      </c>
      <c r="AD13" s="253" t="inlineStr">
        <is>
          <t>Affordable Comp #3: LIHTC property, 2000 vintage (0 yr diff), 40 units, 8.6 mi from subject. Same income-eligible renter pool.</t>
        </is>
      </c>
      <c r="AE13" s="257" t="inlineStr">
        <is>
          <t>HUD LIHTC Database (huduser.gov)</t>
        </is>
      </c>
      <c r="AF13" s="258" t="n"/>
    </row>
    <row r="14" ht="21.75" customFormat="1" customHeight="1" s="3">
      <c r="B14" s="252" t="inlineStr">
        <is>
          <t>AFFORDABLE</t>
        </is>
      </c>
      <c r="C14" s="253" t="inlineStr">
        <is>
          <t>Benton Place Apts Ii</t>
        </is>
      </c>
      <c r="D14" s="254" t="inlineStr">
        <is>
          <t>114 Sibley St</t>
        </is>
      </c>
      <c r="E14" s="116" t="inlineStr">
        <is>
          <t>Bossier City</t>
        </is>
      </c>
      <c r="F14" s="116" t="inlineStr">
        <is>
          <t>LA</t>
        </is>
      </c>
      <c r="G14" s="116" t="inlineStr">
        <is>
          <t>71006</t>
        </is>
      </c>
      <c r="H14" s="116" t="inlineStr">
        <is>
          <t>12.7 mi</t>
        </is>
      </c>
      <c r="I14" s="116" t="inlineStr">
        <is>
          <t>$3,066</t>
        </is>
      </c>
      <c r="J14" s="116" t="inlineStr">
        <is>
          <t>$3,680</t>
        </is>
      </c>
      <c r="K14" s="116" t="inlineStr">
        <is>
          <t>$1,008</t>
        </is>
      </c>
      <c r="L14" s="116" t="inlineStr">
        <is>
          <t>Not Listed</t>
        </is>
      </c>
      <c r="M14" s="255" t="inlineStr">
        <is>
          <t>$3,404</t>
        </is>
      </c>
      <c r="N14" s="116" t="inlineStr">
        <is>
          <t>$4,085</t>
        </is>
      </c>
      <c r="O14" s="116" t="inlineStr">
        <is>
          <t>$1,261</t>
        </is>
      </c>
      <c r="P14" s="116" t="inlineStr">
        <is>
          <t>Not Listed</t>
        </is>
      </c>
      <c r="Q14" s="255" t="inlineStr">
        <is>
          <t>$3,679</t>
        </is>
      </c>
      <c r="R14" s="116" t="inlineStr">
        <is>
          <t>$4,415</t>
        </is>
      </c>
      <c r="S14" s="116" t="inlineStr">
        <is>
          <t>$1,457</t>
        </is>
      </c>
      <c r="T14" s="116" t="inlineStr">
        <is>
          <t>Not Listed</t>
        </is>
      </c>
      <c r="U14" s="255" t="inlineStr">
        <is>
          <t>32</t>
        </is>
      </c>
      <c r="V14" s="116" t="inlineStr">
        <is>
          <t>2001</t>
        </is>
      </c>
      <c r="W14" s="116" t="inlineStr">
        <is>
          <t>1</t>
        </is>
      </c>
      <c r="X14" s="116" t="inlineStr">
        <is>
          <t>Yes</t>
        </is>
      </c>
      <c r="Y14" s="256" t="inlineStr">
        <is>
          <t>No</t>
        </is>
      </c>
      <c r="Z14" s="256" t="inlineStr">
        <is>
          <t>No</t>
        </is>
      </c>
      <c r="AA14" s="256" t="inlineStr">
        <is>
          <t>No</t>
        </is>
      </c>
      <c r="AB14" s="256" t="inlineStr">
        <is>
          <t>No</t>
        </is>
      </c>
      <c r="AC14" s="116" t="inlineStr">
        <is>
          <t>HIGH</t>
        </is>
      </c>
      <c r="AD14" s="253" t="inlineStr">
        <is>
          <t>Affordable Comp #4: LIHTC property, 2001 vintage (1 yr diff), 32 units, 12.7 mi from subject. Same income-eligible renter pool.</t>
        </is>
      </c>
      <c r="AE14" s="257" t="inlineStr">
        <is>
          <t>HUD LIHTC Database (huduser.gov)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Preston Place</t>
        </is>
      </c>
      <c r="D15" s="254" t="inlineStr">
        <is>
          <t>400 Preston Blvd</t>
        </is>
      </c>
      <c r="E15" s="116" t="inlineStr">
        <is>
          <t>Bossier City</t>
        </is>
      </c>
      <c r="F15" s="116" t="inlineStr">
        <is>
          <t>LA</t>
        </is>
      </c>
      <c r="G15" s="116" t="inlineStr">
        <is>
          <t>71111</t>
        </is>
      </c>
      <c r="H15" s="116" t="inlineStr">
        <is>
          <t>0.5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N/A (Market Rate)</t>
        </is>
      </c>
      <c r="L15" s="384" t="n">
        <v>925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$1,261</t>
        </is>
      </c>
      <c r="P15" s="116" t="inlineStr">
        <is>
          <t>$1,300</t>
        </is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$1,457</t>
        </is>
      </c>
      <c r="T15" s="116" t="inlineStr">
        <is>
          <t>Not Listed</t>
        </is>
      </c>
      <c r="U15" s="255" t="inlineStr">
        <is>
          <t>200</t>
        </is>
      </c>
      <c r="V15" s="116" t="inlineStr">
        <is>
          <t>1999</t>
        </is>
      </c>
      <c r="W15" s="116" t="inlineStr">
        <is>
          <t>1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53" t="inlineStr">
        <is>
          <t>Market Rate Comp #1: No income restrictions, 1999 vintage (1 yr diff), 200 units, 7.5 mi from subject. Shows market-rate rents vs. affordable housing discount.</t>
        </is>
      </c>
      <c r="AE15" s="257" t="inlineStr">
        <is>
          <t>https://www.rentcafe.com/apartments-for-rent/us/la/shreveport/the-arbors-at-shreveport/</t>
        </is>
      </c>
      <c r="AF15" s="258" t="n"/>
    </row>
    <row r="16" ht="21.75" customFormat="1" customHeight="1" s="3">
      <c r="B16" s="252" t="inlineStr">
        <is>
          <t>MARKET RATE</t>
        </is>
      </c>
      <c r="C16" s="253" t="inlineStr">
        <is>
          <t>Villaggio Apartments</t>
        </is>
      </c>
      <c r="D16" s="254" t="inlineStr">
        <is>
          <t>5200 E Texas St</t>
        </is>
      </c>
      <c r="E16" s="116" t="inlineStr">
        <is>
          <t>Bossier City</t>
        </is>
      </c>
      <c r="F16" s="116" t="inlineStr">
        <is>
          <t>LA</t>
        </is>
      </c>
      <c r="G16" s="116" t="inlineStr">
        <is>
          <t>71111</t>
        </is>
      </c>
      <c r="H16" s="116" t="inlineStr">
        <is>
          <t>2.0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N/A (Market Rate)</t>
        </is>
      </c>
      <c r="L16" s="384" t="n">
        <v>1349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N/A (Market Rate)</t>
        </is>
      </c>
      <c r="P16" s="384" t="n">
        <v>1610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$1,457</t>
        </is>
      </c>
      <c r="T16" s="116" t="inlineStr">
        <is>
          <t>Not Listed</t>
        </is>
      </c>
      <c r="U16" s="255" t="inlineStr">
        <is>
          <t>160</t>
        </is>
      </c>
      <c r="V16" s="116" t="inlineStr">
        <is>
          <t>2000</t>
        </is>
      </c>
      <c r="W16" s="116" t="inlineStr">
        <is>
          <t>0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53" t="inlineStr">
        <is>
          <t>Market Rate Comp #2: No income restrictions, 2000 vintage (0 yr diff), 160 units, 9.0 mi from subject. Shows market-rate rents vs. affordable housing discount.</t>
        </is>
      </c>
      <c r="AE16" s="257" t="inlineStr">
        <is>
          <t>https://www.rentcafe.com/apartments-for-rent/us/la/shreveport/</t>
        </is>
      </c>
      <c r="AF16" s="258" t="n"/>
    </row>
    <row r="17" ht="21.75" customFormat="1" customHeight="1" s="3">
      <c r="B17" s="252" t="inlineStr">
        <is>
          <t>MARKET RATE</t>
        </is>
      </c>
      <c r="C17" s="253" t="inlineStr">
        <is>
          <t>Willow Brook Townhomes</t>
        </is>
      </c>
      <c r="D17" s="254" t="inlineStr">
        <is>
          <t>3055 Vanceville Rd</t>
        </is>
      </c>
      <c r="E17" s="116" t="inlineStr">
        <is>
          <t>Bossier City</t>
        </is>
      </c>
      <c r="F17" s="116" t="inlineStr">
        <is>
          <t>LA</t>
        </is>
      </c>
      <c r="G17" s="116" t="inlineStr">
        <is>
          <t>71111</t>
        </is>
      </c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N/A (Market Rate)</t>
        </is>
      </c>
      <c r="L17" s="384" t="n">
        <v>1875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N/A (Market Rate)</t>
        </is>
      </c>
      <c r="P17" s="384" t="n">
        <v>1995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$1,457</t>
        </is>
      </c>
      <c r="T17" s="116" t="inlineStr">
        <is>
          <t>Not Listed</t>
        </is>
      </c>
      <c r="U17" s="255" t="inlineStr">
        <is>
          <t>96</t>
        </is>
      </c>
      <c r="V17" s="116" t="inlineStr">
        <is>
          <t>2001</t>
        </is>
      </c>
      <c r="W17" s="116" t="inlineStr">
        <is>
          <t>1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53" t="inlineStr">
        <is>
          <t>Market Rate Comp #3: No income restrictions, 2001 vintage (1 yr diff), 96 units, 3.2 mi from subject. Shows market-rate rents vs. affordable housing discount.</t>
        </is>
      </c>
      <c r="AE17" s="257" t="inlineStr">
        <is>
          <t>https://www.rentcafe.com/apartments-for-rent/us/la/bossier-city/</t>
        </is>
      </c>
      <c r="AF17" s="258" t="n"/>
    </row>
    <row r="18" ht="21.75" customFormat="1" customHeight="1" s="3">
      <c r="B18" s="252" t="inlineStr">
        <is>
          <t>MARKET RATE</t>
        </is>
      </c>
      <c r="C18" s="253" t="inlineStr">
        <is>
          <t>Stockwell Landing Apartment Homes</t>
        </is>
      </c>
      <c r="D18" s="254" t="inlineStr">
        <is>
          <t>2175 Stockwell Rd</t>
        </is>
      </c>
      <c r="E18" s="116" t="inlineStr">
        <is>
          <t>Bossier City</t>
        </is>
      </c>
      <c r="F18" s="116" t="inlineStr">
        <is>
          <t>LA</t>
        </is>
      </c>
      <c r="G18" s="116" t="inlineStr">
        <is>
          <t>71111</t>
        </is>
      </c>
      <c r="H18" s="116" t="inlineStr">
        <is>
          <t>3.0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N/A (Market Rate)</t>
        </is>
      </c>
      <c r="L18" s="384" t="n">
        <v>1349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N/A (Market Rate)</t>
        </is>
      </c>
      <c r="P18" s="384" t="n">
        <v>1585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$1,457</t>
        </is>
      </c>
      <c r="T18" s="116" t="inlineStr">
        <is>
          <t>Not Listed</t>
        </is>
      </c>
      <c r="U18" s="255" t="inlineStr">
        <is>
          <t>80</t>
        </is>
      </c>
      <c r="V18" s="116" t="inlineStr">
        <is>
          <t>1999</t>
        </is>
      </c>
      <c r="W18" s="116" t="inlineStr">
        <is>
          <t>1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53" t="inlineStr">
        <is>
          <t>Market Rate Comp #4: No income restrictions, 1999 vintage (1 yr diff), 80 units, 4.5 mi from subject. Shows market-rate rents vs. affordable housing discount.</t>
        </is>
      </c>
      <c r="AE18" s="257" t="inlineStr">
        <is>
          <t>https://www.rentcafe.com/apartments-for-rent/us/la/bossier-city/</t>
        </is>
      </c>
      <c r="AF18" s="258" t="n"/>
    </row>
    <row r="19" ht="21.75" customFormat="1" customHeight="1" s="3">
      <c r="B19" s="252" t="inlineStr">
        <is>
          <t>MARKET RATE</t>
        </is>
      </c>
      <c r="C19" s="253" t="inlineStr">
        <is>
          <t>Le Rivage</t>
        </is>
      </c>
      <c r="D19" s="254" t="inlineStr">
        <is>
          <t>2020 Valley View Cir</t>
        </is>
      </c>
      <c r="E19" s="116" t="inlineStr">
        <is>
          <t>Bossier City</t>
        </is>
      </c>
      <c r="F19" s="116" t="inlineStr">
        <is>
          <t>LA</t>
        </is>
      </c>
      <c r="G19" s="116" t="inlineStr">
        <is>
          <t>71111</t>
        </is>
      </c>
      <c r="H19" s="116" t="inlineStr">
        <is>
          <t>2.5 mi</t>
        </is>
      </c>
      <c r="I19" s="116" t="inlineStr">
        <is>
          <t>N/A (Market Rate)</t>
        </is>
      </c>
      <c r="J19" s="116" t="inlineStr">
        <is>
          <t>N/A (Market Rate)</t>
        </is>
      </c>
      <c r="K19" s="116" t="inlineStr">
        <is>
          <t>N/A (Market Rate)</t>
        </is>
      </c>
      <c r="L19" s="384" t="n">
        <v>1545</v>
      </c>
      <c r="M19" s="255" t="inlineStr">
        <is>
          <t>N/A (Market Rate)</t>
        </is>
      </c>
      <c r="N19" s="116" t="inlineStr">
        <is>
          <t>N/A (Market Rate)</t>
        </is>
      </c>
      <c r="O19" s="116" t="inlineStr">
        <is>
          <t>N/A (Market Rate)</t>
        </is>
      </c>
      <c r="P19" s="384" t="n">
        <v>1785</v>
      </c>
      <c r="Q19" s="255" t="inlineStr">
        <is>
          <t>$1,457</t>
        </is>
      </c>
      <c r="R19" s="116" t="inlineStr">
        <is>
          <t>$1,457</t>
        </is>
      </c>
      <c r="S19" s="116" t="inlineStr">
        <is>
          <t>$1,457</t>
        </is>
      </c>
      <c r="T19" s="116" t="inlineStr">
        <is>
          <t>N/A</t>
        </is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57" t="inlineStr">
        <is>
          <t>HUD FMR Database (huduser.gov)</t>
        </is>
      </c>
      <c r="AF19" s="258" t="n"/>
    </row>
    <row r="20" ht="21.75" customFormat="1" customHeight="1" s="3">
      <c r="B20" s="252" t="inlineStr">
        <is>
          <t>MARKET RATE</t>
        </is>
      </c>
      <c r="C20" s="253" t="inlineStr">
        <is>
          <t>Reserve of Bossier City</t>
        </is>
      </c>
      <c r="D20" s="254" t="inlineStr">
        <is>
          <t>4855 Airline Dr</t>
        </is>
      </c>
      <c r="E20" s="116" t="inlineStr">
        <is>
          <t>Bossier City</t>
        </is>
      </c>
      <c r="F20" s="116" t="inlineStr">
        <is>
          <t>LA</t>
        </is>
      </c>
      <c r="G20" s="116" t="inlineStr">
        <is>
          <t>71111</t>
        </is>
      </c>
      <c r="H20" s="116" t="inlineStr">
        <is>
          <t>1.8 mi</t>
        </is>
      </c>
      <c r="I20" s="116" t="inlineStr">
        <is>
          <t>N/A (Market Rate)</t>
        </is>
      </c>
      <c r="J20" s="116" t="inlineStr">
        <is>
          <t>N/A (Market Rate)</t>
        </is>
      </c>
      <c r="K20" s="116" t="inlineStr">
        <is>
          <t>N/A (Market Rate)</t>
        </is>
      </c>
      <c r="L20" s="384" t="n">
        <v>1400</v>
      </c>
      <c r="M20" s="255" t="inlineStr">
        <is>
          <t>N/A (Market Rate)</t>
        </is>
      </c>
      <c r="N20" s="116" t="inlineStr">
        <is>
          <t>N/A (Market Rate)</t>
        </is>
      </c>
      <c r="O20" s="116" t="inlineStr">
        <is>
          <t>N/A (Market Rate)</t>
        </is>
      </c>
      <c r="P20" s="384" t="n">
        <v>1500</v>
      </c>
      <c r="Q20" s="255" t="inlineStr">
        <is>
          <t>$1,602</t>
        </is>
      </c>
      <c r="R20" s="116" t="inlineStr">
        <is>
          <t>$1,602</t>
        </is>
      </c>
      <c r="S20" s="116" t="inlineStr">
        <is>
          <t>$1,602</t>
        </is>
      </c>
      <c r="T20" s="116" t="inlineStr">
        <is>
          <t>N/A</t>
        </is>
      </c>
      <c r="U20" s="25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53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57" t="inlineStr">
        <is>
          <t>HUD FMR + Market Estimate</t>
        </is>
      </c>
      <c r="AF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2BD</t>
        </is>
      </c>
      <c r="C27" s="375" t="n">
        <v>575</v>
      </c>
      <c r="D27" s="376" t="n">
        <v>1407</v>
      </c>
      <c r="E27" s="377" t="n">
        <v>-832</v>
      </c>
    </row>
    <row r="28" ht="20.25" customFormat="1" customHeight="1" s="3">
      <c r="B28" s="272" t="inlineStr">
        <is>
          <t>3BD</t>
        </is>
      </c>
      <c r="C28" s="375" t="n">
        <v>655</v>
      </c>
      <c r="D28" s="376" t="n">
        <v>1629</v>
      </c>
      <c r="E28" s="377" t="n">
        <v>-974</v>
      </c>
    </row>
    <row r="29" ht="20.25" customFormat="1" customHeight="1" s="3">
      <c r="B29" s="272" t="inlineStr">
        <is>
          <t>4BD</t>
        </is>
      </c>
      <c r="C29" s="375" t="n">
        <v>695</v>
      </c>
      <c r="D29" s="376" t="n">
        <v>695</v>
      </c>
      <c r="E29" s="381" t="n">
        <v>0</v>
      </c>
    </row>
    <row r="30" ht="20.25" customFormat="1" customHeight="1" s="3">
      <c r="B30" s="272" t="inlineStr">
        <is>
          <t>2BD</t>
        </is>
      </c>
      <c r="C30" s="375" t="n">
        <v>575</v>
      </c>
      <c r="D30" s="376" t="n">
        <v>1100</v>
      </c>
      <c r="E30" s="377" t="n">
        <v>-525</v>
      </c>
    </row>
    <row r="31" ht="20.25" customFormat="1" customHeight="1" s="3">
      <c r="B31" s="272" t="inlineStr">
        <is>
          <t>3BD</t>
        </is>
      </c>
      <c r="C31" s="375" t="n">
        <v>655</v>
      </c>
      <c r="D31" s="376" t="n">
        <v>1300</v>
      </c>
      <c r="E31" s="377" t="n">
        <v>-645</v>
      </c>
    </row>
    <row r="32" ht="20.25" customFormat="1" customHeight="1" s="3">
      <c r="B32" s="272" t="inlineStr">
        <is>
          <t>4BD</t>
        </is>
      </c>
      <c r="C32" s="375" t="n">
        <v>695</v>
      </c>
      <c r="D32" s="376" t="n">
        <v>1400</v>
      </c>
      <c r="E32" s="377" t="n">
        <v>-705</v>
      </c>
    </row>
    <row r="33" ht="20.25" customFormat="1" customHeight="1" s="3">
      <c r="B33" s="272" t="inlineStr">
        <is>
          <t>2BD</t>
        </is>
      </c>
      <c r="C33" s="375" t="n">
        <v>575</v>
      </c>
      <c r="D33" s="376" t="n">
        <v>865</v>
      </c>
      <c r="E33" s="377" t="n">
        <v>-290</v>
      </c>
    </row>
    <row r="34" ht="20.25" customFormat="1" customHeight="1" s="3">
      <c r="B34" s="272" t="inlineStr">
        <is>
          <t>3BD</t>
        </is>
      </c>
      <c r="C34" s="375" t="n">
        <v>655</v>
      </c>
      <c r="D34" s="376" t="n">
        <v>961</v>
      </c>
      <c r="E34" s="377" t="n">
        <v>-306</v>
      </c>
    </row>
    <row r="35" ht="20.25" customFormat="1" customHeight="1" s="3">
      <c r="B35" s="272" t="inlineStr">
        <is>
          <t>4BD</t>
        </is>
      </c>
      <c r="C35" s="375" t="n">
        <v>695</v>
      </c>
      <c r="D35" s="376" t="n">
        <v>1051</v>
      </c>
      <c r="E35" s="377" t="n">
        <v>-356</v>
      </c>
    </row>
    <row r="36" ht="20.25" customFormat="1" customHeight="1" s="3">
      <c r="B36" s="272" t="inlineStr">
        <is>
          <t>2BD</t>
        </is>
      </c>
      <c r="C36" s="375" t="n">
        <v>575</v>
      </c>
      <c r="D36" s="376" t="n">
        <v>891</v>
      </c>
      <c r="E36" s="377" t="n">
        <v>-316</v>
      </c>
    </row>
    <row r="37" ht="20.25" customFormat="1" customHeight="1" s="3">
      <c r="B37" s="272" t="inlineStr">
        <is>
          <t>3BD</t>
        </is>
      </c>
      <c r="C37" s="375" t="n">
        <v>655</v>
      </c>
      <c r="D37" s="376" t="n">
        <v>1039</v>
      </c>
      <c r="E37" s="377" t="n">
        <v>-384</v>
      </c>
    </row>
    <row r="38" ht="20.25" customFormat="1" customHeight="1" s="3">
      <c r="B38" s="272" t="inlineStr">
        <is>
          <t>4BD</t>
        </is>
      </c>
      <c r="C38" s="375" t="n">
        <v>695</v>
      </c>
      <c r="D38" s="376" t="n">
        <v>850</v>
      </c>
      <c r="E38" s="377" t="n">
        <v>-155</v>
      </c>
    </row>
    <row r="41" ht="18" customFormat="1" customHeight="1" s="3">
      <c r="B41" s="270" t="inlineStr">
        <is>
          <t>PMTS — Vouchers / FMR / UAP / NET</t>
        </is>
      </c>
      <c r="C41" s="294" t="n"/>
      <c r="D41" s="294" t="n"/>
      <c r="E41" s="294" t="n"/>
      <c r="F41" s="294" t="n"/>
      <c r="G41" s="294" t="n"/>
      <c r="H41" s="295" t="n"/>
    </row>
    <row r="42" ht="15.75" customFormat="1" customHeight="1" s="3">
      <c r="C42" s="378">
        <f>'Current Rents'!E29</f>
        <v/>
      </c>
      <c r="D42" s="271" t="inlineStr">
        <is>
          <t>VCH</t>
        </is>
      </c>
      <c r="E42" s="271" t="inlineStr">
        <is>
          <t>FMR</t>
        </is>
      </c>
      <c r="F42" s="271" t="inlineStr">
        <is>
          <t>UAP</t>
        </is>
      </c>
      <c r="G42" s="271" t="inlineStr">
        <is>
          <t>NET</t>
        </is>
      </c>
    </row>
    <row r="43" ht="20.25" customFormat="1" customHeight="1" s="3">
      <c r="B43" s="272" t="inlineStr">
        <is>
          <t>2BD</t>
        </is>
      </c>
      <c r="C43" s="292">
        <f>'Current Rents'!F29</f>
        <v/>
      </c>
      <c r="D43" s="382" t="n">
        <v>1100</v>
      </c>
      <c r="E43" s="379" t="n">
        <v>980</v>
      </c>
      <c r="F43" s="380" t="n">
        <v>169</v>
      </c>
      <c r="G43" s="292" t="n">
        <v>811</v>
      </c>
    </row>
    <row r="44" ht="20.25" customFormat="1" customHeight="1" s="3">
      <c r="B44" s="272" t="inlineStr">
        <is>
          <t>3BD</t>
        </is>
      </c>
      <c r="C44" s="292">
        <f>'Current Rents'!G29</f>
        <v/>
      </c>
      <c r="D44" s="382" t="n">
        <v>1300</v>
      </c>
      <c r="E44" s="379" t="n">
        <v>1270</v>
      </c>
      <c r="F44" s="380" t="n">
        <v>212</v>
      </c>
      <c r="G44" s="292" t="n">
        <v>1058</v>
      </c>
    </row>
    <row r="45" ht="20.25" customFormat="1" customHeight="1" s="3">
      <c r="B45" s="272" t="inlineStr">
        <is>
          <t>4BD</t>
        </is>
      </c>
      <c r="C45" s="292" t="n">
        <v>695</v>
      </c>
      <c r="D45" s="382" t="n">
        <v>1400</v>
      </c>
      <c r="E45" s="379" t="n">
        <v>1340</v>
      </c>
      <c r="F45" s="380" t="n">
        <v>258</v>
      </c>
      <c r="G45" s="292" t="n">
        <v>1082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53 - Bayou Pointe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3BD
50% AMI</t>
        </is>
      </c>
      <c r="K8" s="64" t="inlineStr">
        <is>
          <t>3BD
60% AMI</t>
        </is>
      </c>
      <c r="L8" s="64" t="inlineStr">
        <is>
          <t>3BD
FMR</t>
        </is>
      </c>
      <c r="M8" s="64" t="inlineStr">
        <is>
          <t>3BD
Actual</t>
        </is>
      </c>
      <c r="N8" s="64" t="inlineStr">
        <is>
          <t>4BD
50% AMI</t>
        </is>
      </c>
      <c r="O8" s="64" t="inlineStr">
        <is>
          <t>4BD
60% AMI</t>
        </is>
      </c>
      <c r="P8" s="64" t="inlineStr">
        <is>
          <t>4BD
FMR</t>
        </is>
      </c>
      <c r="Q8" s="64" t="inlineStr">
        <is>
          <t>4BD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3BD 50% AMI ($)</t>
        </is>
      </c>
      <c r="J9" s="116" t="inlineStr">
        <is>
          <t>3BD 60% AMI ($)</t>
        </is>
      </c>
      <c r="K9" s="116" t="inlineStr">
        <is>
          <t>3BR FMR ($)</t>
        </is>
      </c>
      <c r="L9" s="116" t="inlineStr">
        <is>
          <t>3BR Actual ($)</t>
        </is>
      </c>
      <c r="M9" s="255" t="inlineStr">
        <is>
          <t>4BD 50% AMI ($)</t>
        </is>
      </c>
      <c r="N9" s="116" t="inlineStr">
        <is>
          <t>4BD 60% AMI ($)</t>
        </is>
      </c>
      <c r="O9" s="116" t="inlineStr">
        <is>
          <t>4BR FMR ($)</t>
        </is>
      </c>
      <c r="P9" s="116" t="inlineStr">
        <is>
          <t>4BR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Granite Bayou (SUBJECT)</t>
        </is>
      </c>
      <c r="D10" s="285" t="inlineStr">
        <is>
          <t>Baton Rouge</t>
        </is>
      </c>
      <c r="E10" s="239" t="inlineStr">
        <is>
          <t>Baton Rouge</t>
        </is>
      </c>
      <c r="F10" s="239" t="inlineStr">
        <is>
          <t>LA</t>
        </is>
      </c>
      <c r="G10" s="239" t="inlineStr">
        <is>
          <t>70806</t>
        </is>
      </c>
      <c r="H10" s="239" t="inlineStr">
        <is>
          <t>0.0 mi</t>
        </is>
      </c>
      <c r="I10" s="239" t="inlineStr">
        <is>
          <t>$3,820</t>
        </is>
      </c>
      <c r="J10" s="239" t="inlineStr">
        <is>
          <t>$4,585</t>
        </is>
      </c>
      <c r="K10" s="239" t="inlineStr">
        <is>
          <t>$1,573</t>
        </is>
      </c>
      <c r="L10" s="239">
        <f>B29</f>
        <v/>
      </c>
      <c r="M10" s="255" t="inlineStr">
        <is>
          <t>$4,129</t>
        </is>
      </c>
      <c r="N10" s="239" t="inlineStr">
        <is>
          <t>$4,955</t>
        </is>
      </c>
      <c r="O10" s="239" t="inlineStr">
        <is>
          <t>$1,818</t>
        </is>
      </c>
      <c r="P10" s="239">
        <f>B30</f>
        <v/>
      </c>
      <c r="Q10" s="255" t="inlineStr">
        <is>
          <t>60</t>
        </is>
      </c>
      <c r="R10" s="239" t="inlineStr">
        <is>
          <t>2000</t>
        </is>
      </c>
      <c r="S10" s="239" t="inlineStr">
        <is>
          <t>0</t>
        </is>
      </c>
      <c r="T10" s="239" t="inlineStr">
        <is>
          <t>No</t>
        </is>
      </c>
      <c r="U10" s="242" t="inlineStr">
        <is>
          <t>No</t>
        </is>
      </c>
      <c r="V10" s="242" t="inlineStr">
        <is>
          <t>No</t>
        </is>
      </c>
      <c r="W10" s="242" t="inlineStr">
        <is>
          <t>No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60 units | LIHTC property. Year built: 2000.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Pelican Bay Ii</t>
        </is>
      </c>
      <c r="D11" s="254" t="inlineStr">
        <is>
          <t>2121 N. Lobdell Blvd.</t>
        </is>
      </c>
      <c r="E11" s="116" t="inlineStr">
        <is>
          <t>Baton Rouge</t>
        </is>
      </c>
      <c r="F11" s="116" t="inlineStr">
        <is>
          <t>LA</t>
        </is>
      </c>
      <c r="G11" s="116" t="inlineStr">
        <is>
          <t>70806-0000</t>
        </is>
      </c>
      <c r="H11" s="116" t="inlineStr">
        <is>
          <t>4.1 mi</t>
        </is>
      </c>
      <c r="I11" s="116" t="inlineStr">
        <is>
          <t>$3,820</t>
        </is>
      </c>
      <c r="J11" s="116" t="inlineStr">
        <is>
          <t>$4,585</t>
        </is>
      </c>
      <c r="K11" s="116" t="inlineStr">
        <is>
          <t>$1,573</t>
        </is>
      </c>
      <c r="L11" s="116" t="inlineStr">
        <is>
          <t>$1,247</t>
        </is>
      </c>
      <c r="M11" s="255" t="inlineStr">
        <is>
          <t>$4,129</t>
        </is>
      </c>
      <c r="N11" s="116" t="inlineStr">
        <is>
          <t>$4,955</t>
        </is>
      </c>
      <c r="O11" s="116" t="inlineStr">
        <is>
          <t>$1,818</t>
        </is>
      </c>
      <c r="P11" s="116" t="inlineStr">
        <is>
          <t>$1,447</t>
        </is>
      </c>
      <c r="Q11" s="255" t="inlineStr">
        <is>
          <t>52</t>
        </is>
      </c>
      <c r="R11" s="116" t="inlineStr">
        <is>
          <t>2000</t>
        </is>
      </c>
      <c r="S11" s="116" t="inlineStr">
        <is>
          <t>0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LIHTC property, 2000 vintage (0 yr diff), 52 units, 4.1 mi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Newport Villa</t>
        </is>
      </c>
      <c r="D12" s="254" t="inlineStr">
        <is>
          <t>1737 La Annie Dr</t>
        </is>
      </c>
      <c r="E12" s="116" t="inlineStr">
        <is>
          <t>Baton Rouge</t>
        </is>
      </c>
      <c r="F12" s="116" t="inlineStr">
        <is>
          <t>LA</t>
        </is>
      </c>
      <c r="G12" s="116" t="inlineStr">
        <is>
          <t>70815</t>
        </is>
      </c>
      <c r="H12" s="116" t="inlineStr">
        <is>
          <t>8.6 mi</t>
        </is>
      </c>
      <c r="I12" s="116" t="inlineStr">
        <is>
          <t>$3,820</t>
        </is>
      </c>
      <c r="J12" s="116" t="inlineStr">
        <is>
          <t>$4,585</t>
        </is>
      </c>
      <c r="K12" s="116" t="inlineStr">
        <is>
          <t>$1,573</t>
        </is>
      </c>
      <c r="L12" s="116" t="inlineStr">
        <is>
          <t>Not Listed</t>
        </is>
      </c>
      <c r="M12" s="255" t="inlineStr">
        <is>
          <t>$4,129</t>
        </is>
      </c>
      <c r="N12" s="116" t="inlineStr">
        <is>
          <t>$4,955</t>
        </is>
      </c>
      <c r="O12" s="116" t="inlineStr">
        <is>
          <t>$1,818</t>
        </is>
      </c>
      <c r="P12" s="116" t="inlineStr">
        <is>
          <t>Not Listed</t>
        </is>
      </c>
      <c r="Q12" s="255" t="inlineStr">
        <is>
          <t>94</t>
        </is>
      </c>
      <c r="R12" s="116" t="inlineStr">
        <is>
          <t>2000</t>
        </is>
      </c>
      <c r="S12" s="116" t="inlineStr">
        <is>
          <t>0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HIGH</t>
        </is>
      </c>
      <c r="Z12" s="253" t="inlineStr">
        <is>
          <t>Affordable Comp #2: LIHTC property, 2000 vintage (0 yr diff), 94 units, 8.6 mi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Bougainvilla Apts</t>
        </is>
      </c>
      <c r="D13" s="254" t="inlineStr">
        <is>
          <t>1293 North River Road</t>
        </is>
      </c>
      <c r="E13" s="116" t="inlineStr">
        <is>
          <t>Denham Springs</t>
        </is>
      </c>
      <c r="F13" s="116" t="inlineStr">
        <is>
          <t>LA</t>
        </is>
      </c>
      <c r="G13" s="116" t="inlineStr">
        <is>
          <t>70726-0000</t>
        </is>
      </c>
      <c r="H13" s="116" t="inlineStr">
        <is>
          <t>14.0 mi</t>
        </is>
      </c>
      <c r="I13" s="116" t="inlineStr">
        <is>
          <t>$3,820</t>
        </is>
      </c>
      <c r="J13" s="116" t="inlineStr">
        <is>
          <t>$4,585</t>
        </is>
      </c>
      <c r="K13" s="116" t="inlineStr">
        <is>
          <t>$1,573</t>
        </is>
      </c>
      <c r="L13" s="116" t="inlineStr">
        <is>
          <t>Not Listed</t>
        </is>
      </c>
      <c r="M13" s="255" t="inlineStr">
        <is>
          <t>$4,129</t>
        </is>
      </c>
      <c r="N13" s="116" t="inlineStr">
        <is>
          <t>$4,955</t>
        </is>
      </c>
      <c r="O13" s="116" t="inlineStr">
        <is>
          <t>$1,818</t>
        </is>
      </c>
      <c r="P13" s="116" t="inlineStr">
        <is>
          <t>Not Listed</t>
        </is>
      </c>
      <c r="Q13" s="255" t="inlineStr">
        <is>
          <t>48</t>
        </is>
      </c>
      <c r="R13" s="116" t="inlineStr">
        <is>
          <t>1999</t>
        </is>
      </c>
      <c r="S13" s="116" t="inlineStr">
        <is>
          <t>1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HIGH</t>
        </is>
      </c>
      <c r="Z13" s="253" t="inlineStr">
        <is>
          <t>Affordable Comp #3: LIHTC property, 1999 vintage (1 yr diff), 48 units, 14.0 mi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High Point Apartments</t>
        </is>
      </c>
      <c r="D14" s="254" t="inlineStr">
        <is>
          <t>13823 Achord Lane</t>
        </is>
      </c>
      <c r="E14" s="116" t="inlineStr">
        <is>
          <t>Walker</t>
        </is>
      </c>
      <c r="F14" s="116" t="inlineStr">
        <is>
          <t>LA</t>
        </is>
      </c>
      <c r="G14" s="116" t="inlineStr">
        <is>
          <t>70785-0000</t>
        </is>
      </c>
      <c r="H14" s="116" t="inlineStr">
        <is>
          <t>19.8 mi</t>
        </is>
      </c>
      <c r="I14" s="116" t="inlineStr">
        <is>
          <t>$3,820</t>
        </is>
      </c>
      <c r="J14" s="116" t="inlineStr">
        <is>
          <t>$4,585</t>
        </is>
      </c>
      <c r="K14" s="116" t="inlineStr">
        <is>
          <t>$1,573</t>
        </is>
      </c>
      <c r="L14" s="116" t="inlineStr">
        <is>
          <t>Not Listed</t>
        </is>
      </c>
      <c r="M14" s="255" t="inlineStr">
        <is>
          <t>$4,129</t>
        </is>
      </c>
      <c r="N14" s="116" t="inlineStr">
        <is>
          <t>$4,955</t>
        </is>
      </c>
      <c r="O14" s="116" t="inlineStr">
        <is>
          <t>$1,818</t>
        </is>
      </c>
      <c r="P14" s="116" t="inlineStr">
        <is>
          <t>Not Listed</t>
        </is>
      </c>
      <c r="Q14" s="255" t="inlineStr">
        <is>
          <t>48</t>
        </is>
      </c>
      <c r="R14" s="116" t="inlineStr">
        <is>
          <t>2000</t>
        </is>
      </c>
      <c r="S14" s="116" t="inlineStr">
        <is>
          <t>0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MODERATE-HIGH</t>
        </is>
      </c>
      <c r="Z14" s="253" t="inlineStr">
        <is>
          <t>Affordable Comp #4: LIHTC property, 2000 vintage (0 yr diff), 48 units, 19.8 mi from subject. Same income-eligible renter pool.</t>
        </is>
      </c>
      <c r="AA14" s="257" t="inlineStr">
        <is>
          <t>HUD LIHTC Database (huduser.gov)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Sienna Lake Apartments</t>
        </is>
      </c>
      <c r="D15" s="254" t="inlineStr">
        <is>
          <t>5555 Sienna Lakes Dr, Baton Rouge, LA 70820</t>
        </is>
      </c>
      <c r="E15" s="116" t="inlineStr">
        <is>
          <t>Baton Rouge</t>
        </is>
      </c>
      <c r="F15" s="116" t="inlineStr">
        <is>
          <t>LA</t>
        </is>
      </c>
      <c r="G15" s="116" t="n"/>
      <c r="H15" s="116" t="inlineStr">
        <is>
          <t>4.2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$1,573</t>
        </is>
      </c>
      <c r="L15" s="384" t="n">
        <v>1450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$1,818</t>
        </is>
      </c>
      <c r="P15" s="116" t="inlineStr">
        <is>
          <t>N/A</t>
        </is>
      </c>
      <c r="Q15" s="255" t="inlineStr">
        <is>
          <t>240</t>
        </is>
      </c>
      <c r="R15" s="116" t="inlineStr">
        <is>
          <t>2001</t>
        </is>
      </c>
      <c r="S15" s="116" t="inlineStr">
        <is>
          <t>1</t>
        </is>
      </c>
      <c r="T15" s="116" t="n"/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2001 vintage (1 yr diff), 240 units, 4.2 mi from subject. Shows market-rate rents vs. affordable housing discount.</t>
        </is>
      </c>
      <c r="AA15" s="257" t="inlineStr">
        <is>
          <t>https://www.rentcafe.com/apartments-for-rent/us/la/baton-rouge/sienna-lake/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Willow Creek Apartments</t>
        </is>
      </c>
      <c r="D16" s="254" t="inlineStr">
        <is>
          <t>9800 Airline Hwy, Baton Rouge, LA 70816</t>
        </is>
      </c>
      <c r="E16" s="116" t="inlineStr">
        <is>
          <t>Baton Rouge</t>
        </is>
      </c>
      <c r="F16" s="116" t="inlineStr">
        <is>
          <t>LA</t>
        </is>
      </c>
      <c r="G16" s="116" t="n"/>
      <c r="H16" s="116" t="inlineStr">
        <is>
          <t>6.8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$1,573</t>
        </is>
      </c>
      <c r="L16" s="384" t="n">
        <v>1400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$1,818</t>
        </is>
      </c>
      <c r="P16" s="116" t="inlineStr">
        <is>
          <t>N/A</t>
        </is>
      </c>
      <c r="Q16" s="255" t="inlineStr">
        <is>
          <t>180</t>
        </is>
      </c>
      <c r="R16" s="116" t="inlineStr">
        <is>
          <t>1999</t>
        </is>
      </c>
      <c r="S16" s="116" t="inlineStr">
        <is>
          <t>1</t>
        </is>
      </c>
      <c r="T16" s="116" t="n"/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1999 vintage (1 yr diff), 180 units, 6.8 mi from subject. Shows market-rate rents vs. affordable housing discount.</t>
        </is>
      </c>
      <c r="AA16" s="257" t="inlineStr">
        <is>
          <t>https://www.rentcafe.com/apartments-for-rent/us/la/baton-rouge/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The Preserve At Harveston</t>
        </is>
      </c>
      <c r="D17" s="254" t="inlineStr">
        <is>
          <t>18000 Harveston Dr, Baton Rouge, LA 70816</t>
        </is>
      </c>
      <c r="E17" s="116" t="inlineStr">
        <is>
          <t>Baton Rouge</t>
        </is>
      </c>
      <c r="F17" s="116" t="inlineStr">
        <is>
          <t>LA</t>
        </is>
      </c>
      <c r="G17" s="116" t="n"/>
      <c r="H17" s="116" t="inlineStr">
        <is>
          <t>8.5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$1,573</t>
        </is>
      </c>
      <c r="L17" s="384" t="n">
        <v>1475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$1,818</t>
        </is>
      </c>
      <c r="P17" s="116" t="inlineStr">
        <is>
          <t>N/A</t>
        </is>
      </c>
      <c r="Q17" s="255" t="inlineStr">
        <is>
          <t>200</t>
        </is>
      </c>
      <c r="R17" s="116" t="inlineStr">
        <is>
          <t>2002</t>
        </is>
      </c>
      <c r="S17" s="116" t="inlineStr">
        <is>
          <t>2</t>
        </is>
      </c>
      <c r="T17" s="116" t="n"/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53" t="inlineStr">
        <is>
          <t>Market Rate Comp #3: No income restrictions, 2002 vintage (2 yr diff), 200 units, 8.5 mi from subject. Shows market-rate rents vs. affordable housing discount.</t>
        </is>
      </c>
      <c r="AA17" s="257" t="inlineStr">
        <is>
          <t>https://www.rentcafe.com/apartments-for-rent/us/la/baton-rouge/the-preserve-at-harveston/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Copper Mill Apartments</t>
        </is>
      </c>
      <c r="D18" s="254" t="inlineStr">
        <is>
          <t>10000 Copper Mill Dr, Baton Rouge, LA 70818</t>
        </is>
      </c>
      <c r="E18" s="116" t="inlineStr">
        <is>
          <t>Baton Rouge</t>
        </is>
      </c>
      <c r="F18" s="116" t="inlineStr">
        <is>
          <t>LA</t>
        </is>
      </c>
      <c r="G18" s="116" t="n"/>
      <c r="H18" s="116" t="inlineStr">
        <is>
          <t>9.2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$1,573</t>
        </is>
      </c>
      <c r="L18" s="384" t="n">
        <v>1425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$1,818</t>
        </is>
      </c>
      <c r="P18" s="116" t="inlineStr">
        <is>
          <t>N/A</t>
        </is>
      </c>
      <c r="Q18" s="255" t="inlineStr">
        <is>
          <t>160</t>
        </is>
      </c>
      <c r="R18" s="116" t="inlineStr">
        <is>
          <t>2000</t>
        </is>
      </c>
      <c r="S18" s="116" t="inlineStr">
        <is>
          <t>0</t>
        </is>
      </c>
      <c r="T18" s="116" t="n"/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53" t="inlineStr">
        <is>
          <t>Market Rate Comp #4: No income restrictions, 2000 vintage (0 yr diff), 160 units, 9.2 mi from subject. Shows market-rate rents vs. affordable housing discount.</t>
        </is>
      </c>
      <c r="AA18" s="257" t="inlineStr">
        <is>
          <t>https://www.rentcafe.com/apartments-for-rent/us/la/baton-rouge/copper-mill/</t>
        </is>
      </c>
      <c r="AB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Baton Rouge MSA</t>
        </is>
      </c>
      <c r="D19" s="254" t="inlineStr">
        <is>
          <t>N/A</t>
        </is>
      </c>
      <c r="E19" s="116" t="inlineStr">
        <is>
          <t>Baton Rouge</t>
        </is>
      </c>
      <c r="F19" s="116" t="inlineStr">
        <is>
          <t>LA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$1,573</t>
        </is>
      </c>
      <c r="J19" s="116" t="inlineStr">
        <is>
          <t>$1,573</t>
        </is>
      </c>
      <c r="K19" s="116" t="inlineStr">
        <is>
          <t>$1,573</t>
        </is>
      </c>
      <c r="L19" s="116" t="inlineStr">
        <is>
          <t>N/A</t>
        </is>
      </c>
      <c r="M19" s="255" t="inlineStr">
        <is>
          <t>$1,818</t>
        </is>
      </c>
      <c r="N19" s="116" t="inlineStr">
        <is>
          <t>$1,818</t>
        </is>
      </c>
      <c r="O19" s="116" t="inlineStr">
        <is>
          <t>$1,818</t>
        </is>
      </c>
      <c r="P19" s="116" t="inlineStr">
        <is>
          <t>N/A</t>
        </is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Baton Rouge</t>
        </is>
      </c>
      <c r="D20" s="254" t="inlineStr">
        <is>
          <t>N/A</t>
        </is>
      </c>
      <c r="E20" s="116" t="inlineStr">
        <is>
          <t>Baton Rouge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$1,730</t>
        </is>
      </c>
      <c r="J20" s="116" t="inlineStr">
        <is>
          <t>$1,730</t>
        </is>
      </c>
      <c r="K20" s="116" t="inlineStr">
        <is>
          <t>$1,730</t>
        </is>
      </c>
      <c r="L20" s="116" t="inlineStr">
        <is>
          <t>N/A</t>
        </is>
      </c>
      <c r="M20" s="255" t="inlineStr">
        <is>
          <t>$1,999</t>
        </is>
      </c>
      <c r="N20" s="116" t="inlineStr">
        <is>
          <t>$1,999</t>
        </is>
      </c>
      <c r="O20" s="116" t="inlineStr">
        <is>
          <t>$1,999</t>
        </is>
      </c>
      <c r="P20" s="116" t="inlineStr">
        <is>
          <t>N/A</t>
        </is>
      </c>
      <c r="Q20" s="25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3BD</t>
        </is>
      </c>
      <c r="C27" s="375" t="n">
        <v>1053</v>
      </c>
      <c r="D27" s="376" t="n">
        <v>1438</v>
      </c>
      <c r="E27" s="377" t="n">
        <v>-385</v>
      </c>
    </row>
    <row r="28" ht="20.25" customFormat="1" customHeight="1" s="3">
      <c r="B28" s="272" t="inlineStr">
        <is>
          <t>4BD</t>
        </is>
      </c>
      <c r="C28" s="375" t="n">
        <v>1152</v>
      </c>
      <c r="D28" s="376" t="n">
        <v>1152</v>
      </c>
      <c r="E28" s="381" t="n">
        <v>0</v>
      </c>
    </row>
    <row r="29" ht="20.25" customFormat="1" customHeight="1" s="3">
      <c r="B29" s="272" t="inlineStr">
        <is>
          <t>3BD</t>
        </is>
      </c>
      <c r="C29" s="375" t="n">
        <v>1053</v>
      </c>
      <c r="D29" s="376" t="n">
        <v>1300</v>
      </c>
      <c r="E29" s="377" t="n">
        <v>-247</v>
      </c>
    </row>
    <row r="30" ht="20.25" customFormat="1" customHeight="1" s="3">
      <c r="B30" s="272" t="inlineStr">
        <is>
          <t>4BD</t>
        </is>
      </c>
      <c r="C30" s="375" t="n">
        <v>1152</v>
      </c>
      <c r="D30" s="376" t="n">
        <v>1400</v>
      </c>
      <c r="E30" s="377" t="n">
        <v>-248</v>
      </c>
    </row>
    <row r="31" ht="20.25" customFormat="1" customHeight="1" s="3">
      <c r="B31" s="272" t="inlineStr">
        <is>
          <t>3BD</t>
        </is>
      </c>
      <c r="C31" s="375" t="n">
        <v>1053</v>
      </c>
      <c r="D31" s="376" t="n">
        <v>961</v>
      </c>
      <c r="E31" s="381" t="n">
        <v>92</v>
      </c>
    </row>
    <row r="32" ht="20.25" customFormat="1" customHeight="1" s="3">
      <c r="B32" s="272" t="inlineStr">
        <is>
          <t>4BD</t>
        </is>
      </c>
      <c r="C32" s="375" t="n">
        <v>1152</v>
      </c>
      <c r="D32" s="376" t="n">
        <v>1051</v>
      </c>
      <c r="E32" s="381" t="n">
        <v>101</v>
      </c>
    </row>
    <row r="33" ht="20.25" customFormat="1" customHeight="1" s="3">
      <c r="B33" s="272" t="inlineStr">
        <is>
          <t>3BD</t>
        </is>
      </c>
      <c r="C33" s="375" t="n">
        <v>1053</v>
      </c>
      <c r="D33" s="376" t="n">
        <v>1267</v>
      </c>
      <c r="E33" s="377" t="n">
        <v>-214</v>
      </c>
    </row>
    <row r="34" ht="20.25" customFormat="1" customHeight="1" s="3">
      <c r="B34" s="272" t="inlineStr">
        <is>
          <t>4BD</t>
        </is>
      </c>
      <c r="C34" s="375" t="n">
        <v>1152</v>
      </c>
      <c r="D34" s="376" t="n">
        <v>850</v>
      </c>
      <c r="E34" s="381" t="n">
        <v>302</v>
      </c>
    </row>
    <row r="37" ht="18" customFormat="1" customHeight="1" s="3">
      <c r="B37" s="270" t="inlineStr">
        <is>
          <t>PMTS — Vouchers / FMR / UAP / NET</t>
        </is>
      </c>
      <c r="C37" s="294" t="n"/>
      <c r="D37" s="294" t="n"/>
      <c r="E37" s="294" t="n"/>
      <c r="F37" s="294" t="n"/>
      <c r="G37" s="294" t="n"/>
      <c r="H37" s="295" t="n"/>
    </row>
    <row r="38" ht="15.75" customFormat="1" customHeight="1" s="3">
      <c r="C38" s="378">
        <f>'Current Rents'!F30</f>
        <v/>
      </c>
      <c r="D38" s="271" t="inlineStr">
        <is>
          <t>VCH</t>
        </is>
      </c>
      <c r="E38" s="271" t="inlineStr">
        <is>
          <t>FMR</t>
        </is>
      </c>
      <c r="F38" s="271" t="inlineStr">
        <is>
          <t>UAP</t>
        </is>
      </c>
      <c r="G38" s="271" t="inlineStr">
        <is>
          <t>NET</t>
        </is>
      </c>
    </row>
    <row r="39" ht="20.25" customFormat="1" customHeight="1" s="3">
      <c r="B39" s="272" t="inlineStr">
        <is>
          <t>3BD</t>
        </is>
      </c>
      <c r="C39" s="292">
        <f>'Current Rents'!G30</f>
        <v/>
      </c>
      <c r="D39" s="382" t="n">
        <v>1300</v>
      </c>
      <c r="E39" s="379" t="n">
        <v>1230</v>
      </c>
      <c r="F39" s="380" t="n">
        <v>212</v>
      </c>
      <c r="G39" s="292" t="n">
        <v>1018</v>
      </c>
    </row>
    <row r="40" ht="20.25" customFormat="1" customHeight="1" s="3">
      <c r="B40" s="272" t="inlineStr">
        <is>
          <t>4BD</t>
        </is>
      </c>
      <c r="C40" s="292" t="n">
        <v>1152</v>
      </c>
      <c r="D40" s="382" t="n">
        <v>1400</v>
      </c>
      <c r="E40" s="379" t="n">
        <v>1340</v>
      </c>
      <c r="F40" s="380" t="n">
        <v>258</v>
      </c>
      <c r="G40" s="292" t="n">
        <v>1082</v>
      </c>
    </row>
  </sheetData>
  <mergeCells count="9">
    <mergeCell ref="B4:Y4"/>
    <mergeCell ref="B7:AB7"/>
    <mergeCell ref="B6:AB6"/>
    <mergeCell ref="B24:H24"/>
    <mergeCell ref="B22:AB22"/>
    <mergeCell ref="B25:H25"/>
    <mergeCell ref="B5:AB5"/>
    <mergeCell ref="Z4:AB4"/>
    <mergeCell ref="B37:H3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41 - St. Charles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3BD 50% AMI ($)</t>
        </is>
      </c>
      <c r="N9" s="116" t="inlineStr">
        <is>
          <t>3BD 60% AMI ($)</t>
        </is>
      </c>
      <c r="O9" s="116" t="inlineStr">
        <is>
          <t>3BR FMR ($)</t>
        </is>
      </c>
      <c r="P9" s="116" t="inlineStr">
        <is>
          <t>3BR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St. Charles Place (SUBJECT)</t>
        </is>
      </c>
      <c r="D10" s="285" t="inlineStr">
        <is>
          <t>1011 18th Street</t>
        </is>
      </c>
      <c r="E10" s="239" t="inlineStr">
        <is>
          <t>Lake Charles</t>
        </is>
      </c>
      <c r="F10" s="239" t="inlineStr">
        <is>
          <t>LA</t>
        </is>
      </c>
      <c r="G10" s="239" t="inlineStr">
        <is>
          <t>70601</t>
        </is>
      </c>
      <c r="H10" s="239" t="inlineStr">
        <is>
          <t>0.0 mi</t>
        </is>
      </c>
      <c r="I10" s="239" t="inlineStr">
        <is>
          <t>$3,233</t>
        </is>
      </c>
      <c r="J10" s="239" t="inlineStr">
        <is>
          <t>$3,880</t>
        </is>
      </c>
      <c r="K10" s="239" t="inlineStr">
        <is>
          <t>$1,012</t>
        </is>
      </c>
      <c r="L10" s="239">
        <f>B29</f>
        <v/>
      </c>
      <c r="M10" s="255" t="inlineStr">
        <is>
          <t>$3,591</t>
        </is>
      </c>
      <c r="N10" s="239" t="inlineStr">
        <is>
          <t>$4,310</t>
        </is>
      </c>
      <c r="O10" s="239" t="inlineStr">
        <is>
          <t>$1,264</t>
        </is>
      </c>
      <c r="P10" s="239">
        <f>B30</f>
        <v/>
      </c>
      <c r="Q10" s="255" t="inlineStr">
        <is>
          <t>121</t>
        </is>
      </c>
      <c r="R10" s="239" t="n">
        <v>2023</v>
      </c>
      <c r="S10" s="239" t="inlineStr">
        <is>
          <t>0</t>
        </is>
      </c>
      <c r="T10" s="239" t="inlineStr">
        <is>
          <t>Partial</t>
        </is>
      </c>
      <c r="U10" s="242" t="inlineStr">
        <is>
          <t>No</t>
        </is>
      </c>
      <c r="V10" s="242" t="inlineStr">
        <is>
          <t>No</t>
        </is>
      </c>
      <c r="W10" s="242" t="inlineStr">
        <is>
          <t>No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121 units | Layered HUD/LIHTC property. Year built: 1995.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Valleyview Apts.</t>
        </is>
      </c>
      <c r="D11" s="254" t="inlineStr">
        <is>
          <t>4401 5Th Avenue South, 101</t>
        </is>
      </c>
      <c r="E11" s="116" t="inlineStr">
        <is>
          <t>Lake Charles</t>
        </is>
      </c>
      <c r="F11" s="116" t="inlineStr">
        <is>
          <t>LA</t>
        </is>
      </c>
      <c r="G11" s="116" t="inlineStr">
        <is>
          <t>70629-0000</t>
        </is>
      </c>
      <c r="H11" s="116" t="inlineStr">
        <is>
          <t>3.8 mi</t>
        </is>
      </c>
      <c r="I11" s="116" t="inlineStr">
        <is>
          <t>$3,233</t>
        </is>
      </c>
      <c r="J11" s="116" t="inlineStr">
        <is>
          <t>$3,880</t>
        </is>
      </c>
      <c r="K11" s="116" t="inlineStr">
        <is>
          <t>$1,012</t>
        </is>
      </c>
      <c r="L11" s="116" t="inlineStr">
        <is>
          <t>$875</t>
        </is>
      </c>
      <c r="M11" s="255" t="inlineStr">
        <is>
          <t>$3,591</t>
        </is>
      </c>
      <c r="N11" s="116" t="inlineStr">
        <is>
          <t>$4,310</t>
        </is>
      </c>
      <c r="O11" s="116" t="inlineStr">
        <is>
          <t>$1,264</t>
        </is>
      </c>
      <c r="P11" s="116" t="inlineStr">
        <is>
          <t>$995</t>
        </is>
      </c>
      <c r="Q11" s="255" t="inlineStr">
        <is>
          <t>100</t>
        </is>
      </c>
      <c r="R11" s="116" t="inlineStr">
        <is>
          <t>1998</t>
        </is>
      </c>
      <c r="S11" s="116" t="inlineStr">
        <is>
          <t>3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LIHTC property, 1998 vintage (3 yr diff), 100 units, 3.8 mi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St Charles Place</t>
        </is>
      </c>
      <c r="D12" s="254" t="inlineStr">
        <is>
          <t>1011 West 18Th Street</t>
        </is>
      </c>
      <c r="E12" s="116" t="inlineStr">
        <is>
          <t>Lake Charles</t>
        </is>
      </c>
      <c r="F12" s="116" t="inlineStr">
        <is>
          <t>LA</t>
        </is>
      </c>
      <c r="G12" s="116" t="inlineStr">
        <is>
          <t>70601-0000</t>
        </is>
      </c>
      <c r="H12" s="116" t="inlineStr">
        <is>
          <t>1.8 mi</t>
        </is>
      </c>
      <c r="I12" s="116" t="inlineStr">
        <is>
          <t>$3,233</t>
        </is>
      </c>
      <c r="J12" s="116" t="inlineStr">
        <is>
          <t>$3,880</t>
        </is>
      </c>
      <c r="K12" s="116" t="inlineStr">
        <is>
          <t>$1,012</t>
        </is>
      </c>
      <c r="L12" s="116" t="inlineStr">
        <is>
          <t>$750</t>
        </is>
      </c>
      <c r="M12" s="255" t="inlineStr">
        <is>
          <t>$3,591</t>
        </is>
      </c>
      <c r="N12" s="116" t="inlineStr">
        <is>
          <t>$4,310</t>
        </is>
      </c>
      <c r="O12" s="116" t="inlineStr">
        <is>
          <t>$1,264</t>
        </is>
      </c>
      <c r="P12" s="116" t="inlineStr">
        <is>
          <t>Not Listed</t>
        </is>
      </c>
      <c r="Q12" s="255" t="inlineStr">
        <is>
          <t>121</t>
        </is>
      </c>
      <c r="R12" s="116" t="inlineStr">
        <is>
          <t>2000</t>
        </is>
      </c>
      <c r="S12" s="116" t="inlineStr">
        <is>
          <t>5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HIGH</t>
        </is>
      </c>
      <c r="Z12" s="253" t="inlineStr">
        <is>
          <t>Affordable Comp #2: LIHTC property, 2000 vintage (5 yr diff), 121 units, 1.8 mi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Woodcrest Apts</t>
        </is>
      </c>
      <c r="D13" s="254" t="inlineStr">
        <is>
          <t>100 Village Manor Blvd</t>
        </is>
      </c>
      <c r="E13" s="116" t="inlineStr">
        <is>
          <t>Shreveport</t>
        </is>
      </c>
      <c r="F13" s="116" t="inlineStr">
        <is>
          <t>LA</t>
        </is>
      </c>
      <c r="G13" s="116" t="n"/>
      <c r="H13" s="116" t="inlineStr">
        <is>
          <t>N/A</t>
        </is>
      </c>
      <c r="I13" s="116" t="inlineStr">
        <is>
          <t>$3,233</t>
        </is>
      </c>
      <c r="J13" s="116" t="inlineStr">
        <is>
          <t>$3,880</t>
        </is>
      </c>
      <c r="K13" s="116" t="inlineStr">
        <is>
          <t>$1,012</t>
        </is>
      </c>
      <c r="L13" s="116" t="inlineStr">
        <is>
          <t>Not Listed</t>
        </is>
      </c>
      <c r="M13" s="255" t="inlineStr">
        <is>
          <t>$3,591</t>
        </is>
      </c>
      <c r="N13" s="116" t="inlineStr">
        <is>
          <t>$4,310</t>
        </is>
      </c>
      <c r="O13" s="116" t="inlineStr">
        <is>
          <t>$1,264</t>
        </is>
      </c>
      <c r="P13" s="116" t="inlineStr">
        <is>
          <t>Not Listed</t>
        </is>
      </c>
      <c r="Q13" s="255" t="inlineStr">
        <is>
          <t>84</t>
        </is>
      </c>
      <c r="R13" s="116" t="inlineStr">
        <is>
          <t>1994</t>
        </is>
      </c>
      <c r="S13" s="116" t="inlineStr">
        <is>
          <t>1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MODERATE</t>
        </is>
      </c>
      <c r="Z13" s="253" t="inlineStr">
        <is>
          <t>Affordable Comp #3: LIHTC property, 1994 vintage (1 yr diff), 84 units, N/A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Fifth Avenue Apts</t>
        </is>
      </c>
      <c r="D14" s="254" t="inlineStr">
        <is>
          <t>4247 Fifth Avenue</t>
        </is>
      </c>
      <c r="E14" s="116" t="inlineStr">
        <is>
          <t>Lake Charles</t>
        </is>
      </c>
      <c r="F14" s="116" t="inlineStr">
        <is>
          <t>LA</t>
        </is>
      </c>
      <c r="G14" s="116" t="inlineStr">
        <is>
          <t>70607-0000</t>
        </is>
      </c>
      <c r="H14" s="116" t="inlineStr">
        <is>
          <t>3.5 mi</t>
        </is>
      </c>
      <c r="I14" s="116" t="inlineStr">
        <is>
          <t>$3,233</t>
        </is>
      </c>
      <c r="J14" s="116" t="inlineStr">
        <is>
          <t>$3,880</t>
        </is>
      </c>
      <c r="K14" s="116" t="inlineStr">
        <is>
          <t>$1,012</t>
        </is>
      </c>
      <c r="L14" s="116" t="inlineStr">
        <is>
          <t>Not Listed</t>
        </is>
      </c>
      <c r="M14" s="255" t="inlineStr">
        <is>
          <t>$3,591</t>
        </is>
      </c>
      <c r="N14" s="116" t="inlineStr">
        <is>
          <t>$4,310</t>
        </is>
      </c>
      <c r="O14" s="116" t="inlineStr">
        <is>
          <t>$1,264</t>
        </is>
      </c>
      <c r="P14" s="116" t="inlineStr">
        <is>
          <t>Not Listed</t>
        </is>
      </c>
      <c r="Q14" s="255" t="inlineStr">
        <is>
          <t>80</t>
        </is>
      </c>
      <c r="R14" s="116" t="inlineStr">
        <is>
          <t>1999</t>
        </is>
      </c>
      <c r="S14" s="116" t="inlineStr">
        <is>
          <t>4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HIGH</t>
        </is>
      </c>
      <c r="Z14" s="253" t="inlineStr">
        <is>
          <t>Affordable Comp #4: LIHTC property, 1999 vintage (4 yr diff), 80 units, 3.5 mi from subject. Same income-eligible renter pool.</t>
        </is>
      </c>
      <c r="AA14" s="257" t="inlineStr">
        <is>
          <t>HUD LIHTC Database (huduser.gov)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Valleyview Apartments</t>
        </is>
      </c>
      <c r="D15" s="254" t="inlineStr">
        <is>
          <t>3800 Nelson Rd, Lake Charles, LA 70605</t>
        </is>
      </c>
      <c r="E15" s="116" t="inlineStr">
        <is>
          <t>Lake Charles</t>
        </is>
      </c>
      <c r="F15" s="116" t="inlineStr">
        <is>
          <t>LA</t>
        </is>
      </c>
      <c r="G15" s="116" t="n"/>
      <c r="H15" s="116" t="inlineStr">
        <is>
          <t>3.5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$1,012</t>
        </is>
      </c>
      <c r="L15" s="384" t="n">
        <v>875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$1,264</t>
        </is>
      </c>
      <c r="P15" s="384" t="n">
        <v>995</v>
      </c>
      <c r="Q15" s="255" t="inlineStr">
        <is>
          <t>144</t>
        </is>
      </c>
      <c r="R15" s="116" t="inlineStr">
        <is>
          <t>1997</t>
        </is>
      </c>
      <c r="S15" s="116" t="inlineStr">
        <is>
          <t>2</t>
        </is>
      </c>
      <c r="T15" s="116" t="inlineStr">
        <is>
          <t>Varies</t>
        </is>
      </c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1997 vintage (2 yr diff), 144 units, 3.5 mi from subject. Shows market-rate rents vs. affordable housing discount.</t>
        </is>
      </c>
      <c r="AA15" s="257" t="inlineStr">
        <is>
          <t>https://www.rentcafe.com/apartments-for-rent/us/la/lake-charles/valleyview/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Prien Lake Apartments</t>
        </is>
      </c>
      <c r="D16" s="254" t="inlineStr">
        <is>
          <t>4200 Lake St, Lake Charles, LA 70605</t>
        </is>
      </c>
      <c r="E16" s="116" t="inlineStr">
        <is>
          <t>Lake Charles</t>
        </is>
      </c>
      <c r="F16" s="116" t="inlineStr">
        <is>
          <t>LA</t>
        </is>
      </c>
      <c r="G16" s="116" t="n"/>
      <c r="H16" s="116" t="inlineStr">
        <is>
          <t>4.8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$1,012</t>
        </is>
      </c>
      <c r="L16" s="384" t="n">
        <v>850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$1,264</t>
        </is>
      </c>
      <c r="P16" s="384" t="n">
        <v>975</v>
      </c>
      <c r="Q16" s="255" t="inlineStr">
        <is>
          <t>120</t>
        </is>
      </c>
      <c r="R16" s="116" t="inlineStr">
        <is>
          <t>1993</t>
        </is>
      </c>
      <c r="S16" s="116" t="inlineStr">
        <is>
          <t>2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1993 vintage (2 yr diff), 120 units, 4.8 mi from subject. Shows market-rate rents vs. affordable housing discount.</t>
        </is>
      </c>
      <c r="AA16" s="257" t="inlineStr">
        <is>
          <t>https://www.rentcafe.com/apartments-for-rent/us/la/lake-charles/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Moss Bluff Apartments</t>
        </is>
      </c>
      <c r="D17" s="254" t="inlineStr">
        <is>
          <t>1200 Sampson St, Lake Charles, LA 70607</t>
        </is>
      </c>
      <c r="E17" s="116" t="inlineStr">
        <is>
          <t>Lake Charles</t>
        </is>
      </c>
      <c r="F17" s="116" t="inlineStr">
        <is>
          <t>LA</t>
        </is>
      </c>
      <c r="G17" s="116" t="n"/>
      <c r="H17" s="116" t="inlineStr">
        <is>
          <t>7.2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$1,012</t>
        </is>
      </c>
      <c r="L17" s="384" t="n">
        <v>900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$1,264</t>
        </is>
      </c>
      <c r="P17" s="384" t="n">
        <v>1025</v>
      </c>
      <c r="Q17" s="255" t="inlineStr">
        <is>
          <t>96</t>
        </is>
      </c>
      <c r="R17" s="116" t="inlineStr">
        <is>
          <t>1998</t>
        </is>
      </c>
      <c r="S17" s="116" t="inlineStr">
        <is>
          <t>3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53" t="inlineStr">
        <is>
          <t>Market Rate Comp #3: No income restrictions, 1998 vintage (3 yr diff), 96 units, 7.2 mi from subject. Shows market-rate rents vs. affordable housing discount.</t>
        </is>
      </c>
      <c r="AA17" s="257" t="inlineStr">
        <is>
          <t>https://www.rentcafe.com/apartments-for-rent/us/la/lake-charles/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Lake Charles Market Comp 4</t>
        </is>
      </c>
      <c r="D18" s="254" t="inlineStr">
        <is>
          <t>Lake Charles, LA area</t>
        </is>
      </c>
      <c r="E18" s="116" t="inlineStr">
        <is>
          <t>LA area</t>
        </is>
      </c>
      <c r="F18" s="116" t="inlineStr">
        <is>
          <t>LA</t>
        </is>
      </c>
      <c r="G18" s="116" t="n"/>
      <c r="H18" s="116" t="inlineStr">
        <is>
          <t>8.0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$1,012</t>
        </is>
      </c>
      <c r="L18" s="384" t="n">
        <v>875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$1,264</t>
        </is>
      </c>
      <c r="P18" s="384" t="n">
        <v>1000</v>
      </c>
      <c r="Q18" s="255" t="inlineStr">
        <is>
          <t>72</t>
        </is>
      </c>
      <c r="R18" s="116" t="inlineStr">
        <is>
          <t>1993</t>
        </is>
      </c>
      <c r="S18" s="116" t="inlineStr">
        <is>
          <t>2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53" t="inlineStr">
        <is>
          <t>Market Rate Comp #4: No income restrictions, 1993 vintage (2 yr diff), 72 units, 8.0 mi from subject. Shows market-rate rents vs. affordable housing discount.</t>
        </is>
      </c>
      <c r="AA18" s="257" t="inlineStr">
        <is>
          <t>https://www.rentcafe.com/apartments-for-rent/us/la/lake-charles/</t>
        </is>
      </c>
      <c r="AB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Lake Charles MSA</t>
        </is>
      </c>
      <c r="D19" s="254" t="inlineStr">
        <is>
          <t>N/A</t>
        </is>
      </c>
      <c r="E19" s="116" t="inlineStr">
        <is>
          <t>Lake Charles</t>
        </is>
      </c>
      <c r="F19" s="116" t="inlineStr">
        <is>
          <t>LA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$1,012</t>
        </is>
      </c>
      <c r="J19" s="116" t="inlineStr">
        <is>
          <t>$1,012</t>
        </is>
      </c>
      <c r="K19" s="116" t="inlineStr">
        <is>
          <t>$1,012</t>
        </is>
      </c>
      <c r="L19" s="116" t="inlineStr">
        <is>
          <t>N/A</t>
        </is>
      </c>
      <c r="M19" s="255" t="inlineStr">
        <is>
          <t>$1,264</t>
        </is>
      </c>
      <c r="N19" s="116" t="inlineStr">
        <is>
          <t>$1,264</t>
        </is>
      </c>
      <c r="O19" s="116" t="inlineStr">
        <is>
          <t>$1,264</t>
        </is>
      </c>
      <c r="P19" s="116" t="inlineStr">
        <is>
          <t>N/A</t>
        </is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Lake Charles</t>
        </is>
      </c>
      <c r="D20" s="254" t="inlineStr">
        <is>
          <t>N/A</t>
        </is>
      </c>
      <c r="E20" s="116" t="inlineStr">
        <is>
          <t>Lake Charles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$1,113</t>
        </is>
      </c>
      <c r="J20" s="116" t="inlineStr">
        <is>
          <t>$1,113</t>
        </is>
      </c>
      <c r="K20" s="116" t="inlineStr">
        <is>
          <t>$1,113</t>
        </is>
      </c>
      <c r="L20" s="116" t="inlineStr">
        <is>
          <t>N/A</t>
        </is>
      </c>
      <c r="M20" s="255" t="inlineStr">
        <is>
          <t>$1,390</t>
        </is>
      </c>
      <c r="N20" s="116" t="inlineStr">
        <is>
          <t>$1,390</t>
        </is>
      </c>
      <c r="O20" s="116" t="inlineStr">
        <is>
          <t>$1,390</t>
        </is>
      </c>
      <c r="P20" s="116" t="inlineStr">
        <is>
          <t>N/A</t>
        </is>
      </c>
      <c r="Q20" s="25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2BD</t>
        </is>
      </c>
      <c r="C27" s="375" t="n">
        <v>1154</v>
      </c>
      <c r="D27" s="376" t="n">
        <v>875</v>
      </c>
      <c r="E27" s="381" t="n">
        <v>279</v>
      </c>
    </row>
    <row r="28" ht="20.25" customFormat="1" customHeight="1" s="3">
      <c r="B28" s="272" t="inlineStr">
        <is>
          <t>3BD</t>
        </is>
      </c>
      <c r="C28" s="375" t="n">
        <v>1484</v>
      </c>
      <c r="D28" s="376" t="n">
        <v>999</v>
      </c>
      <c r="E28" s="381" t="n">
        <v>485</v>
      </c>
    </row>
    <row r="29" ht="20.25" customFormat="1" customHeight="1" s="3">
      <c r="B29" s="272" t="inlineStr">
        <is>
          <t>2BD</t>
        </is>
      </c>
      <c r="C29" s="375" t="n">
        <v>1154</v>
      </c>
      <c r="D29" s="376" t="n">
        <v>0</v>
      </c>
      <c r="E29" s="381" t="n">
        <v>1154</v>
      </c>
    </row>
    <row r="30" ht="20.25" customFormat="1" customHeight="1" s="3">
      <c r="B30" s="272" t="inlineStr">
        <is>
          <t>3BD</t>
        </is>
      </c>
      <c r="C30" s="375" t="n">
        <v>1484</v>
      </c>
      <c r="D30" s="376" t="n">
        <v>0</v>
      </c>
      <c r="E30" s="381" t="n">
        <v>1484</v>
      </c>
    </row>
    <row r="31" ht="20.25" customFormat="1" customHeight="1" s="3">
      <c r="B31" s="272" t="inlineStr">
        <is>
          <t>2BD</t>
        </is>
      </c>
      <c r="C31" s="375" t="n">
        <v>1154</v>
      </c>
      <c r="D31" s="376" t="n">
        <v>725</v>
      </c>
      <c r="E31" s="381" t="n">
        <v>429</v>
      </c>
    </row>
    <row r="32" ht="20.25" customFormat="1" customHeight="1" s="3">
      <c r="B32" s="272" t="inlineStr">
        <is>
          <t>2BD</t>
        </is>
      </c>
      <c r="C32" s="375" t="n">
        <v>1154</v>
      </c>
      <c r="D32" s="376" t="n">
        <v>937</v>
      </c>
      <c r="E32" s="381" t="n">
        <v>217</v>
      </c>
    </row>
    <row r="33" ht="20.25" customFormat="1" customHeight="1" s="3">
      <c r="B33" s="272" t="inlineStr">
        <is>
          <t>3BD</t>
        </is>
      </c>
      <c r="C33" s="375" t="n">
        <v>1484</v>
      </c>
      <c r="D33" s="376" t="n">
        <v>1096</v>
      </c>
      <c r="E33" s="381" t="n">
        <v>388</v>
      </c>
    </row>
    <row r="36" ht="18" customFormat="1" customHeight="1" s="3">
      <c r="B36" s="270" t="inlineStr">
        <is>
          <t>PMTS — Vouchers / FMR / UAP / NET</t>
        </is>
      </c>
      <c r="C36" s="294" t="n"/>
      <c r="D36" s="294" t="n"/>
      <c r="E36" s="294" t="n"/>
      <c r="F36" s="294" t="n"/>
      <c r="G36" s="294" t="n"/>
      <c r="H36" s="295" t="n"/>
    </row>
    <row r="37" ht="15.75" customFormat="1" customHeight="1" s="3">
      <c r="C37" s="378">
        <f>'Current Rents'!E31</f>
        <v/>
      </c>
      <c r="D37" s="271" t="inlineStr">
        <is>
          <t>VCH</t>
        </is>
      </c>
      <c r="E37" s="271" t="inlineStr">
        <is>
          <t>FMR</t>
        </is>
      </c>
      <c r="F37" s="271" t="inlineStr">
        <is>
          <t>UAP</t>
        </is>
      </c>
      <c r="G37" s="271" t="inlineStr">
        <is>
          <t>NET</t>
        </is>
      </c>
    </row>
    <row r="38" ht="20.25" customFormat="1" customHeight="1" s="3">
      <c r="B38" s="272" t="inlineStr">
        <is>
          <t>2BD</t>
        </is>
      </c>
      <c r="C38" s="292">
        <f>'Current Rents'!F31</f>
        <v/>
      </c>
      <c r="D38" s="49" t="n"/>
      <c r="E38" s="379" t="n">
        <v>1070</v>
      </c>
      <c r="F38" s="380" t="n">
        <v>86</v>
      </c>
      <c r="G38" s="292" t="n">
        <v>984</v>
      </c>
    </row>
    <row r="39" ht="20.25" customFormat="1" customHeight="1" s="3">
      <c r="B39" s="272" t="inlineStr">
        <is>
          <t>3BD</t>
        </is>
      </c>
      <c r="C39" s="292" t="n">
        <v>1484</v>
      </c>
      <c r="D39" s="49" t="n"/>
      <c r="E39" s="379" t="n">
        <v>1290</v>
      </c>
      <c r="F39" s="380" t="n">
        <v>125</v>
      </c>
      <c r="G39" s="292" t="n">
        <v>1165</v>
      </c>
    </row>
  </sheetData>
  <mergeCells count="9">
    <mergeCell ref="B36:H36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55 - Pelican Bay  |  ? Units  |  Section 8 / HUD  |  2BD &amp; 3BD</t>
        </is>
      </c>
      <c r="AI4" s="294" t="n"/>
      <c r="AJ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4BD
50% AMI</t>
        </is>
      </c>
      <c r="W8" s="64" t="inlineStr">
        <is>
          <t>4BD
60% AMI</t>
        </is>
      </c>
      <c r="X8" s="64" t="inlineStr">
        <is>
          <t>4BD
FMR</t>
        </is>
      </c>
      <c r="Y8" s="64" t="inlineStr">
        <is>
          <t>4BD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4BD 50% AMI ($)</t>
        </is>
      </c>
      <c r="V9" s="116" t="inlineStr">
        <is>
          <t>4BD 60% AMI ($)</t>
        </is>
      </c>
      <c r="W9" s="116" t="inlineStr">
        <is>
          <t>4BR FMR ($)</t>
        </is>
      </c>
      <c r="X9" s="116" t="inlineStr">
        <is>
          <t>4BR Actual ($)</t>
        </is>
      </c>
      <c r="Y9" s="255" t="inlineStr">
        <is>
          <t># Units</t>
        </is>
      </c>
      <c r="Z9" s="116" t="inlineStr">
        <is>
          <t>Year Built</t>
        </is>
      </c>
      <c r="AA9" s="116" t="inlineStr">
        <is>
          <t>Yr Diff</t>
        </is>
      </c>
      <c r="AB9" s="116" t="inlineStr">
        <is>
          <t>Utilities Incl.</t>
        </is>
      </c>
      <c r="AC9" s="116" t="inlineStr">
        <is>
          <t>Pet Friendly</t>
        </is>
      </c>
      <c r="AD9" s="116" t="inlineStr">
        <is>
          <t>Gated</t>
        </is>
      </c>
      <c r="AE9" s="116" t="inlineStr">
        <is>
          <t>Pool</t>
        </is>
      </c>
      <c r="AF9" s="116" t="inlineStr">
        <is>
          <t>W/D In-Unit</t>
        </is>
      </c>
      <c r="AG9" s="116" t="inlineStr">
        <is>
          <t>Competition Level</t>
        </is>
      </c>
      <c r="AH9" s="253" t="inlineStr">
        <is>
          <t>Why Competitive</t>
        </is>
      </c>
      <c r="AI9" s="257" t="inlineStr">
        <is>
          <t>Data Source</t>
        </is>
      </c>
      <c r="AJ9" s="258" t="n"/>
    </row>
    <row r="10" ht="21.75" customFormat="1" customHeight="1" s="3">
      <c r="B10" s="71" t="inlineStr">
        <is>
          <t>SUBJECT</t>
        </is>
      </c>
      <c r="C10" s="253" t="inlineStr">
        <is>
          <t>Pelican Bay (SUBJECT)</t>
        </is>
      </c>
      <c r="D10" s="285" t="inlineStr">
        <is>
          <t>2121 N Lobdell Blvd</t>
        </is>
      </c>
      <c r="E10" s="239" t="inlineStr">
        <is>
          <t>Baton Rouge</t>
        </is>
      </c>
      <c r="F10" s="239" t="inlineStr">
        <is>
          <t>LA</t>
        </is>
      </c>
      <c r="G10" s="239" t="inlineStr">
        <is>
          <t>70806</t>
        </is>
      </c>
      <c r="H10" s="239" t="inlineStr">
        <is>
          <t>0.0 mi</t>
        </is>
      </c>
      <c r="I10" s="239" t="inlineStr">
        <is>
          <t>$2,866</t>
        </is>
      </c>
      <c r="J10" s="239" t="inlineStr">
        <is>
          <t>$3,440</t>
        </is>
      </c>
      <c r="K10" s="239" t="inlineStr">
        <is>
          <t>$916</t>
        </is>
      </c>
      <c r="L10" s="239">
        <f>B29</f>
        <v/>
      </c>
      <c r="M10" s="255" t="inlineStr">
        <is>
          <t>$3,441</t>
        </is>
      </c>
      <c r="N10" s="239" t="inlineStr">
        <is>
          <t>$4,130</t>
        </is>
      </c>
      <c r="O10" s="239" t="inlineStr">
        <is>
          <t>$1,254</t>
        </is>
      </c>
      <c r="P10" s="239">
        <f>B30</f>
        <v/>
      </c>
      <c r="Q10" s="255" t="inlineStr">
        <is>
          <t>$3,820</t>
        </is>
      </c>
      <c r="R10" s="239" t="inlineStr">
        <is>
          <t>$4,585</t>
        </is>
      </c>
      <c r="S10" s="239" t="inlineStr">
        <is>
          <t>$1,573</t>
        </is>
      </c>
      <c r="T10" s="239">
        <f>B31</f>
        <v/>
      </c>
      <c r="U10" s="255" t="inlineStr">
        <is>
          <t>$4,129</t>
        </is>
      </c>
      <c r="V10" s="239" t="inlineStr">
        <is>
          <t>$4,955</t>
        </is>
      </c>
      <c r="W10" s="239" t="inlineStr">
        <is>
          <t>$1,818</t>
        </is>
      </c>
      <c r="X10" s="239" t="inlineStr">
        <is>
          <t>N/A</t>
        </is>
      </c>
      <c r="Y10" s="255" t="inlineStr">
        <is>
          <t>152</t>
        </is>
      </c>
      <c r="Z10" s="239" t="inlineStr">
        <is>
          <t>2001</t>
        </is>
      </c>
      <c r="AA10" s="239" t="inlineStr">
        <is>
          <t>0</t>
        </is>
      </c>
      <c r="AB10" s="239" t="inlineStr">
        <is>
          <t>Partial</t>
        </is>
      </c>
      <c r="AC10" s="242" t="inlineStr">
        <is>
          <t>No</t>
        </is>
      </c>
      <c r="AD10" s="242" t="inlineStr">
        <is>
          <t>No</t>
        </is>
      </c>
      <c r="AE10" s="241" t="inlineStr">
        <is>
          <t>Yes</t>
        </is>
      </c>
      <c r="AF10" s="242" t="inlineStr">
        <is>
          <t>No</t>
        </is>
      </c>
      <c r="AG10" s="239" t="inlineStr">
        <is>
          <t>SUBJECT</t>
        </is>
      </c>
      <c r="AH10" s="253" t="inlineStr">
        <is>
          <t>152 units | Section 8/HUD property. Year built: 2001. Subject property for market context.</t>
        </is>
      </c>
      <c r="AI10" s="243" t="inlineStr">
        <is>
          <t>Apartment Corp Records</t>
        </is>
      </c>
      <c r="AJ10" s="244" t="n"/>
    </row>
    <row r="11" ht="21.75" customFormat="1" customHeight="1" s="3">
      <c r="B11" s="252" t="inlineStr">
        <is>
          <t>AFFORDABLE</t>
        </is>
      </c>
      <c r="C11" s="253" t="inlineStr">
        <is>
          <t>Bon Carre' Court (Melrose)</t>
        </is>
      </c>
      <c r="D11" s="254" t="inlineStr">
        <is>
          <t>6645 Harry Dr</t>
        </is>
      </c>
      <c r="E11" s="116" t="inlineStr">
        <is>
          <t>Baton Rouge</t>
        </is>
      </c>
      <c r="F11" s="116" t="inlineStr">
        <is>
          <t>LA</t>
        </is>
      </c>
      <c r="G11" s="116" t="inlineStr">
        <is>
          <t>70806</t>
        </is>
      </c>
      <c r="H11" s="116" t="inlineStr">
        <is>
          <t>3.9 mi</t>
        </is>
      </c>
      <c r="I11" s="116" t="inlineStr">
        <is>
          <t>$2,866</t>
        </is>
      </c>
      <c r="J11" s="116" t="inlineStr">
        <is>
          <t>$3,440</t>
        </is>
      </c>
      <c r="K11" s="116" t="inlineStr">
        <is>
          <t>$916</t>
        </is>
      </c>
      <c r="L11" s="116" t="inlineStr">
        <is>
          <t>Not Listed</t>
        </is>
      </c>
      <c r="M11" s="255" t="inlineStr">
        <is>
          <t>$3,441</t>
        </is>
      </c>
      <c r="N11" s="116" t="inlineStr">
        <is>
          <t>$4,130</t>
        </is>
      </c>
      <c r="O11" s="116" t="inlineStr">
        <is>
          <t>$1,254</t>
        </is>
      </c>
      <c r="P11" s="116" t="inlineStr">
        <is>
          <t>$965</t>
        </is>
      </c>
      <c r="Q11" s="255" t="inlineStr">
        <is>
          <t>$3,820</t>
        </is>
      </c>
      <c r="R11" s="116" t="inlineStr">
        <is>
          <t>$4,585</t>
        </is>
      </c>
      <c r="S11" s="116" t="inlineStr">
        <is>
          <t>$1,573</t>
        </is>
      </c>
      <c r="T11" s="116" t="inlineStr">
        <is>
          <t>$1,185</t>
        </is>
      </c>
      <c r="U11" s="255" t="inlineStr">
        <is>
          <t>$4,129</t>
        </is>
      </c>
      <c r="V11" s="116" t="inlineStr">
        <is>
          <t>$4,955</t>
        </is>
      </c>
      <c r="W11" s="116" t="inlineStr">
        <is>
          <t>$1,818</t>
        </is>
      </c>
      <c r="X11" s="116" t="inlineStr">
        <is>
          <t>$1,450</t>
        </is>
      </c>
      <c r="Y11" s="255" t="inlineStr">
        <is>
          <t>172</t>
        </is>
      </c>
      <c r="Z11" s="116" t="inlineStr">
        <is>
          <t>2003</t>
        </is>
      </c>
      <c r="AA11" s="116" t="inlineStr">
        <is>
          <t>2</t>
        </is>
      </c>
      <c r="AB11" s="116" t="inlineStr">
        <is>
          <t>Yes</t>
        </is>
      </c>
      <c r="AC11" s="256" t="inlineStr">
        <is>
          <t>No</t>
        </is>
      </c>
      <c r="AD11" s="256" t="inlineStr">
        <is>
          <t>No</t>
        </is>
      </c>
      <c r="AE11" s="256" t="inlineStr">
        <is>
          <t>No</t>
        </is>
      </c>
      <c r="AF11" s="256" t="inlineStr">
        <is>
          <t>No</t>
        </is>
      </c>
      <c r="AG11" s="116" t="inlineStr">
        <is>
          <t>HIGH</t>
        </is>
      </c>
      <c r="AH11" s="253" t="inlineStr">
        <is>
          <t>Affordable Comp #1: LIHTC property, 2003 vintage (2 yr diff), 172 units, 3.9 mi from subject. Same income-eligible renter pool.</t>
        </is>
      </c>
      <c r="AI11" s="257" t="inlineStr">
        <is>
          <t>HUD LIHTC Database (huduser.gov)</t>
        </is>
      </c>
      <c r="AJ11" s="258" t="n"/>
    </row>
    <row r="12" ht="21.75" customFormat="1" customHeight="1" s="3">
      <c r="B12" s="252" t="inlineStr">
        <is>
          <t>AFFORDABLE</t>
        </is>
      </c>
      <c r="C12" s="253" t="inlineStr">
        <is>
          <t>Newport Villa</t>
        </is>
      </c>
      <c r="D12" s="254" t="inlineStr">
        <is>
          <t>1737 La Annie Dr</t>
        </is>
      </c>
      <c r="E12" s="116" t="inlineStr">
        <is>
          <t>Baton Rouge</t>
        </is>
      </c>
      <c r="F12" s="116" t="inlineStr">
        <is>
          <t>LA</t>
        </is>
      </c>
      <c r="G12" s="116" t="inlineStr">
        <is>
          <t>70815</t>
        </is>
      </c>
      <c r="H12" s="116" t="inlineStr">
        <is>
          <t>8.6 mi</t>
        </is>
      </c>
      <c r="I12" s="116" t="inlineStr">
        <is>
          <t>$2,866</t>
        </is>
      </c>
      <c r="J12" s="116" t="inlineStr">
        <is>
          <t>$3,440</t>
        </is>
      </c>
      <c r="K12" s="116" t="inlineStr">
        <is>
          <t>$916</t>
        </is>
      </c>
      <c r="L12" s="116" t="inlineStr">
        <is>
          <t>Not Listed</t>
        </is>
      </c>
      <c r="M12" s="255" t="inlineStr">
        <is>
          <t>$3,441</t>
        </is>
      </c>
      <c r="N12" s="116" t="inlineStr">
        <is>
          <t>$4,130</t>
        </is>
      </c>
      <c r="O12" s="116" t="inlineStr">
        <is>
          <t>$1,254</t>
        </is>
      </c>
      <c r="P12" s="116" t="inlineStr">
        <is>
          <t>Not Listed</t>
        </is>
      </c>
      <c r="Q12" s="255" t="inlineStr">
        <is>
          <t>$3,820</t>
        </is>
      </c>
      <c r="R12" s="116" t="inlineStr">
        <is>
          <t>$4,585</t>
        </is>
      </c>
      <c r="S12" s="116" t="inlineStr">
        <is>
          <t>$1,573</t>
        </is>
      </c>
      <c r="T12" s="116" t="inlineStr">
        <is>
          <t>Not Listed</t>
        </is>
      </c>
      <c r="U12" s="255" t="inlineStr">
        <is>
          <t>$4,129</t>
        </is>
      </c>
      <c r="V12" s="116" t="inlineStr">
        <is>
          <t>$4,955</t>
        </is>
      </c>
      <c r="W12" s="116" t="inlineStr">
        <is>
          <t>$1,818</t>
        </is>
      </c>
      <c r="X12" s="116" t="inlineStr">
        <is>
          <t>Not Listed</t>
        </is>
      </c>
      <c r="Y12" s="255" t="inlineStr">
        <is>
          <t>94</t>
        </is>
      </c>
      <c r="Z12" s="116" t="inlineStr">
        <is>
          <t>2000</t>
        </is>
      </c>
      <c r="AA12" s="116" t="inlineStr">
        <is>
          <t>1</t>
        </is>
      </c>
      <c r="AB12" s="116" t="inlineStr">
        <is>
          <t>Yes</t>
        </is>
      </c>
      <c r="AC12" s="256" t="inlineStr">
        <is>
          <t>No</t>
        </is>
      </c>
      <c r="AD12" s="256" t="inlineStr">
        <is>
          <t>No</t>
        </is>
      </c>
      <c r="AE12" s="256" t="inlineStr">
        <is>
          <t>No</t>
        </is>
      </c>
      <c r="AF12" s="256" t="inlineStr">
        <is>
          <t>No</t>
        </is>
      </c>
      <c r="AG12" s="116" t="inlineStr">
        <is>
          <t>HIGH</t>
        </is>
      </c>
      <c r="AH12" s="253" t="inlineStr">
        <is>
          <t>Affordable Comp #2: LIHTC property, 2000 vintage (1 yr diff), 94 units, 8.6 mi from subject. Same income-eligible renter pool.</t>
        </is>
      </c>
      <c r="AI12" s="257" t="inlineStr">
        <is>
          <t>HUD LIHTC Database (huduser.gov)</t>
        </is>
      </c>
      <c r="AJ12" s="258" t="n"/>
    </row>
    <row r="13" ht="21.75" customFormat="1" customHeight="1" s="3">
      <c r="B13" s="252" t="inlineStr">
        <is>
          <t>AFFORDABLE</t>
        </is>
      </c>
      <c r="C13" s="253" t="inlineStr">
        <is>
          <t>Mt. Zion Homess</t>
        </is>
      </c>
      <c r="D13" s="254" t="inlineStr">
        <is>
          <t>802 N. 22Nd St., Gracie St, N. 29Th St.</t>
        </is>
      </c>
      <c r="E13" s="116" t="inlineStr">
        <is>
          <t>Baton Rouge</t>
        </is>
      </c>
      <c r="F13" s="116" t="inlineStr">
        <is>
          <t>LA</t>
        </is>
      </c>
      <c r="G13" s="116" t="inlineStr">
        <is>
          <t>70802-0000</t>
        </is>
      </c>
      <c r="H13" s="116" t="inlineStr">
        <is>
          <t>1.3 mi</t>
        </is>
      </c>
      <c r="I13" s="116" t="inlineStr">
        <is>
          <t>$2,866</t>
        </is>
      </c>
      <c r="J13" s="116" t="inlineStr">
        <is>
          <t>$3,440</t>
        </is>
      </c>
      <c r="K13" s="116" t="inlineStr">
        <is>
          <t>$916</t>
        </is>
      </c>
      <c r="L13" s="116" t="inlineStr">
        <is>
          <t>Not Listed</t>
        </is>
      </c>
      <c r="M13" s="255" t="inlineStr">
        <is>
          <t>$3,441</t>
        </is>
      </c>
      <c r="N13" s="116" t="inlineStr">
        <is>
          <t>$4,130</t>
        </is>
      </c>
      <c r="O13" s="116" t="inlineStr">
        <is>
          <t>$1,254</t>
        </is>
      </c>
      <c r="P13" s="116" t="inlineStr">
        <is>
          <t>Not Listed</t>
        </is>
      </c>
      <c r="Q13" s="255" t="inlineStr">
        <is>
          <t>$3,820</t>
        </is>
      </c>
      <c r="R13" s="116" t="inlineStr">
        <is>
          <t>$4,585</t>
        </is>
      </c>
      <c r="S13" s="116" t="inlineStr">
        <is>
          <t>$1,573</t>
        </is>
      </c>
      <c r="T13" s="116" t="inlineStr">
        <is>
          <t>Not Listed</t>
        </is>
      </c>
      <c r="U13" s="255" t="inlineStr">
        <is>
          <t>$4,129</t>
        </is>
      </c>
      <c r="V13" s="116" t="inlineStr">
        <is>
          <t>$4,955</t>
        </is>
      </c>
      <c r="W13" s="116" t="inlineStr">
        <is>
          <t>$1,818</t>
        </is>
      </c>
      <c r="X13" s="116" t="inlineStr">
        <is>
          <t>Not Listed</t>
        </is>
      </c>
      <c r="Y13" s="255" t="inlineStr">
        <is>
          <t>31</t>
        </is>
      </c>
      <c r="Z13" s="116" t="inlineStr">
        <is>
          <t>2001</t>
        </is>
      </c>
      <c r="AA13" s="116" t="inlineStr">
        <is>
          <t>0</t>
        </is>
      </c>
      <c r="AB13" s="116" t="inlineStr">
        <is>
          <t>Yes</t>
        </is>
      </c>
      <c r="AC13" s="256" t="inlineStr">
        <is>
          <t>No</t>
        </is>
      </c>
      <c r="AD13" s="256" t="inlineStr">
        <is>
          <t>No</t>
        </is>
      </c>
      <c r="AE13" s="256" t="inlineStr">
        <is>
          <t>No</t>
        </is>
      </c>
      <c r="AF13" s="256" t="inlineStr">
        <is>
          <t>No</t>
        </is>
      </c>
      <c r="AG13" s="116" t="inlineStr">
        <is>
          <t>HIGH</t>
        </is>
      </c>
      <c r="AH13" s="253" t="inlineStr">
        <is>
          <t>Affordable Comp #3: LIHTC property, 2001 vintage (0 yr diff), 31 units, 1.3 mi from subject. Same income-eligible renter pool.</t>
        </is>
      </c>
      <c r="AI13" s="257" t="inlineStr">
        <is>
          <t>HUD LIHTC Database (huduser.gov)</t>
        </is>
      </c>
      <c r="AJ13" s="258" t="n"/>
    </row>
    <row r="14" ht="21.75" customFormat="1" customHeight="1" s="3">
      <c r="B14" s="252" t="inlineStr">
        <is>
          <t>AFFORDABLE</t>
        </is>
      </c>
      <c r="C14" s="253" t="inlineStr">
        <is>
          <t>Howell Place</t>
        </is>
      </c>
      <c r="D14" s="254" t="inlineStr">
        <is>
          <t>4150 72Nd St.</t>
        </is>
      </c>
      <c r="E14" s="116" t="inlineStr">
        <is>
          <t>Baton Rouge</t>
        </is>
      </c>
      <c r="F14" s="116" t="inlineStr">
        <is>
          <t>LA</t>
        </is>
      </c>
      <c r="G14" s="116" t="inlineStr">
        <is>
          <t>70811-0000</t>
        </is>
      </c>
      <c r="H14" s="116" t="inlineStr">
        <is>
          <t>5.0 mi</t>
        </is>
      </c>
      <c r="I14" s="116" t="inlineStr">
        <is>
          <t>$2,866</t>
        </is>
      </c>
      <c r="J14" s="116" t="inlineStr">
        <is>
          <t>$3,440</t>
        </is>
      </c>
      <c r="K14" s="116" t="inlineStr">
        <is>
          <t>$916</t>
        </is>
      </c>
      <c r="L14" s="116" t="inlineStr">
        <is>
          <t>Not Listed</t>
        </is>
      </c>
      <c r="M14" s="255" t="inlineStr">
        <is>
          <t>$3,441</t>
        </is>
      </c>
      <c r="N14" s="116" t="inlineStr">
        <is>
          <t>$4,130</t>
        </is>
      </c>
      <c r="O14" s="116" t="inlineStr">
        <is>
          <t>$1,254</t>
        </is>
      </c>
      <c r="P14" s="116" t="inlineStr">
        <is>
          <t>Not Listed</t>
        </is>
      </c>
      <c r="Q14" s="255" t="inlineStr">
        <is>
          <t>$3,820</t>
        </is>
      </c>
      <c r="R14" s="116" t="inlineStr">
        <is>
          <t>$4,585</t>
        </is>
      </c>
      <c r="S14" s="116" t="inlineStr">
        <is>
          <t>$1,573</t>
        </is>
      </c>
      <c r="T14" s="116" t="inlineStr">
        <is>
          <t>Not Listed</t>
        </is>
      </c>
      <c r="U14" s="255" t="inlineStr">
        <is>
          <t>$4,129</t>
        </is>
      </c>
      <c r="V14" s="116" t="inlineStr">
        <is>
          <t>$4,955</t>
        </is>
      </c>
      <c r="W14" s="116" t="inlineStr">
        <is>
          <t>$1,818</t>
        </is>
      </c>
      <c r="X14" s="116" t="inlineStr">
        <is>
          <t>Not Listed</t>
        </is>
      </c>
      <c r="Y14" s="255" t="inlineStr">
        <is>
          <t>48</t>
        </is>
      </c>
      <c r="Z14" s="116" t="inlineStr">
        <is>
          <t>2002</t>
        </is>
      </c>
      <c r="AA14" s="116" t="inlineStr">
        <is>
          <t>1</t>
        </is>
      </c>
      <c r="AB14" s="116" t="inlineStr">
        <is>
          <t>Yes</t>
        </is>
      </c>
      <c r="AC14" s="256" t="inlineStr">
        <is>
          <t>No</t>
        </is>
      </c>
      <c r="AD14" s="256" t="inlineStr">
        <is>
          <t>No</t>
        </is>
      </c>
      <c r="AE14" s="256" t="inlineStr">
        <is>
          <t>No</t>
        </is>
      </c>
      <c r="AF14" s="256" t="inlineStr">
        <is>
          <t>No</t>
        </is>
      </c>
      <c r="AG14" s="116" t="inlineStr">
        <is>
          <t>HIGH</t>
        </is>
      </c>
      <c r="AH14" s="253" t="inlineStr">
        <is>
          <t>Affordable Comp #4: LIHTC property, 2002 vintage (1 yr diff), 48 units, 5.0 mi from subject. Same income-eligible renter pool.</t>
        </is>
      </c>
      <c r="AI14" s="257" t="inlineStr">
        <is>
          <t>HUD LIHTC Database (huduser.gov)</t>
        </is>
      </c>
      <c r="AJ14" s="258" t="n"/>
    </row>
    <row r="15" ht="21.75" customFormat="1" customHeight="1" s="3">
      <c r="B15" s="252" t="inlineStr">
        <is>
          <t>MARKET RATE</t>
        </is>
      </c>
      <c r="C15" s="253" t="inlineStr">
        <is>
          <t>Sienna Lake Apartments</t>
        </is>
      </c>
      <c r="D15" s="254" t="inlineStr">
        <is>
          <t>5555 Sienna Lakes Dr, Baton Rouge, LA 70820</t>
        </is>
      </c>
      <c r="E15" s="116" t="inlineStr">
        <is>
          <t>Baton Rouge</t>
        </is>
      </c>
      <c r="F15" s="116" t="inlineStr">
        <is>
          <t>LA</t>
        </is>
      </c>
      <c r="G15" s="116" t="n"/>
      <c r="H15" s="116" t="inlineStr">
        <is>
          <t>5.5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$916</t>
        </is>
      </c>
      <c r="L15" s="384" t="n">
        <v>925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$1,254</t>
        </is>
      </c>
      <c r="P15" s="384" t="n">
        <v>1175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$1,573</t>
        </is>
      </c>
      <c r="T15" s="384" t="n">
        <v>1450</v>
      </c>
      <c r="U15" s="255" t="inlineStr">
        <is>
          <t>N/A (Market Rate)</t>
        </is>
      </c>
      <c r="V15" s="116" t="inlineStr">
        <is>
          <t>N/A (Market Rate)</t>
        </is>
      </c>
      <c r="W15" s="116" t="inlineStr">
        <is>
          <t>$1,818</t>
        </is>
      </c>
      <c r="X15" s="116" t="inlineStr">
        <is>
          <t>Not Listed</t>
        </is>
      </c>
      <c r="Y15" s="255" t="inlineStr">
        <is>
          <t>240</t>
        </is>
      </c>
      <c r="Z15" s="116" t="inlineStr">
        <is>
          <t>2001</t>
        </is>
      </c>
      <c r="AA15" s="116" t="inlineStr">
        <is>
          <t>0</t>
        </is>
      </c>
      <c r="AB15" s="116" t="inlineStr">
        <is>
          <t>Varies</t>
        </is>
      </c>
      <c r="AC15" s="116" t="inlineStr">
        <is>
          <t>Varies</t>
        </is>
      </c>
      <c r="AD15" s="116" t="inlineStr">
        <is>
          <t>Varies</t>
        </is>
      </c>
      <c r="AE15" s="116" t="inlineStr">
        <is>
          <t>Varies</t>
        </is>
      </c>
      <c r="AF15" s="116" t="inlineStr">
        <is>
          <t>Varies</t>
        </is>
      </c>
      <c r="AG15" s="116" t="inlineStr">
        <is>
          <t>HIGH</t>
        </is>
      </c>
      <c r="AH15" s="253" t="inlineStr">
        <is>
          <t>Market Rate Comp #1: No income restrictions, 2001 vintage (0 yr diff), 240 units, 5.5 mi from subject. Shows market-rate rents vs. affordable housing discount.</t>
        </is>
      </c>
      <c r="AI15" s="257" t="inlineStr">
        <is>
          <t>https://www.rentcafe.com/apartments-for-rent/us/la/baton-rouge/sienna-lake/</t>
        </is>
      </c>
      <c r="AJ15" s="258" t="n"/>
    </row>
    <row r="16" ht="21.75" customFormat="1" customHeight="1" s="3">
      <c r="B16" s="252" t="inlineStr">
        <is>
          <t>MARKET RATE</t>
        </is>
      </c>
      <c r="C16" s="253" t="inlineStr">
        <is>
          <t>Willow Creek Apartments</t>
        </is>
      </c>
      <c r="D16" s="254" t="inlineStr">
        <is>
          <t>9800 Airline Hwy, Baton Rouge, LA 70816</t>
        </is>
      </c>
      <c r="E16" s="116" t="inlineStr">
        <is>
          <t>Baton Rouge</t>
        </is>
      </c>
      <c r="F16" s="116" t="inlineStr">
        <is>
          <t>LA</t>
        </is>
      </c>
      <c r="G16" s="116" t="n"/>
      <c r="H16" s="116" t="inlineStr">
        <is>
          <t>7.2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$916</t>
        </is>
      </c>
      <c r="L16" s="384" t="n">
        <v>895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$1,254</t>
        </is>
      </c>
      <c r="P16" s="384" t="n">
        <v>1125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$1,573</t>
        </is>
      </c>
      <c r="T16" s="384" t="n">
        <v>1400</v>
      </c>
      <c r="U16" s="255" t="inlineStr">
        <is>
          <t>N/A (Market Rate)</t>
        </is>
      </c>
      <c r="V16" s="116" t="inlineStr">
        <is>
          <t>N/A (Market Rate)</t>
        </is>
      </c>
      <c r="W16" s="116" t="inlineStr">
        <is>
          <t>$1,818</t>
        </is>
      </c>
      <c r="X16" s="116" t="inlineStr">
        <is>
          <t>Not Listed</t>
        </is>
      </c>
      <c r="Y16" s="255" t="inlineStr">
        <is>
          <t>180</t>
        </is>
      </c>
      <c r="Z16" s="116" t="inlineStr">
        <is>
          <t>1999</t>
        </is>
      </c>
      <c r="AA16" s="116" t="inlineStr">
        <is>
          <t>2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53" t="inlineStr">
        <is>
          <t>Market Rate Comp #2: No income restrictions, 1999 vintage (2 yr diff), 180 units, 7.2 mi from subject. Shows market-rate rents vs. affordable housing discount.</t>
        </is>
      </c>
      <c r="AI16" s="257" t="inlineStr">
        <is>
          <t>https://www.rentcafe.com/apartments-for-rent/us/la/baton-rouge/</t>
        </is>
      </c>
      <c r="AJ16" s="258" t="n"/>
    </row>
    <row r="17" ht="21.75" customFormat="1" customHeight="1" s="3">
      <c r="B17" s="252" t="inlineStr">
        <is>
          <t>MARKET RATE</t>
        </is>
      </c>
      <c r="C17" s="253" t="inlineStr">
        <is>
          <t>The Preserve At Harveston</t>
        </is>
      </c>
      <c r="D17" s="254" t="inlineStr">
        <is>
          <t>18000 Harveston Dr, Baton Rouge, LA 70816</t>
        </is>
      </c>
      <c r="E17" s="116" t="inlineStr">
        <is>
          <t>Baton Rouge</t>
        </is>
      </c>
      <c r="F17" s="116" t="inlineStr">
        <is>
          <t>LA</t>
        </is>
      </c>
      <c r="G17" s="116" t="n"/>
      <c r="H17" s="116" t="inlineStr">
        <is>
          <t>9.0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$916</t>
        </is>
      </c>
      <c r="L17" s="384" t="n">
        <v>950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$1,254</t>
        </is>
      </c>
      <c r="P17" s="384" t="n">
        <v>1200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$1,573</t>
        </is>
      </c>
      <c r="T17" s="384" t="n">
        <v>1475</v>
      </c>
      <c r="U17" s="255" t="inlineStr">
        <is>
          <t>N/A (Market Rate)</t>
        </is>
      </c>
      <c r="V17" s="116" t="inlineStr">
        <is>
          <t>N/A (Market Rate)</t>
        </is>
      </c>
      <c r="W17" s="116" t="inlineStr">
        <is>
          <t>$1,818</t>
        </is>
      </c>
      <c r="X17" s="116" t="inlineStr">
        <is>
          <t>Not Listed</t>
        </is>
      </c>
      <c r="Y17" s="255" t="inlineStr">
        <is>
          <t>200</t>
        </is>
      </c>
      <c r="Z17" s="116" t="inlineStr">
        <is>
          <t>2002</t>
        </is>
      </c>
      <c r="AA17" s="116" t="inlineStr">
        <is>
          <t>1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53" t="inlineStr">
        <is>
          <t>Market Rate Comp #3: No income restrictions, 2002 vintage (1 yr diff), 200 units, 9.0 mi from subject. Shows market-rate rents vs. affordable housing discount.</t>
        </is>
      </c>
      <c r="AI17" s="257" t="inlineStr">
        <is>
          <t>https://www.rentcafe.com/apartments-for-rent/us/la/baton-rouge/the-preserve-at-harveston/</t>
        </is>
      </c>
      <c r="AJ17" s="258" t="n"/>
    </row>
    <row r="18" ht="21.75" customFormat="1" customHeight="1" s="3">
      <c r="B18" s="252" t="inlineStr">
        <is>
          <t>MARKET RATE</t>
        </is>
      </c>
      <c r="C18" s="253" t="inlineStr">
        <is>
          <t>Copper Mill Apartments</t>
        </is>
      </c>
      <c r="D18" s="254" t="inlineStr">
        <is>
          <t>10000 Copper Mill Dr, Baton Rouge, LA 70818</t>
        </is>
      </c>
      <c r="E18" s="116" t="inlineStr">
        <is>
          <t>Baton Rouge</t>
        </is>
      </c>
      <c r="F18" s="116" t="inlineStr">
        <is>
          <t>LA</t>
        </is>
      </c>
      <c r="G18" s="116" t="n"/>
      <c r="H18" s="116" t="inlineStr">
        <is>
          <t>10.5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$916</t>
        </is>
      </c>
      <c r="L18" s="384" t="n">
        <v>925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$1,254</t>
        </is>
      </c>
      <c r="P18" s="384" t="n">
        <v>1150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$1,573</t>
        </is>
      </c>
      <c r="T18" s="384" t="n">
        <v>1425</v>
      </c>
      <c r="U18" s="255" t="inlineStr">
        <is>
          <t>N/A (Market Rate)</t>
        </is>
      </c>
      <c r="V18" s="116" t="inlineStr">
        <is>
          <t>N/A (Market Rate)</t>
        </is>
      </c>
      <c r="W18" s="116" t="inlineStr">
        <is>
          <t>$1,818</t>
        </is>
      </c>
      <c r="X18" s="116" t="inlineStr">
        <is>
          <t>Not Listed</t>
        </is>
      </c>
      <c r="Y18" s="255" t="inlineStr">
        <is>
          <t>160</t>
        </is>
      </c>
      <c r="Z18" s="116" t="inlineStr">
        <is>
          <t>2000</t>
        </is>
      </c>
      <c r="AA18" s="116" t="inlineStr">
        <is>
          <t>1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53" t="inlineStr">
        <is>
          <t>Market Rate Comp #4: No income restrictions, 2000 vintage (1 yr diff), 160 units, 10.5 mi from subject. Shows market-rate rents vs. affordable housing discount.</t>
        </is>
      </c>
      <c r="AI18" s="257" t="inlineStr">
        <is>
          <t>https://www.rentcafe.com/apartments-for-rent/us/la/baton-rouge/copper-mill/</t>
        </is>
      </c>
      <c r="AJ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Baton Rouge MSA</t>
        </is>
      </c>
      <c r="D19" s="254" t="inlineStr">
        <is>
          <t>N/A</t>
        </is>
      </c>
      <c r="E19" s="116" t="inlineStr">
        <is>
          <t>Baton Rouge</t>
        </is>
      </c>
      <c r="F19" s="116" t="inlineStr">
        <is>
          <t>LA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$916</t>
        </is>
      </c>
      <c r="J19" s="116" t="inlineStr">
        <is>
          <t>$916</t>
        </is>
      </c>
      <c r="K19" s="116" t="inlineStr">
        <is>
          <t>$916</t>
        </is>
      </c>
      <c r="L19" s="116" t="inlineStr">
        <is>
          <t>N/A</t>
        </is>
      </c>
      <c r="M19" s="255" t="inlineStr">
        <is>
          <t>$1,254</t>
        </is>
      </c>
      <c r="N19" s="116" t="inlineStr">
        <is>
          <t>$1,254</t>
        </is>
      </c>
      <c r="O19" s="116" t="inlineStr">
        <is>
          <t>$1,254</t>
        </is>
      </c>
      <c r="P19" s="116" t="inlineStr">
        <is>
          <t>N/A</t>
        </is>
      </c>
      <c r="Q19" s="255" t="inlineStr">
        <is>
          <t>$1,573</t>
        </is>
      </c>
      <c r="R19" s="116" t="inlineStr">
        <is>
          <t>$1,573</t>
        </is>
      </c>
      <c r="S19" s="116" t="inlineStr">
        <is>
          <t>$1,573</t>
        </is>
      </c>
      <c r="T19" s="116" t="inlineStr">
        <is>
          <t>N/A</t>
        </is>
      </c>
      <c r="U19" s="255" t="inlineStr">
        <is>
          <t>$1,818</t>
        </is>
      </c>
      <c r="V19" s="116" t="inlineStr">
        <is>
          <t>$1,818</t>
        </is>
      </c>
      <c r="W19" s="116" t="inlineStr">
        <is>
          <t>$1,818</t>
        </is>
      </c>
      <c r="X19" s="116" t="inlineStr">
        <is>
          <t>N/A</t>
        </is>
      </c>
      <c r="Y19" s="25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116" t="inlineStr">
        <is>
          <t>N/A</t>
        </is>
      </c>
      <c r="AF19" s="116" t="inlineStr">
        <is>
          <t>N/A</t>
        </is>
      </c>
      <c r="AG19" s="116" t="inlineStr">
        <is>
          <t>BENCHMARK</t>
        </is>
      </c>
      <c r="AH19" s="25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257" t="inlineStr">
        <is>
          <t>HUD FMR Database (huduser.gov)</t>
        </is>
      </c>
      <c r="AJ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Baton Rouge</t>
        </is>
      </c>
      <c r="D20" s="254" t="inlineStr">
        <is>
          <t>N/A</t>
        </is>
      </c>
      <c r="E20" s="116" t="inlineStr">
        <is>
          <t>Baton Rouge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$1,007</t>
        </is>
      </c>
      <c r="J20" s="116" t="inlineStr">
        <is>
          <t>$1,007</t>
        </is>
      </c>
      <c r="K20" s="116" t="inlineStr">
        <is>
          <t>$1,007</t>
        </is>
      </c>
      <c r="L20" s="116" t="inlineStr">
        <is>
          <t>N/A</t>
        </is>
      </c>
      <c r="M20" s="255" t="inlineStr">
        <is>
          <t>$1,379</t>
        </is>
      </c>
      <c r="N20" s="116" t="inlineStr">
        <is>
          <t>$1,379</t>
        </is>
      </c>
      <c r="O20" s="116" t="inlineStr">
        <is>
          <t>$1,379</t>
        </is>
      </c>
      <c r="P20" s="116" t="inlineStr">
        <is>
          <t>N/A</t>
        </is>
      </c>
      <c r="Q20" s="255" t="inlineStr">
        <is>
          <t>$1,730</t>
        </is>
      </c>
      <c r="R20" s="116" t="inlineStr">
        <is>
          <t>$1,730</t>
        </is>
      </c>
      <c r="S20" s="116" t="inlineStr">
        <is>
          <t>$1,730</t>
        </is>
      </c>
      <c r="T20" s="116" t="inlineStr">
        <is>
          <t>N/A</t>
        </is>
      </c>
      <c r="U20" s="255" t="inlineStr">
        <is>
          <t>$1,999</t>
        </is>
      </c>
      <c r="V20" s="116" t="inlineStr">
        <is>
          <t>$1,999</t>
        </is>
      </c>
      <c r="W20" s="116" t="inlineStr">
        <is>
          <t>$1,999</t>
        </is>
      </c>
      <c r="X20" s="116" t="inlineStr">
        <is>
          <t>N/A</t>
        </is>
      </c>
      <c r="Y20" s="25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5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257" t="inlineStr">
        <is>
          <t>HUD FMR + Market Estimate</t>
        </is>
      </c>
      <c r="AJ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4" t="n"/>
      <c r="AG22" s="294" t="n"/>
      <c r="AH22" s="294" t="n"/>
      <c r="AI22" s="294" t="n"/>
      <c r="AJ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874</v>
      </c>
      <c r="D27" s="376" t="n">
        <v>924</v>
      </c>
      <c r="E27" s="377" t="n">
        <v>-50</v>
      </c>
    </row>
    <row r="28" ht="20.25" customFormat="1" customHeight="1" s="3">
      <c r="B28" s="272" t="inlineStr">
        <is>
          <t>2BD</t>
        </is>
      </c>
      <c r="C28" s="375" t="n">
        <v>1039</v>
      </c>
      <c r="D28" s="376" t="n">
        <v>1162</v>
      </c>
      <c r="E28" s="377" t="n">
        <v>-123</v>
      </c>
    </row>
    <row r="29" ht="20.25" customFormat="1" customHeight="1" s="3">
      <c r="B29" s="272" t="inlineStr">
        <is>
          <t>3BD</t>
        </is>
      </c>
      <c r="C29" s="375" t="n">
        <v>1194</v>
      </c>
      <c r="D29" s="376" t="n">
        <v>1438</v>
      </c>
      <c r="E29" s="377" t="n">
        <v>-244</v>
      </c>
    </row>
    <row r="30" ht="20.25" customFormat="1" customHeight="1" s="3">
      <c r="B30" s="272" t="inlineStr">
        <is>
          <t>4BD</t>
        </is>
      </c>
      <c r="C30" s="375" t="n">
        <v>1321</v>
      </c>
      <c r="D30" s="376" t="n">
        <v>1321</v>
      </c>
      <c r="E30" s="381" t="n">
        <v>0</v>
      </c>
    </row>
    <row r="31" ht="20.25" customFormat="1" customHeight="1" s="3">
      <c r="B31" s="272" t="inlineStr">
        <is>
          <t>1BD</t>
        </is>
      </c>
      <c r="C31" s="375" t="n">
        <v>874</v>
      </c>
      <c r="D31" s="376" t="n">
        <v>874</v>
      </c>
      <c r="E31" s="381" t="n">
        <v>0</v>
      </c>
    </row>
    <row r="32" ht="20.25" customFormat="1" customHeight="1" s="3">
      <c r="B32" s="272" t="inlineStr">
        <is>
          <t>2BD</t>
        </is>
      </c>
      <c r="C32" s="375" t="n">
        <v>1039</v>
      </c>
      <c r="D32" s="376" t="n">
        <v>1040</v>
      </c>
      <c r="E32" s="377" t="n">
        <v>-1</v>
      </c>
    </row>
    <row r="33" ht="20.25" customFormat="1" customHeight="1" s="3">
      <c r="B33" s="272" t="inlineStr">
        <is>
          <t>3BD</t>
        </is>
      </c>
      <c r="C33" s="375" t="n">
        <v>1194</v>
      </c>
      <c r="D33" s="376" t="n">
        <v>1194</v>
      </c>
      <c r="E33" s="381" t="n">
        <v>0</v>
      </c>
    </row>
    <row r="34" ht="20.25" customFormat="1" customHeight="1" s="3">
      <c r="B34" s="272" t="inlineStr">
        <is>
          <t>4BD</t>
        </is>
      </c>
      <c r="C34" s="375" t="n">
        <v>1321</v>
      </c>
      <c r="D34" s="376" t="n">
        <v>1321</v>
      </c>
      <c r="E34" s="381" t="n">
        <v>0</v>
      </c>
    </row>
    <row r="35" ht="20.25" customFormat="1" customHeight="1" s="3">
      <c r="B35" s="272" t="inlineStr">
        <is>
          <t>1BD</t>
        </is>
      </c>
      <c r="C35" s="375" t="n">
        <v>874</v>
      </c>
      <c r="D35" s="376" t="n">
        <v>874</v>
      </c>
      <c r="E35" s="381" t="n">
        <v>0</v>
      </c>
    </row>
    <row r="36" ht="20.25" customFormat="1" customHeight="1" s="3">
      <c r="B36" s="272" t="inlineStr">
        <is>
          <t>2BD</t>
        </is>
      </c>
      <c r="C36" s="375" t="n">
        <v>1039</v>
      </c>
      <c r="D36" s="376" t="n">
        <v>1040</v>
      </c>
      <c r="E36" s="377" t="n">
        <v>-1</v>
      </c>
    </row>
    <row r="37" ht="20.25" customFormat="1" customHeight="1" s="3">
      <c r="B37" s="272" t="inlineStr">
        <is>
          <t>3BD</t>
        </is>
      </c>
      <c r="C37" s="375" t="n">
        <v>1194</v>
      </c>
      <c r="D37" s="376" t="n">
        <v>1194</v>
      </c>
      <c r="E37" s="381" t="n">
        <v>0</v>
      </c>
    </row>
    <row r="38" ht="20.25" customFormat="1" customHeight="1" s="3">
      <c r="B38" s="272" t="inlineStr">
        <is>
          <t>4BD</t>
        </is>
      </c>
      <c r="C38" s="375" t="n">
        <v>1321</v>
      </c>
      <c r="D38" s="376" t="n">
        <v>1321</v>
      </c>
      <c r="E38" s="381" t="n">
        <v>0</v>
      </c>
    </row>
    <row r="39" ht="20.25" customFormat="1" customHeight="1" s="3">
      <c r="B39" s="272" t="inlineStr">
        <is>
          <t>1BD</t>
        </is>
      </c>
      <c r="C39" s="375" t="n">
        <v>874</v>
      </c>
      <c r="D39" s="376" t="n">
        <v>1184</v>
      </c>
      <c r="E39" s="377" t="n">
        <v>-310</v>
      </c>
    </row>
    <row r="40" ht="20.25" customFormat="1" customHeight="1" s="3">
      <c r="B40" s="272" t="inlineStr">
        <is>
          <t>2BD</t>
        </is>
      </c>
      <c r="C40" s="375" t="n">
        <v>1039</v>
      </c>
      <c r="D40" s="376" t="n">
        <v>1326</v>
      </c>
      <c r="E40" s="377" t="n">
        <v>-287</v>
      </c>
    </row>
    <row r="41" ht="20.25" customFormat="1" customHeight="1" s="3">
      <c r="B41" s="272" t="inlineStr">
        <is>
          <t>3BD</t>
        </is>
      </c>
      <c r="C41" s="375" t="n">
        <v>1194</v>
      </c>
      <c r="D41" s="376" t="n">
        <v>1530</v>
      </c>
      <c r="E41" s="377" t="n">
        <v>-336</v>
      </c>
    </row>
    <row r="42" ht="20.25" customFormat="1" customHeight="1" s="3">
      <c r="B42" s="272" t="inlineStr">
        <is>
          <t>4BD</t>
        </is>
      </c>
      <c r="C42" s="375" t="n">
        <v>1321</v>
      </c>
      <c r="D42" s="376" t="n">
        <v>1253</v>
      </c>
      <c r="E42" s="381" t="n">
        <v>68</v>
      </c>
    </row>
    <row r="45" ht="18" customFormat="1" customHeight="1" s="3">
      <c r="B45" s="270" t="inlineStr">
        <is>
          <t>PMTS — Vouchers / FMR / UAP / NET</t>
        </is>
      </c>
      <c r="C45" s="294" t="n"/>
      <c r="D45" s="294" t="n"/>
      <c r="E45" s="294" t="n"/>
      <c r="F45" s="294" t="n"/>
      <c r="G45" s="294" t="n"/>
      <c r="H45" s="295" t="n"/>
    </row>
    <row r="46" ht="15.75" customFormat="1" customHeight="1" s="3">
      <c r="C46" s="378">
        <f>'Current Rents'!D32</f>
        <v/>
      </c>
      <c r="D46" s="271" t="inlineStr">
        <is>
          <t>VCH</t>
        </is>
      </c>
      <c r="E46" s="271" t="inlineStr">
        <is>
          <t>FMR</t>
        </is>
      </c>
      <c r="F46" s="271" t="inlineStr">
        <is>
          <t>UAP</t>
        </is>
      </c>
      <c r="G46" s="271" t="inlineStr">
        <is>
          <t>NET</t>
        </is>
      </c>
    </row>
    <row r="47" ht="20.25" customFormat="1" customHeight="1" s="3">
      <c r="B47" s="272" t="inlineStr">
        <is>
          <t>1BD</t>
        </is>
      </c>
      <c r="C47" s="292">
        <f>'Current Rents'!E32</f>
        <v/>
      </c>
      <c r="D47" s="382" t="n">
        <v>874</v>
      </c>
      <c r="E47" s="379" t="n">
        <v>1060</v>
      </c>
      <c r="F47" s="380" t="n">
        <v>77</v>
      </c>
      <c r="G47" s="292" t="n">
        <v>983</v>
      </c>
    </row>
    <row r="48" ht="20.25" customFormat="1" customHeight="1" s="3">
      <c r="B48" s="272" t="inlineStr">
        <is>
          <t>2BD</t>
        </is>
      </c>
      <c r="C48" s="292">
        <f>'Current Rents'!F32</f>
        <v/>
      </c>
      <c r="D48" s="382" t="n">
        <v>1040</v>
      </c>
      <c r="E48" s="379" t="n">
        <v>1200</v>
      </c>
      <c r="F48" s="380" t="n">
        <v>102</v>
      </c>
      <c r="G48" s="292" t="n">
        <v>1098</v>
      </c>
    </row>
    <row r="49" ht="20.25" customFormat="1" customHeight="1" s="3">
      <c r="B49" s="272" t="inlineStr">
        <is>
          <t>3BD</t>
        </is>
      </c>
      <c r="C49" s="292">
        <f>'Current Rents'!G32</f>
        <v/>
      </c>
      <c r="D49" s="382" t="n">
        <v>1194</v>
      </c>
      <c r="E49" s="379" t="n">
        <v>1500</v>
      </c>
      <c r="F49" s="380" t="n">
        <v>121</v>
      </c>
      <c r="G49" s="292" t="n">
        <v>1379</v>
      </c>
    </row>
    <row r="50" ht="20.25" customFormat="1" customHeight="1" s="3">
      <c r="B50" s="272" t="inlineStr">
        <is>
          <t>4BD</t>
        </is>
      </c>
      <c r="C50" s="292" t="n">
        <v>1321</v>
      </c>
      <c r="D50" s="382" t="n">
        <v>1321</v>
      </c>
      <c r="E50" s="379" t="n">
        <v>1990</v>
      </c>
      <c r="F50" s="380" t="n">
        <v>149</v>
      </c>
      <c r="G50" s="292" t="n">
        <v>1841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56 - Howell Place  |  ? Units  |  Section 8 / HUD  |  2BD &amp; 3BD</t>
        </is>
      </c>
      <c r="AI4" s="294" t="n"/>
      <c r="AJ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4BD
50% AMI</t>
        </is>
      </c>
      <c r="W8" s="64" t="inlineStr">
        <is>
          <t>4BD
60% AMI</t>
        </is>
      </c>
      <c r="X8" s="64" t="inlineStr">
        <is>
          <t>4BD
FMR</t>
        </is>
      </c>
      <c r="Y8" s="64" t="inlineStr">
        <is>
          <t>4BD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4BD 50% AMI ($)</t>
        </is>
      </c>
      <c r="V9" s="116" t="inlineStr">
        <is>
          <t>4BD 60% AMI ($)</t>
        </is>
      </c>
      <c r="W9" s="116" t="inlineStr">
        <is>
          <t>4BR FMR ($)</t>
        </is>
      </c>
      <c r="X9" s="116" t="inlineStr">
        <is>
          <t>4BR Actual ($)</t>
        </is>
      </c>
      <c r="Y9" s="255" t="inlineStr">
        <is>
          <t># Units</t>
        </is>
      </c>
      <c r="Z9" s="116" t="inlineStr">
        <is>
          <t>Year Built</t>
        </is>
      </c>
      <c r="AA9" s="116" t="inlineStr">
        <is>
          <t>Yr Diff</t>
        </is>
      </c>
      <c r="AB9" s="116" t="inlineStr">
        <is>
          <t>Utilities Incl.</t>
        </is>
      </c>
      <c r="AC9" s="116" t="inlineStr">
        <is>
          <t>Pet Friendly</t>
        </is>
      </c>
      <c r="AD9" s="116" t="inlineStr">
        <is>
          <t>Gated</t>
        </is>
      </c>
      <c r="AE9" s="116" t="inlineStr">
        <is>
          <t>Pool</t>
        </is>
      </c>
      <c r="AF9" s="116" t="inlineStr">
        <is>
          <t>W/D In-Unit</t>
        </is>
      </c>
      <c r="AG9" s="116" t="inlineStr">
        <is>
          <t>Competition Level</t>
        </is>
      </c>
      <c r="AH9" s="253" t="inlineStr">
        <is>
          <t>Why Competitive</t>
        </is>
      </c>
      <c r="AI9" s="257" t="inlineStr">
        <is>
          <t>Data Source</t>
        </is>
      </c>
      <c r="AJ9" s="258" t="n"/>
    </row>
    <row r="10" ht="21.75" customFormat="1" customHeight="1" s="3">
      <c r="B10" s="71" t="inlineStr">
        <is>
          <t>SUBJECT</t>
        </is>
      </c>
      <c r="C10" s="253" t="inlineStr">
        <is>
          <t>Howell Place (SUBJECT)</t>
        </is>
      </c>
      <c r="D10" s="285" t="inlineStr">
        <is>
          <t>4150 72nd Avenue</t>
        </is>
      </c>
      <c r="E10" s="239" t="inlineStr">
        <is>
          <t>Baton Rouge</t>
        </is>
      </c>
      <c r="F10" s="239" t="inlineStr">
        <is>
          <t>LA</t>
        </is>
      </c>
      <c r="G10" s="239" t="inlineStr">
        <is>
          <t>70811</t>
        </is>
      </c>
      <c r="H10" s="239" t="inlineStr">
        <is>
          <t>0.0 mi</t>
        </is>
      </c>
      <c r="I10" s="239" t="inlineStr">
        <is>
          <t>$2,866</t>
        </is>
      </c>
      <c r="J10" s="239" t="inlineStr">
        <is>
          <t>$3,440</t>
        </is>
      </c>
      <c r="K10" s="239" t="inlineStr">
        <is>
          <t>$916</t>
        </is>
      </c>
      <c r="L10" s="239">
        <f>B29</f>
        <v/>
      </c>
      <c r="M10" s="255" t="inlineStr">
        <is>
          <t>$3,441</t>
        </is>
      </c>
      <c r="N10" s="239" t="inlineStr">
        <is>
          <t>$4,130</t>
        </is>
      </c>
      <c r="O10" s="239" t="inlineStr">
        <is>
          <t>$1,254</t>
        </is>
      </c>
      <c r="P10" s="239">
        <f>B30</f>
        <v/>
      </c>
      <c r="Q10" s="255" t="inlineStr">
        <is>
          <t>$3,820</t>
        </is>
      </c>
      <c r="R10" s="239" t="inlineStr">
        <is>
          <t>$4,585</t>
        </is>
      </c>
      <c r="S10" s="239" t="inlineStr">
        <is>
          <t>$1,573</t>
        </is>
      </c>
      <c r="T10" s="239">
        <f>B31</f>
        <v/>
      </c>
      <c r="U10" s="255" t="inlineStr">
        <is>
          <t>$4,129</t>
        </is>
      </c>
      <c r="V10" s="239" t="inlineStr">
        <is>
          <t>$4,955</t>
        </is>
      </c>
      <c r="W10" s="239" t="inlineStr">
        <is>
          <t>$1,818</t>
        </is>
      </c>
      <c r="X10" s="239" t="inlineStr">
        <is>
          <t>N/A</t>
        </is>
      </c>
      <c r="Y10" s="255" t="inlineStr">
        <is>
          <t>48</t>
        </is>
      </c>
      <c r="Z10" s="239" t="inlineStr">
        <is>
          <t>2001</t>
        </is>
      </c>
      <c r="AA10" s="239" t="inlineStr">
        <is>
          <t>0</t>
        </is>
      </c>
      <c r="AB10" s="239" t="inlineStr">
        <is>
          <t>Partial</t>
        </is>
      </c>
      <c r="AC10" s="242" t="inlineStr">
        <is>
          <t>No</t>
        </is>
      </c>
      <c r="AD10" s="242" t="inlineStr">
        <is>
          <t>No</t>
        </is>
      </c>
      <c r="AE10" s="242" t="inlineStr">
        <is>
          <t>No</t>
        </is>
      </c>
      <c r="AF10" s="242" t="inlineStr">
        <is>
          <t>No</t>
        </is>
      </c>
      <c r="AG10" s="239" t="inlineStr">
        <is>
          <t>SUBJECT</t>
        </is>
      </c>
      <c r="AH10" s="253" t="inlineStr">
        <is>
          <t>48 units | Section 8/HUD property. Year built: 2001. Subject property for market context.</t>
        </is>
      </c>
      <c r="AI10" s="243" t="inlineStr">
        <is>
          <t>Apartment Corp Records</t>
        </is>
      </c>
      <c r="AJ10" s="244" t="n"/>
    </row>
    <row r="11" ht="21.75" customFormat="1" customHeight="1" s="3">
      <c r="B11" s="252" t="inlineStr">
        <is>
          <t>AFFORDABLE</t>
        </is>
      </c>
      <c r="C11" s="253" t="inlineStr">
        <is>
          <t>Pelican Bay Iii</t>
        </is>
      </c>
      <c r="D11" s="254" t="inlineStr">
        <is>
          <t>2121 N. Lobdell Blvd.</t>
        </is>
      </c>
      <c r="E11" s="116" t="inlineStr">
        <is>
          <t>Baton Rouge</t>
        </is>
      </c>
      <c r="F11" s="116" t="inlineStr">
        <is>
          <t>LA</t>
        </is>
      </c>
      <c r="G11" s="116" t="inlineStr">
        <is>
          <t>70806-0000</t>
        </is>
      </c>
      <c r="H11" s="116" t="inlineStr">
        <is>
          <t>4.1 mi</t>
        </is>
      </c>
      <c r="I11" s="116" t="inlineStr">
        <is>
          <t>$2,866</t>
        </is>
      </c>
      <c r="J11" s="116" t="inlineStr">
        <is>
          <t>$3,440</t>
        </is>
      </c>
      <c r="K11" s="116" t="inlineStr">
        <is>
          <t>$916</t>
        </is>
      </c>
      <c r="L11" s="116" t="inlineStr">
        <is>
          <t>Not Listed</t>
        </is>
      </c>
      <c r="M11" s="255" t="inlineStr">
        <is>
          <t>$3,441</t>
        </is>
      </c>
      <c r="N11" s="116" t="inlineStr">
        <is>
          <t>$4,130</t>
        </is>
      </c>
      <c r="O11" s="116" t="inlineStr">
        <is>
          <t>$1,254</t>
        </is>
      </c>
      <c r="P11" s="116" t="inlineStr">
        <is>
          <t>Not Listed</t>
        </is>
      </c>
      <c r="Q11" s="255" t="inlineStr">
        <is>
          <t>$3,820</t>
        </is>
      </c>
      <c r="R11" s="116" t="inlineStr">
        <is>
          <t>$4,585</t>
        </is>
      </c>
      <c r="S11" s="116" t="inlineStr">
        <is>
          <t>$1,573</t>
        </is>
      </c>
      <c r="T11" s="116" t="inlineStr">
        <is>
          <t>Not Listed</t>
        </is>
      </c>
      <c r="U11" s="255" t="inlineStr">
        <is>
          <t>$4,129</t>
        </is>
      </c>
      <c r="V11" s="116" t="inlineStr">
        <is>
          <t>$4,955</t>
        </is>
      </c>
      <c r="W11" s="116" t="inlineStr">
        <is>
          <t>$1,818</t>
        </is>
      </c>
      <c r="X11" s="116" t="inlineStr">
        <is>
          <t>Not Listed</t>
        </is>
      </c>
      <c r="Y11" s="255" t="inlineStr">
        <is>
          <t>48</t>
        </is>
      </c>
      <c r="Z11" s="116" t="inlineStr">
        <is>
          <t>2001</t>
        </is>
      </c>
      <c r="AA11" s="116" t="inlineStr">
        <is>
          <t>0</t>
        </is>
      </c>
      <c r="AB11" s="116" t="inlineStr">
        <is>
          <t>Yes</t>
        </is>
      </c>
      <c r="AC11" s="256" t="inlineStr">
        <is>
          <t>No</t>
        </is>
      </c>
      <c r="AD11" s="256" t="inlineStr">
        <is>
          <t>No</t>
        </is>
      </c>
      <c r="AE11" s="256" t="inlineStr">
        <is>
          <t>No</t>
        </is>
      </c>
      <c r="AF11" s="256" t="inlineStr">
        <is>
          <t>No</t>
        </is>
      </c>
      <c r="AG11" s="116" t="inlineStr">
        <is>
          <t>HIGH</t>
        </is>
      </c>
      <c r="AH11" s="253" t="inlineStr">
        <is>
          <t>Affordable Comp #1: LIHTC property, 2001 vintage (0 yr diff), 48 units, 4.1 mi from subject. Same income-eligible renter pool.</t>
        </is>
      </c>
      <c r="AI11" s="257" t="inlineStr">
        <is>
          <t>HUD LIHTC Database (huduser.gov)</t>
        </is>
      </c>
      <c r="AJ11" s="258" t="n"/>
    </row>
    <row r="12" ht="21.75" customFormat="1" customHeight="1" s="3">
      <c r="B12" s="252" t="inlineStr">
        <is>
          <t>AFFORDABLE</t>
        </is>
      </c>
      <c r="C12" s="253" t="inlineStr">
        <is>
          <t>Mt. Zion Homess</t>
        </is>
      </c>
      <c r="D12" s="254" t="inlineStr">
        <is>
          <t>802 N. 22Nd St., Gracie St, N. 29Th St.</t>
        </is>
      </c>
      <c r="E12" s="116" t="inlineStr">
        <is>
          <t>Baton Rouge</t>
        </is>
      </c>
      <c r="F12" s="116" t="inlineStr">
        <is>
          <t>LA</t>
        </is>
      </c>
      <c r="G12" s="116" t="inlineStr">
        <is>
          <t>70802-0000</t>
        </is>
      </c>
      <c r="H12" s="116" t="inlineStr">
        <is>
          <t>1.3 mi</t>
        </is>
      </c>
      <c r="I12" s="116" t="inlineStr">
        <is>
          <t>$2,866</t>
        </is>
      </c>
      <c r="J12" s="116" t="inlineStr">
        <is>
          <t>$3,440</t>
        </is>
      </c>
      <c r="K12" s="116" t="inlineStr">
        <is>
          <t>$916</t>
        </is>
      </c>
      <c r="L12" s="116" t="inlineStr">
        <is>
          <t>Not Listed</t>
        </is>
      </c>
      <c r="M12" s="255" t="inlineStr">
        <is>
          <t>$3,441</t>
        </is>
      </c>
      <c r="N12" s="116" t="inlineStr">
        <is>
          <t>$4,130</t>
        </is>
      </c>
      <c r="O12" s="116" t="inlineStr">
        <is>
          <t>$1,254</t>
        </is>
      </c>
      <c r="P12" s="116" t="inlineStr">
        <is>
          <t>Not Listed</t>
        </is>
      </c>
      <c r="Q12" s="255" t="inlineStr">
        <is>
          <t>$3,820</t>
        </is>
      </c>
      <c r="R12" s="116" t="inlineStr">
        <is>
          <t>$4,585</t>
        </is>
      </c>
      <c r="S12" s="116" t="inlineStr">
        <is>
          <t>$1,573</t>
        </is>
      </c>
      <c r="T12" s="116" t="inlineStr">
        <is>
          <t>Not Listed</t>
        </is>
      </c>
      <c r="U12" s="255" t="inlineStr">
        <is>
          <t>$4,129</t>
        </is>
      </c>
      <c r="V12" s="116" t="inlineStr">
        <is>
          <t>$4,955</t>
        </is>
      </c>
      <c r="W12" s="116" t="inlineStr">
        <is>
          <t>$1,818</t>
        </is>
      </c>
      <c r="X12" s="116" t="inlineStr">
        <is>
          <t>Not Listed</t>
        </is>
      </c>
      <c r="Y12" s="255" t="inlineStr">
        <is>
          <t>31</t>
        </is>
      </c>
      <c r="Z12" s="116" t="inlineStr">
        <is>
          <t>2001</t>
        </is>
      </c>
      <c r="AA12" s="116" t="inlineStr">
        <is>
          <t>0</t>
        </is>
      </c>
      <c r="AB12" s="116" t="inlineStr">
        <is>
          <t>Yes</t>
        </is>
      </c>
      <c r="AC12" s="256" t="inlineStr">
        <is>
          <t>No</t>
        </is>
      </c>
      <c r="AD12" s="256" t="inlineStr">
        <is>
          <t>No</t>
        </is>
      </c>
      <c r="AE12" s="256" t="inlineStr">
        <is>
          <t>No</t>
        </is>
      </c>
      <c r="AF12" s="256" t="inlineStr">
        <is>
          <t>No</t>
        </is>
      </c>
      <c r="AG12" s="116" t="inlineStr">
        <is>
          <t>HIGH</t>
        </is>
      </c>
      <c r="AH12" s="253" t="inlineStr">
        <is>
          <t>Affordable Comp #2: LIHTC property, 2001 vintage (0 yr diff), 31 units, 1.3 mi from subject. Same income-eligible renter pool.</t>
        </is>
      </c>
      <c r="AI12" s="257" t="inlineStr">
        <is>
          <t>HUD LIHTC Database (huduser.gov)</t>
        </is>
      </c>
      <c r="AJ12" s="258" t="n"/>
    </row>
    <row r="13" ht="21.75" customFormat="1" customHeight="1" s="3">
      <c r="B13" s="252" t="inlineStr">
        <is>
          <t>AFFORDABLE</t>
        </is>
      </c>
      <c r="C13" s="253" t="inlineStr">
        <is>
          <t>Restoration Baton Rouge Ii</t>
        </is>
      </c>
      <c r="D13" s="254" t="inlineStr">
        <is>
          <t>2906 Government Street</t>
        </is>
      </c>
      <c r="E13" s="116" t="inlineStr">
        <is>
          <t>Baton Rouge</t>
        </is>
      </c>
      <c r="F13" s="116" t="inlineStr">
        <is>
          <t>LA</t>
        </is>
      </c>
      <c r="G13" s="116" t="inlineStr">
        <is>
          <t>70806-0000</t>
        </is>
      </c>
      <c r="H13" s="116" t="inlineStr">
        <is>
          <t>1.8 mi</t>
        </is>
      </c>
      <c r="I13" s="116" t="inlineStr">
        <is>
          <t>$2,866</t>
        </is>
      </c>
      <c r="J13" s="116" t="inlineStr">
        <is>
          <t>$3,440</t>
        </is>
      </c>
      <c r="K13" s="116" t="inlineStr">
        <is>
          <t>$916</t>
        </is>
      </c>
      <c r="L13" s="116" t="inlineStr">
        <is>
          <t>Not Listed</t>
        </is>
      </c>
      <c r="M13" s="255" t="inlineStr">
        <is>
          <t>$3,441</t>
        </is>
      </c>
      <c r="N13" s="116" t="inlineStr">
        <is>
          <t>$4,130</t>
        </is>
      </c>
      <c r="O13" s="116" t="inlineStr">
        <is>
          <t>$1,254</t>
        </is>
      </c>
      <c r="P13" s="116" t="inlineStr">
        <is>
          <t>Not Listed</t>
        </is>
      </c>
      <c r="Q13" s="255" t="inlineStr">
        <is>
          <t>$3,820</t>
        </is>
      </c>
      <c r="R13" s="116" t="inlineStr">
        <is>
          <t>$4,585</t>
        </is>
      </c>
      <c r="S13" s="116" t="inlineStr">
        <is>
          <t>$1,573</t>
        </is>
      </c>
      <c r="T13" s="116" t="inlineStr">
        <is>
          <t>Not Listed</t>
        </is>
      </c>
      <c r="U13" s="255" t="inlineStr">
        <is>
          <t>$4,129</t>
        </is>
      </c>
      <c r="V13" s="116" t="inlineStr">
        <is>
          <t>$4,955</t>
        </is>
      </c>
      <c r="W13" s="116" t="inlineStr">
        <is>
          <t>$1,818</t>
        </is>
      </c>
      <c r="X13" s="116" t="inlineStr">
        <is>
          <t>Not Listed</t>
        </is>
      </c>
      <c r="Y13" s="255" t="inlineStr">
        <is>
          <t>36</t>
        </is>
      </c>
      <c r="Z13" s="116" t="inlineStr">
        <is>
          <t>2002</t>
        </is>
      </c>
      <c r="AA13" s="116" t="inlineStr">
        <is>
          <t>1</t>
        </is>
      </c>
      <c r="AB13" s="116" t="inlineStr">
        <is>
          <t>Yes</t>
        </is>
      </c>
      <c r="AC13" s="256" t="inlineStr">
        <is>
          <t>No</t>
        </is>
      </c>
      <c r="AD13" s="256" t="inlineStr">
        <is>
          <t>No</t>
        </is>
      </c>
      <c r="AE13" s="256" t="inlineStr">
        <is>
          <t>No</t>
        </is>
      </c>
      <c r="AF13" s="256" t="inlineStr">
        <is>
          <t>No</t>
        </is>
      </c>
      <c r="AG13" s="116" t="inlineStr">
        <is>
          <t>HIGH</t>
        </is>
      </c>
      <c r="AH13" s="253" t="inlineStr">
        <is>
          <t>Affordable Comp #3: LIHTC property, 2002 vintage (1 yr diff), 36 units, 1.8 mi from subject. Same income-eligible renter pool.</t>
        </is>
      </c>
      <c r="AI13" s="257" t="inlineStr">
        <is>
          <t>HUD LIHTC Database (huduser.gov)</t>
        </is>
      </c>
      <c r="AJ13" s="258" t="n"/>
    </row>
    <row r="14" ht="21.75" customFormat="1" customHeight="1" s="3">
      <c r="B14" s="252" t="inlineStr">
        <is>
          <t>AFFORDABLE</t>
        </is>
      </c>
      <c r="C14" s="253" t="inlineStr">
        <is>
          <t>Restoration Baton Rouge I</t>
        </is>
      </c>
      <c r="D14" s="254" t="inlineStr">
        <is>
          <t>605 North 33Rd Street</t>
        </is>
      </c>
      <c r="E14" s="116" t="inlineStr">
        <is>
          <t>Baton Rouge</t>
        </is>
      </c>
      <c r="F14" s="116" t="inlineStr">
        <is>
          <t>LA</t>
        </is>
      </c>
      <c r="G14" s="116" t="inlineStr">
        <is>
          <t>70802-0000</t>
        </is>
      </c>
      <c r="H14" s="116" t="inlineStr">
        <is>
          <t>1.9 mi</t>
        </is>
      </c>
      <c r="I14" s="116" t="inlineStr">
        <is>
          <t>$2,866</t>
        </is>
      </c>
      <c r="J14" s="116" t="inlineStr">
        <is>
          <t>$3,440</t>
        </is>
      </c>
      <c r="K14" s="116" t="inlineStr">
        <is>
          <t>$916</t>
        </is>
      </c>
      <c r="L14" s="116" t="inlineStr">
        <is>
          <t>Not Listed</t>
        </is>
      </c>
      <c r="M14" s="255" t="inlineStr">
        <is>
          <t>$3,441</t>
        </is>
      </c>
      <c r="N14" s="116" t="inlineStr">
        <is>
          <t>$4,130</t>
        </is>
      </c>
      <c r="O14" s="116" t="inlineStr">
        <is>
          <t>$1,254</t>
        </is>
      </c>
      <c r="P14" s="116" t="inlineStr">
        <is>
          <t>Not Listed</t>
        </is>
      </c>
      <c r="Q14" s="255" t="inlineStr">
        <is>
          <t>$3,820</t>
        </is>
      </c>
      <c r="R14" s="116" t="inlineStr">
        <is>
          <t>$4,585</t>
        </is>
      </c>
      <c r="S14" s="116" t="inlineStr">
        <is>
          <t>$1,573</t>
        </is>
      </c>
      <c r="T14" s="116" t="inlineStr">
        <is>
          <t>Not Listed</t>
        </is>
      </c>
      <c r="U14" s="255" t="inlineStr">
        <is>
          <t>$4,129</t>
        </is>
      </c>
      <c r="V14" s="116" t="inlineStr">
        <is>
          <t>$4,955</t>
        </is>
      </c>
      <c r="W14" s="116" t="inlineStr">
        <is>
          <t>$1,818</t>
        </is>
      </c>
      <c r="X14" s="116" t="inlineStr">
        <is>
          <t>Not Listed</t>
        </is>
      </c>
      <c r="Y14" s="255" t="inlineStr">
        <is>
          <t>32</t>
        </is>
      </c>
      <c r="Z14" s="116" t="inlineStr">
        <is>
          <t>2002</t>
        </is>
      </c>
      <c r="AA14" s="116" t="inlineStr">
        <is>
          <t>1</t>
        </is>
      </c>
      <c r="AB14" s="116" t="inlineStr">
        <is>
          <t>Yes</t>
        </is>
      </c>
      <c r="AC14" s="256" t="inlineStr">
        <is>
          <t>No</t>
        </is>
      </c>
      <c r="AD14" s="256" t="inlineStr">
        <is>
          <t>No</t>
        </is>
      </c>
      <c r="AE14" s="256" t="inlineStr">
        <is>
          <t>No</t>
        </is>
      </c>
      <c r="AF14" s="256" t="inlineStr">
        <is>
          <t>No</t>
        </is>
      </c>
      <c r="AG14" s="116" t="inlineStr">
        <is>
          <t>HIGH</t>
        </is>
      </c>
      <c r="AH14" s="253" t="inlineStr">
        <is>
          <t>Affordable Comp #4: LIHTC property, 2002 vintage (1 yr diff), 32 units, 1.9 mi from subject. Same income-eligible renter pool.</t>
        </is>
      </c>
      <c r="AI14" s="257" t="inlineStr">
        <is>
          <t>HUD LIHTC Database (huduser.gov)</t>
        </is>
      </c>
      <c r="AJ14" s="258" t="n"/>
    </row>
    <row r="15" ht="21.75" customFormat="1" customHeight="1" s="3">
      <c r="B15" s="252" t="inlineStr">
        <is>
          <t>MARKET RATE</t>
        </is>
      </c>
      <c r="C15" s="253" t="inlineStr">
        <is>
          <t>Sienna Lake Apartments</t>
        </is>
      </c>
      <c r="D15" s="254" t="inlineStr">
        <is>
          <t>5555 Sienna Lakes Dr, Baton Rouge, LA 70820</t>
        </is>
      </c>
      <c r="E15" s="116" t="inlineStr">
        <is>
          <t>Baton Rouge</t>
        </is>
      </c>
      <c r="F15" s="116" t="inlineStr">
        <is>
          <t>LA</t>
        </is>
      </c>
      <c r="G15" s="116" t="n"/>
      <c r="H15" s="116" t="inlineStr">
        <is>
          <t>4.8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$916</t>
        </is>
      </c>
      <c r="L15" s="384" t="n">
        <v>925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$1,254</t>
        </is>
      </c>
      <c r="P15" s="384" t="n">
        <v>1175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$1,573</t>
        </is>
      </c>
      <c r="T15" s="384" t="n">
        <v>1450</v>
      </c>
      <c r="U15" s="255" t="inlineStr">
        <is>
          <t>N/A (Market Rate)</t>
        </is>
      </c>
      <c r="V15" s="116" t="inlineStr">
        <is>
          <t>N/A (Market Rate)</t>
        </is>
      </c>
      <c r="W15" s="116" t="inlineStr">
        <is>
          <t>$1,818</t>
        </is>
      </c>
      <c r="X15" s="116" t="inlineStr">
        <is>
          <t>Not Listed</t>
        </is>
      </c>
      <c r="Y15" s="255" t="inlineStr">
        <is>
          <t>240</t>
        </is>
      </c>
      <c r="Z15" s="116" t="inlineStr">
        <is>
          <t>2001</t>
        </is>
      </c>
      <c r="AA15" s="116" t="inlineStr">
        <is>
          <t>0</t>
        </is>
      </c>
      <c r="AB15" s="116" t="inlineStr">
        <is>
          <t>Varies</t>
        </is>
      </c>
      <c r="AC15" s="116" t="inlineStr">
        <is>
          <t>Varies</t>
        </is>
      </c>
      <c r="AD15" s="116" t="inlineStr">
        <is>
          <t>Varies</t>
        </is>
      </c>
      <c r="AE15" s="116" t="inlineStr">
        <is>
          <t>Varies</t>
        </is>
      </c>
      <c r="AF15" s="116" t="inlineStr">
        <is>
          <t>Varies</t>
        </is>
      </c>
      <c r="AG15" s="116" t="inlineStr">
        <is>
          <t>HIGH</t>
        </is>
      </c>
      <c r="AH15" s="253" t="inlineStr">
        <is>
          <t>Market Rate Comp #1: No income restrictions, 2001 vintage (0 yr diff), 240 units, 4.8 mi from subject. Shows market-rate rents vs. affordable housing discount.</t>
        </is>
      </c>
      <c r="AI15" s="257" t="inlineStr">
        <is>
          <t>https://www.rentcafe.com/apartments-for-rent/us/la/baton-rouge/sienna-lake/</t>
        </is>
      </c>
      <c r="AJ15" s="258" t="n"/>
    </row>
    <row r="16" ht="21.75" customFormat="1" customHeight="1" s="3">
      <c r="B16" s="252" t="inlineStr">
        <is>
          <t>MARKET RATE</t>
        </is>
      </c>
      <c r="C16" s="253" t="inlineStr">
        <is>
          <t>Willow Creek Apartments</t>
        </is>
      </c>
      <c r="D16" s="254" t="inlineStr">
        <is>
          <t>9800 Airline Hwy, Baton Rouge, LA 70816</t>
        </is>
      </c>
      <c r="E16" s="116" t="inlineStr">
        <is>
          <t>Baton Rouge</t>
        </is>
      </c>
      <c r="F16" s="116" t="inlineStr">
        <is>
          <t>LA</t>
        </is>
      </c>
      <c r="G16" s="116" t="n"/>
      <c r="H16" s="116" t="inlineStr">
        <is>
          <t>6.5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$916</t>
        </is>
      </c>
      <c r="L16" s="384" t="n">
        <v>895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$1,254</t>
        </is>
      </c>
      <c r="P16" s="384" t="n">
        <v>1125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$1,573</t>
        </is>
      </c>
      <c r="T16" s="384" t="n">
        <v>1400</v>
      </c>
      <c r="U16" s="255" t="inlineStr">
        <is>
          <t>N/A (Market Rate)</t>
        </is>
      </c>
      <c r="V16" s="116" t="inlineStr">
        <is>
          <t>N/A (Market Rate)</t>
        </is>
      </c>
      <c r="W16" s="116" t="inlineStr">
        <is>
          <t>$1,818</t>
        </is>
      </c>
      <c r="X16" s="116" t="inlineStr">
        <is>
          <t>Not Listed</t>
        </is>
      </c>
      <c r="Y16" s="255" t="inlineStr">
        <is>
          <t>180</t>
        </is>
      </c>
      <c r="Z16" s="116" t="inlineStr">
        <is>
          <t>1999</t>
        </is>
      </c>
      <c r="AA16" s="116" t="inlineStr">
        <is>
          <t>2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53" t="inlineStr">
        <is>
          <t>Market Rate Comp #2: No income restrictions, 1999 vintage (2 yr diff), 180 units, 6.5 mi from subject. Shows market-rate rents vs. affordable housing discount.</t>
        </is>
      </c>
      <c r="AI16" s="257" t="inlineStr">
        <is>
          <t>https://www.rentcafe.com/apartments-for-rent/us/la/baton-rouge/</t>
        </is>
      </c>
      <c r="AJ16" s="258" t="n"/>
    </row>
    <row r="17" ht="21.75" customFormat="1" customHeight="1" s="3">
      <c r="B17" s="252" t="inlineStr">
        <is>
          <t>MARKET RATE</t>
        </is>
      </c>
      <c r="C17" s="253" t="inlineStr">
        <is>
          <t>The Preserve At Harveston</t>
        </is>
      </c>
      <c r="D17" s="254" t="inlineStr">
        <is>
          <t>18000 Harveston Dr, Baton Rouge, LA 70816</t>
        </is>
      </c>
      <c r="E17" s="116" t="inlineStr">
        <is>
          <t>Baton Rouge</t>
        </is>
      </c>
      <c r="F17" s="116" t="inlineStr">
        <is>
          <t>LA</t>
        </is>
      </c>
      <c r="G17" s="116" t="n"/>
      <c r="H17" s="116" t="inlineStr">
        <is>
          <t>8.2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$916</t>
        </is>
      </c>
      <c r="L17" s="384" t="n">
        <v>950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$1,254</t>
        </is>
      </c>
      <c r="P17" s="384" t="n">
        <v>1200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$1,573</t>
        </is>
      </c>
      <c r="T17" s="384" t="n">
        <v>1475</v>
      </c>
      <c r="U17" s="255" t="inlineStr">
        <is>
          <t>N/A (Market Rate)</t>
        </is>
      </c>
      <c r="V17" s="116" t="inlineStr">
        <is>
          <t>N/A (Market Rate)</t>
        </is>
      </c>
      <c r="W17" s="116" t="inlineStr">
        <is>
          <t>$1,818</t>
        </is>
      </c>
      <c r="X17" s="116" t="inlineStr">
        <is>
          <t>Not Listed</t>
        </is>
      </c>
      <c r="Y17" s="255" t="inlineStr">
        <is>
          <t>200</t>
        </is>
      </c>
      <c r="Z17" s="116" t="inlineStr">
        <is>
          <t>2002</t>
        </is>
      </c>
      <c r="AA17" s="116" t="inlineStr">
        <is>
          <t>1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53" t="inlineStr">
        <is>
          <t>Market Rate Comp #3: No income restrictions, 2002 vintage (1 yr diff), 200 units, 8.2 mi from subject. Shows market-rate rents vs. affordable housing discount.</t>
        </is>
      </c>
      <c r="AI17" s="257" t="inlineStr">
        <is>
          <t>https://www.rentcafe.com/apartments-for-rent/us/la/baton-rouge/the-preserve-at-harveston/</t>
        </is>
      </c>
      <c r="AJ17" s="258" t="n"/>
    </row>
    <row r="18" ht="21.75" customFormat="1" customHeight="1" s="3">
      <c r="B18" s="252" t="inlineStr">
        <is>
          <t>MARKET RATE</t>
        </is>
      </c>
      <c r="C18" s="253" t="inlineStr">
        <is>
          <t>Copper Mill Apartments</t>
        </is>
      </c>
      <c r="D18" s="254" t="inlineStr">
        <is>
          <t>10000 Copper Mill Dr, Baton Rouge, LA 70818</t>
        </is>
      </c>
      <c r="E18" s="116" t="inlineStr">
        <is>
          <t>Baton Rouge</t>
        </is>
      </c>
      <c r="F18" s="116" t="inlineStr">
        <is>
          <t>LA</t>
        </is>
      </c>
      <c r="G18" s="116" t="n"/>
      <c r="H18" s="116" t="inlineStr">
        <is>
          <t>9.8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$916</t>
        </is>
      </c>
      <c r="L18" s="384" t="n">
        <v>925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$1,254</t>
        </is>
      </c>
      <c r="P18" s="384" t="n">
        <v>1150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$1,573</t>
        </is>
      </c>
      <c r="T18" s="384" t="n">
        <v>1425</v>
      </c>
      <c r="U18" s="255" t="inlineStr">
        <is>
          <t>N/A (Market Rate)</t>
        </is>
      </c>
      <c r="V18" s="116" t="inlineStr">
        <is>
          <t>N/A (Market Rate)</t>
        </is>
      </c>
      <c r="W18" s="116" t="inlineStr">
        <is>
          <t>$1,818</t>
        </is>
      </c>
      <c r="X18" s="116" t="inlineStr">
        <is>
          <t>Not Listed</t>
        </is>
      </c>
      <c r="Y18" s="255" t="inlineStr">
        <is>
          <t>160</t>
        </is>
      </c>
      <c r="Z18" s="116" t="inlineStr">
        <is>
          <t>2000</t>
        </is>
      </c>
      <c r="AA18" s="116" t="inlineStr">
        <is>
          <t>1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53" t="inlineStr">
        <is>
          <t>Market Rate Comp #4: No income restrictions, 2000 vintage (1 yr diff), 160 units, 9.8 mi from subject. Shows market-rate rents vs. affordable housing discount.</t>
        </is>
      </c>
      <c r="AI18" s="257" t="inlineStr">
        <is>
          <t>https://www.rentcafe.com/apartments-for-rent/us/la/baton-rouge/copper-mill/</t>
        </is>
      </c>
      <c r="AJ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Baton Rouge MSA</t>
        </is>
      </c>
      <c r="D19" s="254" t="inlineStr">
        <is>
          <t>N/A</t>
        </is>
      </c>
      <c r="E19" s="116" t="inlineStr">
        <is>
          <t>Baton Rouge</t>
        </is>
      </c>
      <c r="F19" s="116" t="inlineStr">
        <is>
          <t>LA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$916</t>
        </is>
      </c>
      <c r="J19" s="116" t="inlineStr">
        <is>
          <t>$916</t>
        </is>
      </c>
      <c r="K19" s="116" t="inlineStr">
        <is>
          <t>$916</t>
        </is>
      </c>
      <c r="L19" s="116" t="inlineStr">
        <is>
          <t>N/A</t>
        </is>
      </c>
      <c r="M19" s="255" t="inlineStr">
        <is>
          <t>$1,254</t>
        </is>
      </c>
      <c r="N19" s="116" t="inlineStr">
        <is>
          <t>$1,254</t>
        </is>
      </c>
      <c r="O19" s="116" t="inlineStr">
        <is>
          <t>$1,254</t>
        </is>
      </c>
      <c r="P19" s="116" t="inlineStr">
        <is>
          <t>N/A</t>
        </is>
      </c>
      <c r="Q19" s="255" t="inlineStr">
        <is>
          <t>$1,573</t>
        </is>
      </c>
      <c r="R19" s="116" t="inlineStr">
        <is>
          <t>$1,573</t>
        </is>
      </c>
      <c r="S19" s="116" t="inlineStr">
        <is>
          <t>$1,573</t>
        </is>
      </c>
      <c r="T19" s="116" t="inlineStr">
        <is>
          <t>N/A</t>
        </is>
      </c>
      <c r="U19" s="255" t="inlineStr">
        <is>
          <t>$1,818</t>
        </is>
      </c>
      <c r="V19" s="116" t="inlineStr">
        <is>
          <t>$1,818</t>
        </is>
      </c>
      <c r="W19" s="116" t="inlineStr">
        <is>
          <t>$1,818</t>
        </is>
      </c>
      <c r="X19" s="116" t="inlineStr">
        <is>
          <t>N/A</t>
        </is>
      </c>
      <c r="Y19" s="25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116" t="inlineStr">
        <is>
          <t>N/A</t>
        </is>
      </c>
      <c r="AF19" s="116" t="inlineStr">
        <is>
          <t>N/A</t>
        </is>
      </c>
      <c r="AG19" s="116" t="inlineStr">
        <is>
          <t>BENCHMARK</t>
        </is>
      </c>
      <c r="AH19" s="25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257" t="inlineStr">
        <is>
          <t>HUD FMR Database (huduser.gov)</t>
        </is>
      </c>
      <c r="AJ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Baton Rouge</t>
        </is>
      </c>
      <c r="D20" s="254" t="inlineStr">
        <is>
          <t>N/A</t>
        </is>
      </c>
      <c r="E20" s="116" t="inlineStr">
        <is>
          <t>Baton Rouge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$1,007</t>
        </is>
      </c>
      <c r="J20" s="116" t="inlineStr">
        <is>
          <t>$1,007</t>
        </is>
      </c>
      <c r="K20" s="116" t="inlineStr">
        <is>
          <t>$1,007</t>
        </is>
      </c>
      <c r="L20" s="116" t="inlineStr">
        <is>
          <t>N/A</t>
        </is>
      </c>
      <c r="M20" s="255" t="inlineStr">
        <is>
          <t>$1,379</t>
        </is>
      </c>
      <c r="N20" s="116" t="inlineStr">
        <is>
          <t>$1,379</t>
        </is>
      </c>
      <c r="O20" s="116" t="inlineStr">
        <is>
          <t>$1,379</t>
        </is>
      </c>
      <c r="P20" s="116" t="inlineStr">
        <is>
          <t>N/A</t>
        </is>
      </c>
      <c r="Q20" s="255" t="inlineStr">
        <is>
          <t>$1,730</t>
        </is>
      </c>
      <c r="R20" s="116" t="inlineStr">
        <is>
          <t>$1,730</t>
        </is>
      </c>
      <c r="S20" s="116" t="inlineStr">
        <is>
          <t>$1,730</t>
        </is>
      </c>
      <c r="T20" s="116" t="inlineStr">
        <is>
          <t>N/A</t>
        </is>
      </c>
      <c r="U20" s="255" t="inlineStr">
        <is>
          <t>$1,999</t>
        </is>
      </c>
      <c r="V20" s="116" t="inlineStr">
        <is>
          <t>$1,999</t>
        </is>
      </c>
      <c r="W20" s="116" t="inlineStr">
        <is>
          <t>$1,999</t>
        </is>
      </c>
      <c r="X20" s="116" t="inlineStr">
        <is>
          <t>N/A</t>
        </is>
      </c>
      <c r="Y20" s="25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5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257" t="inlineStr">
        <is>
          <t>HUD FMR + Market Estimate</t>
        </is>
      </c>
      <c r="AJ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4" t="n"/>
      <c r="AG22" s="294" t="n"/>
      <c r="AH22" s="294" t="n"/>
      <c r="AI22" s="294" t="n"/>
      <c r="AJ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874</v>
      </c>
      <c r="D27" s="376" t="n">
        <v>924</v>
      </c>
      <c r="E27" s="377" t="n">
        <v>-50</v>
      </c>
    </row>
    <row r="28" ht="20.25" customFormat="1" customHeight="1" s="3">
      <c r="B28" s="272" t="inlineStr">
        <is>
          <t>2BD</t>
        </is>
      </c>
      <c r="C28" s="375" t="n">
        <v>1039</v>
      </c>
      <c r="D28" s="376" t="n">
        <v>1162</v>
      </c>
      <c r="E28" s="377" t="n">
        <v>-123</v>
      </c>
    </row>
    <row r="29" ht="20.25" customFormat="1" customHeight="1" s="3">
      <c r="B29" s="272" t="inlineStr">
        <is>
          <t>3BD</t>
        </is>
      </c>
      <c r="C29" s="375" t="n">
        <v>1194</v>
      </c>
      <c r="D29" s="376" t="n">
        <v>1438</v>
      </c>
      <c r="E29" s="377" t="n">
        <v>-244</v>
      </c>
    </row>
    <row r="30" ht="20.25" customFormat="1" customHeight="1" s="3">
      <c r="B30" s="272" t="inlineStr">
        <is>
          <t>4BD</t>
        </is>
      </c>
      <c r="C30" s="375" t="n">
        <v>1321</v>
      </c>
      <c r="D30" s="376" t="n">
        <v>1321</v>
      </c>
      <c r="E30" s="381" t="n">
        <v>0</v>
      </c>
    </row>
    <row r="31" ht="20.25" customFormat="1" customHeight="1" s="3">
      <c r="B31" s="272" t="inlineStr">
        <is>
          <t>1BD</t>
        </is>
      </c>
      <c r="C31" s="375" t="n">
        <v>874</v>
      </c>
      <c r="D31" s="376" t="n">
        <v>900</v>
      </c>
      <c r="E31" s="377" t="n">
        <v>-26</v>
      </c>
    </row>
    <row r="32" ht="20.25" customFormat="1" customHeight="1" s="3">
      <c r="B32" s="272" t="inlineStr">
        <is>
          <t>2BD</t>
        </is>
      </c>
      <c r="C32" s="375" t="n">
        <v>1039</v>
      </c>
      <c r="D32" s="376" t="n">
        <v>1107</v>
      </c>
      <c r="E32" s="377" t="n">
        <v>-68</v>
      </c>
    </row>
    <row r="33" ht="20.25" customFormat="1" customHeight="1" s="3">
      <c r="B33" s="272" t="inlineStr">
        <is>
          <t>3BD</t>
        </is>
      </c>
      <c r="C33" s="375" t="n">
        <v>1194</v>
      </c>
      <c r="D33" s="376" t="n">
        <v>1300</v>
      </c>
      <c r="E33" s="377" t="n">
        <v>-106</v>
      </c>
    </row>
    <row r="34" ht="20.25" customFormat="1" customHeight="1" s="3">
      <c r="B34" s="272" t="inlineStr">
        <is>
          <t>4BD</t>
        </is>
      </c>
      <c r="C34" s="375" t="n">
        <v>1321</v>
      </c>
      <c r="D34" s="376" t="n">
        <v>1572</v>
      </c>
      <c r="E34" s="377" t="n">
        <v>-251</v>
      </c>
    </row>
    <row r="35" ht="20.25" customFormat="1" customHeight="1" s="3">
      <c r="B35" s="272" t="inlineStr">
        <is>
          <t>1BD</t>
        </is>
      </c>
      <c r="C35" s="375" t="n">
        <v>874</v>
      </c>
      <c r="D35" s="376" t="n">
        <v>874</v>
      </c>
      <c r="E35" s="381" t="n">
        <v>0</v>
      </c>
    </row>
    <row r="36" ht="20.25" customFormat="1" customHeight="1" s="3">
      <c r="B36" s="272" t="inlineStr">
        <is>
          <t>2BD</t>
        </is>
      </c>
      <c r="C36" s="375" t="n">
        <v>1039</v>
      </c>
      <c r="D36" s="376" t="n">
        <v>1039</v>
      </c>
      <c r="E36" s="381" t="n">
        <v>0</v>
      </c>
    </row>
    <row r="37" ht="20.25" customFormat="1" customHeight="1" s="3">
      <c r="B37" s="272" t="inlineStr">
        <is>
          <t>3BD</t>
        </is>
      </c>
      <c r="C37" s="375" t="n">
        <v>1194</v>
      </c>
      <c r="D37" s="376" t="n">
        <v>1194</v>
      </c>
      <c r="E37" s="381" t="n">
        <v>0</v>
      </c>
    </row>
    <row r="38" ht="20.25" customFormat="1" customHeight="1" s="3">
      <c r="B38" s="272" t="inlineStr">
        <is>
          <t>4BD</t>
        </is>
      </c>
      <c r="C38" s="375" t="n">
        <v>1321</v>
      </c>
      <c r="D38" s="376" t="n">
        <v>1321</v>
      </c>
      <c r="E38" s="381" t="n">
        <v>0</v>
      </c>
    </row>
    <row r="39" ht="20.25" customFormat="1" customHeight="1" s="3">
      <c r="B39" s="272" t="inlineStr">
        <is>
          <t>1BD</t>
        </is>
      </c>
      <c r="C39" s="375" t="n">
        <v>874</v>
      </c>
      <c r="D39" s="376" t="n">
        <v>1142</v>
      </c>
      <c r="E39" s="377" t="n">
        <v>-268</v>
      </c>
    </row>
    <row r="40" ht="20.25" customFormat="1" customHeight="1" s="3">
      <c r="B40" s="272" t="inlineStr">
        <is>
          <t>2BD</t>
        </is>
      </c>
      <c r="C40" s="375" t="n">
        <v>1039</v>
      </c>
      <c r="D40" s="376" t="n">
        <v>1377</v>
      </c>
      <c r="E40" s="377" t="n">
        <v>-338</v>
      </c>
    </row>
    <row r="41" ht="20.25" customFormat="1" customHeight="1" s="3">
      <c r="B41" s="272" t="inlineStr">
        <is>
          <t>3BD</t>
        </is>
      </c>
      <c r="C41" s="375" t="n">
        <v>1194</v>
      </c>
      <c r="D41" s="376" t="n">
        <v>1458</v>
      </c>
      <c r="E41" s="377" t="n">
        <v>-264</v>
      </c>
    </row>
    <row r="42" ht="20.25" customFormat="1" customHeight="1" s="3">
      <c r="B42" s="272" t="inlineStr">
        <is>
          <t>4BD</t>
        </is>
      </c>
      <c r="C42" s="375" t="n">
        <v>1321</v>
      </c>
      <c r="D42" s="376" t="n">
        <v>1486</v>
      </c>
      <c r="E42" s="377" t="n">
        <v>-165</v>
      </c>
    </row>
    <row r="45" ht="18" customFormat="1" customHeight="1" s="3">
      <c r="B45" s="270" t="inlineStr">
        <is>
          <t>PMTS — Vouchers / FMR / UAP / NET</t>
        </is>
      </c>
      <c r="C45" s="294" t="n"/>
      <c r="D45" s="294" t="n"/>
      <c r="E45" s="294" t="n"/>
      <c r="F45" s="294" t="n"/>
      <c r="G45" s="294" t="n"/>
      <c r="H45" s="295" t="n"/>
    </row>
    <row r="46" ht="15.75" customFormat="1" customHeight="1" s="3">
      <c r="C46" s="378">
        <f>'Current Rents'!D33</f>
        <v/>
      </c>
      <c r="D46" s="271" t="inlineStr">
        <is>
          <t>VCH</t>
        </is>
      </c>
      <c r="E46" s="271" t="inlineStr">
        <is>
          <t>FMR</t>
        </is>
      </c>
      <c r="F46" s="271" t="inlineStr">
        <is>
          <t>UAP</t>
        </is>
      </c>
      <c r="G46" s="271" t="inlineStr">
        <is>
          <t>NET</t>
        </is>
      </c>
    </row>
    <row r="47" ht="20.25" customFormat="1" customHeight="1" s="3">
      <c r="B47" s="272" t="inlineStr">
        <is>
          <t>1BD</t>
        </is>
      </c>
      <c r="C47" s="292">
        <f>'Current Rents'!E33</f>
        <v/>
      </c>
      <c r="D47" s="382" t="n">
        <v>900</v>
      </c>
      <c r="E47" s="379" t="n">
        <v>1020</v>
      </c>
      <c r="F47" s="380" t="n">
        <v>77</v>
      </c>
      <c r="G47" s="292" t="n">
        <v>943</v>
      </c>
    </row>
    <row r="48" ht="20.25" customFormat="1" customHeight="1" s="3">
      <c r="B48" s="272" t="inlineStr">
        <is>
          <t>2BD</t>
        </is>
      </c>
      <c r="C48" s="292">
        <f>'Current Rents'!F33</f>
        <v/>
      </c>
      <c r="D48" s="382" t="n">
        <v>1107</v>
      </c>
      <c r="E48" s="379" t="n">
        <v>1150</v>
      </c>
      <c r="F48" s="380" t="n">
        <v>102</v>
      </c>
      <c r="G48" s="292" t="n">
        <v>1048</v>
      </c>
    </row>
    <row r="49" ht="20.25" customFormat="1" customHeight="1" s="3">
      <c r="B49" s="272" t="inlineStr">
        <is>
          <t>3BD</t>
        </is>
      </c>
      <c r="C49" s="292">
        <f>'Current Rents'!G33</f>
        <v/>
      </c>
      <c r="D49" s="382" t="n">
        <v>1300</v>
      </c>
      <c r="E49" s="379" t="n">
        <v>1440</v>
      </c>
      <c r="F49" s="380" t="n">
        <v>121</v>
      </c>
      <c r="G49" s="292" t="n">
        <v>1319</v>
      </c>
    </row>
    <row r="50" ht="20.25" customFormat="1" customHeight="1" s="3">
      <c r="B50" s="272" t="inlineStr">
        <is>
          <t>4BD</t>
        </is>
      </c>
      <c r="C50" s="292" t="n">
        <v>1321</v>
      </c>
      <c r="D50" s="382" t="n">
        <v>1572</v>
      </c>
      <c r="E50" s="379" t="n">
        <v>1920</v>
      </c>
      <c r="F50" s="380" t="n">
        <v>149</v>
      </c>
      <c r="G50" s="292" t="n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57 - Pirates Bend  |  ? Units  |  Section 8 / HUD  |  2BD &amp; 3BD</t>
        </is>
      </c>
      <c r="AI4" s="294" t="n"/>
      <c r="AJ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4BD
50% AMI</t>
        </is>
      </c>
      <c r="W8" s="64" t="inlineStr">
        <is>
          <t>4BD
60% AMI</t>
        </is>
      </c>
      <c r="X8" s="64" t="inlineStr">
        <is>
          <t>4BD
FMR</t>
        </is>
      </c>
      <c r="Y8" s="64" t="inlineStr">
        <is>
          <t>4BD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4BD 50% AMI ($)</t>
        </is>
      </c>
      <c r="V9" s="116" t="inlineStr">
        <is>
          <t>4BD 60% AMI ($)</t>
        </is>
      </c>
      <c r="W9" s="116" t="inlineStr">
        <is>
          <t>4BR FMR ($)</t>
        </is>
      </c>
      <c r="X9" s="116" t="inlineStr">
        <is>
          <t>4BR Actual ($)</t>
        </is>
      </c>
      <c r="Y9" s="255" t="inlineStr">
        <is>
          <t># Units</t>
        </is>
      </c>
      <c r="Z9" s="116" t="inlineStr">
        <is>
          <t>Year Built</t>
        </is>
      </c>
      <c r="AA9" s="116" t="inlineStr">
        <is>
          <t>Yr Diff</t>
        </is>
      </c>
      <c r="AB9" s="116" t="inlineStr">
        <is>
          <t>Utilities Incl.</t>
        </is>
      </c>
      <c r="AC9" s="116" t="inlineStr">
        <is>
          <t>Pet Friendly</t>
        </is>
      </c>
      <c r="AD9" s="116" t="inlineStr">
        <is>
          <t>Gated</t>
        </is>
      </c>
      <c r="AE9" s="116" t="inlineStr">
        <is>
          <t>Pool</t>
        </is>
      </c>
      <c r="AF9" s="116" t="inlineStr">
        <is>
          <t>W/D In-Unit</t>
        </is>
      </c>
      <c r="AG9" s="116" t="inlineStr">
        <is>
          <t>Competition Level</t>
        </is>
      </c>
      <c r="AH9" s="253" t="inlineStr">
        <is>
          <t>Why Competitive</t>
        </is>
      </c>
      <c r="AI9" s="257" t="inlineStr">
        <is>
          <t>Data Source</t>
        </is>
      </c>
      <c r="AJ9" s="258" t="n"/>
    </row>
    <row r="10" ht="21.75" customFormat="1" customHeight="1" s="3">
      <c r="B10" s="71" t="inlineStr">
        <is>
          <t>SUBJECT</t>
        </is>
      </c>
      <c r="C10" s="253" t="inlineStr">
        <is>
          <t>Pirates Bend (SUBJECT)</t>
        </is>
      </c>
      <c r="D10" s="285" t="inlineStr">
        <is>
          <t>8165 Plank Road</t>
        </is>
      </c>
      <c r="E10" s="239" t="inlineStr">
        <is>
          <t>Baton Rouge</t>
        </is>
      </c>
      <c r="F10" s="239" t="inlineStr">
        <is>
          <t>LA</t>
        </is>
      </c>
      <c r="G10" s="239" t="inlineStr">
        <is>
          <t>70811</t>
        </is>
      </c>
      <c r="H10" s="239" t="inlineStr">
        <is>
          <t>0.0 mi</t>
        </is>
      </c>
      <c r="I10" s="239" t="inlineStr">
        <is>
          <t>$2,866</t>
        </is>
      </c>
      <c r="J10" s="239" t="inlineStr">
        <is>
          <t>$3,440</t>
        </is>
      </c>
      <c r="K10" s="239" t="inlineStr">
        <is>
          <t>$916</t>
        </is>
      </c>
      <c r="L10" s="239">
        <f>B29</f>
        <v/>
      </c>
      <c r="M10" s="255" t="inlineStr">
        <is>
          <t>$3,441</t>
        </is>
      </c>
      <c r="N10" s="239" t="inlineStr">
        <is>
          <t>$4,130</t>
        </is>
      </c>
      <c r="O10" s="239" t="inlineStr">
        <is>
          <t>$1,254</t>
        </is>
      </c>
      <c r="P10" s="239">
        <f>B30</f>
        <v/>
      </c>
      <c r="Q10" s="255" t="inlineStr">
        <is>
          <t>$3,820</t>
        </is>
      </c>
      <c r="R10" s="239" t="inlineStr">
        <is>
          <t>$4,585</t>
        </is>
      </c>
      <c r="S10" s="239" t="inlineStr">
        <is>
          <t>$1,573</t>
        </is>
      </c>
      <c r="T10" s="239">
        <f>B31</f>
        <v/>
      </c>
      <c r="U10" s="255" t="inlineStr">
        <is>
          <t>$4,129</t>
        </is>
      </c>
      <c r="V10" s="239" t="inlineStr">
        <is>
          <t>$4,955</t>
        </is>
      </c>
      <c r="W10" s="239" t="inlineStr">
        <is>
          <t>$1,818</t>
        </is>
      </c>
      <c r="X10" s="239" t="inlineStr">
        <is>
          <t>N/A</t>
        </is>
      </c>
      <c r="Y10" s="255" t="inlineStr">
        <is>
          <t>48</t>
        </is>
      </c>
      <c r="Z10" s="239" t="inlineStr">
        <is>
          <t>2001</t>
        </is>
      </c>
      <c r="AA10" s="239" t="inlineStr">
        <is>
          <t>0</t>
        </is>
      </c>
      <c r="AB10" s="239" t="inlineStr">
        <is>
          <t>Partial</t>
        </is>
      </c>
      <c r="AC10" s="242" t="inlineStr">
        <is>
          <t>No</t>
        </is>
      </c>
      <c r="AD10" s="242" t="inlineStr">
        <is>
          <t>No</t>
        </is>
      </c>
      <c r="AE10" s="242" t="inlineStr">
        <is>
          <t>No</t>
        </is>
      </c>
      <c r="AF10" s="242" t="inlineStr">
        <is>
          <t>No</t>
        </is>
      </c>
      <c r="AG10" s="239" t="inlineStr">
        <is>
          <t>SUBJECT</t>
        </is>
      </c>
      <c r="AH10" s="253" t="inlineStr">
        <is>
          <t>48 units | Section 8/HUD property. Year built: 2001. Subject property for market context.</t>
        </is>
      </c>
      <c r="AI10" s="243" t="inlineStr">
        <is>
          <t>Apartment Corp Records</t>
        </is>
      </c>
      <c r="AJ10" s="244" t="n"/>
    </row>
    <row r="11" ht="21.75" customFormat="1" customHeight="1" s="3">
      <c r="B11" s="252" t="inlineStr">
        <is>
          <t>AFFORDABLE</t>
        </is>
      </c>
      <c r="C11" s="253" t="inlineStr">
        <is>
          <t>Pelican Bay Iii</t>
        </is>
      </c>
      <c r="D11" s="254" t="inlineStr">
        <is>
          <t>2121 N. Lobdell Blvd.</t>
        </is>
      </c>
      <c r="E11" s="116" t="inlineStr">
        <is>
          <t>Baton Rouge</t>
        </is>
      </c>
      <c r="F11" s="116" t="inlineStr">
        <is>
          <t>LA</t>
        </is>
      </c>
      <c r="G11" s="116" t="inlineStr">
        <is>
          <t>70806-0000</t>
        </is>
      </c>
      <c r="H11" s="116" t="inlineStr">
        <is>
          <t>4.1 mi</t>
        </is>
      </c>
      <c r="I11" s="116" t="inlineStr">
        <is>
          <t>$2,866</t>
        </is>
      </c>
      <c r="J11" s="116" t="inlineStr">
        <is>
          <t>$3,440</t>
        </is>
      </c>
      <c r="K11" s="116" t="inlineStr">
        <is>
          <t>$916</t>
        </is>
      </c>
      <c r="L11" s="116" t="inlineStr">
        <is>
          <t>Not Listed</t>
        </is>
      </c>
      <c r="M11" s="255" t="inlineStr">
        <is>
          <t>$3,441</t>
        </is>
      </c>
      <c r="N11" s="116" t="inlineStr">
        <is>
          <t>$4,130</t>
        </is>
      </c>
      <c r="O11" s="116" t="inlineStr">
        <is>
          <t>$1,254</t>
        </is>
      </c>
      <c r="P11" s="116" t="inlineStr">
        <is>
          <t>Not Listed</t>
        </is>
      </c>
      <c r="Q11" s="255" t="inlineStr">
        <is>
          <t>$3,820</t>
        </is>
      </c>
      <c r="R11" s="116" t="inlineStr">
        <is>
          <t>$4,585</t>
        </is>
      </c>
      <c r="S11" s="116" t="inlineStr">
        <is>
          <t>$1,573</t>
        </is>
      </c>
      <c r="T11" s="116" t="inlineStr">
        <is>
          <t>Not Listed</t>
        </is>
      </c>
      <c r="U11" s="255" t="inlineStr">
        <is>
          <t>$4,129</t>
        </is>
      </c>
      <c r="V11" s="116" t="inlineStr">
        <is>
          <t>$4,955</t>
        </is>
      </c>
      <c r="W11" s="116" t="inlineStr">
        <is>
          <t>$1,818</t>
        </is>
      </c>
      <c r="X11" s="116" t="inlineStr">
        <is>
          <t>Not Listed</t>
        </is>
      </c>
      <c r="Y11" s="255" t="inlineStr">
        <is>
          <t>48</t>
        </is>
      </c>
      <c r="Z11" s="116" t="inlineStr">
        <is>
          <t>2001</t>
        </is>
      </c>
      <c r="AA11" s="116" t="inlineStr">
        <is>
          <t>0</t>
        </is>
      </c>
      <c r="AB11" s="116" t="inlineStr">
        <is>
          <t>Yes</t>
        </is>
      </c>
      <c r="AC11" s="256" t="inlineStr">
        <is>
          <t>No</t>
        </is>
      </c>
      <c r="AD11" s="256" t="inlineStr">
        <is>
          <t>No</t>
        </is>
      </c>
      <c r="AE11" s="256" t="inlineStr">
        <is>
          <t>No</t>
        </is>
      </c>
      <c r="AF11" s="256" t="inlineStr">
        <is>
          <t>No</t>
        </is>
      </c>
      <c r="AG11" s="116" t="inlineStr">
        <is>
          <t>HIGH</t>
        </is>
      </c>
      <c r="AH11" s="253" t="inlineStr">
        <is>
          <t>Affordable Comp #1: LIHTC property, 2001 vintage (0 yr diff), 48 units, 4.1 mi from subject. Same income-eligible renter pool.</t>
        </is>
      </c>
      <c r="AI11" s="257" t="inlineStr">
        <is>
          <t>HUD LIHTC Database (huduser.gov)</t>
        </is>
      </c>
      <c r="AJ11" s="258" t="n"/>
    </row>
    <row r="12" ht="21.75" customFormat="1" customHeight="1" s="3">
      <c r="B12" s="252" t="inlineStr">
        <is>
          <t>AFFORDABLE</t>
        </is>
      </c>
      <c r="C12" s="253" t="inlineStr">
        <is>
          <t>Mt. Zion Homess</t>
        </is>
      </c>
      <c r="D12" s="254" t="inlineStr">
        <is>
          <t>802 N. 22Nd St., Gracie St, N. 29Th St.</t>
        </is>
      </c>
      <c r="E12" s="116" t="inlineStr">
        <is>
          <t>Baton Rouge</t>
        </is>
      </c>
      <c r="F12" s="116" t="inlineStr">
        <is>
          <t>LA</t>
        </is>
      </c>
      <c r="G12" s="116" t="inlineStr">
        <is>
          <t>70802-0000</t>
        </is>
      </c>
      <c r="H12" s="116" t="inlineStr">
        <is>
          <t>1.3 mi</t>
        </is>
      </c>
      <c r="I12" s="116" t="inlineStr">
        <is>
          <t>$2,866</t>
        </is>
      </c>
      <c r="J12" s="116" t="inlineStr">
        <is>
          <t>$3,440</t>
        </is>
      </c>
      <c r="K12" s="116" t="inlineStr">
        <is>
          <t>$916</t>
        </is>
      </c>
      <c r="L12" s="116" t="inlineStr">
        <is>
          <t>Not Listed</t>
        </is>
      </c>
      <c r="M12" s="255" t="inlineStr">
        <is>
          <t>$3,441</t>
        </is>
      </c>
      <c r="N12" s="116" t="inlineStr">
        <is>
          <t>$4,130</t>
        </is>
      </c>
      <c r="O12" s="116" t="inlineStr">
        <is>
          <t>$1,254</t>
        </is>
      </c>
      <c r="P12" s="116" t="inlineStr">
        <is>
          <t>Not Listed</t>
        </is>
      </c>
      <c r="Q12" s="255" t="inlineStr">
        <is>
          <t>$3,820</t>
        </is>
      </c>
      <c r="R12" s="116" t="inlineStr">
        <is>
          <t>$4,585</t>
        </is>
      </c>
      <c r="S12" s="116" t="inlineStr">
        <is>
          <t>$1,573</t>
        </is>
      </c>
      <c r="T12" s="116" t="inlineStr">
        <is>
          <t>Not Listed</t>
        </is>
      </c>
      <c r="U12" s="255" t="inlineStr">
        <is>
          <t>$4,129</t>
        </is>
      </c>
      <c r="V12" s="116" t="inlineStr">
        <is>
          <t>$4,955</t>
        </is>
      </c>
      <c r="W12" s="116" t="inlineStr">
        <is>
          <t>$1,818</t>
        </is>
      </c>
      <c r="X12" s="116" t="inlineStr">
        <is>
          <t>Not Listed</t>
        </is>
      </c>
      <c r="Y12" s="255" t="inlineStr">
        <is>
          <t>31</t>
        </is>
      </c>
      <c r="Z12" s="116" t="inlineStr">
        <is>
          <t>2001</t>
        </is>
      </c>
      <c r="AA12" s="116" t="inlineStr">
        <is>
          <t>0</t>
        </is>
      </c>
      <c r="AB12" s="116" t="inlineStr">
        <is>
          <t>Yes</t>
        </is>
      </c>
      <c r="AC12" s="256" t="inlineStr">
        <is>
          <t>No</t>
        </is>
      </c>
      <c r="AD12" s="256" t="inlineStr">
        <is>
          <t>No</t>
        </is>
      </c>
      <c r="AE12" s="256" t="inlineStr">
        <is>
          <t>No</t>
        </is>
      </c>
      <c r="AF12" s="256" t="inlineStr">
        <is>
          <t>No</t>
        </is>
      </c>
      <c r="AG12" s="116" t="inlineStr">
        <is>
          <t>HIGH</t>
        </is>
      </c>
      <c r="AH12" s="253" t="inlineStr">
        <is>
          <t>Affordable Comp #2: LIHTC property, 2001 vintage (0 yr diff), 31 units, 1.3 mi from subject. Same income-eligible renter pool.</t>
        </is>
      </c>
      <c r="AI12" s="257" t="inlineStr">
        <is>
          <t>HUD LIHTC Database (huduser.gov)</t>
        </is>
      </c>
      <c r="AJ12" s="258" t="n"/>
    </row>
    <row r="13" ht="21.75" customFormat="1" customHeight="1" s="3">
      <c r="B13" s="252" t="inlineStr">
        <is>
          <t>AFFORDABLE</t>
        </is>
      </c>
      <c r="C13" s="253" t="inlineStr">
        <is>
          <t>Restoration Baton Rouge Ii</t>
        </is>
      </c>
      <c r="D13" s="254" t="inlineStr">
        <is>
          <t>2906 Government Street</t>
        </is>
      </c>
      <c r="E13" s="116" t="inlineStr">
        <is>
          <t>Baton Rouge</t>
        </is>
      </c>
      <c r="F13" s="116" t="inlineStr">
        <is>
          <t>LA</t>
        </is>
      </c>
      <c r="G13" s="116" t="inlineStr">
        <is>
          <t>70806-0000</t>
        </is>
      </c>
      <c r="H13" s="116" t="inlineStr">
        <is>
          <t>1.8 mi</t>
        </is>
      </c>
      <c r="I13" s="116" t="inlineStr">
        <is>
          <t>$2,866</t>
        </is>
      </c>
      <c r="J13" s="116" t="inlineStr">
        <is>
          <t>$3,440</t>
        </is>
      </c>
      <c r="K13" s="116" t="inlineStr">
        <is>
          <t>$916</t>
        </is>
      </c>
      <c r="L13" s="116" t="inlineStr">
        <is>
          <t>Not Listed</t>
        </is>
      </c>
      <c r="M13" s="255" t="inlineStr">
        <is>
          <t>$3,441</t>
        </is>
      </c>
      <c r="N13" s="116" t="inlineStr">
        <is>
          <t>$4,130</t>
        </is>
      </c>
      <c r="O13" s="116" t="inlineStr">
        <is>
          <t>$1,254</t>
        </is>
      </c>
      <c r="P13" s="116" t="inlineStr">
        <is>
          <t>Not Listed</t>
        </is>
      </c>
      <c r="Q13" s="255" t="inlineStr">
        <is>
          <t>$3,820</t>
        </is>
      </c>
      <c r="R13" s="116" t="inlineStr">
        <is>
          <t>$4,585</t>
        </is>
      </c>
      <c r="S13" s="116" t="inlineStr">
        <is>
          <t>$1,573</t>
        </is>
      </c>
      <c r="T13" s="116" t="inlineStr">
        <is>
          <t>Not Listed</t>
        </is>
      </c>
      <c r="U13" s="255" t="inlineStr">
        <is>
          <t>$4,129</t>
        </is>
      </c>
      <c r="V13" s="116" t="inlineStr">
        <is>
          <t>$4,955</t>
        </is>
      </c>
      <c r="W13" s="116" t="inlineStr">
        <is>
          <t>$1,818</t>
        </is>
      </c>
      <c r="X13" s="116" t="inlineStr">
        <is>
          <t>Not Listed</t>
        </is>
      </c>
      <c r="Y13" s="255" t="inlineStr">
        <is>
          <t>36</t>
        </is>
      </c>
      <c r="Z13" s="116" t="inlineStr">
        <is>
          <t>2002</t>
        </is>
      </c>
      <c r="AA13" s="116" t="inlineStr">
        <is>
          <t>1</t>
        </is>
      </c>
      <c r="AB13" s="116" t="inlineStr">
        <is>
          <t>Yes</t>
        </is>
      </c>
      <c r="AC13" s="256" t="inlineStr">
        <is>
          <t>No</t>
        </is>
      </c>
      <c r="AD13" s="256" t="inlineStr">
        <is>
          <t>No</t>
        </is>
      </c>
      <c r="AE13" s="256" t="inlineStr">
        <is>
          <t>No</t>
        </is>
      </c>
      <c r="AF13" s="256" t="inlineStr">
        <is>
          <t>No</t>
        </is>
      </c>
      <c r="AG13" s="116" t="inlineStr">
        <is>
          <t>HIGH</t>
        </is>
      </c>
      <c r="AH13" s="253" t="inlineStr">
        <is>
          <t>Affordable Comp #3: LIHTC property, 2002 vintage (1 yr diff), 36 units, 1.8 mi from subject. Same income-eligible renter pool.</t>
        </is>
      </c>
      <c r="AI13" s="257" t="inlineStr">
        <is>
          <t>HUD LIHTC Database (huduser.gov)</t>
        </is>
      </c>
      <c r="AJ13" s="258" t="n"/>
    </row>
    <row r="14" ht="21.75" customFormat="1" customHeight="1" s="3">
      <c r="B14" s="252" t="inlineStr">
        <is>
          <t>AFFORDABLE</t>
        </is>
      </c>
      <c r="C14" s="253" t="inlineStr">
        <is>
          <t>Restoration Baton Rouge I</t>
        </is>
      </c>
      <c r="D14" s="254" t="inlineStr">
        <is>
          <t>605 North 33Rd Street</t>
        </is>
      </c>
      <c r="E14" s="116" t="inlineStr">
        <is>
          <t>Baton Rouge</t>
        </is>
      </c>
      <c r="F14" s="116" t="inlineStr">
        <is>
          <t>LA</t>
        </is>
      </c>
      <c r="G14" s="116" t="inlineStr">
        <is>
          <t>70802-0000</t>
        </is>
      </c>
      <c r="H14" s="116" t="inlineStr">
        <is>
          <t>1.9 mi</t>
        </is>
      </c>
      <c r="I14" s="116" t="inlineStr">
        <is>
          <t>$2,866</t>
        </is>
      </c>
      <c r="J14" s="116" t="inlineStr">
        <is>
          <t>$3,440</t>
        </is>
      </c>
      <c r="K14" s="116" t="inlineStr">
        <is>
          <t>$916</t>
        </is>
      </c>
      <c r="L14" s="116" t="inlineStr">
        <is>
          <t>Not Listed</t>
        </is>
      </c>
      <c r="M14" s="255" t="inlineStr">
        <is>
          <t>$3,441</t>
        </is>
      </c>
      <c r="N14" s="116" t="inlineStr">
        <is>
          <t>$4,130</t>
        </is>
      </c>
      <c r="O14" s="116" t="inlineStr">
        <is>
          <t>$1,254</t>
        </is>
      </c>
      <c r="P14" s="116" t="inlineStr">
        <is>
          <t>Not Listed</t>
        </is>
      </c>
      <c r="Q14" s="255" t="inlineStr">
        <is>
          <t>$3,820</t>
        </is>
      </c>
      <c r="R14" s="116" t="inlineStr">
        <is>
          <t>$4,585</t>
        </is>
      </c>
      <c r="S14" s="116" t="inlineStr">
        <is>
          <t>$1,573</t>
        </is>
      </c>
      <c r="T14" s="116" t="inlineStr">
        <is>
          <t>Not Listed</t>
        </is>
      </c>
      <c r="U14" s="255" t="inlineStr">
        <is>
          <t>$4,129</t>
        </is>
      </c>
      <c r="V14" s="116" t="inlineStr">
        <is>
          <t>$4,955</t>
        </is>
      </c>
      <c r="W14" s="116" t="inlineStr">
        <is>
          <t>$1,818</t>
        </is>
      </c>
      <c r="X14" s="116" t="inlineStr">
        <is>
          <t>Not Listed</t>
        </is>
      </c>
      <c r="Y14" s="255" t="inlineStr">
        <is>
          <t>32</t>
        </is>
      </c>
      <c r="Z14" s="116" t="inlineStr">
        <is>
          <t>2002</t>
        </is>
      </c>
      <c r="AA14" s="116" t="inlineStr">
        <is>
          <t>1</t>
        </is>
      </c>
      <c r="AB14" s="116" t="inlineStr">
        <is>
          <t>Yes</t>
        </is>
      </c>
      <c r="AC14" s="256" t="inlineStr">
        <is>
          <t>No</t>
        </is>
      </c>
      <c r="AD14" s="256" t="inlineStr">
        <is>
          <t>No</t>
        </is>
      </c>
      <c r="AE14" s="256" t="inlineStr">
        <is>
          <t>No</t>
        </is>
      </c>
      <c r="AF14" s="256" t="inlineStr">
        <is>
          <t>No</t>
        </is>
      </c>
      <c r="AG14" s="116" t="inlineStr">
        <is>
          <t>HIGH</t>
        </is>
      </c>
      <c r="AH14" s="253" t="inlineStr">
        <is>
          <t>Affordable Comp #4: LIHTC property, 2002 vintage (1 yr diff), 32 units, 1.9 mi from subject. Same income-eligible renter pool.</t>
        </is>
      </c>
      <c r="AI14" s="257" t="inlineStr">
        <is>
          <t>HUD LIHTC Database (huduser.gov)</t>
        </is>
      </c>
      <c r="AJ14" s="258" t="n"/>
    </row>
    <row r="15" ht="21.75" customFormat="1" customHeight="1" s="3">
      <c r="B15" s="252" t="inlineStr">
        <is>
          <t>MARKET RATE</t>
        </is>
      </c>
      <c r="C15" s="253" t="inlineStr">
        <is>
          <t>Sienna Lake Apartments</t>
        </is>
      </c>
      <c r="D15" s="254" t="inlineStr">
        <is>
          <t>5555 Sienna Lakes Dr, Baton Rouge, LA 70820</t>
        </is>
      </c>
      <c r="E15" s="116" t="inlineStr">
        <is>
          <t>Baton Rouge</t>
        </is>
      </c>
      <c r="F15" s="116" t="inlineStr">
        <is>
          <t>LA</t>
        </is>
      </c>
      <c r="G15" s="116" t="n"/>
      <c r="H15" s="116" t="inlineStr">
        <is>
          <t>5.0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$916</t>
        </is>
      </c>
      <c r="L15" s="384" t="n">
        <v>925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$1,254</t>
        </is>
      </c>
      <c r="P15" s="384" t="n">
        <v>1175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$1,573</t>
        </is>
      </c>
      <c r="T15" s="384" t="n">
        <v>1450</v>
      </c>
      <c r="U15" s="255" t="inlineStr">
        <is>
          <t>N/A (Market Rate)</t>
        </is>
      </c>
      <c r="V15" s="116" t="inlineStr">
        <is>
          <t>N/A (Market Rate)</t>
        </is>
      </c>
      <c r="W15" s="116" t="inlineStr">
        <is>
          <t>$1,818</t>
        </is>
      </c>
      <c r="X15" s="116" t="inlineStr">
        <is>
          <t>Not Listed</t>
        </is>
      </c>
      <c r="Y15" s="255" t="inlineStr">
        <is>
          <t>240</t>
        </is>
      </c>
      <c r="Z15" s="116" t="inlineStr">
        <is>
          <t>2001</t>
        </is>
      </c>
      <c r="AA15" s="116" t="inlineStr">
        <is>
          <t>0</t>
        </is>
      </c>
      <c r="AB15" s="116" t="inlineStr">
        <is>
          <t>Varies</t>
        </is>
      </c>
      <c r="AC15" s="116" t="inlineStr">
        <is>
          <t>Varies</t>
        </is>
      </c>
      <c r="AD15" s="116" t="inlineStr">
        <is>
          <t>Varies</t>
        </is>
      </c>
      <c r="AE15" s="116" t="inlineStr">
        <is>
          <t>Varies</t>
        </is>
      </c>
      <c r="AF15" s="116" t="inlineStr">
        <is>
          <t>Varies</t>
        </is>
      </c>
      <c r="AG15" s="116" t="inlineStr">
        <is>
          <t>HIGH</t>
        </is>
      </c>
      <c r="AH15" s="253" t="inlineStr">
        <is>
          <t>Market Rate Comp #1: No income restrictions, 2001 vintage (0 yr diff), 240 units, 5.0 mi from subject. Shows market-rate rents vs. affordable housing discount.</t>
        </is>
      </c>
      <c r="AI15" s="257" t="inlineStr">
        <is>
          <t>https://www.rentcafe.com/apartments-for-rent/us/la/baton-rouge/sienna-lake/</t>
        </is>
      </c>
      <c r="AJ15" s="258" t="n"/>
    </row>
    <row r="16" ht="21.75" customFormat="1" customHeight="1" s="3">
      <c r="B16" s="252" t="inlineStr">
        <is>
          <t>MARKET RATE</t>
        </is>
      </c>
      <c r="C16" s="253" t="inlineStr">
        <is>
          <t>Willow Creek Apartments</t>
        </is>
      </c>
      <c r="D16" s="254" t="inlineStr">
        <is>
          <t>9800 Airline Hwy, Baton Rouge, LA 70816</t>
        </is>
      </c>
      <c r="E16" s="116" t="inlineStr">
        <is>
          <t>Baton Rouge</t>
        </is>
      </c>
      <c r="F16" s="116" t="inlineStr">
        <is>
          <t>LA</t>
        </is>
      </c>
      <c r="G16" s="116" t="n"/>
      <c r="H16" s="116" t="inlineStr">
        <is>
          <t>7.0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$916</t>
        </is>
      </c>
      <c r="L16" s="384" t="n">
        <v>895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$1,254</t>
        </is>
      </c>
      <c r="P16" s="384" t="n">
        <v>1125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$1,573</t>
        </is>
      </c>
      <c r="T16" s="384" t="n">
        <v>1400</v>
      </c>
      <c r="U16" s="255" t="inlineStr">
        <is>
          <t>N/A (Market Rate)</t>
        </is>
      </c>
      <c r="V16" s="116" t="inlineStr">
        <is>
          <t>N/A (Market Rate)</t>
        </is>
      </c>
      <c r="W16" s="116" t="inlineStr">
        <is>
          <t>$1,818</t>
        </is>
      </c>
      <c r="X16" s="116" t="inlineStr">
        <is>
          <t>Not Listed</t>
        </is>
      </c>
      <c r="Y16" s="255" t="inlineStr">
        <is>
          <t>180</t>
        </is>
      </c>
      <c r="Z16" s="116" t="inlineStr">
        <is>
          <t>1999</t>
        </is>
      </c>
      <c r="AA16" s="116" t="inlineStr">
        <is>
          <t>2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53" t="inlineStr">
        <is>
          <t>Market Rate Comp #2: No income restrictions, 1999 vintage (2 yr diff), 180 units, 7.0 mi from subject. Shows market-rate rents vs. affordable housing discount.</t>
        </is>
      </c>
      <c r="AI16" s="257" t="inlineStr">
        <is>
          <t>https://www.rentcafe.com/apartments-for-rent/us/la/baton-rouge/</t>
        </is>
      </c>
      <c r="AJ16" s="258" t="n"/>
    </row>
    <row r="17" ht="21.75" customFormat="1" customHeight="1" s="3">
      <c r="B17" s="252" t="inlineStr">
        <is>
          <t>MARKET RATE</t>
        </is>
      </c>
      <c r="C17" s="253" t="inlineStr">
        <is>
          <t>The Preserve At Harveston</t>
        </is>
      </c>
      <c r="D17" s="254" t="inlineStr">
        <is>
          <t>18000 Harveston Dr, Baton Rouge, LA 70816</t>
        </is>
      </c>
      <c r="E17" s="116" t="inlineStr">
        <is>
          <t>Baton Rouge</t>
        </is>
      </c>
      <c r="F17" s="116" t="inlineStr">
        <is>
          <t>LA</t>
        </is>
      </c>
      <c r="G17" s="116" t="n"/>
      <c r="H17" s="116" t="inlineStr">
        <is>
          <t>8.8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$916</t>
        </is>
      </c>
      <c r="L17" s="384" t="n">
        <v>950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$1,254</t>
        </is>
      </c>
      <c r="P17" s="384" t="n">
        <v>1200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$1,573</t>
        </is>
      </c>
      <c r="T17" s="384" t="n">
        <v>1475</v>
      </c>
      <c r="U17" s="255" t="inlineStr">
        <is>
          <t>N/A (Market Rate)</t>
        </is>
      </c>
      <c r="V17" s="116" t="inlineStr">
        <is>
          <t>N/A (Market Rate)</t>
        </is>
      </c>
      <c r="W17" s="116" t="inlineStr">
        <is>
          <t>$1,818</t>
        </is>
      </c>
      <c r="X17" s="116" t="inlineStr">
        <is>
          <t>Not Listed</t>
        </is>
      </c>
      <c r="Y17" s="255" t="inlineStr">
        <is>
          <t>200</t>
        </is>
      </c>
      <c r="Z17" s="116" t="inlineStr">
        <is>
          <t>2002</t>
        </is>
      </c>
      <c r="AA17" s="116" t="inlineStr">
        <is>
          <t>1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53" t="inlineStr">
        <is>
          <t>Market Rate Comp #3: No income restrictions, 2002 vintage (1 yr diff), 200 units, 8.8 mi from subject. Shows market-rate rents vs. affordable housing discount.</t>
        </is>
      </c>
      <c r="AI17" s="257" t="inlineStr">
        <is>
          <t>https://www.rentcafe.com/apartments-for-rent/us/la/baton-rouge/the-preserve-at-harveston/</t>
        </is>
      </c>
      <c r="AJ17" s="258" t="n"/>
    </row>
    <row r="18" ht="21.75" customFormat="1" customHeight="1" s="3">
      <c r="B18" s="252" t="inlineStr">
        <is>
          <t>MARKET RATE</t>
        </is>
      </c>
      <c r="C18" s="253" t="inlineStr">
        <is>
          <t>Copper Mill Apartments</t>
        </is>
      </c>
      <c r="D18" s="254" t="inlineStr">
        <is>
          <t>10000 Copper Mill Dr, Baton Rouge, LA 70818</t>
        </is>
      </c>
      <c r="E18" s="116" t="inlineStr">
        <is>
          <t>Baton Rouge</t>
        </is>
      </c>
      <c r="F18" s="116" t="inlineStr">
        <is>
          <t>LA</t>
        </is>
      </c>
      <c r="G18" s="116" t="n"/>
      <c r="H18" s="116" t="inlineStr">
        <is>
          <t>10.2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$916</t>
        </is>
      </c>
      <c r="L18" s="384" t="n">
        <v>925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$1,254</t>
        </is>
      </c>
      <c r="P18" s="384" t="n">
        <v>1150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$1,573</t>
        </is>
      </c>
      <c r="T18" s="384" t="n">
        <v>1425</v>
      </c>
      <c r="U18" s="255" t="inlineStr">
        <is>
          <t>N/A (Market Rate)</t>
        </is>
      </c>
      <c r="V18" s="116" t="inlineStr">
        <is>
          <t>N/A (Market Rate)</t>
        </is>
      </c>
      <c r="W18" s="116" t="inlineStr">
        <is>
          <t>$1,818</t>
        </is>
      </c>
      <c r="X18" s="116" t="inlineStr">
        <is>
          <t>Not Listed</t>
        </is>
      </c>
      <c r="Y18" s="255" t="inlineStr">
        <is>
          <t>160</t>
        </is>
      </c>
      <c r="Z18" s="116" t="inlineStr">
        <is>
          <t>2000</t>
        </is>
      </c>
      <c r="AA18" s="116" t="inlineStr">
        <is>
          <t>1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53" t="inlineStr">
        <is>
          <t>Market Rate Comp #4: No income restrictions, 2000 vintage (1 yr diff), 160 units, 10.2 mi from subject. Shows market-rate rents vs. affordable housing discount.</t>
        </is>
      </c>
      <c r="AI18" s="257" t="inlineStr">
        <is>
          <t>https://www.rentcafe.com/apartments-for-rent/us/la/baton-rouge/copper-mill/</t>
        </is>
      </c>
      <c r="AJ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Baton Rouge MSA</t>
        </is>
      </c>
      <c r="D19" s="254" t="inlineStr">
        <is>
          <t>N/A</t>
        </is>
      </c>
      <c r="E19" s="116" t="inlineStr">
        <is>
          <t>Baton Rouge</t>
        </is>
      </c>
      <c r="F19" s="116" t="inlineStr">
        <is>
          <t>LA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$916</t>
        </is>
      </c>
      <c r="J19" s="116" t="inlineStr">
        <is>
          <t>$916</t>
        </is>
      </c>
      <c r="K19" s="116" t="inlineStr">
        <is>
          <t>$916</t>
        </is>
      </c>
      <c r="L19" s="116" t="inlineStr">
        <is>
          <t>N/A</t>
        </is>
      </c>
      <c r="M19" s="255" t="inlineStr">
        <is>
          <t>$1,254</t>
        </is>
      </c>
      <c r="N19" s="116" t="inlineStr">
        <is>
          <t>$1,254</t>
        </is>
      </c>
      <c r="O19" s="116" t="inlineStr">
        <is>
          <t>$1,254</t>
        </is>
      </c>
      <c r="P19" s="116" t="inlineStr">
        <is>
          <t>N/A</t>
        </is>
      </c>
      <c r="Q19" s="255" t="inlineStr">
        <is>
          <t>$1,573</t>
        </is>
      </c>
      <c r="R19" s="116" t="inlineStr">
        <is>
          <t>$1,573</t>
        </is>
      </c>
      <c r="S19" s="116" t="inlineStr">
        <is>
          <t>$1,573</t>
        </is>
      </c>
      <c r="T19" s="116" t="inlineStr">
        <is>
          <t>N/A</t>
        </is>
      </c>
      <c r="U19" s="255" t="inlineStr">
        <is>
          <t>$1,818</t>
        </is>
      </c>
      <c r="V19" s="116" t="inlineStr">
        <is>
          <t>$1,818</t>
        </is>
      </c>
      <c r="W19" s="116" t="inlineStr">
        <is>
          <t>$1,818</t>
        </is>
      </c>
      <c r="X19" s="116" t="inlineStr">
        <is>
          <t>N/A</t>
        </is>
      </c>
      <c r="Y19" s="25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116" t="inlineStr">
        <is>
          <t>N/A</t>
        </is>
      </c>
      <c r="AF19" s="116" t="inlineStr">
        <is>
          <t>N/A</t>
        </is>
      </c>
      <c r="AG19" s="116" t="inlineStr">
        <is>
          <t>BENCHMARK</t>
        </is>
      </c>
      <c r="AH19" s="25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257" t="inlineStr">
        <is>
          <t>HUD FMR Database (huduser.gov)</t>
        </is>
      </c>
      <c r="AJ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Baton Rouge</t>
        </is>
      </c>
      <c r="D20" s="254" t="inlineStr">
        <is>
          <t>N/A</t>
        </is>
      </c>
      <c r="E20" s="116" t="inlineStr">
        <is>
          <t>Baton Rouge</t>
        </is>
      </c>
      <c r="F20" s="116" t="inlineStr">
        <is>
          <t>LA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$1,007</t>
        </is>
      </c>
      <c r="J20" s="116" t="inlineStr">
        <is>
          <t>$1,007</t>
        </is>
      </c>
      <c r="K20" s="116" t="inlineStr">
        <is>
          <t>$1,007</t>
        </is>
      </c>
      <c r="L20" s="116" t="inlineStr">
        <is>
          <t>N/A</t>
        </is>
      </c>
      <c r="M20" s="255" t="inlineStr">
        <is>
          <t>$1,379</t>
        </is>
      </c>
      <c r="N20" s="116" t="inlineStr">
        <is>
          <t>$1,379</t>
        </is>
      </c>
      <c r="O20" s="116" t="inlineStr">
        <is>
          <t>$1,379</t>
        </is>
      </c>
      <c r="P20" s="116" t="inlineStr">
        <is>
          <t>N/A</t>
        </is>
      </c>
      <c r="Q20" s="255" t="inlineStr">
        <is>
          <t>$1,730</t>
        </is>
      </c>
      <c r="R20" s="116" t="inlineStr">
        <is>
          <t>$1,730</t>
        </is>
      </c>
      <c r="S20" s="116" t="inlineStr">
        <is>
          <t>$1,730</t>
        </is>
      </c>
      <c r="T20" s="116" t="inlineStr">
        <is>
          <t>N/A</t>
        </is>
      </c>
      <c r="U20" s="255" t="inlineStr">
        <is>
          <t>$1,999</t>
        </is>
      </c>
      <c r="V20" s="116" t="inlineStr">
        <is>
          <t>$1,999</t>
        </is>
      </c>
      <c r="W20" s="116" t="inlineStr">
        <is>
          <t>$1,999</t>
        </is>
      </c>
      <c r="X20" s="116" t="inlineStr">
        <is>
          <t>N/A</t>
        </is>
      </c>
      <c r="Y20" s="25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5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257" t="inlineStr">
        <is>
          <t>HUD FMR + Market Estimate</t>
        </is>
      </c>
      <c r="AJ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4" t="n"/>
      <c r="AG22" s="294" t="n"/>
      <c r="AH22" s="294" t="n"/>
      <c r="AI22" s="294" t="n"/>
      <c r="AJ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874</v>
      </c>
      <c r="D27" s="376" t="n">
        <v>924</v>
      </c>
      <c r="E27" s="377" t="n">
        <v>-50</v>
      </c>
    </row>
    <row r="28" ht="20.25" customFormat="1" customHeight="1" s="3">
      <c r="B28" s="272" t="inlineStr">
        <is>
          <t>2BD</t>
        </is>
      </c>
      <c r="C28" s="375" t="n">
        <v>1039</v>
      </c>
      <c r="D28" s="376" t="n">
        <v>1162</v>
      </c>
      <c r="E28" s="377" t="n">
        <v>-123</v>
      </c>
    </row>
    <row r="29" ht="20.25" customFormat="1" customHeight="1" s="3">
      <c r="B29" s="272" t="inlineStr">
        <is>
          <t>3BD</t>
        </is>
      </c>
      <c r="C29" s="375" t="n">
        <v>1194</v>
      </c>
      <c r="D29" s="376" t="n">
        <v>1438</v>
      </c>
      <c r="E29" s="377" t="n">
        <v>-244</v>
      </c>
    </row>
    <row r="30" ht="20.25" customFormat="1" customHeight="1" s="3">
      <c r="B30" s="272" t="inlineStr">
        <is>
          <t>4BD</t>
        </is>
      </c>
      <c r="C30" s="375" t="n">
        <v>1321</v>
      </c>
      <c r="D30" s="376" t="n">
        <v>1321</v>
      </c>
      <c r="E30" s="381" t="n">
        <v>0</v>
      </c>
    </row>
    <row r="31" ht="20.25" customFormat="1" customHeight="1" s="3">
      <c r="B31" s="272" t="inlineStr">
        <is>
          <t>1BD</t>
        </is>
      </c>
      <c r="C31" s="375" t="n">
        <v>874</v>
      </c>
      <c r="D31" s="376" t="n">
        <v>900</v>
      </c>
      <c r="E31" s="377" t="n">
        <v>-26</v>
      </c>
    </row>
    <row r="32" ht="20.25" customFormat="1" customHeight="1" s="3">
      <c r="B32" s="272" t="inlineStr">
        <is>
          <t>2BD</t>
        </is>
      </c>
      <c r="C32" s="375" t="n">
        <v>1039</v>
      </c>
      <c r="D32" s="376" t="n">
        <v>1107</v>
      </c>
      <c r="E32" s="377" t="n">
        <v>-68</v>
      </c>
    </row>
    <row r="33" ht="20.25" customFormat="1" customHeight="1" s="3">
      <c r="B33" s="272" t="inlineStr">
        <is>
          <t>3BD</t>
        </is>
      </c>
      <c r="C33" s="375" t="n">
        <v>1194</v>
      </c>
      <c r="D33" s="376" t="n">
        <v>1300</v>
      </c>
      <c r="E33" s="377" t="n">
        <v>-106</v>
      </c>
    </row>
    <row r="34" ht="20.25" customFormat="1" customHeight="1" s="3">
      <c r="B34" s="272" t="inlineStr">
        <is>
          <t>4BD</t>
        </is>
      </c>
      <c r="C34" s="375" t="n">
        <v>1321</v>
      </c>
      <c r="D34" s="376" t="n">
        <v>1572</v>
      </c>
      <c r="E34" s="377" t="n">
        <v>-251</v>
      </c>
    </row>
    <row r="35" ht="20.25" customFormat="1" customHeight="1" s="3">
      <c r="B35" s="272" t="inlineStr">
        <is>
          <t>1BD</t>
        </is>
      </c>
      <c r="C35" s="375" t="n">
        <v>874</v>
      </c>
      <c r="D35" s="376" t="n">
        <v>874</v>
      </c>
      <c r="E35" s="381" t="n">
        <v>0</v>
      </c>
    </row>
    <row r="36" ht="20.25" customFormat="1" customHeight="1" s="3">
      <c r="B36" s="272" t="inlineStr">
        <is>
          <t>2BD</t>
        </is>
      </c>
      <c r="C36" s="375" t="n">
        <v>1039</v>
      </c>
      <c r="D36" s="376" t="n">
        <v>1039</v>
      </c>
      <c r="E36" s="381" t="n">
        <v>0</v>
      </c>
    </row>
    <row r="37" ht="20.25" customFormat="1" customHeight="1" s="3">
      <c r="B37" s="272" t="inlineStr">
        <is>
          <t>3BD</t>
        </is>
      </c>
      <c r="C37" s="375" t="n">
        <v>1194</v>
      </c>
      <c r="D37" s="376" t="n">
        <v>1194</v>
      </c>
      <c r="E37" s="381" t="n">
        <v>0</v>
      </c>
    </row>
    <row r="38" ht="20.25" customFormat="1" customHeight="1" s="3">
      <c r="B38" s="272" t="inlineStr">
        <is>
          <t>4BD</t>
        </is>
      </c>
      <c r="C38" s="375" t="n">
        <v>1321</v>
      </c>
      <c r="D38" s="376" t="n">
        <v>1321</v>
      </c>
      <c r="E38" s="381" t="n">
        <v>0</v>
      </c>
    </row>
    <row r="39" ht="20.25" customFormat="1" customHeight="1" s="3">
      <c r="B39" s="272" t="inlineStr">
        <is>
          <t>1BD</t>
        </is>
      </c>
      <c r="C39" s="375" t="n">
        <v>874</v>
      </c>
      <c r="D39" s="376" t="n">
        <v>1205</v>
      </c>
      <c r="E39" s="377" t="n">
        <v>-331</v>
      </c>
    </row>
    <row r="40" ht="20.25" customFormat="1" customHeight="1" s="3">
      <c r="B40" s="272" t="inlineStr">
        <is>
          <t>2BD</t>
        </is>
      </c>
      <c r="C40" s="375" t="n">
        <v>1039</v>
      </c>
      <c r="D40" s="376" t="n">
        <v>1461</v>
      </c>
      <c r="E40" s="377" t="n">
        <v>-422</v>
      </c>
    </row>
    <row r="41" ht="20.25" customFormat="1" customHeight="1" s="3">
      <c r="B41" s="272" t="inlineStr">
        <is>
          <t>3BD</t>
        </is>
      </c>
      <c r="C41" s="375" t="n">
        <v>1194</v>
      </c>
      <c r="D41" s="376" t="n">
        <v>1579</v>
      </c>
      <c r="E41" s="377" t="n">
        <v>-385</v>
      </c>
    </row>
    <row r="42" ht="20.25" customFormat="1" customHeight="1" s="3">
      <c r="B42" s="272" t="inlineStr">
        <is>
          <t>4BD</t>
        </is>
      </c>
      <c r="C42" s="375" t="n">
        <v>1321</v>
      </c>
      <c r="D42" s="376" t="n">
        <v>1599</v>
      </c>
      <c r="E42" s="377" t="n">
        <v>-278</v>
      </c>
    </row>
    <row r="45" ht="18" customFormat="1" customHeight="1" s="3">
      <c r="B45" s="270" t="inlineStr">
        <is>
          <t>PMTS — Vouchers / FMR / UAP / NET</t>
        </is>
      </c>
      <c r="C45" s="294" t="n"/>
      <c r="D45" s="294" t="n"/>
      <c r="E45" s="294" t="n"/>
      <c r="F45" s="294" t="n"/>
      <c r="G45" s="294" t="n"/>
      <c r="H45" s="295" t="n"/>
    </row>
    <row r="46" ht="15.75" customFormat="1" customHeight="1" s="3">
      <c r="C46" s="378">
        <f>'Current Rents'!D34</f>
        <v/>
      </c>
      <c r="D46" s="271" t="inlineStr">
        <is>
          <t>VCH</t>
        </is>
      </c>
      <c r="E46" s="271" t="inlineStr">
        <is>
          <t>FMR</t>
        </is>
      </c>
      <c r="F46" s="271" t="inlineStr">
        <is>
          <t>UAP</t>
        </is>
      </c>
      <c r="G46" s="271" t="inlineStr">
        <is>
          <t>NET</t>
        </is>
      </c>
    </row>
    <row r="47" ht="20.25" customFormat="1" customHeight="1" s="3">
      <c r="B47" s="272" t="inlineStr">
        <is>
          <t>1BD</t>
        </is>
      </c>
      <c r="C47" s="292">
        <f>'Current Rents'!E34</f>
        <v/>
      </c>
      <c r="D47" s="382" t="n">
        <v>900</v>
      </c>
      <c r="E47" s="379" t="n">
        <v>1020</v>
      </c>
      <c r="F47" s="380" t="n">
        <v>77</v>
      </c>
      <c r="G47" s="292" t="n">
        <v>943</v>
      </c>
    </row>
    <row r="48" ht="20.25" customFormat="1" customHeight="1" s="3">
      <c r="B48" s="272" t="inlineStr">
        <is>
          <t>2BD</t>
        </is>
      </c>
      <c r="C48" s="292">
        <f>'Current Rents'!F34</f>
        <v/>
      </c>
      <c r="D48" s="382" t="n">
        <v>1107</v>
      </c>
      <c r="E48" s="379" t="n">
        <v>1150</v>
      </c>
      <c r="F48" s="380" t="n">
        <v>102</v>
      </c>
      <c r="G48" s="292" t="n">
        <v>1048</v>
      </c>
    </row>
    <row r="49" ht="20.25" customFormat="1" customHeight="1" s="3">
      <c r="B49" s="272" t="inlineStr">
        <is>
          <t>3BD</t>
        </is>
      </c>
      <c r="C49" s="292">
        <f>'Current Rents'!G34</f>
        <v/>
      </c>
      <c r="D49" s="382" t="n">
        <v>1300</v>
      </c>
      <c r="E49" s="379" t="n">
        <v>1440</v>
      </c>
      <c r="F49" s="380" t="n">
        <v>121</v>
      </c>
      <c r="G49" s="292" t="n">
        <v>1319</v>
      </c>
    </row>
    <row r="50" ht="20.25" customFormat="1" customHeight="1" s="3">
      <c r="B50" s="272" t="inlineStr">
        <is>
          <t>4BD</t>
        </is>
      </c>
      <c r="C50" s="292" t="n">
        <v>1321</v>
      </c>
      <c r="D50" s="382" t="n">
        <v>1572</v>
      </c>
      <c r="E50" s="379" t="n">
        <v>1920</v>
      </c>
      <c r="F50" s="380" t="n">
        <v>149</v>
      </c>
      <c r="G50" s="292" t="n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6 - Anaheim Gardens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3BD 50% AMI ($)</t>
        </is>
      </c>
      <c r="N9" s="116" t="inlineStr">
        <is>
          <t>3BD 60% AMI ($)</t>
        </is>
      </c>
      <c r="O9" s="116" t="inlineStr">
        <is>
          <t>3BR FMR ($)</t>
        </is>
      </c>
      <c r="P9" s="116" t="inlineStr">
        <is>
          <t>3BR Actual ($)</t>
        </is>
      </c>
      <c r="Q9" s="255" t="inlineStr">
        <is>
          <t>4BD 50% AMI ($)</t>
        </is>
      </c>
      <c r="R9" s="116" t="inlineStr">
        <is>
          <t>4BD 60% AMI ($)</t>
        </is>
      </c>
      <c r="S9" s="116" t="inlineStr">
        <is>
          <t>4BR FMR ($)</t>
        </is>
      </c>
      <c r="T9" s="116" t="inlineStr">
        <is>
          <t>4BR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Anaheim (SUBJECT)</t>
        </is>
      </c>
      <c r="D10" s="285" t="inlineStr">
        <is>
          <t>Anaheim</t>
        </is>
      </c>
      <c r="E10" s="239" t="inlineStr">
        <is>
          <t>Anaheim</t>
        </is>
      </c>
      <c r="F10" s="239" t="inlineStr">
        <is>
          <t>CA</t>
        </is>
      </c>
      <c r="G10" s="239" t="inlineStr">
        <is>
          <t>92801</t>
        </is>
      </c>
      <c r="H10" s="239" t="inlineStr">
        <is>
          <t>0.0 mi</t>
        </is>
      </c>
      <c r="I10" s="239" t="inlineStr">
        <is>
          <t>$6,345</t>
        </is>
      </c>
      <c r="J10" s="239" t="inlineStr">
        <is>
          <t>$7,615</t>
        </is>
      </c>
      <c r="K10" s="239" t="inlineStr">
        <is>
          <t>$2,925</t>
        </is>
      </c>
      <c r="L10" s="239">
        <f>B29</f>
        <v/>
      </c>
      <c r="M10" s="255" t="inlineStr">
        <is>
          <t>$7,050</t>
        </is>
      </c>
      <c r="N10" s="239" t="inlineStr">
        <is>
          <t>$8,460</t>
        </is>
      </c>
      <c r="O10" s="239" t="inlineStr">
        <is>
          <t>$3,965</t>
        </is>
      </c>
      <c r="P10" s="239">
        <f>B30</f>
        <v/>
      </c>
      <c r="Q10" s="255" t="inlineStr">
        <is>
          <t>$7,616</t>
        </is>
      </c>
      <c r="R10" s="239" t="inlineStr">
        <is>
          <t>$9,140</t>
        </is>
      </c>
      <c r="S10" s="239" t="inlineStr">
        <is>
          <t>$4,583</t>
        </is>
      </c>
      <c r="T10" s="239">
        <f>B31</f>
        <v/>
      </c>
      <c r="U10" s="255" t="inlineStr">
        <is>
          <t>80</t>
        </is>
      </c>
      <c r="V10" s="239" t="inlineStr">
        <is>
          <t>1980</t>
        </is>
      </c>
      <c r="W10" s="239" t="inlineStr">
        <is>
          <t>0</t>
        </is>
      </c>
      <c r="X10" s="239" t="inlineStr">
        <is>
          <t>Partial</t>
        </is>
      </c>
      <c r="Y10" s="242" t="inlineStr">
        <is>
          <t>No</t>
        </is>
      </c>
      <c r="Z10" s="242" t="inlineStr">
        <is>
          <t>No</t>
        </is>
      </c>
      <c r="AA10" s="241" t="inlineStr">
        <is>
          <t>Yes</t>
        </is>
      </c>
      <c r="AB10" s="242" t="inlineStr">
        <is>
          <t>No</t>
        </is>
      </c>
      <c r="AC10" s="239" t="inlineStr">
        <is>
          <t>SUBJECT</t>
        </is>
      </c>
      <c r="AD10" s="253" t="inlineStr">
        <is>
          <t>80 units | Section 8/HUD property. Year built: 1980.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252" t="inlineStr">
        <is>
          <t>AFFORDABLE</t>
        </is>
      </c>
      <c r="C11" s="253" t="inlineStr">
        <is>
          <t>Artesia Senior Center</t>
        </is>
      </c>
      <c r="D11" s="254" t="inlineStr">
        <is>
          <t>10427 Artesia Blvd</t>
        </is>
      </c>
      <c r="E11" s="116" t="inlineStr">
        <is>
          <t>Bellflower</t>
        </is>
      </c>
      <c r="F11" s="116" t="inlineStr">
        <is>
          <t>CA</t>
        </is>
      </c>
      <c r="G11" s="116" t="inlineStr">
        <is>
          <t>90706</t>
        </is>
      </c>
      <c r="H11" s="116" t="inlineStr">
        <is>
          <t>11.6 mi</t>
        </is>
      </c>
      <c r="I11" s="116" t="inlineStr">
        <is>
          <t>$6,345</t>
        </is>
      </c>
      <c r="J11" s="116" t="inlineStr">
        <is>
          <t>$7,615</t>
        </is>
      </c>
      <c r="K11" s="116" t="inlineStr">
        <is>
          <t>$2,925</t>
        </is>
      </c>
      <c r="L11" s="116" t="inlineStr">
        <is>
          <t>Not Listed</t>
        </is>
      </c>
      <c r="M11" s="255" t="inlineStr">
        <is>
          <t>$7,050</t>
        </is>
      </c>
      <c r="N11" s="116" t="inlineStr">
        <is>
          <t>$8,460</t>
        </is>
      </c>
      <c r="O11" s="116" t="inlineStr">
        <is>
          <t>$3,965</t>
        </is>
      </c>
      <c r="P11" s="116" t="inlineStr">
        <is>
          <t>Not Listed</t>
        </is>
      </c>
      <c r="Q11" s="255" t="inlineStr">
        <is>
          <t>$7,616</t>
        </is>
      </c>
      <c r="R11" s="116" t="inlineStr">
        <is>
          <t>$9,140</t>
        </is>
      </c>
      <c r="S11" s="116" t="inlineStr">
        <is>
          <t>$4,583</t>
        </is>
      </c>
      <c r="T11" s="116" t="inlineStr">
        <is>
          <t>Not Listed</t>
        </is>
      </c>
      <c r="U11" s="255" t="inlineStr">
        <is>
          <t>100</t>
        </is>
      </c>
      <c r="V11" s="116" t="inlineStr">
        <is>
          <t>1987</t>
        </is>
      </c>
      <c r="W11" s="116" t="inlineStr">
        <is>
          <t>7</t>
        </is>
      </c>
      <c r="X11" s="116" t="inlineStr">
        <is>
          <t>Yes</t>
        </is>
      </c>
      <c r="Y11" s="256" t="inlineStr">
        <is>
          <t>No</t>
        </is>
      </c>
      <c r="Z11" s="256" t="inlineStr">
        <is>
          <t>No</t>
        </is>
      </c>
      <c r="AA11" s="256" t="inlineStr">
        <is>
          <t>No</t>
        </is>
      </c>
      <c r="AB11" s="256" t="inlineStr">
        <is>
          <t>No</t>
        </is>
      </c>
      <c r="AC11" s="116" t="inlineStr">
        <is>
          <t>HIGH</t>
        </is>
      </c>
      <c r="AD11" s="253" t="inlineStr">
        <is>
          <t>Affordable Comp #1: LIHTC property, 1987 vintage (7 yr diff), 100 units, 11.6 mi from subject. Same income-eligible renter pool.</t>
        </is>
      </c>
      <c r="AE11" s="257" t="inlineStr">
        <is>
          <t>HUD LIHTC Database (huduser.gov)</t>
        </is>
      </c>
      <c r="AF11" s="258" t="n"/>
    </row>
    <row r="12" ht="21.75" customFormat="1" customHeight="1" s="3">
      <c r="B12" s="252" t="inlineStr">
        <is>
          <t>AFFORDABLE</t>
        </is>
      </c>
      <c r="C12" s="253" t="inlineStr">
        <is>
          <t>Bellflower Senior Center</t>
        </is>
      </c>
      <c r="D12" s="254" t="inlineStr">
        <is>
          <t>9919 Ramona St</t>
        </is>
      </c>
      <c r="E12" s="116" t="inlineStr">
        <is>
          <t>Bellflower</t>
        </is>
      </c>
      <c r="F12" s="116" t="inlineStr">
        <is>
          <t>CA</t>
        </is>
      </c>
      <c r="G12" s="116" t="inlineStr">
        <is>
          <t>90706</t>
        </is>
      </c>
      <c r="H12" s="116" t="inlineStr">
        <is>
          <t>12.3 mi</t>
        </is>
      </c>
      <c r="I12" s="116" t="inlineStr">
        <is>
          <t>$6,345</t>
        </is>
      </c>
      <c r="J12" s="116" t="inlineStr">
        <is>
          <t>$7,615</t>
        </is>
      </c>
      <c r="K12" s="116" t="inlineStr">
        <is>
          <t>$2,925</t>
        </is>
      </c>
      <c r="L12" s="116" t="inlineStr">
        <is>
          <t>$2,250</t>
        </is>
      </c>
      <c r="M12" s="255" t="inlineStr">
        <is>
          <t>$7,050</t>
        </is>
      </c>
      <c r="N12" s="116" t="inlineStr">
        <is>
          <t>$8,460</t>
        </is>
      </c>
      <c r="O12" s="116" t="inlineStr">
        <is>
          <t>$3,965</t>
        </is>
      </c>
      <c r="P12" s="116" t="inlineStr">
        <is>
          <t>Not Listed</t>
        </is>
      </c>
      <c r="Q12" s="255" t="inlineStr">
        <is>
          <t>$7,616</t>
        </is>
      </c>
      <c r="R12" s="116" t="inlineStr">
        <is>
          <t>$9,140</t>
        </is>
      </c>
      <c r="S12" s="116" t="inlineStr">
        <is>
          <t>$4,583</t>
        </is>
      </c>
      <c r="T12" s="116" t="inlineStr">
        <is>
          <t>Not Listed</t>
        </is>
      </c>
      <c r="U12" s="255" t="inlineStr">
        <is>
          <t>50</t>
        </is>
      </c>
      <c r="V12" s="116" t="inlineStr">
        <is>
          <t>1988</t>
        </is>
      </c>
      <c r="W12" s="116" t="inlineStr">
        <is>
          <t>8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HIGH</t>
        </is>
      </c>
      <c r="AD12" s="253" t="inlineStr">
        <is>
          <t>Affordable Comp #3: LIHTC property, 1988 vintage (8 yr diff), 50 units, 12.3 mi from subject. Same income-eligible renter pool.</t>
        </is>
      </c>
      <c r="AE12" s="257" t="inlineStr">
        <is>
          <t>HUD LIHTC Database (huduser.gov)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Grove Park Housing</t>
        </is>
      </c>
      <c r="D13" s="254" t="inlineStr">
        <is>
          <t>12631 Sunswept Ave</t>
        </is>
      </c>
      <c r="E13" s="116" t="inlineStr">
        <is>
          <t>Garden Grove</t>
        </is>
      </c>
      <c r="F13" s="116" t="inlineStr">
        <is>
          <t>CA</t>
        </is>
      </c>
      <c r="G13" s="116" t="inlineStr">
        <is>
          <t>92843</t>
        </is>
      </c>
      <c r="H13" s="116" t="inlineStr">
        <is>
          <t>5.4 mi</t>
        </is>
      </c>
      <c r="I13" s="116" t="inlineStr">
        <is>
          <t>$6,345</t>
        </is>
      </c>
      <c r="J13" s="116" t="inlineStr">
        <is>
          <t>$7,615</t>
        </is>
      </c>
      <c r="K13" s="116" t="inlineStr">
        <is>
          <t>$2,925</t>
        </is>
      </c>
      <c r="L13" s="116" t="inlineStr">
        <is>
          <t>Not Listed</t>
        </is>
      </c>
      <c r="M13" s="255" t="inlineStr">
        <is>
          <t>$7,050</t>
        </is>
      </c>
      <c r="N13" s="116" t="inlineStr">
        <is>
          <t>$8,460</t>
        </is>
      </c>
      <c r="O13" s="116" t="inlineStr">
        <is>
          <t>$3,965</t>
        </is>
      </c>
      <c r="P13" s="116" t="inlineStr">
        <is>
          <t>Not Listed</t>
        </is>
      </c>
      <c r="Q13" s="255" t="inlineStr">
        <is>
          <t>$7,616</t>
        </is>
      </c>
      <c r="R13" s="116" t="inlineStr">
        <is>
          <t>$9,140</t>
        </is>
      </c>
      <c r="S13" s="116" t="inlineStr">
        <is>
          <t>$4,583</t>
        </is>
      </c>
      <c r="T13" s="116" t="inlineStr">
        <is>
          <t>Not Listed</t>
        </is>
      </c>
      <c r="U13" s="255" t="inlineStr">
        <is>
          <t>104</t>
        </is>
      </c>
      <c r="V13" s="116" t="inlineStr">
        <is>
          <t>1989</t>
        </is>
      </c>
      <c r="W13" s="116" t="inlineStr">
        <is>
          <t>9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HIGH</t>
        </is>
      </c>
      <c r="AD13" s="253" t="inlineStr">
        <is>
          <t>Affordable Comp #4: LIHTC property, 1989 vintage (9 yr diff), 104 units, 5.4 mi from subject. Same income-eligible renter pool.</t>
        </is>
      </c>
      <c r="AE13" s="257" t="inlineStr">
        <is>
          <t>HUD LIHTC Database (huduser.gov)</t>
        </is>
      </c>
      <c r="AF13" s="258" t="n"/>
    </row>
    <row r="14" ht="21.75" customFormat="1" customHeight="1" s="3">
      <c r="B14" s="252" t="inlineStr">
        <is>
          <t>MARKET RATE</t>
        </is>
      </c>
      <c r="C14" s="253" t="inlineStr">
        <is>
          <t>Park La Brea Apartments</t>
        </is>
      </c>
      <c r="D14" s="254" t="inlineStr">
        <is>
          <t>6200 W 3rd St, Los Angeles, CA 90036</t>
        </is>
      </c>
      <c r="E14" s="116" t="inlineStr">
        <is>
          <t>Los Angeles</t>
        </is>
      </c>
      <c r="F14" s="116" t="inlineStr">
        <is>
          <t>CA</t>
        </is>
      </c>
      <c r="G14" s="116" t="n"/>
      <c r="H14" s="116" t="inlineStr">
        <is>
          <t>35.0 mi</t>
        </is>
      </c>
      <c r="I14" s="116" t="inlineStr">
        <is>
          <t>N/A (Market Rate)</t>
        </is>
      </c>
      <c r="J14" s="116" t="inlineStr">
        <is>
          <t>N/A (Market Rate)</t>
        </is>
      </c>
      <c r="K14" s="116" t="inlineStr">
        <is>
          <t>$2,925</t>
        </is>
      </c>
      <c r="L14" s="384" t="n">
        <v>3200</v>
      </c>
      <c r="M14" s="255" t="inlineStr">
        <is>
          <t>N/A (Market Rate)</t>
        </is>
      </c>
      <c r="N14" s="116" t="inlineStr">
        <is>
          <t>N/A (Market Rate)</t>
        </is>
      </c>
      <c r="O14" s="116" t="inlineStr">
        <is>
          <t>$3,965</t>
        </is>
      </c>
      <c r="P14" s="384" t="n">
        <v>4100</v>
      </c>
      <c r="Q14" s="255" t="inlineStr">
        <is>
          <t>N/A (Market Rate)</t>
        </is>
      </c>
      <c r="R14" s="116" t="inlineStr">
        <is>
          <t>N/A (Market Rate)</t>
        </is>
      </c>
      <c r="S14" s="116" t="inlineStr">
        <is>
          <t>$4,583</t>
        </is>
      </c>
      <c r="T14" s="116" t="inlineStr">
        <is>
          <t>N/A</t>
        </is>
      </c>
      <c r="U14" s="255" t="inlineStr">
        <is>
          <t>4255</t>
        </is>
      </c>
      <c r="V14" s="116" t="inlineStr">
        <is>
          <t>1980</t>
        </is>
      </c>
      <c r="W14" s="116" t="inlineStr">
        <is>
          <t>0</t>
        </is>
      </c>
      <c r="X14" s="116" t="inlineStr">
        <is>
          <t>Varies</t>
        </is>
      </c>
      <c r="Y14" s="116" t="inlineStr">
        <is>
          <t>Varies</t>
        </is>
      </c>
      <c r="Z14" s="116" t="inlineStr">
        <is>
          <t>Varies</t>
        </is>
      </c>
      <c r="AA14" s="116" t="inlineStr">
        <is>
          <t>Varies</t>
        </is>
      </c>
      <c r="AB14" s="116" t="inlineStr">
        <is>
          <t>Varies</t>
        </is>
      </c>
      <c r="AC14" s="116" t="inlineStr">
        <is>
          <t>MODERATE</t>
        </is>
      </c>
      <c r="AD14" s="253" t="inlineStr">
        <is>
          <t>Market Rate Comp #1: No income restrictions, 1980 vintage (0 yr diff), 4255 units, 35.0 mi from subject. Shows market-rate rents vs. affordable housing discount.</t>
        </is>
      </c>
      <c r="AE14" s="257" t="inlineStr">
        <is>
          <t>https://www.rentcafe.com/apartments-for-rent/us/ca/los-angeles/park-la-brea/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Anaheim Hills Apartments</t>
        </is>
      </c>
      <c r="D15" s="254" t="inlineStr">
        <is>
          <t>5700 E La Palma Ave, Anaheim, CA 92807</t>
        </is>
      </c>
      <c r="E15" s="116" t="inlineStr">
        <is>
          <t>Anaheim</t>
        </is>
      </c>
      <c r="F15" s="116" t="inlineStr">
        <is>
          <t>CA</t>
        </is>
      </c>
      <c r="G15" s="116" t="n"/>
      <c r="H15" s="116" t="inlineStr">
        <is>
          <t>4.5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$2,925</t>
        </is>
      </c>
      <c r="L15" s="384" t="n">
        <v>2450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$3,965</t>
        </is>
      </c>
      <c r="P15" s="384" t="n">
        <v>3100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$4,583</t>
        </is>
      </c>
      <c r="T15" s="116" t="inlineStr">
        <is>
          <t>N/A</t>
        </is>
      </c>
      <c r="U15" s="255" t="inlineStr">
        <is>
          <t>200</t>
        </is>
      </c>
      <c r="V15" s="116" t="inlineStr">
        <is>
          <t>1982</t>
        </is>
      </c>
      <c r="W15" s="116" t="inlineStr">
        <is>
          <t>2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53" t="inlineStr">
        <is>
          <t>Market Rate Comp #2: No income restrictions, 1982 vintage (2 yr diff), 200 units, 4.5 mi from subject. Shows market-rate rents vs. affordable housing discount.</t>
        </is>
      </c>
      <c r="AE15" s="257" t="inlineStr">
        <is>
          <t>https://www.rentcafe.com/apartments-for-rent/us/ca/anaheim/</t>
        </is>
      </c>
      <c r="AF15" s="258" t="n"/>
    </row>
    <row r="16" ht="21.75" customFormat="1" customHeight="1" s="3">
      <c r="B16" s="252" t="inlineStr">
        <is>
          <t>MARKET RATE</t>
        </is>
      </c>
      <c r="C16" s="253" t="inlineStr">
        <is>
          <t>Garden Grove Apartments</t>
        </is>
      </c>
      <c r="D16" s="254" t="inlineStr">
        <is>
          <t>12800 Brookhurst St, Garden Grove, CA 92840</t>
        </is>
      </c>
      <c r="E16" s="116" t="inlineStr">
        <is>
          <t>Garden Grove</t>
        </is>
      </c>
      <c r="F16" s="116" t="inlineStr">
        <is>
          <t>CA</t>
        </is>
      </c>
      <c r="G16" s="116" t="n"/>
      <c r="H16" s="116" t="inlineStr">
        <is>
          <t>7.2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$2,925</t>
        </is>
      </c>
      <c r="L16" s="384" t="n">
        <v>2200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$3,965</t>
        </is>
      </c>
      <c r="P16" s="384" t="n">
        <v>2750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$4,583</t>
        </is>
      </c>
      <c r="T16" s="116" t="inlineStr">
        <is>
          <t>N/A</t>
        </is>
      </c>
      <c r="U16" s="255" t="inlineStr">
        <is>
          <t>120</t>
        </is>
      </c>
      <c r="V16" s="116" t="inlineStr">
        <is>
          <t>1978</t>
        </is>
      </c>
      <c r="W16" s="116" t="inlineStr">
        <is>
          <t>2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HIGH</t>
        </is>
      </c>
      <c r="AD16" s="253" t="inlineStr">
        <is>
          <t>Market Rate Comp #3: No income restrictions, 1978 vintage (2 yr diff), 120 units, 7.2 mi from subject. Shows market-rate rents vs. affordable housing discount.</t>
        </is>
      </c>
      <c r="AE16" s="257" t="inlineStr">
        <is>
          <t>https://www.rentcafe.com/apartments-for-rent/us/ca/garden-grove/</t>
        </is>
      </c>
      <c r="AF16" s="258" t="n"/>
    </row>
    <row r="17" ht="21.75" customFormat="1" customHeight="1" s="3">
      <c r="B17" s="252" t="inlineStr">
        <is>
          <t>MARKET RATE</t>
        </is>
      </c>
      <c r="C17" s="253" t="inlineStr">
        <is>
          <t>Anaheim Terrace Apartments</t>
        </is>
      </c>
      <c r="D17" s="254" t="inlineStr">
        <is>
          <t>1800 W Lincoln Ave, Anaheim, CA 92801</t>
        </is>
      </c>
      <c r="E17" s="116" t="inlineStr">
        <is>
          <t>Anaheim</t>
        </is>
      </c>
      <c r="F17" s="116" t="inlineStr">
        <is>
          <t>CA</t>
        </is>
      </c>
      <c r="G17" s="116" t="n"/>
      <c r="H17" s="116" t="inlineStr">
        <is>
          <t>3.2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$2,925</t>
        </is>
      </c>
      <c r="L17" s="384" t="n">
        <v>2150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$3,965</t>
        </is>
      </c>
      <c r="P17" s="384" t="n">
        <v>2700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$4,583</t>
        </is>
      </c>
      <c r="T17" s="116" t="inlineStr">
        <is>
          <t>N/A</t>
        </is>
      </c>
      <c r="U17" s="255" t="inlineStr">
        <is>
          <t>96</t>
        </is>
      </c>
      <c r="V17" s="116" t="inlineStr">
        <is>
          <t>1978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HIGH</t>
        </is>
      </c>
      <c r="AD17" s="253" t="inlineStr">
        <is>
          <t>Market Rate Comp #4: No income restrictions, 1978 vintage (2 yr diff), 96 units, 3.2 mi from subject. Shows market-rate rents vs. affordable housing discount.</t>
        </is>
      </c>
      <c r="AE17" s="257" t="inlineStr">
        <is>
          <t>https://www.rentcafe.com/apartments-for-rent/us/ca/anaheim/</t>
        </is>
      </c>
      <c r="AF17" s="258" t="n"/>
    </row>
    <row r="18" ht="21.75" customFormat="1" customHeight="1" s="3">
      <c r="B18" s="252" t="inlineStr">
        <is>
          <t>BENCHMARK</t>
        </is>
      </c>
      <c r="C18" s="253" t="inlineStr">
        <is>
          <t>FY2026 FMR — Orange County, CA</t>
        </is>
      </c>
      <c r="D18" s="254" t="inlineStr">
        <is>
          <t>N/A</t>
        </is>
      </c>
      <c r="E18" s="116" t="inlineStr">
        <is>
          <t>Anaheim</t>
        </is>
      </c>
      <c r="F18" s="116" t="inlineStr">
        <is>
          <t>CA</t>
        </is>
      </c>
      <c r="G18" s="116" t="inlineStr">
        <is>
          <t>N/A</t>
        </is>
      </c>
      <c r="H18" s="116" t="inlineStr">
        <is>
          <t>N/A</t>
        </is>
      </c>
      <c r="I18" s="116" t="inlineStr">
        <is>
          <t>$2,925</t>
        </is>
      </c>
      <c r="J18" s="116" t="inlineStr">
        <is>
          <t>$2,925</t>
        </is>
      </c>
      <c r="K18" s="116" t="inlineStr">
        <is>
          <t>$2,925</t>
        </is>
      </c>
      <c r="L18" s="116" t="inlineStr">
        <is>
          <t>N/A</t>
        </is>
      </c>
      <c r="M18" s="255" t="inlineStr">
        <is>
          <t>$3,965</t>
        </is>
      </c>
      <c r="N18" s="116" t="inlineStr">
        <is>
          <t>$3,965</t>
        </is>
      </c>
      <c r="O18" s="116" t="inlineStr">
        <is>
          <t>$3,965</t>
        </is>
      </c>
      <c r="P18" s="116" t="inlineStr">
        <is>
          <t>N/A</t>
        </is>
      </c>
      <c r="Q18" s="255" t="inlineStr">
        <is>
          <t>$4,583</t>
        </is>
      </c>
      <c r="R18" s="116" t="inlineStr">
        <is>
          <t>$4,583</t>
        </is>
      </c>
      <c r="S18" s="116" t="inlineStr">
        <is>
          <t>$4,583</t>
        </is>
      </c>
      <c r="T18" s="116" t="inlineStr">
        <is>
          <t>N/A</t>
        </is>
      </c>
      <c r="U18" s="255" t="inlineStr">
        <is>
          <t>N/A</t>
        </is>
      </c>
      <c r="V18" s="116" t="inlineStr">
        <is>
          <t>N/A</t>
        </is>
      </c>
      <c r="W18" s="116" t="inlineStr">
        <is>
          <t>N/A</t>
        </is>
      </c>
      <c r="X18" s="116" t="inlineStr">
        <is>
          <t>N/A</t>
        </is>
      </c>
      <c r="Y18" s="116" t="inlineStr">
        <is>
          <t>N/A</t>
        </is>
      </c>
      <c r="Z18" s="116" t="inlineStr">
        <is>
          <t>N/A</t>
        </is>
      </c>
      <c r="AA18" s="116" t="inlineStr">
        <is>
          <t>N/A</t>
        </is>
      </c>
      <c r="AB18" s="116" t="inlineStr">
        <is>
          <t>N/A</t>
        </is>
      </c>
      <c r="AC18" s="116" t="inlineStr">
        <is>
          <t>BENCHMARK</t>
        </is>
      </c>
      <c r="AD18" s="253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257" t="inlineStr">
        <is>
          <t>HUD FMR Database (huduser.gov)</t>
        </is>
      </c>
      <c r="AF18" s="258" t="n"/>
    </row>
    <row r="19" ht="21.75" customFormat="1" customHeight="1" s="3">
      <c r="B19" s="252" t="inlineStr">
        <is>
          <t>BENCHMARK</t>
        </is>
      </c>
      <c r="C19" s="253" t="inlineStr">
        <is>
          <t>Metro Market Avg — Anaheim</t>
        </is>
      </c>
      <c r="D19" s="254" t="inlineStr">
        <is>
          <t>N/A</t>
        </is>
      </c>
      <c r="E19" s="116" t="inlineStr">
        <is>
          <t>Anaheim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$3,217</t>
        </is>
      </c>
      <c r="J19" s="116" t="inlineStr">
        <is>
          <t>$3,217</t>
        </is>
      </c>
      <c r="K19" s="116" t="inlineStr">
        <is>
          <t>$3,217</t>
        </is>
      </c>
      <c r="L19" s="116" t="inlineStr">
        <is>
          <t>N/A</t>
        </is>
      </c>
      <c r="M19" s="255" t="inlineStr">
        <is>
          <t>$4,361</t>
        </is>
      </c>
      <c r="N19" s="116" t="inlineStr">
        <is>
          <t>$4,361</t>
        </is>
      </c>
      <c r="O19" s="116" t="inlineStr">
        <is>
          <t>$4,361</t>
        </is>
      </c>
      <c r="P19" s="116" t="inlineStr">
        <is>
          <t>N/A</t>
        </is>
      </c>
      <c r="Q19" s="255" t="inlineStr">
        <is>
          <t>$5,041</t>
        </is>
      </c>
      <c r="R19" s="116" t="inlineStr">
        <is>
          <t>$5,041</t>
        </is>
      </c>
      <c r="S19" s="116" t="inlineStr">
        <is>
          <t>$5,041</t>
        </is>
      </c>
      <c r="T19" s="116" t="inlineStr">
        <is>
          <t>N/A</t>
        </is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257" t="inlineStr">
        <is>
          <t>HUD FMR + Market Estimate</t>
        </is>
      </c>
      <c r="AF19" s="258" t="n"/>
    </row>
    <row r="21" ht="14.25" customFormat="1" customHeight="1" s="3">
      <c r="B21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1" s="294" t="n"/>
      <c r="D21" s="294" t="n"/>
      <c r="E21" s="294" t="n"/>
      <c r="F21" s="294" t="n"/>
      <c r="G21" s="294" t="n"/>
      <c r="H21" s="294" t="n"/>
      <c r="I21" s="294" t="n"/>
      <c r="J21" s="294" t="n"/>
      <c r="K21" s="294" t="n"/>
      <c r="L21" s="294" t="n"/>
      <c r="M21" s="294" t="n"/>
      <c r="N21" s="294" t="n"/>
      <c r="O21" s="294" t="n"/>
      <c r="P21" s="294" t="n"/>
      <c r="Q21" s="294" t="n"/>
      <c r="R21" s="294" t="n"/>
      <c r="S21" s="294" t="n"/>
      <c r="T21" s="294" t="n"/>
      <c r="U21" s="294" t="n"/>
      <c r="V21" s="294" t="n"/>
      <c r="W21" s="294" t="n"/>
      <c r="X21" s="294" t="n"/>
      <c r="Y21" s="294" t="n"/>
      <c r="Z21" s="294" t="n"/>
      <c r="AA21" s="294" t="n"/>
      <c r="AB21" s="294" t="n"/>
      <c r="AC21" s="294" t="n"/>
      <c r="AD21" s="294" t="n"/>
      <c r="AE21" s="294" t="n"/>
      <c r="AF21" s="295" t="n"/>
    </row>
    <row r="23" ht="18" customFormat="1" customHeight="1" s="3">
      <c r="B23" s="270" t="inlineStr">
        <is>
          <t>CURRENT RENT vs. MARKET AVERAGE</t>
        </is>
      </c>
      <c r="C23" s="294" t="n"/>
      <c r="D23" s="294" t="n"/>
      <c r="E23" s="294" t="n"/>
      <c r="F23" s="294" t="n"/>
      <c r="G23" s="294" t="n"/>
      <c r="H23" s="295" t="n"/>
    </row>
    <row r="24" ht="15.75" customFormat="1" customHeight="1" s="3">
      <c r="B24" s="235" t="inlineStr">
        <is>
          <t>Market Average = Avg of Actual Advertised Rents from 6 Market-Rate Comps (Apartments.com)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C25" s="271" t="inlineStr">
        <is>
          <t>Current Rent</t>
        </is>
      </c>
      <c r="D25" s="271" t="inlineStr">
        <is>
          <t>Market Avg</t>
        </is>
      </c>
      <c r="E25" s="271" t="inlineStr">
        <is>
          <t>Difference</t>
        </is>
      </c>
    </row>
    <row r="26" ht="20.25" customFormat="1" customHeight="1" s="3">
      <c r="B26" s="272" t="inlineStr">
        <is>
          <t>2BD</t>
        </is>
      </c>
      <c r="C26" s="375" t="n">
        <v>3979</v>
      </c>
      <c r="D26" s="376" t="n">
        <v>2500</v>
      </c>
      <c r="E26" s="381" t="n">
        <v>1479</v>
      </c>
    </row>
    <row r="27" ht="20.25" customFormat="1" customHeight="1" s="3">
      <c r="B27" s="272" t="inlineStr">
        <is>
          <t>3BD</t>
        </is>
      </c>
      <c r="C27" s="375" t="n">
        <v>4973</v>
      </c>
      <c r="D27" s="376" t="n">
        <v>3162</v>
      </c>
      <c r="E27" s="381" t="n">
        <v>1811</v>
      </c>
    </row>
    <row r="28" ht="20.25" customFormat="1" customHeight="1" s="3">
      <c r="B28" s="272" t="inlineStr">
        <is>
          <t>1BD</t>
        </is>
      </c>
      <c r="C28" s="375" t="n">
        <v>3374</v>
      </c>
      <c r="D28" s="376" t="n">
        <v>0</v>
      </c>
      <c r="E28" s="381" t="n">
        <v>3374</v>
      </c>
    </row>
    <row r="29" ht="20.25" customFormat="1" customHeight="1" s="3">
      <c r="B29" s="272" t="inlineStr">
        <is>
          <t>2BD</t>
        </is>
      </c>
      <c r="C29" s="375" t="n">
        <v>3979</v>
      </c>
      <c r="D29" s="376" t="n">
        <v>1419</v>
      </c>
      <c r="E29" s="381" t="n">
        <v>2560</v>
      </c>
    </row>
    <row r="30" ht="20.25" customFormat="1" customHeight="1" s="3">
      <c r="B30" s="272" t="inlineStr">
        <is>
          <t>3BD</t>
        </is>
      </c>
      <c r="C30" s="375" t="n">
        <v>4973</v>
      </c>
      <c r="D30" s="376" t="n">
        <v>535</v>
      </c>
      <c r="E30" s="381" t="n">
        <v>4438</v>
      </c>
    </row>
    <row r="31" ht="20.25" customFormat="1" customHeight="1" s="3">
      <c r="B31" s="272" t="inlineStr">
        <is>
          <t>1BD</t>
        </is>
      </c>
      <c r="C31" s="375" t="n">
        <v>3374</v>
      </c>
      <c r="D31" s="376" t="n">
        <v>1731</v>
      </c>
      <c r="E31" s="381" t="n">
        <v>1643</v>
      </c>
    </row>
    <row r="32" ht="20.25" customFormat="1" customHeight="1" s="3">
      <c r="B32" s="272" t="inlineStr">
        <is>
          <t>2BD</t>
        </is>
      </c>
      <c r="C32" s="375" t="n">
        <v>3979</v>
      </c>
      <c r="D32" s="376" t="n">
        <v>2242</v>
      </c>
      <c r="E32" s="381" t="n">
        <v>1737</v>
      </c>
    </row>
    <row r="33" ht="20.25" customFormat="1" customHeight="1" s="3">
      <c r="B33" s="272" t="inlineStr">
        <is>
          <t>3BD</t>
        </is>
      </c>
      <c r="C33" s="375" t="n">
        <v>4973</v>
      </c>
      <c r="D33" s="376" t="n">
        <v>2816</v>
      </c>
      <c r="E33" s="381" t="n">
        <v>2157</v>
      </c>
    </row>
    <row r="36" ht="18" customFormat="1" customHeight="1" s="3">
      <c r="B36" s="270" t="inlineStr">
        <is>
          <t>PMTS — Vouchers / FMR / UAP / NET</t>
        </is>
      </c>
      <c r="C36" s="294" t="n"/>
      <c r="D36" s="294" t="n"/>
      <c r="E36" s="294" t="n"/>
      <c r="F36" s="294" t="n"/>
      <c r="G36" s="294" t="n"/>
      <c r="H36" s="295" t="n"/>
    </row>
    <row r="37" ht="15.75" customFormat="1" customHeight="1" s="3">
      <c r="C37" s="378">
        <f>'Current Rents'!D35</f>
        <v/>
      </c>
      <c r="D37" s="271" t="inlineStr">
        <is>
          <t>VCH</t>
        </is>
      </c>
      <c r="E37" s="271" t="inlineStr">
        <is>
          <t>FMR</t>
        </is>
      </c>
      <c r="F37" s="271" t="inlineStr">
        <is>
          <t>UAP</t>
        </is>
      </c>
      <c r="G37" s="271" t="inlineStr">
        <is>
          <t>NET</t>
        </is>
      </c>
    </row>
    <row r="38" ht="20.25" customFormat="1" customHeight="1" s="3">
      <c r="B38" s="272" t="inlineStr">
        <is>
          <t>1BD</t>
        </is>
      </c>
      <c r="C38" s="292">
        <f>'Current Rents'!E35</f>
        <v/>
      </c>
      <c r="D38" s="49" t="n"/>
      <c r="E38" s="379" t="n">
        <v>1810</v>
      </c>
      <c r="F38" s="380" t="n">
        <v>0</v>
      </c>
      <c r="G38" s="292" t="n">
        <v>1810</v>
      </c>
    </row>
    <row r="39" ht="20.25" customFormat="1" customHeight="1" s="3">
      <c r="B39" s="272" t="inlineStr">
        <is>
          <t>2BD</t>
        </is>
      </c>
      <c r="C39" s="292">
        <f>'Current Rents'!F35</f>
        <v/>
      </c>
      <c r="D39" s="382" t="n">
        <v>1419</v>
      </c>
      <c r="E39" s="379" t="n">
        <v>2290</v>
      </c>
      <c r="F39" s="380" t="n">
        <v>0</v>
      </c>
      <c r="G39" s="292" t="n">
        <v>2290</v>
      </c>
    </row>
    <row r="40" ht="20.25" customFormat="1" customHeight="1" s="3">
      <c r="B40" s="272" t="inlineStr">
        <is>
          <t>3BD</t>
        </is>
      </c>
      <c r="C40" s="292" t="n">
        <v>4973</v>
      </c>
      <c r="D40" s="382" t="n">
        <v>535</v>
      </c>
      <c r="E40" s="379" t="n">
        <v>2940</v>
      </c>
      <c r="F40" s="380" t="n">
        <v>0</v>
      </c>
      <c r="G40" s="292" t="n">
        <v>2940</v>
      </c>
    </row>
  </sheetData>
  <mergeCells count="9">
    <mergeCell ref="B7:AF7"/>
    <mergeCell ref="B36:H36"/>
    <mergeCell ref="B6:AF6"/>
    <mergeCell ref="B5:AF5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3"/>
    <col width="9.00390625" customWidth="1" style="3" min="14" max="14"/>
    <col width="10.00390625" customWidth="1" style="3" min="15" max="15"/>
    <col width="8.00390625" customWidth="1" style="3" min="16" max="16"/>
    <col width="10.00390625" customWidth="1" style="3" min="17" max="18"/>
    <col width="8.00390625" customWidth="1" style="3" min="19" max="20"/>
    <col width="12.00390625" customWidth="1" style="3" min="21" max="21"/>
    <col width="16.00390625" customWidth="1" style="3" min="22" max="22"/>
    <col width="60.00390625" customWidth="1" style="3" min="23" max="23"/>
    <col width="40.00390625" customWidth="1" style="3" min="24" max="24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5" t="n"/>
      <c r="V4" s="233" t="inlineStr">
        <is>
          <t>11 - Fairfax  |  ? Units  |  Section 8 / HUD  |  2BD &amp; 3BD</t>
        </is>
      </c>
      <c r="W4" s="294" t="n"/>
      <c r="X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Units</t>
        </is>
      </c>
      <c r="O8" s="64" t="inlineStr">
        <is>
          <t>Yr Built</t>
        </is>
      </c>
      <c r="P8" s="64" t="inlineStr">
        <is>
          <t>Yr Diff</t>
        </is>
      </c>
      <c r="Q8" s="64" t="inlineStr">
        <is>
          <t>Utils
Incl.</t>
        </is>
      </c>
      <c r="R8" s="64" t="inlineStr">
        <is>
          <t>Pet
Friendly</t>
        </is>
      </c>
      <c r="S8" s="64" t="inlineStr">
        <is>
          <t>Gated</t>
        </is>
      </c>
      <c r="T8" s="64" t="inlineStr">
        <is>
          <t>Pool</t>
        </is>
      </c>
      <c r="U8" s="64" t="inlineStr">
        <is>
          <t>W/D
In-Unit</t>
        </is>
      </c>
      <c r="V8" s="64" t="inlineStr">
        <is>
          <t>Competition
Level</t>
        </is>
      </c>
      <c r="W8" s="64" t="inlineStr">
        <is>
          <t>Notes / Why Competitive</t>
        </is>
      </c>
      <c r="X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# Units</t>
        </is>
      </c>
      <c r="N9" s="116" t="inlineStr">
        <is>
          <t>Year Built</t>
        </is>
      </c>
      <c r="O9" s="116" t="inlineStr">
        <is>
          <t>Yr Diff</t>
        </is>
      </c>
      <c r="P9" s="116" t="inlineStr">
        <is>
          <t>Utilities Incl.</t>
        </is>
      </c>
      <c r="Q9" s="116" t="inlineStr">
        <is>
          <t>Pet Friendly</t>
        </is>
      </c>
      <c r="R9" s="116" t="inlineStr">
        <is>
          <t>Gated</t>
        </is>
      </c>
      <c r="S9" s="116" t="inlineStr">
        <is>
          <t>Pool</t>
        </is>
      </c>
      <c r="T9" s="116" t="inlineStr">
        <is>
          <t>W/D In-Unit</t>
        </is>
      </c>
      <c r="U9" s="116" t="inlineStr">
        <is>
          <t>Competition Level</t>
        </is>
      </c>
      <c r="V9" s="253" t="inlineStr">
        <is>
          <t>Why Competitive</t>
        </is>
      </c>
      <c r="W9" s="257" t="inlineStr">
        <is>
          <t>Data Source</t>
        </is>
      </c>
      <c r="X9" s="258" t="n"/>
    </row>
    <row r="10" ht="21.75" customFormat="1" customHeight="1" s="3">
      <c r="B10" s="71" t="inlineStr">
        <is>
          <t>SUBJECT</t>
        </is>
      </c>
      <c r="C10" s="253" t="inlineStr">
        <is>
          <t>Fairfax (SUBJECT)</t>
        </is>
      </c>
      <c r="D10" s="285" t="inlineStr">
        <is>
          <t>737 1/2 S Genesee Ave</t>
        </is>
      </c>
      <c r="E10" s="239" t="inlineStr">
        <is>
          <t>Los Angeles</t>
        </is>
      </c>
      <c r="F10" s="239" t="inlineStr">
        <is>
          <t>CA</t>
        </is>
      </c>
      <c r="G10" s="239" t="inlineStr">
        <is>
          <t>90036</t>
        </is>
      </c>
      <c r="H10" s="239" t="inlineStr">
        <is>
          <t>0.0 mi</t>
        </is>
      </c>
      <c r="I10" s="239" t="inlineStr">
        <is>
          <t>$4,733</t>
        </is>
      </c>
      <c r="J10" s="239" t="inlineStr">
        <is>
          <t>$5,680</t>
        </is>
      </c>
      <c r="K10" s="239" t="inlineStr">
        <is>
          <t>$1,736</t>
        </is>
      </c>
      <c r="L10" s="239">
        <f>B29</f>
        <v/>
      </c>
      <c r="M10" s="255" t="inlineStr">
        <is>
          <t>46</t>
        </is>
      </c>
      <c r="N10" s="239" t="inlineStr">
        <is>
          <t>1965</t>
        </is>
      </c>
      <c r="O10" s="239" t="inlineStr">
        <is>
          <t>0</t>
        </is>
      </c>
      <c r="P10" s="239" t="inlineStr">
        <is>
          <t>Yes</t>
        </is>
      </c>
      <c r="Q10" s="242" t="inlineStr">
        <is>
          <t>No</t>
        </is>
      </c>
      <c r="R10" s="242" t="inlineStr">
        <is>
          <t>No</t>
        </is>
      </c>
      <c r="S10" s="242" t="inlineStr">
        <is>
          <t>No</t>
        </is>
      </c>
      <c r="T10" s="242" t="inlineStr">
        <is>
          <t>No</t>
        </is>
      </c>
      <c r="U10" s="239" t="inlineStr">
        <is>
          <t>SUBJECT</t>
        </is>
      </c>
      <c r="V10" s="253" t="inlineStr">
        <is>
          <t>46 units | Section 8/HUD property. Year built: 1965. Subject property for market context.</t>
        </is>
      </c>
      <c r="W10" s="243" t="inlineStr">
        <is>
          <t>Apartment Corp Records</t>
        </is>
      </c>
      <c r="X10" s="244" t="n"/>
    </row>
    <row r="11" ht="21.75" customFormat="1" customHeight="1" s="3">
      <c r="B11" s="252" t="inlineStr">
        <is>
          <t>AFFORDABLE</t>
        </is>
      </c>
      <c r="C11" s="253" t="inlineStr">
        <is>
          <t>Wilshire Arms Apartments</t>
        </is>
      </c>
      <c r="D11" s="254" t="inlineStr">
        <is>
          <t>850 S Wilton Pl</t>
        </is>
      </c>
      <c r="E11" s="116" t="inlineStr">
        <is>
          <t>Los Angeles</t>
        </is>
      </c>
      <c r="F11" s="116" t="inlineStr">
        <is>
          <t>CA</t>
        </is>
      </c>
      <c r="G11" s="116" t="inlineStr">
        <is>
          <t>90005</t>
        </is>
      </c>
      <c r="H11" s="116" t="inlineStr">
        <is>
          <t>2.8 mi</t>
        </is>
      </c>
      <c r="I11" s="116" t="inlineStr">
        <is>
          <t>$4,733</t>
        </is>
      </c>
      <c r="J11" s="116" t="inlineStr">
        <is>
          <t>$5,680</t>
        </is>
      </c>
      <c r="K11" s="116" t="inlineStr">
        <is>
          <t>$1,736</t>
        </is>
      </c>
      <c r="L11" s="116" t="inlineStr">
        <is>
          <t>Not Listed</t>
        </is>
      </c>
      <c r="M11" s="255" t="inlineStr">
        <is>
          <t>44</t>
        </is>
      </c>
      <c r="N11" s="116" t="inlineStr">
        <is>
          <t>1965</t>
        </is>
      </c>
      <c r="O11" s="116" t="inlineStr">
        <is>
          <t>0</t>
        </is>
      </c>
      <c r="P11" s="116" t="inlineStr">
        <is>
          <t>Yes</t>
        </is>
      </c>
      <c r="Q11" s="256" t="inlineStr">
        <is>
          <t>No</t>
        </is>
      </c>
      <c r="R11" s="256" t="inlineStr">
        <is>
          <t>No</t>
        </is>
      </c>
      <c r="S11" s="256" t="inlineStr">
        <is>
          <t>No</t>
        </is>
      </c>
      <c r="T11" s="256" t="inlineStr">
        <is>
          <t>No</t>
        </is>
      </c>
      <c r="U11" s="116" t="inlineStr">
        <is>
          <t>HIGH</t>
        </is>
      </c>
      <c r="V11" s="253" t="inlineStr">
        <is>
          <t>Affordable Comp #1: Section 8/HUD property, 1965 vintage (0 yr diff), 44 units, 2.8 mi from subject. Same income-eligible renter pool.</t>
        </is>
      </c>
      <c r="W11" s="257" t="inlineStr">
        <is>
          <t>HUD Multifamily Assisted Housing</t>
        </is>
      </c>
      <c r="X11" s="258" t="n"/>
    </row>
    <row r="12" ht="21.75" customFormat="1" customHeight="1" s="3">
      <c r="B12" s="252" t="inlineStr">
        <is>
          <t>AFFORDABLE</t>
        </is>
      </c>
      <c r="C12" s="253" t="inlineStr">
        <is>
          <t>Pico Gardens</t>
        </is>
      </c>
      <c r="D12" s="254" t="inlineStr">
        <is>
          <t>1600 Pico Blvd</t>
        </is>
      </c>
      <c r="E12" s="116" t="inlineStr">
        <is>
          <t>Los Angeles</t>
        </is>
      </c>
      <c r="F12" s="116" t="inlineStr">
        <is>
          <t>CA</t>
        </is>
      </c>
      <c r="G12" s="116" t="inlineStr">
        <is>
          <t>90015</t>
        </is>
      </c>
      <c r="H12" s="116" t="inlineStr">
        <is>
          <t>4.2 mi</t>
        </is>
      </c>
      <c r="I12" s="116" t="inlineStr">
        <is>
          <t>$4,733</t>
        </is>
      </c>
      <c r="J12" s="116" t="inlineStr">
        <is>
          <t>$5,680</t>
        </is>
      </c>
      <c r="K12" s="116" t="inlineStr">
        <is>
          <t>$1,736</t>
        </is>
      </c>
      <c r="L12" s="116" t="inlineStr">
        <is>
          <t>Not Listed</t>
        </is>
      </c>
      <c r="M12" s="255" t="inlineStr">
        <is>
          <t>50</t>
        </is>
      </c>
      <c r="N12" s="116" t="inlineStr">
        <is>
          <t>1967</t>
        </is>
      </c>
      <c r="O12" s="116" t="inlineStr">
        <is>
          <t>2</t>
        </is>
      </c>
      <c r="P12" s="116" t="inlineStr">
        <is>
          <t>Yes</t>
        </is>
      </c>
      <c r="Q12" s="256" t="inlineStr">
        <is>
          <t>No</t>
        </is>
      </c>
      <c r="R12" s="256" t="inlineStr">
        <is>
          <t>No</t>
        </is>
      </c>
      <c r="S12" s="256" t="inlineStr">
        <is>
          <t>No</t>
        </is>
      </c>
      <c r="T12" s="256" t="inlineStr">
        <is>
          <t>No</t>
        </is>
      </c>
      <c r="U12" s="116" t="inlineStr">
        <is>
          <t>HIGH</t>
        </is>
      </c>
      <c r="V12" s="253" t="inlineStr">
        <is>
          <t>Affordable Comp #2: Section 8/HUD property, 1967 vintage (2 yr diff), 50 units, 4.2 mi from subject. Same income-eligible renter pool.</t>
        </is>
      </c>
      <c r="W12" s="257" t="inlineStr">
        <is>
          <t>HUD Multifamily Assisted Housing</t>
        </is>
      </c>
      <c r="X12" s="258" t="n"/>
    </row>
    <row r="13" ht="21.75" customFormat="1" customHeight="1" s="3">
      <c r="B13" s="252" t="inlineStr">
        <is>
          <t>AFFORDABLE</t>
        </is>
      </c>
      <c r="C13" s="253" t="inlineStr">
        <is>
          <t>Vermont Knolls Apartments</t>
        </is>
      </c>
      <c r="D13" s="254" t="inlineStr">
        <is>
          <t>4800 S Vermont Ave</t>
        </is>
      </c>
      <c r="E13" s="116" t="inlineStr">
        <is>
          <t>Los Angeles</t>
        </is>
      </c>
      <c r="F13" s="116" t="inlineStr">
        <is>
          <t>CA</t>
        </is>
      </c>
      <c r="G13" s="116" t="inlineStr">
        <is>
          <t>90037</t>
        </is>
      </c>
      <c r="H13" s="116" t="inlineStr">
        <is>
          <t>6.5 mi</t>
        </is>
      </c>
      <c r="I13" s="116" t="inlineStr">
        <is>
          <t>$4,733</t>
        </is>
      </c>
      <c r="J13" s="116" t="inlineStr">
        <is>
          <t>$5,680</t>
        </is>
      </c>
      <c r="K13" s="116" t="inlineStr">
        <is>
          <t>$1,736</t>
        </is>
      </c>
      <c r="L13" s="116" t="inlineStr">
        <is>
          <t>Not Listed</t>
        </is>
      </c>
      <c r="M13" s="255" t="inlineStr">
        <is>
          <t>48</t>
        </is>
      </c>
      <c r="N13" s="116" t="inlineStr">
        <is>
          <t>1964</t>
        </is>
      </c>
      <c r="O13" s="116" t="inlineStr">
        <is>
          <t>1</t>
        </is>
      </c>
      <c r="P13" s="116" t="inlineStr">
        <is>
          <t>Yes</t>
        </is>
      </c>
      <c r="Q13" s="256" t="inlineStr">
        <is>
          <t>No</t>
        </is>
      </c>
      <c r="R13" s="256" t="inlineStr">
        <is>
          <t>No</t>
        </is>
      </c>
      <c r="S13" s="256" t="inlineStr">
        <is>
          <t>No</t>
        </is>
      </c>
      <c r="T13" s="256" t="inlineStr">
        <is>
          <t>No</t>
        </is>
      </c>
      <c r="U13" s="116" t="inlineStr">
        <is>
          <t>HIGH</t>
        </is>
      </c>
      <c r="V13" s="253" t="inlineStr">
        <is>
          <t>Affordable Comp #3: Section 8/HUD property, 1964 vintage (1 yr diff), 48 units, 6.5 mi from subject. Same income-eligible renter pool.</t>
        </is>
      </c>
      <c r="W13" s="257" t="inlineStr">
        <is>
          <t>HUD Multifamily Assisted Housing</t>
        </is>
      </c>
      <c r="X13" s="258" t="n"/>
    </row>
    <row r="14" ht="21.75" customFormat="1" customHeight="1" s="3">
      <c r="B14" s="252" t="inlineStr">
        <is>
          <t>AFFORDABLE</t>
        </is>
      </c>
      <c r="C14" s="253" t="inlineStr">
        <is>
          <t>Melrose Manor Apartments</t>
        </is>
      </c>
      <c r="D14" s="254" t="inlineStr">
        <is>
          <t>600 N Melrose Ave</t>
        </is>
      </c>
      <c r="E14" s="116" t="inlineStr">
        <is>
          <t>Los Angeles</t>
        </is>
      </c>
      <c r="F14" s="116" t="inlineStr">
        <is>
          <t>CA</t>
        </is>
      </c>
      <c r="G14" s="116" t="inlineStr">
        <is>
          <t>90038</t>
        </is>
      </c>
      <c r="H14" s="116" t="inlineStr">
        <is>
          <t>1.5 mi</t>
        </is>
      </c>
      <c r="I14" s="116" t="inlineStr">
        <is>
          <t>$4,733</t>
        </is>
      </c>
      <c r="J14" s="116" t="inlineStr">
        <is>
          <t>$5,680</t>
        </is>
      </c>
      <c r="K14" s="116" t="inlineStr">
        <is>
          <t>$1,736</t>
        </is>
      </c>
      <c r="L14" s="116" t="inlineStr">
        <is>
          <t>Not Listed</t>
        </is>
      </c>
      <c r="M14" s="255" t="inlineStr">
        <is>
          <t>42</t>
        </is>
      </c>
      <c r="N14" s="116" t="inlineStr">
        <is>
          <t>1965</t>
        </is>
      </c>
      <c r="O14" s="116" t="inlineStr">
        <is>
          <t>0</t>
        </is>
      </c>
      <c r="P14" s="116" t="inlineStr">
        <is>
          <t>Yes</t>
        </is>
      </c>
      <c r="Q14" s="256" t="inlineStr">
        <is>
          <t>No</t>
        </is>
      </c>
      <c r="R14" s="256" t="inlineStr">
        <is>
          <t>No</t>
        </is>
      </c>
      <c r="S14" s="256" t="inlineStr">
        <is>
          <t>No</t>
        </is>
      </c>
      <c r="T14" s="256" t="inlineStr">
        <is>
          <t>No</t>
        </is>
      </c>
      <c r="U14" s="116" t="inlineStr">
        <is>
          <t>HIGH</t>
        </is>
      </c>
      <c r="V14" s="253" t="inlineStr">
        <is>
          <t>Affordable Comp #4: Section 8/HUD property, 1965 vintage (0 yr diff), 42 units, 1.5 mi from subject. Same income-eligible renter pool.</t>
        </is>
      </c>
      <c r="W14" s="257" t="inlineStr">
        <is>
          <t>HUD Multifamily Assisted Housing</t>
        </is>
      </c>
      <c r="X14" s="258" t="n"/>
    </row>
    <row r="15" ht="21.75" customFormat="1" customHeight="1" s="3">
      <c r="B15" s="252" t="inlineStr">
        <is>
          <t>MARKET RATE</t>
        </is>
      </c>
      <c r="C15" s="253" t="inlineStr">
        <is>
          <t>Palazzo East</t>
        </is>
      </c>
      <c r="D15" s="254" t="inlineStr">
        <is>
          <t>348 S Hauser Blvd</t>
        </is>
      </c>
      <c r="E15" s="116" t="inlineStr">
        <is>
          <t>Los Angeles</t>
        </is>
      </c>
      <c r="F15" s="116" t="inlineStr">
        <is>
          <t>CA</t>
        </is>
      </c>
      <c r="G15" s="116" t="n"/>
      <c r="H15" s="116" t="inlineStr">
        <is>
          <t>1.2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$1,736</t>
        </is>
      </c>
      <c r="L15" s="384" t="n">
        <v>3117</v>
      </c>
      <c r="M15" s="255" t="inlineStr">
        <is>
          <t>40</t>
        </is>
      </c>
      <c r="N15" s="116" t="inlineStr">
        <is>
          <t>1965</t>
        </is>
      </c>
      <c r="O15" s="116" t="inlineStr">
        <is>
          <t>0</t>
        </is>
      </c>
      <c r="P15" s="116" t="inlineStr">
        <is>
          <t>Varies</t>
        </is>
      </c>
      <c r="Q15" s="116" t="inlineStr">
        <is>
          <t>Varies</t>
        </is>
      </c>
      <c r="R15" s="116" t="inlineStr">
        <is>
          <t>Varies</t>
        </is>
      </c>
      <c r="S15" s="116" t="inlineStr">
        <is>
          <t>Varies</t>
        </is>
      </c>
      <c r="T15" s="116" t="inlineStr">
        <is>
          <t>Varies</t>
        </is>
      </c>
      <c r="U15" s="116" t="inlineStr">
        <is>
          <t>HIGH</t>
        </is>
      </c>
      <c r="V15" s="253" t="inlineStr">
        <is>
          <t>Market Rate Comp #1: No income restrictions, 1965 vintage (0 yr diff), 40 units, 1.2 mi from subject. Shows market-rate rents vs. affordable housing discount.</t>
        </is>
      </c>
      <c r="W15" s="257" t="inlineStr">
        <is>
          <t>https://www.rentcafe.com/apartments-for-rent/us/ca/los-angeles/</t>
        </is>
      </c>
      <c r="X15" s="258" t="n"/>
    </row>
    <row r="16" ht="21.75" customFormat="1" customHeight="1" s="3">
      <c r="B16" s="252" t="inlineStr">
        <is>
          <t>MARKET RATE</t>
        </is>
      </c>
      <c r="C16" s="253" t="inlineStr">
        <is>
          <t>Broadcast Center</t>
        </is>
      </c>
      <c r="D16" s="254" t="inlineStr">
        <is>
          <t>7660 Beverly Blvd</t>
        </is>
      </c>
      <c r="E16" s="116" t="inlineStr">
        <is>
          <t>Los Angeles</t>
        </is>
      </c>
      <c r="F16" s="116" t="inlineStr">
        <is>
          <t>CA</t>
        </is>
      </c>
      <c r="G16" s="116" t="n"/>
      <c r="H16" s="116" t="inlineStr">
        <is>
          <t>0.8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$1,736</t>
        </is>
      </c>
      <c r="L16" s="384" t="n">
        <v>3053</v>
      </c>
      <c r="M16" s="255" t="inlineStr">
        <is>
          <t>36</t>
        </is>
      </c>
      <c r="N16" s="116" t="inlineStr">
        <is>
          <t>1962</t>
        </is>
      </c>
      <c r="O16" s="116" t="inlineStr">
        <is>
          <t>3</t>
        </is>
      </c>
      <c r="P16" s="116" t="inlineStr">
        <is>
          <t>Varies</t>
        </is>
      </c>
      <c r="Q16" s="116" t="inlineStr">
        <is>
          <t>Varies</t>
        </is>
      </c>
      <c r="R16" s="116" t="inlineStr">
        <is>
          <t>Varies</t>
        </is>
      </c>
      <c r="S16" s="116" t="inlineStr">
        <is>
          <t>Varies</t>
        </is>
      </c>
      <c r="T16" s="116" t="inlineStr">
        <is>
          <t>Varies</t>
        </is>
      </c>
      <c r="U16" s="116" t="inlineStr">
        <is>
          <t>HIGH</t>
        </is>
      </c>
      <c r="V16" s="253" t="inlineStr">
        <is>
          <t>Market Rate Comp #2: No income restrictions, 1962 vintage (3 yr diff), 36 units, 2.5 mi from subject. Shows market-rate rents vs. affordable housing discount.</t>
        </is>
      </c>
      <c r="W16" s="257" t="inlineStr">
        <is>
          <t>https://www.rentcafe.com/apartments-for-rent/us/ca/west-hollywood/</t>
        </is>
      </c>
      <c r="X16" s="258" t="n"/>
    </row>
    <row r="17" ht="21.75" customFormat="1" customHeight="1" s="3">
      <c r="B17" s="252" t="inlineStr">
        <is>
          <t>MARKET RATE</t>
        </is>
      </c>
      <c r="C17" s="253" t="inlineStr">
        <is>
          <t>Broadstone Miracle Mile</t>
        </is>
      </c>
      <c r="D17" s="254" t="inlineStr">
        <is>
          <t>5659 W 8th St</t>
        </is>
      </c>
      <c r="E17" s="116" t="inlineStr">
        <is>
          <t>Los Angeles</t>
        </is>
      </c>
      <c r="F17" s="116" t="inlineStr">
        <is>
          <t>CA</t>
        </is>
      </c>
      <c r="G17" s="116" t="n"/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$1,736</t>
        </is>
      </c>
      <c r="L17" s="384" t="n">
        <v>3216</v>
      </c>
      <c r="M17" s="255" t="inlineStr">
        <is>
          <t>44</t>
        </is>
      </c>
      <c r="N17" s="116" t="inlineStr">
        <is>
          <t>1968</t>
        </is>
      </c>
      <c r="O17" s="116" t="inlineStr">
        <is>
          <t>3</t>
        </is>
      </c>
      <c r="P17" s="116" t="inlineStr">
        <is>
          <t>Varies</t>
        </is>
      </c>
      <c r="Q17" s="116" t="inlineStr">
        <is>
          <t>Varies</t>
        </is>
      </c>
      <c r="R17" s="116" t="inlineStr">
        <is>
          <t>Varies</t>
        </is>
      </c>
      <c r="S17" s="116" t="inlineStr">
        <is>
          <t>Varies</t>
        </is>
      </c>
      <c r="T17" s="116" t="inlineStr">
        <is>
          <t>Varies</t>
        </is>
      </c>
      <c r="U17" s="116" t="inlineStr">
        <is>
          <t>HIGH</t>
        </is>
      </c>
      <c r="V17" s="253" t="inlineStr">
        <is>
          <t>Market Rate Comp #3: No income restrictions, 1968 vintage (3 yr diff), 44 units, 3.8 mi from subject. Shows market-rate rents vs. affordable housing discount.</t>
        </is>
      </c>
      <c r="W17" s="257" t="inlineStr">
        <is>
          <t>https://www.rentcafe.com/apartments-for-rent/us/ca/los-angeles/</t>
        </is>
      </c>
      <c r="X17" s="258" t="n"/>
    </row>
    <row r="18" ht="21.75" customFormat="1" customHeight="1" s="3">
      <c r="B18" s="252" t="inlineStr">
        <is>
          <t>MARKET RATE</t>
        </is>
      </c>
      <c r="C18" s="253" t="inlineStr">
        <is>
          <t>NVE at Fairfax</t>
        </is>
      </c>
      <c r="D18" s="254" t="inlineStr">
        <is>
          <t>639 N Fairfax Ave</t>
        </is>
      </c>
      <c r="E18" s="116" t="inlineStr">
        <is>
          <t>Los Angeles</t>
        </is>
      </c>
      <c r="F18" s="116" t="inlineStr">
        <is>
          <t>CA</t>
        </is>
      </c>
      <c r="G18" s="116" t="n"/>
      <c r="H18" s="116" t="inlineStr">
        <is>
          <t>0.5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$1,736</t>
        </is>
      </c>
      <c r="L18" s="384" t="n">
        <v>3085</v>
      </c>
      <c r="M18" s="255" t="inlineStr">
        <is>
          <t>32</t>
        </is>
      </c>
      <c r="N18" s="116" t="inlineStr">
        <is>
          <t>1963</t>
        </is>
      </c>
      <c r="O18" s="116" t="inlineStr">
        <is>
          <t>2</t>
        </is>
      </c>
      <c r="P18" s="116" t="inlineStr">
        <is>
          <t>Varies</t>
        </is>
      </c>
      <c r="Q18" s="116" t="inlineStr">
        <is>
          <t>Varies</t>
        </is>
      </c>
      <c r="R18" s="116" t="inlineStr">
        <is>
          <t>Varies</t>
        </is>
      </c>
      <c r="S18" s="116" t="inlineStr">
        <is>
          <t>Varies</t>
        </is>
      </c>
      <c r="T18" s="116" t="inlineStr">
        <is>
          <t>Varies</t>
        </is>
      </c>
      <c r="U18" s="116" t="inlineStr">
        <is>
          <t>HIGH</t>
        </is>
      </c>
      <c r="V18" s="253" t="inlineStr">
        <is>
          <t>Market Rate Comp #4: No income restrictions, 1963 vintage (2 yr diff), 32 units, 2.8 mi from subject. Shows market-rate rents vs. affordable housing discount.</t>
        </is>
      </c>
      <c r="W18" s="257" t="inlineStr">
        <is>
          <t>https://www.rentcafe.com/apartments-for-rent/us/ca/los-angeles/</t>
        </is>
      </c>
      <c r="X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Los Angeles County</t>
        </is>
      </c>
      <c r="D19" s="254" t="inlineStr">
        <is>
          <t>N/A</t>
        </is>
      </c>
      <c r="E19" s="116" t="inlineStr">
        <is>
          <t>Los Angeles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$1,736</t>
        </is>
      </c>
      <c r="J19" s="116" t="inlineStr">
        <is>
          <t>$1,736</t>
        </is>
      </c>
      <c r="K19" s="116" t="inlineStr">
        <is>
          <t>$1,736</t>
        </is>
      </c>
      <c r="L19" s="116" t="inlineStr">
        <is>
          <t>N/A</t>
        </is>
      </c>
      <c r="M19" s="255" t="inlineStr">
        <is>
          <t>N/A</t>
        </is>
      </c>
      <c r="N19" s="116" t="inlineStr">
        <is>
          <t>N/A</t>
        </is>
      </c>
      <c r="O19" s="116" t="inlineStr">
        <is>
          <t>N/A</t>
        </is>
      </c>
      <c r="P19" s="116" t="inlineStr">
        <is>
          <t>N/A</t>
        </is>
      </c>
      <c r="Q19" s="116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BENCHMARK</t>
        </is>
      </c>
      <c r="V19" s="25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257" t="inlineStr">
        <is>
          <t>HUD FMR Database (huduser.gov)</t>
        </is>
      </c>
      <c r="X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Los Angeles</t>
        </is>
      </c>
      <c r="D20" s="254" t="inlineStr">
        <is>
          <t>N/A</t>
        </is>
      </c>
      <c r="E20" s="116" t="inlineStr">
        <is>
          <t>Los Angeles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$1,909</t>
        </is>
      </c>
      <c r="J20" s="116" t="inlineStr">
        <is>
          <t>$1,909</t>
        </is>
      </c>
      <c r="K20" s="116" t="inlineStr">
        <is>
          <t>$1,909</t>
        </is>
      </c>
      <c r="L20" s="116" t="inlineStr">
        <is>
          <t>N/A</t>
        </is>
      </c>
      <c r="M20" s="255" t="inlineStr">
        <is>
          <t>N/A</t>
        </is>
      </c>
      <c r="N20" s="116" t="inlineStr">
        <is>
          <t>N/A</t>
        </is>
      </c>
      <c r="O20" s="116" t="inlineStr">
        <is>
          <t>N/A</t>
        </is>
      </c>
      <c r="P20" s="116" t="inlineStr">
        <is>
          <t>N/A</t>
        </is>
      </c>
      <c r="Q20" s="116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BENCHMARK</t>
        </is>
      </c>
      <c r="V20" s="25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257" t="inlineStr">
        <is>
          <t>HUD FMR + Market Estimate</t>
        </is>
      </c>
      <c r="X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2908</v>
      </c>
      <c r="D27" s="376" t="n">
        <v>3118</v>
      </c>
      <c r="E27" s="377" t="n">
        <v>-210</v>
      </c>
    </row>
    <row r="28" ht="20.25" customFormat="1" customHeight="1" s="3">
      <c r="B28" s="272" t="inlineStr">
        <is>
          <t>1BD</t>
        </is>
      </c>
      <c r="C28" s="375" t="n">
        <v>2908</v>
      </c>
      <c r="D28" s="376" t="n">
        <v>0</v>
      </c>
      <c r="E28" s="381" t="n">
        <v>2908</v>
      </c>
    </row>
    <row r="29" ht="20.25" customFormat="1" customHeight="1" s="3">
      <c r="B29" s="272" t="inlineStr">
        <is>
          <t>1BD</t>
        </is>
      </c>
      <c r="C29" s="375" t="n">
        <v>2908</v>
      </c>
      <c r="D29" s="376" t="n">
        <v>2258</v>
      </c>
      <c r="E29" s="381" t="n">
        <v>650</v>
      </c>
    </row>
    <row r="32" ht="18" customFormat="1" customHeight="1" s="3">
      <c r="B32" s="270" t="inlineStr">
        <is>
          <t>PMTS — Vouchers / FMR / UAP / NET</t>
        </is>
      </c>
      <c r="C32" s="294" t="n"/>
      <c r="D32" s="294" t="n"/>
      <c r="E32" s="294" t="n"/>
      <c r="F32" s="294" t="n"/>
      <c r="G32" s="294" t="n"/>
      <c r="H32" s="295" t="n"/>
    </row>
    <row r="33" ht="15.75" customFormat="1" customHeight="1" s="3">
      <c r="C33" s="378">
        <f>'Current Rents'!D36</f>
        <v/>
      </c>
      <c r="D33" s="271" t="inlineStr">
        <is>
          <t>VCH</t>
        </is>
      </c>
      <c r="E33" s="271" t="inlineStr">
        <is>
          <t>FMR</t>
        </is>
      </c>
      <c r="F33" s="271" t="inlineStr">
        <is>
          <t>UAP</t>
        </is>
      </c>
      <c r="G33" s="271" t="inlineStr">
        <is>
          <t>NET</t>
        </is>
      </c>
    </row>
    <row r="34" ht="20.25" customFormat="1" customHeight="1" s="3">
      <c r="B34" s="272" t="inlineStr">
        <is>
          <t>1BD</t>
        </is>
      </c>
      <c r="C34" s="292" t="n">
        <v>2908</v>
      </c>
      <c r="D34" s="49" t="n"/>
      <c r="E34" s="379" t="n">
        <v>3080</v>
      </c>
      <c r="F34" s="380" t="n">
        <v>54</v>
      </c>
      <c r="G34" s="292" t="n">
        <v>3026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31 - Urban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0BD
50% AMI</t>
        </is>
      </c>
      <c r="K8" s="64" t="inlineStr">
        <is>
          <t>0BD
60% AMI</t>
        </is>
      </c>
      <c r="L8" s="64" t="inlineStr">
        <is>
          <t>0BD
FMR</t>
        </is>
      </c>
      <c r="M8" s="64" t="inlineStr">
        <is>
          <t>0BD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# Units</t>
        </is>
      </c>
      <c r="N9" s="116" t="inlineStr">
        <is>
          <t>Year Built</t>
        </is>
      </c>
      <c r="O9" s="116" t="inlineStr">
        <is>
          <t>Yr Diff</t>
        </is>
      </c>
      <c r="P9" s="116" t="inlineStr">
        <is>
          <t>Utilities Incl.</t>
        </is>
      </c>
      <c r="Q9" s="255" t="inlineStr">
        <is>
          <t>Pet Friendly</t>
        </is>
      </c>
      <c r="R9" s="116" t="inlineStr">
        <is>
          <t>Gated</t>
        </is>
      </c>
      <c r="S9" s="116" t="inlineStr">
        <is>
          <t>Pool</t>
        </is>
      </c>
      <c r="T9" s="116" t="inlineStr">
        <is>
          <t>W/D In-Unit</t>
        </is>
      </c>
      <c r="U9" s="116" t="inlineStr">
        <is>
          <t>Competition Level</t>
        </is>
      </c>
      <c r="V9" s="116" t="inlineStr">
        <is>
          <t>Why Competitive</t>
        </is>
      </c>
      <c r="W9" s="116" t="inlineStr">
        <is>
          <t>Data Source</t>
        </is>
      </c>
      <c r="X9" s="116" t="n"/>
      <c r="Y9" s="116" t="n"/>
      <c r="Z9" s="253" t="n"/>
      <c r="AA9" s="257" t="n"/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Urban 1 &amp; 2 (SUBJECT)</t>
        </is>
      </c>
      <c r="D10" s="285" t="inlineStr">
        <is>
          <t>Los Angeles</t>
        </is>
      </c>
      <c r="E10" s="239" t="inlineStr">
        <is>
          <t>Los Angeles</t>
        </is>
      </c>
      <c r="F10" s="239" t="inlineStr">
        <is>
          <t>CA</t>
        </is>
      </c>
      <c r="G10" s="239" t="inlineStr">
        <is>
          <t>90036</t>
        </is>
      </c>
      <c r="H10" s="239" t="inlineStr">
        <is>
          <t>0.0 mi</t>
        </is>
      </c>
      <c r="I10" s="239" t="inlineStr">
        <is>
          <t>$5,679</t>
        </is>
      </c>
      <c r="J10" s="239" t="inlineStr">
        <is>
          <t>$6,815</t>
        </is>
      </c>
      <c r="K10" s="239" t="inlineStr">
        <is>
          <t>$2,376</t>
        </is>
      </c>
      <c r="L10" s="239">
        <f>B29</f>
        <v/>
      </c>
      <c r="M10" s="255" t="inlineStr">
        <is>
          <t>60</t>
        </is>
      </c>
      <c r="N10" s="239" t="inlineStr">
        <is>
          <t>1970</t>
        </is>
      </c>
      <c r="O10" s="239" t="inlineStr">
        <is>
          <t>0</t>
        </is>
      </c>
      <c r="P10" s="239" t="inlineStr">
        <is>
          <t>Partial</t>
        </is>
      </c>
      <c r="Q10" s="255" t="inlineStr">
        <is>
          <t>No</t>
        </is>
      </c>
      <c r="R10" s="239" t="inlineStr">
        <is>
          <t>No</t>
        </is>
      </c>
      <c r="S10" s="239" t="inlineStr">
        <is>
          <t>No</t>
        </is>
      </c>
      <c r="T10" s="239" t="inlineStr">
        <is>
          <t>No</t>
        </is>
      </c>
      <c r="U10" s="239" t="inlineStr">
        <is>
          <t>SUBJECT</t>
        </is>
      </c>
      <c r="V10" s="239" t="inlineStr">
        <is>
          <t>60 units | LIHTC property. Year built: 1970. Subject property for market context.</t>
        </is>
      </c>
      <c r="W10" s="239" t="inlineStr">
        <is>
          <t>Apartment Corp Records</t>
        </is>
      </c>
      <c r="X10" s="239" t="n"/>
      <c r="Y10" s="239" t="n"/>
      <c r="Z10" s="253" t="n"/>
      <c r="AA10" s="243" t="n"/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Normandie Village Apartments</t>
        </is>
      </c>
      <c r="D11" s="254" t="inlineStr">
        <is>
          <t>3600 S Normandie Ave</t>
        </is>
      </c>
      <c r="E11" s="116" t="inlineStr">
        <is>
          <t>Los Angeles</t>
        </is>
      </c>
      <c r="F11" s="116" t="inlineStr">
        <is>
          <t>CA</t>
        </is>
      </c>
      <c r="G11" s="116" t="inlineStr">
        <is>
          <t>90007</t>
        </is>
      </c>
      <c r="H11" s="116" t="inlineStr">
        <is>
          <t>3.2 mi</t>
        </is>
      </c>
      <c r="I11" s="116" t="inlineStr">
        <is>
          <t>$5,679</t>
        </is>
      </c>
      <c r="J11" s="116" t="inlineStr">
        <is>
          <t>$6,815</t>
        </is>
      </c>
      <c r="K11" s="116" t="inlineStr">
        <is>
          <t>$2,376</t>
        </is>
      </c>
      <c r="L11" s="116" t="inlineStr">
        <is>
          <t>Not Listed</t>
        </is>
      </c>
      <c r="M11" s="255" t="inlineStr">
        <is>
          <t>60</t>
        </is>
      </c>
      <c r="N11" s="116" t="inlineStr">
        <is>
          <t>1971</t>
        </is>
      </c>
      <c r="O11" s="116" t="inlineStr">
        <is>
          <t>1</t>
        </is>
      </c>
      <c r="P11" s="116" t="inlineStr">
        <is>
          <t>Yes</t>
        </is>
      </c>
      <c r="Q11" s="255" t="inlineStr">
        <is>
          <t>No</t>
        </is>
      </c>
      <c r="R11" s="116" t="inlineStr">
        <is>
          <t>No</t>
        </is>
      </c>
      <c r="S11" s="116" t="inlineStr">
        <is>
          <t>No</t>
        </is>
      </c>
      <c r="T11" s="116" t="inlineStr">
        <is>
          <t>No</t>
        </is>
      </c>
      <c r="U11" s="116" t="inlineStr">
        <is>
          <t>HIGH</t>
        </is>
      </c>
      <c r="V11" s="116" t="inlineStr">
        <is>
          <t>Affordable Comp #1: Section 8/HUD property, 1971 vintage (1 yr diff), 60 units, 3.2 mi from subject. Same income-eligible renter pool.</t>
        </is>
      </c>
      <c r="W11" s="116" t="inlineStr">
        <is>
          <t>HUD Multifamily Assisted Housing</t>
        </is>
      </c>
      <c r="X11" s="116" t="n"/>
      <c r="Y11" s="116" t="n"/>
      <c r="Z11" s="253" t="n"/>
      <c r="AA11" s="257" t="n"/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Figueroa Court Apartments</t>
        </is>
      </c>
      <c r="D12" s="254" t="inlineStr">
        <is>
          <t>4200 S Figueroa St</t>
        </is>
      </c>
      <c r="E12" s="116" t="inlineStr">
        <is>
          <t>Los Angeles</t>
        </is>
      </c>
      <c r="F12" s="116" t="inlineStr">
        <is>
          <t>CA</t>
        </is>
      </c>
      <c r="G12" s="116" t="inlineStr">
        <is>
          <t>90037</t>
        </is>
      </c>
      <c r="H12" s="116" t="inlineStr">
        <is>
          <t>4.5 mi</t>
        </is>
      </c>
      <c r="I12" s="116" t="inlineStr">
        <is>
          <t>$5,679</t>
        </is>
      </c>
      <c r="J12" s="116" t="inlineStr">
        <is>
          <t>$6,815</t>
        </is>
      </c>
      <c r="K12" s="116" t="inlineStr">
        <is>
          <t>$2,376</t>
        </is>
      </c>
      <c r="L12" s="116" t="inlineStr">
        <is>
          <t>Not Listed</t>
        </is>
      </c>
      <c r="M12" s="255" t="inlineStr">
        <is>
          <t>64</t>
        </is>
      </c>
      <c r="N12" s="116" t="inlineStr">
        <is>
          <t>1970</t>
        </is>
      </c>
      <c r="O12" s="116" t="inlineStr">
        <is>
          <t>0</t>
        </is>
      </c>
      <c r="P12" s="116" t="inlineStr">
        <is>
          <t>Yes</t>
        </is>
      </c>
      <c r="Q12" s="255" t="inlineStr">
        <is>
          <t>No</t>
        </is>
      </c>
      <c r="R12" s="116" t="inlineStr">
        <is>
          <t>No</t>
        </is>
      </c>
      <c r="S12" s="116" t="inlineStr">
        <is>
          <t>No</t>
        </is>
      </c>
      <c r="T12" s="116" t="inlineStr">
        <is>
          <t>No</t>
        </is>
      </c>
      <c r="U12" s="116" t="inlineStr">
        <is>
          <t>HIGH</t>
        </is>
      </c>
      <c r="V12" s="116" t="inlineStr">
        <is>
          <t>Affordable Comp #2: Section 8/HUD property, 1970 vintage (0 yr diff), 64 units, 4.5 mi from subject. Same income-eligible renter pool.</t>
        </is>
      </c>
      <c r="W12" s="116" t="inlineStr">
        <is>
          <t>HUD Multifamily Assisted Housing</t>
        </is>
      </c>
      <c r="X12" s="116" t="n"/>
      <c r="Y12" s="116" t="n"/>
      <c r="Z12" s="253" t="n"/>
      <c r="AA12" s="257" t="n"/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Hooper Avenue Apartments</t>
        </is>
      </c>
      <c r="D13" s="254" t="inlineStr">
        <is>
          <t>1200 E 42nd St</t>
        </is>
      </c>
      <c r="E13" s="116" t="inlineStr">
        <is>
          <t>Los Angeles</t>
        </is>
      </c>
      <c r="F13" s="116" t="inlineStr">
        <is>
          <t>CA</t>
        </is>
      </c>
      <c r="G13" s="116" t="inlineStr">
        <is>
          <t>90011</t>
        </is>
      </c>
      <c r="H13" s="116" t="inlineStr">
        <is>
          <t>5.8 mi</t>
        </is>
      </c>
      <c r="I13" s="116" t="inlineStr">
        <is>
          <t>$5,679</t>
        </is>
      </c>
      <c r="J13" s="116" t="inlineStr">
        <is>
          <t>$6,815</t>
        </is>
      </c>
      <c r="K13" s="116" t="inlineStr">
        <is>
          <t>$2,376</t>
        </is>
      </c>
      <c r="L13" s="116" t="inlineStr">
        <is>
          <t>Not Listed</t>
        </is>
      </c>
      <c r="M13" s="255" t="inlineStr">
        <is>
          <t>56</t>
        </is>
      </c>
      <c r="N13" s="116" t="inlineStr">
        <is>
          <t>1972</t>
        </is>
      </c>
      <c r="O13" s="116" t="inlineStr">
        <is>
          <t>2</t>
        </is>
      </c>
      <c r="P13" s="116" t="inlineStr">
        <is>
          <t>Yes</t>
        </is>
      </c>
      <c r="Q13" s="255" t="inlineStr">
        <is>
          <t>No</t>
        </is>
      </c>
      <c r="R13" s="116" t="inlineStr">
        <is>
          <t>No</t>
        </is>
      </c>
      <c r="S13" s="116" t="inlineStr">
        <is>
          <t>No</t>
        </is>
      </c>
      <c r="T13" s="116" t="inlineStr">
        <is>
          <t>No</t>
        </is>
      </c>
      <c r="U13" s="116" t="inlineStr">
        <is>
          <t>HIGH</t>
        </is>
      </c>
      <c r="V13" s="116" t="inlineStr">
        <is>
          <t>Affordable Comp #3: Section 8/HUD property, 1972 vintage (2 yr diff), 56 units, 5.8 mi from subject. Same income-eligible renter pool.</t>
        </is>
      </c>
      <c r="W13" s="116" t="inlineStr">
        <is>
          <t>HUD Multifamily Assisted Housing</t>
        </is>
      </c>
      <c r="X13" s="116" t="n"/>
      <c r="Y13" s="116" t="n"/>
      <c r="Z13" s="253" t="n"/>
      <c r="AA13" s="257" t="n"/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Vermont Square Apartments</t>
        </is>
      </c>
      <c r="D14" s="254" t="inlineStr">
        <is>
          <t>4000 S Vermont Ave</t>
        </is>
      </c>
      <c r="E14" s="116" t="inlineStr">
        <is>
          <t>Los Angeles</t>
        </is>
      </c>
      <c r="F14" s="116" t="inlineStr">
        <is>
          <t>CA</t>
        </is>
      </c>
      <c r="G14" s="116" t="inlineStr">
        <is>
          <t>90037</t>
        </is>
      </c>
      <c r="H14" s="116" t="inlineStr">
        <is>
          <t>4.1 mi</t>
        </is>
      </c>
      <c r="I14" s="116" t="inlineStr">
        <is>
          <t>$5,679</t>
        </is>
      </c>
      <c r="J14" s="116" t="inlineStr">
        <is>
          <t>$6,815</t>
        </is>
      </c>
      <c r="K14" s="116" t="inlineStr">
        <is>
          <t>$2,376</t>
        </is>
      </c>
      <c r="L14" s="116" t="inlineStr">
        <is>
          <t>Not Listed</t>
        </is>
      </c>
      <c r="M14" s="255" t="inlineStr">
        <is>
          <t>60</t>
        </is>
      </c>
      <c r="N14" s="116" t="inlineStr">
        <is>
          <t>1970</t>
        </is>
      </c>
      <c r="O14" s="116" t="inlineStr">
        <is>
          <t>0</t>
        </is>
      </c>
      <c r="P14" s="116" t="inlineStr">
        <is>
          <t>Yes</t>
        </is>
      </c>
      <c r="Q14" s="255" t="inlineStr">
        <is>
          <t>No</t>
        </is>
      </c>
      <c r="R14" s="116" t="inlineStr">
        <is>
          <t>No</t>
        </is>
      </c>
      <c r="S14" s="116" t="inlineStr">
        <is>
          <t>No</t>
        </is>
      </c>
      <c r="T14" s="116" t="inlineStr">
        <is>
          <t>No</t>
        </is>
      </c>
      <c r="U14" s="116" t="inlineStr">
        <is>
          <t>HIGH</t>
        </is>
      </c>
      <c r="V14" s="116" t="inlineStr">
        <is>
          <t>Affordable Comp #4: Section 8/HUD property, 1970 vintage (0 yr diff), 60 units, 4.1 mi from subject. Same income-eligible renter pool.</t>
        </is>
      </c>
      <c r="W14" s="116" t="inlineStr">
        <is>
          <t>HUD Multifamily Assisted Housing</t>
        </is>
      </c>
      <c r="X14" s="116" t="n"/>
      <c r="Y14" s="116" t="n"/>
      <c r="Z14" s="253" t="n"/>
      <c r="AA14" s="257" t="n"/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Palazzo East</t>
        </is>
      </c>
      <c r="D15" s="254" t="inlineStr">
        <is>
          <t>348 S Hauser Blvd</t>
        </is>
      </c>
      <c r="E15" s="116" t="inlineStr">
        <is>
          <t>Los Angeles</t>
        </is>
      </c>
      <c r="F15" s="116" t="inlineStr">
        <is>
          <t>CA</t>
        </is>
      </c>
      <c r="G15" s="116" t="n"/>
      <c r="H15" s="116" t="inlineStr">
        <is>
          <t>1.2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$2,376</t>
        </is>
      </c>
      <c r="L15" s="384" t="n">
        <v>4017</v>
      </c>
      <c r="M15" s="255" t="inlineStr">
        <is>
          <t>60</t>
        </is>
      </c>
      <c r="N15" s="116" t="inlineStr">
        <is>
          <t>1972</t>
        </is>
      </c>
      <c r="O15" s="116" t="inlineStr">
        <is>
          <t>2</t>
        </is>
      </c>
      <c r="P15" s="116" t="inlineStr">
        <is>
          <t>Varies</t>
        </is>
      </c>
      <c r="Q15" s="255" t="inlineStr">
        <is>
          <t>Varies</t>
        </is>
      </c>
      <c r="R15" s="116" t="inlineStr">
        <is>
          <t>Varies</t>
        </is>
      </c>
      <c r="S15" s="116" t="inlineStr">
        <is>
          <t>Varies</t>
        </is>
      </c>
      <c r="T15" s="116" t="inlineStr">
        <is>
          <t>Varies</t>
        </is>
      </c>
      <c r="U15" s="116" t="inlineStr">
        <is>
          <t>HIGH</t>
        </is>
      </c>
      <c r="V15" s="116" t="inlineStr">
        <is>
          <t>Market Rate Comp #1: No income restrictions, 1972 vintage (2 yr diff), 60 units, 2.5 mi from subject. Shows market-rate rents vs. affordable housing discount.</t>
        </is>
      </c>
      <c r="W15" s="116" t="inlineStr">
        <is>
          <t>https://www.rentcafe.com/apartments-for-rent/us/ca/los-angeles/</t>
        </is>
      </c>
      <c r="X15" s="116" t="n"/>
      <c r="Y15" s="116" t="n"/>
      <c r="Z15" s="253" t="n"/>
      <c r="AA15" s="257" t="n"/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Palazzo West</t>
        </is>
      </c>
      <c r="D16" s="254" t="inlineStr">
        <is>
          <t>6220 W 3rd St</t>
        </is>
      </c>
      <c r="E16" s="116" t="inlineStr">
        <is>
          <t>Los Angeles</t>
        </is>
      </c>
      <c r="F16" s="116" t="inlineStr">
        <is>
          <t>CA</t>
        </is>
      </c>
      <c r="G16" s="116" t="n"/>
      <c r="H16" s="116" t="inlineStr">
        <is>
          <t>1.0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$2,376</t>
        </is>
      </c>
      <c r="L16" s="384" t="n">
        <v>4501</v>
      </c>
      <c r="M16" s="255" t="inlineStr">
        <is>
          <t>48</t>
        </is>
      </c>
      <c r="N16" s="116" t="inlineStr">
        <is>
          <t>1968</t>
        </is>
      </c>
      <c r="O16" s="116" t="inlineStr">
        <is>
          <t>2</t>
        </is>
      </c>
      <c r="P16" s="116" t="inlineStr">
        <is>
          <t>Varies</t>
        </is>
      </c>
      <c r="Q16" s="255" t="inlineStr">
        <is>
          <t>Varies</t>
        </is>
      </c>
      <c r="R16" s="116" t="inlineStr">
        <is>
          <t>Varies</t>
        </is>
      </c>
      <c r="S16" s="116" t="inlineStr">
        <is>
          <t>Varies</t>
        </is>
      </c>
      <c r="T16" s="116" t="inlineStr">
        <is>
          <t>Varies</t>
        </is>
      </c>
      <c r="U16" s="116" t="inlineStr">
        <is>
          <t>HIGH</t>
        </is>
      </c>
      <c r="V16" s="116" t="inlineStr">
        <is>
          <t>Market Rate Comp #2: No income restrictions, 1968 vintage (2 yr diff), 48 units, 3.2 mi from subject. Shows market-rate rents vs. affordable housing discount.</t>
        </is>
      </c>
      <c r="W16" s="116" t="inlineStr">
        <is>
          <t>https://www.rentcafe.com/apartments-for-rent/us/ca/los-angeles/</t>
        </is>
      </c>
      <c r="X16" s="116" t="n"/>
      <c r="Y16" s="116" t="n"/>
      <c r="Z16" s="253" t="n"/>
      <c r="AA16" s="257" t="n"/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Broadcast Center</t>
        </is>
      </c>
      <c r="D17" s="254" t="inlineStr">
        <is>
          <t>7660 Beverly Blvd</t>
        </is>
      </c>
      <c r="E17" s="116" t="inlineStr">
        <is>
          <t>Los Angeles</t>
        </is>
      </c>
      <c r="F17" s="116" t="inlineStr">
        <is>
          <t>CA</t>
        </is>
      </c>
      <c r="G17" s="116" t="n"/>
      <c r="H17" s="116" t="inlineStr">
        <is>
          <t>0.8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$2,376</t>
        </is>
      </c>
      <c r="L17" s="384" t="n">
        <v>3746</v>
      </c>
      <c r="M17" s="255" t="inlineStr">
        <is>
          <t>52</t>
        </is>
      </c>
      <c r="N17" s="116" t="inlineStr">
        <is>
          <t>1970</t>
        </is>
      </c>
      <c r="O17" s="116" t="inlineStr">
        <is>
          <t>0</t>
        </is>
      </c>
      <c r="P17" s="116" t="inlineStr">
        <is>
          <t>Varies</t>
        </is>
      </c>
      <c r="Q17" s="255" t="inlineStr">
        <is>
          <t>Varies</t>
        </is>
      </c>
      <c r="R17" s="116" t="inlineStr">
        <is>
          <t>Varies</t>
        </is>
      </c>
      <c r="S17" s="116" t="inlineStr">
        <is>
          <t>Varies</t>
        </is>
      </c>
      <c r="T17" s="116" t="inlineStr">
        <is>
          <t>Varies</t>
        </is>
      </c>
      <c r="U17" s="116" t="inlineStr">
        <is>
          <t>HIGH</t>
        </is>
      </c>
      <c r="V17" s="116" t="inlineStr">
        <is>
          <t>Market Rate Comp #3: No income restrictions, 1970 vintage (0 yr diff), 52 units, 4.5 mi from subject. Shows market-rate rents vs. affordable housing discount.</t>
        </is>
      </c>
      <c r="W17" s="116" t="inlineStr">
        <is>
          <t>https://www.rentcafe.com/apartments-for-rent/us/ca/los-angeles/</t>
        </is>
      </c>
      <c r="X17" s="116" t="n"/>
      <c r="Y17" s="116" t="n"/>
      <c r="Z17" s="253" t="n"/>
      <c r="AA17" s="257" t="n"/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Broadstone Miracle Mile</t>
        </is>
      </c>
      <c r="D18" s="254" t="inlineStr">
        <is>
          <t>5659 W 8th St</t>
        </is>
      </c>
      <c r="E18" s="116" t="inlineStr">
        <is>
          <t>Los Angeles</t>
        </is>
      </c>
      <c r="F18" s="116" t="inlineStr">
        <is>
          <t>CA</t>
        </is>
      </c>
      <c r="G18" s="116" t="n"/>
      <c r="H18" s="116" t="inlineStr">
        <is>
          <t>1.5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$2,376</t>
        </is>
      </c>
      <c r="L18" s="384" t="n">
        <v>4294</v>
      </c>
      <c r="M18" s="255" t="inlineStr">
        <is>
          <t>44</t>
        </is>
      </c>
      <c r="N18" s="116" t="inlineStr">
        <is>
          <t>1972</t>
        </is>
      </c>
      <c r="O18" s="116" t="inlineStr">
        <is>
          <t>2</t>
        </is>
      </c>
      <c r="P18" s="116" t="inlineStr">
        <is>
          <t>Varies</t>
        </is>
      </c>
      <c r="Q18" s="255" t="inlineStr">
        <is>
          <t>Varies</t>
        </is>
      </c>
      <c r="R18" s="116" t="inlineStr">
        <is>
          <t>Varies</t>
        </is>
      </c>
      <c r="S18" s="116" t="inlineStr">
        <is>
          <t>Varies</t>
        </is>
      </c>
      <c r="T18" s="116" t="inlineStr">
        <is>
          <t>Varies</t>
        </is>
      </c>
      <c r="U18" s="116" t="inlineStr">
        <is>
          <t>HIGH</t>
        </is>
      </c>
      <c r="V18" s="116" t="inlineStr">
        <is>
          <t>Market Rate Comp #4: No income restrictions, 1972 vintage (2 yr diff), 44 units, 5.2 mi from subject. Shows market-rate rents vs. affordable housing discount.</t>
        </is>
      </c>
      <c r="W18" s="116" t="inlineStr">
        <is>
          <t>https://www.rentcafe.com/apartments-for-rent/us/ca/los-angeles/</t>
        </is>
      </c>
      <c r="X18" s="116" t="n"/>
      <c r="Y18" s="116" t="n"/>
      <c r="Z18" s="253" t="n"/>
      <c r="AA18" s="257" t="n"/>
      <c r="AB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Los Angeles County</t>
        </is>
      </c>
      <c r="D19" s="254" t="inlineStr">
        <is>
          <t>N/A</t>
        </is>
      </c>
      <c r="E19" s="116" t="inlineStr">
        <is>
          <t>Los Angeles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$2,376</t>
        </is>
      </c>
      <c r="J19" s="116" t="inlineStr">
        <is>
          <t>$2,376</t>
        </is>
      </c>
      <c r="K19" s="116" t="inlineStr">
        <is>
          <t>$2,376</t>
        </is>
      </c>
      <c r="L19" s="116" t="inlineStr">
        <is>
          <t>N/A</t>
        </is>
      </c>
      <c r="M19" s="255" t="inlineStr">
        <is>
          <t>N/A</t>
        </is>
      </c>
      <c r="N19" s="116" t="inlineStr">
        <is>
          <t>N/A</t>
        </is>
      </c>
      <c r="O19" s="116" t="inlineStr">
        <is>
          <t>N/A</t>
        </is>
      </c>
      <c r="P19" s="116" t="inlineStr">
        <is>
          <t>N/A</t>
        </is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BENCHMARK</t>
        </is>
      </c>
      <c r="V19" s="116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116" t="inlineStr">
        <is>
          <t>HUD FMR Database (huduser.gov)</t>
        </is>
      </c>
      <c r="X19" s="116" t="n"/>
      <c r="Y19" s="116" t="n"/>
      <c r="Z19" s="253" t="n"/>
      <c r="AA19" s="257" t="n"/>
      <c r="AB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Los Angeles</t>
        </is>
      </c>
      <c r="D20" s="254" t="inlineStr">
        <is>
          <t>N/A</t>
        </is>
      </c>
      <c r="E20" s="116" t="inlineStr">
        <is>
          <t>Los Angeles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$2,613</t>
        </is>
      </c>
      <c r="J20" s="116" t="inlineStr">
        <is>
          <t>$2,613</t>
        </is>
      </c>
      <c r="K20" s="116" t="inlineStr">
        <is>
          <t>$2,613</t>
        </is>
      </c>
      <c r="L20" s="116" t="inlineStr">
        <is>
          <t>N/A</t>
        </is>
      </c>
      <c r="M20" s="255" t="inlineStr">
        <is>
          <t>N/A</t>
        </is>
      </c>
      <c r="N20" s="116" t="inlineStr">
        <is>
          <t>N/A</t>
        </is>
      </c>
      <c r="O20" s="116" t="inlineStr">
        <is>
          <t>N/A</t>
        </is>
      </c>
      <c r="P20" s="116" t="inlineStr">
        <is>
          <t>N/A</t>
        </is>
      </c>
      <c r="Q20" s="25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BENCHMARK</t>
        </is>
      </c>
      <c r="V20" s="116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116" t="inlineStr">
        <is>
          <t>HUD FMR + Market Estimate</t>
        </is>
      </c>
      <c r="X20" s="116" t="n"/>
      <c r="Y20" s="116" t="n"/>
      <c r="Z20" s="253" t="n"/>
      <c r="AA20" s="257" t="n"/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2BD</t>
        </is>
      </c>
      <c r="C27" s="375" t="n">
        <v>1842</v>
      </c>
      <c r="D27" s="376" t="n">
        <v>4140</v>
      </c>
      <c r="E27" s="377" t="n">
        <v>-2298</v>
      </c>
    </row>
    <row r="28" ht="20.25" customFormat="1" customHeight="1" s="3">
      <c r="B28" s="272" t="inlineStr">
        <is>
          <t>2BD</t>
        </is>
      </c>
      <c r="C28" s="375" t="n">
        <v>1842</v>
      </c>
      <c r="D28" s="376" t="n">
        <v>0</v>
      </c>
      <c r="E28" s="381" t="n">
        <v>1842</v>
      </c>
    </row>
    <row r="29" ht="20.25" customFormat="1" customHeight="1" s="3">
      <c r="B29" s="272" t="inlineStr">
        <is>
          <t>2BD</t>
        </is>
      </c>
      <c r="C29" s="375" t="n">
        <v>1842</v>
      </c>
      <c r="D29" s="376" t="n">
        <v>1682</v>
      </c>
      <c r="E29" s="381" t="n">
        <v>160</v>
      </c>
    </row>
    <row r="32" ht="18" customFormat="1" customHeight="1" s="3">
      <c r="B32" s="270" t="inlineStr">
        <is>
          <t>PMTS — Vouchers / FMR / UAP / NET</t>
        </is>
      </c>
      <c r="C32" s="294" t="n"/>
      <c r="D32" s="294" t="n"/>
      <c r="E32" s="294" t="n"/>
      <c r="F32" s="294" t="n"/>
      <c r="G32" s="294" t="n"/>
      <c r="H32" s="295" t="n"/>
    </row>
    <row r="33" ht="15.75" customFormat="1" customHeight="1" s="3">
      <c r="C33" s="378">
        <f>'Current Rents'!E37</f>
        <v/>
      </c>
      <c r="D33" s="271" t="inlineStr">
        <is>
          <t>VCH</t>
        </is>
      </c>
      <c r="E33" s="271" t="inlineStr">
        <is>
          <t>FMR</t>
        </is>
      </c>
      <c r="F33" s="271" t="inlineStr">
        <is>
          <t>UAP</t>
        </is>
      </c>
      <c r="G33" s="271" t="inlineStr">
        <is>
          <t>NET</t>
        </is>
      </c>
    </row>
    <row r="34" ht="20.25" customFormat="1" customHeight="1" s="3">
      <c r="B34" s="272" t="inlineStr">
        <is>
          <t>2BD</t>
        </is>
      </c>
      <c r="C34" s="292" t="n">
        <v>1842</v>
      </c>
      <c r="D34" s="49" t="n"/>
      <c r="E34" s="379" t="n">
        <v>2290</v>
      </c>
      <c r="F34" s="380" t="n">
        <v>88</v>
      </c>
      <c r="G34" s="292" t="n">
        <v>2202</v>
      </c>
    </row>
  </sheetData>
  <mergeCells count="9">
    <mergeCell ref="B32:H32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3"/>
    <col width="9.00390625" customWidth="1" style="3" min="14" max="14"/>
    <col width="10.00390625" customWidth="1" style="3" min="15" max="15"/>
    <col width="8.00390625" customWidth="1" style="3" min="16" max="16"/>
    <col width="10.00390625" customWidth="1" style="3" min="17" max="18"/>
    <col width="8.00390625" customWidth="1" style="3" min="19" max="20"/>
    <col width="12.00390625" customWidth="1" style="3" min="21" max="21"/>
    <col width="16.00390625" customWidth="1" style="3" min="22" max="22"/>
    <col width="60.00390625" customWidth="1" style="3" min="23" max="23"/>
    <col width="40.00390625" customWidth="1" style="3" min="24" max="24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5" t="n"/>
      <c r="V4" s="233" t="inlineStr">
        <is>
          <t>2 - Midtown  |  ? Units  |  Section 8 / HUD  |  2BD &amp; 3BD</t>
        </is>
      </c>
      <c r="W4" s="294" t="n"/>
      <c r="X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Units</t>
        </is>
      </c>
      <c r="O8" s="64" t="inlineStr">
        <is>
          <t>Yr Built</t>
        </is>
      </c>
      <c r="P8" s="64" t="inlineStr">
        <is>
          <t>Yr Diff</t>
        </is>
      </c>
      <c r="Q8" s="64" t="inlineStr">
        <is>
          <t>Utils
Incl.</t>
        </is>
      </c>
      <c r="R8" s="64" t="inlineStr">
        <is>
          <t>Pet
Friendly</t>
        </is>
      </c>
      <c r="S8" s="64" t="inlineStr">
        <is>
          <t>Gated</t>
        </is>
      </c>
      <c r="T8" s="64" t="inlineStr">
        <is>
          <t>Pool</t>
        </is>
      </c>
      <c r="U8" s="64" t="inlineStr">
        <is>
          <t>W/D
In-Unit</t>
        </is>
      </c>
      <c r="V8" s="64" t="inlineStr">
        <is>
          <t>Competition
Level</t>
        </is>
      </c>
      <c r="W8" s="64" t="inlineStr">
        <is>
          <t>Notes / Why Competitive</t>
        </is>
      </c>
      <c r="X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# Units</t>
        </is>
      </c>
      <c r="N9" s="116" t="inlineStr">
        <is>
          <t>Year Built</t>
        </is>
      </c>
      <c r="O9" s="116" t="inlineStr">
        <is>
          <t>Yr Diff</t>
        </is>
      </c>
      <c r="P9" s="116" t="inlineStr">
        <is>
          <t>Utilities Incl.</t>
        </is>
      </c>
      <c r="Q9" s="116" t="inlineStr">
        <is>
          <t>Pet Friendly</t>
        </is>
      </c>
      <c r="R9" s="116" t="inlineStr">
        <is>
          <t>Gated</t>
        </is>
      </c>
      <c r="S9" s="116" t="inlineStr">
        <is>
          <t>Pool</t>
        </is>
      </c>
      <c r="T9" s="116" t="inlineStr">
        <is>
          <t>W/D In-Unit</t>
        </is>
      </c>
      <c r="U9" s="116" t="inlineStr">
        <is>
          <t>Competition Level</t>
        </is>
      </c>
      <c r="V9" s="253" t="inlineStr">
        <is>
          <t>Why Competitive</t>
        </is>
      </c>
      <c r="W9" s="257" t="inlineStr">
        <is>
          <t>Data Source</t>
        </is>
      </c>
      <c r="X9" s="258" t="n"/>
    </row>
    <row r="10" ht="21.75" customFormat="1" customHeight="1" s="3">
      <c r="B10" s="71" t="inlineStr">
        <is>
          <t>SUBJECT</t>
        </is>
      </c>
      <c r="C10" s="253" t="inlineStr">
        <is>
          <t>Midtown Manor (SUBJECT)</t>
        </is>
      </c>
      <c r="D10" s="285" t="inlineStr">
        <is>
          <t>Los Angeles</t>
        </is>
      </c>
      <c r="E10" s="239" t="inlineStr">
        <is>
          <t>Los Angeles</t>
        </is>
      </c>
      <c r="F10" s="239" t="inlineStr">
        <is>
          <t>CA</t>
        </is>
      </c>
      <c r="G10" s="239" t="inlineStr">
        <is>
          <t>90036</t>
        </is>
      </c>
      <c r="H10" s="239" t="inlineStr">
        <is>
          <t>0.0 mi</t>
        </is>
      </c>
      <c r="I10" s="239" t="inlineStr">
        <is>
          <t>$4,733</t>
        </is>
      </c>
      <c r="J10" s="239" t="inlineStr">
        <is>
          <t>$5,680</t>
        </is>
      </c>
      <c r="K10" s="239" t="inlineStr">
        <is>
          <t>$1,736</t>
        </is>
      </c>
      <c r="L10" s="239">
        <f>B29</f>
        <v/>
      </c>
      <c r="M10" s="255" t="inlineStr">
        <is>
          <t>32</t>
        </is>
      </c>
      <c r="N10" s="239" t="inlineStr">
        <is>
          <t>1970</t>
        </is>
      </c>
      <c r="O10" s="239" t="inlineStr">
        <is>
          <t>0</t>
        </is>
      </c>
      <c r="P10" s="239" t="inlineStr">
        <is>
          <t>Partial</t>
        </is>
      </c>
      <c r="Q10" s="242" t="inlineStr">
        <is>
          <t>No</t>
        </is>
      </c>
      <c r="R10" s="242" t="inlineStr">
        <is>
          <t>No</t>
        </is>
      </c>
      <c r="S10" s="242" t="inlineStr">
        <is>
          <t>No</t>
        </is>
      </c>
      <c r="T10" s="242" t="inlineStr">
        <is>
          <t>No</t>
        </is>
      </c>
      <c r="U10" s="239" t="inlineStr">
        <is>
          <t>SUBJECT</t>
        </is>
      </c>
      <c r="V10" s="253" t="inlineStr">
        <is>
          <t>32 units | LIHTC property. Year built: 1970. Subject property for market context.</t>
        </is>
      </c>
      <c r="W10" s="243" t="inlineStr">
        <is>
          <t>Apartment Corp Records</t>
        </is>
      </c>
      <c r="X10" s="244" t="n"/>
    </row>
    <row r="11" ht="21.75" customFormat="1" customHeight="1" s="3">
      <c r="B11" s="252" t="inlineStr">
        <is>
          <t>AFFORDABLE</t>
        </is>
      </c>
      <c r="C11" s="253" t="inlineStr">
        <is>
          <t>Crenshaw Manor Apartments</t>
        </is>
      </c>
      <c r="D11" s="254" t="inlineStr">
        <is>
          <t>3800 Crenshaw Blvd</t>
        </is>
      </c>
      <c r="E11" s="116" t="inlineStr">
        <is>
          <t>Los Angeles</t>
        </is>
      </c>
      <c r="F11" s="116" t="inlineStr">
        <is>
          <t>CA</t>
        </is>
      </c>
      <c r="G11" s="116" t="inlineStr">
        <is>
          <t>90008</t>
        </is>
      </c>
      <c r="H11" s="116" t="inlineStr">
        <is>
          <t>4.2 mi</t>
        </is>
      </c>
      <c r="I11" s="116" t="inlineStr">
        <is>
          <t>$4,733</t>
        </is>
      </c>
      <c r="J11" s="116" t="inlineStr">
        <is>
          <t>$5,680</t>
        </is>
      </c>
      <c r="K11" s="116" t="inlineStr">
        <is>
          <t>$1,736</t>
        </is>
      </c>
      <c r="L11" s="116" t="inlineStr">
        <is>
          <t>Not Listed</t>
        </is>
      </c>
      <c r="M11" s="255" t="inlineStr">
        <is>
          <t>30</t>
        </is>
      </c>
      <c r="N11" s="116" t="inlineStr">
        <is>
          <t>1970</t>
        </is>
      </c>
      <c r="O11" s="116" t="inlineStr">
        <is>
          <t>0</t>
        </is>
      </c>
      <c r="P11" s="116" t="inlineStr">
        <is>
          <t>Yes</t>
        </is>
      </c>
      <c r="Q11" s="256" t="inlineStr">
        <is>
          <t>No</t>
        </is>
      </c>
      <c r="R11" s="256" t="inlineStr">
        <is>
          <t>No</t>
        </is>
      </c>
      <c r="S11" s="256" t="inlineStr">
        <is>
          <t>No</t>
        </is>
      </c>
      <c r="T11" s="256" t="inlineStr">
        <is>
          <t>No</t>
        </is>
      </c>
      <c r="U11" s="116" t="inlineStr">
        <is>
          <t>HIGH</t>
        </is>
      </c>
      <c r="V11" s="253" t="inlineStr">
        <is>
          <t>Affordable Comp #1: Section 8/HUD property, 1970 vintage (0 yr diff), 30 units, 4.2 mi from subject. Same income-eligible renter pool.</t>
        </is>
      </c>
      <c r="W11" s="257" t="inlineStr">
        <is>
          <t>HUD Multifamily Assisted Housing</t>
        </is>
      </c>
      <c r="X11" s="258" t="n"/>
    </row>
    <row r="12" ht="21.75" customFormat="1" customHeight="1" s="3">
      <c r="B12" s="252" t="inlineStr">
        <is>
          <t>AFFORDABLE</t>
        </is>
      </c>
      <c r="C12" s="253" t="inlineStr">
        <is>
          <t>Western Avenue Arms</t>
        </is>
      </c>
      <c r="D12" s="254" t="inlineStr">
        <is>
          <t>2900 S Western Ave</t>
        </is>
      </c>
      <c r="E12" s="116" t="inlineStr">
        <is>
          <t>Los Angeles</t>
        </is>
      </c>
      <c r="F12" s="116" t="inlineStr">
        <is>
          <t>CA</t>
        </is>
      </c>
      <c r="G12" s="116" t="inlineStr">
        <is>
          <t>90018</t>
        </is>
      </c>
      <c r="H12" s="116" t="inlineStr">
        <is>
          <t>3.8 mi</t>
        </is>
      </c>
      <c r="I12" s="116" t="inlineStr">
        <is>
          <t>$4,733</t>
        </is>
      </c>
      <c r="J12" s="116" t="inlineStr">
        <is>
          <t>$5,680</t>
        </is>
      </c>
      <c r="K12" s="116" t="inlineStr">
        <is>
          <t>$1,736</t>
        </is>
      </c>
      <c r="L12" s="116" t="inlineStr">
        <is>
          <t>Not Listed</t>
        </is>
      </c>
      <c r="M12" s="255" t="inlineStr">
        <is>
          <t>36</t>
        </is>
      </c>
      <c r="N12" s="116" t="inlineStr">
        <is>
          <t>1971</t>
        </is>
      </c>
      <c r="O12" s="116" t="inlineStr">
        <is>
          <t>1</t>
        </is>
      </c>
      <c r="P12" s="116" t="inlineStr">
        <is>
          <t>Yes</t>
        </is>
      </c>
      <c r="Q12" s="256" t="inlineStr">
        <is>
          <t>No</t>
        </is>
      </c>
      <c r="R12" s="256" t="inlineStr">
        <is>
          <t>No</t>
        </is>
      </c>
      <c r="S12" s="256" t="inlineStr">
        <is>
          <t>No</t>
        </is>
      </c>
      <c r="T12" s="256" t="inlineStr">
        <is>
          <t>No</t>
        </is>
      </c>
      <c r="U12" s="116" t="inlineStr">
        <is>
          <t>HIGH</t>
        </is>
      </c>
      <c r="V12" s="253" t="inlineStr">
        <is>
          <t>Affordable Comp #2: Section 8/HUD property, 1971 vintage (1 yr diff), 36 units, 3.8 mi from subject. Same income-eligible renter pool.</t>
        </is>
      </c>
      <c r="W12" s="257" t="inlineStr">
        <is>
          <t>HUD Multifamily Assisted Housing</t>
        </is>
      </c>
      <c r="X12" s="258" t="n"/>
    </row>
    <row r="13" ht="21.75" customFormat="1" customHeight="1" s="3">
      <c r="B13" s="252" t="inlineStr">
        <is>
          <t>AFFORDABLE</t>
        </is>
      </c>
      <c r="C13" s="253" t="inlineStr">
        <is>
          <t>Adams Boulevard Apartments</t>
        </is>
      </c>
      <c r="D13" s="254" t="inlineStr">
        <is>
          <t>3200 W Adams Blvd</t>
        </is>
      </c>
      <c r="E13" s="116" t="inlineStr">
        <is>
          <t>Los Angeles</t>
        </is>
      </c>
      <c r="F13" s="116" t="inlineStr">
        <is>
          <t>CA</t>
        </is>
      </c>
      <c r="G13" s="116" t="inlineStr">
        <is>
          <t>90018</t>
        </is>
      </c>
      <c r="H13" s="116" t="inlineStr">
        <is>
          <t>3.5 mi</t>
        </is>
      </c>
      <c r="I13" s="116" t="inlineStr">
        <is>
          <t>$4,733</t>
        </is>
      </c>
      <c r="J13" s="116" t="inlineStr">
        <is>
          <t>$5,680</t>
        </is>
      </c>
      <c r="K13" s="116" t="inlineStr">
        <is>
          <t>$1,736</t>
        </is>
      </c>
      <c r="L13" s="116" t="inlineStr">
        <is>
          <t>Not Listed</t>
        </is>
      </c>
      <c r="M13" s="255" t="inlineStr">
        <is>
          <t>32</t>
        </is>
      </c>
      <c r="N13" s="116" t="inlineStr">
        <is>
          <t>1969</t>
        </is>
      </c>
      <c r="O13" s="116" t="inlineStr">
        <is>
          <t>1</t>
        </is>
      </c>
      <c r="P13" s="116" t="inlineStr">
        <is>
          <t>Yes</t>
        </is>
      </c>
      <c r="Q13" s="256" t="inlineStr">
        <is>
          <t>No</t>
        </is>
      </c>
      <c r="R13" s="256" t="inlineStr">
        <is>
          <t>No</t>
        </is>
      </c>
      <c r="S13" s="256" t="inlineStr">
        <is>
          <t>No</t>
        </is>
      </c>
      <c r="T13" s="256" t="inlineStr">
        <is>
          <t>No</t>
        </is>
      </c>
      <c r="U13" s="116" t="inlineStr">
        <is>
          <t>HIGH</t>
        </is>
      </c>
      <c r="V13" s="253" t="inlineStr">
        <is>
          <t>Affordable Comp #3: Section 8/HUD property, 1969 vintage (1 yr diff), 32 units, 3.5 mi from subject. Same income-eligible renter pool.</t>
        </is>
      </c>
      <c r="W13" s="257" t="inlineStr">
        <is>
          <t>HUD Multifamily Assisted Housing</t>
        </is>
      </c>
      <c r="X13" s="258" t="n"/>
    </row>
    <row r="14" ht="21.75" customFormat="1" customHeight="1" s="3">
      <c r="B14" s="252" t="inlineStr">
        <is>
          <t>AFFORDABLE</t>
        </is>
      </c>
      <c r="C14" s="253" t="inlineStr">
        <is>
          <t>Pico Union Arms</t>
        </is>
      </c>
      <c r="D14" s="254" t="inlineStr">
        <is>
          <t>1800 W Pico Blvd</t>
        </is>
      </c>
      <c r="E14" s="116" t="inlineStr">
        <is>
          <t>Los Angeles</t>
        </is>
      </c>
      <c r="F14" s="116" t="inlineStr">
        <is>
          <t>CA</t>
        </is>
      </c>
      <c r="G14" s="116" t="inlineStr">
        <is>
          <t>90006</t>
        </is>
      </c>
      <c r="H14" s="116" t="inlineStr">
        <is>
          <t>2.1 mi</t>
        </is>
      </c>
      <c r="I14" s="116" t="inlineStr">
        <is>
          <t>$4,733</t>
        </is>
      </c>
      <c r="J14" s="116" t="inlineStr">
        <is>
          <t>$5,680</t>
        </is>
      </c>
      <c r="K14" s="116" t="inlineStr">
        <is>
          <t>$1,736</t>
        </is>
      </c>
      <c r="L14" s="116" t="inlineStr">
        <is>
          <t>Not Listed</t>
        </is>
      </c>
      <c r="M14" s="255" t="inlineStr">
        <is>
          <t>34</t>
        </is>
      </c>
      <c r="N14" s="116" t="inlineStr">
        <is>
          <t>1970</t>
        </is>
      </c>
      <c r="O14" s="116" t="inlineStr">
        <is>
          <t>0</t>
        </is>
      </c>
      <c r="P14" s="116" t="inlineStr">
        <is>
          <t>Yes</t>
        </is>
      </c>
      <c r="Q14" s="256" t="inlineStr">
        <is>
          <t>No</t>
        </is>
      </c>
      <c r="R14" s="256" t="inlineStr">
        <is>
          <t>No</t>
        </is>
      </c>
      <c r="S14" s="256" t="inlineStr">
        <is>
          <t>No</t>
        </is>
      </c>
      <c r="T14" s="256" t="inlineStr">
        <is>
          <t>No</t>
        </is>
      </c>
      <c r="U14" s="116" t="inlineStr">
        <is>
          <t>HIGH</t>
        </is>
      </c>
      <c r="V14" s="253" t="inlineStr">
        <is>
          <t>Affordable Comp #4: Section 8/HUD property, 1970 vintage (0 yr diff), 34 units, 2.1 mi from subject. Same income-eligible renter pool.</t>
        </is>
      </c>
      <c r="W14" s="257" t="inlineStr">
        <is>
          <t>HUD Multifamily Assisted Housing</t>
        </is>
      </c>
      <c r="X14" s="258" t="n"/>
    </row>
    <row r="15" ht="21.75" customFormat="1" customHeight="1" s="3">
      <c r="B15" s="252" t="inlineStr">
        <is>
          <t>MARKET RATE</t>
        </is>
      </c>
      <c r="C15" s="253" t="inlineStr">
        <is>
          <t>Palazzo East</t>
        </is>
      </c>
      <c r="D15" s="254" t="inlineStr">
        <is>
          <t>348 S Hauser Blvd</t>
        </is>
      </c>
      <c r="E15" s="116" t="inlineStr">
        <is>
          <t>Los Angeles</t>
        </is>
      </c>
      <c r="F15" s="116" t="inlineStr">
        <is>
          <t>CA</t>
        </is>
      </c>
      <c r="G15" s="116" t="n"/>
      <c r="H15" s="116" t="inlineStr">
        <is>
          <t>1.2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$1,736</t>
        </is>
      </c>
      <c r="L15" s="384" t="n">
        <v>3117</v>
      </c>
      <c r="M15" s="255" t="inlineStr">
        <is>
          <t>60</t>
        </is>
      </c>
      <c r="N15" s="116" t="inlineStr">
        <is>
          <t>1972</t>
        </is>
      </c>
      <c r="O15" s="116" t="inlineStr">
        <is>
          <t>2</t>
        </is>
      </c>
      <c r="P15" s="116" t="inlineStr">
        <is>
          <t>Varies</t>
        </is>
      </c>
      <c r="Q15" s="116" t="inlineStr">
        <is>
          <t>Varies</t>
        </is>
      </c>
      <c r="R15" s="116" t="inlineStr">
        <is>
          <t>Varies</t>
        </is>
      </c>
      <c r="S15" s="116" t="inlineStr">
        <is>
          <t>Varies</t>
        </is>
      </c>
      <c r="T15" s="116" t="inlineStr">
        <is>
          <t>Varies</t>
        </is>
      </c>
      <c r="U15" s="116" t="inlineStr">
        <is>
          <t>HIGH</t>
        </is>
      </c>
      <c r="V15" s="253" t="inlineStr">
        <is>
          <t>Market Rate Comp #1: No income restrictions, 1972 vintage (2 yr diff), 60 units, 2.0 mi from subject. Shows market-rate rents vs. affordable housing discount.</t>
        </is>
      </c>
      <c r="W15" s="257" t="inlineStr">
        <is>
          <t>https://www.rentcafe.com/apartments-for-rent/us/ca/los-angeles/</t>
        </is>
      </c>
      <c r="X15" s="258" t="n"/>
    </row>
    <row r="16" ht="21.75" customFormat="1" customHeight="1" s="3">
      <c r="B16" s="252" t="inlineStr">
        <is>
          <t>MARKET RATE</t>
        </is>
      </c>
      <c r="C16" s="253" t="inlineStr">
        <is>
          <t>Broadcast Center</t>
        </is>
      </c>
      <c r="D16" s="254" t="inlineStr">
        <is>
          <t>7660 Beverly Blvd</t>
        </is>
      </c>
      <c r="E16" s="116" t="inlineStr">
        <is>
          <t>Los Angeles</t>
        </is>
      </c>
      <c r="F16" s="116" t="inlineStr">
        <is>
          <t>CA</t>
        </is>
      </c>
      <c r="G16" s="116" t="n"/>
      <c r="H16" s="116" t="inlineStr">
        <is>
          <t>0.8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$1,736</t>
        </is>
      </c>
      <c r="L16" s="384" t="n">
        <v>3053</v>
      </c>
      <c r="M16" s="255" t="inlineStr">
        <is>
          <t>48</t>
        </is>
      </c>
      <c r="N16" s="116" t="inlineStr">
        <is>
          <t>1968</t>
        </is>
      </c>
      <c r="O16" s="116" t="inlineStr">
        <is>
          <t>2</t>
        </is>
      </c>
      <c r="P16" s="116" t="inlineStr">
        <is>
          <t>Varies</t>
        </is>
      </c>
      <c r="Q16" s="116" t="inlineStr">
        <is>
          <t>Varies</t>
        </is>
      </c>
      <c r="R16" s="116" t="inlineStr">
        <is>
          <t>Varies</t>
        </is>
      </c>
      <c r="S16" s="116" t="inlineStr">
        <is>
          <t>Varies</t>
        </is>
      </c>
      <c r="T16" s="116" t="inlineStr">
        <is>
          <t>Varies</t>
        </is>
      </c>
      <c r="U16" s="116" t="inlineStr">
        <is>
          <t>HIGH</t>
        </is>
      </c>
      <c r="V16" s="253" t="inlineStr">
        <is>
          <t>Market Rate Comp #2: No income restrictions, 1968 vintage (2 yr diff), 48 units, 2.8 mi from subject. Shows market-rate rents vs. affordable housing discount.</t>
        </is>
      </c>
      <c r="W16" s="257" t="inlineStr">
        <is>
          <t>https://www.rentcafe.com/apartments-for-rent/us/ca/los-angeles/</t>
        </is>
      </c>
      <c r="X16" s="258" t="n"/>
    </row>
    <row r="17" ht="21.75" customFormat="1" customHeight="1" s="3">
      <c r="B17" s="252" t="inlineStr">
        <is>
          <t>MARKET RATE</t>
        </is>
      </c>
      <c r="C17" s="253" t="inlineStr">
        <is>
          <t>Broadstone Miracle Mile</t>
        </is>
      </c>
      <c r="D17" s="254" t="inlineStr">
        <is>
          <t>5659 W 8th St</t>
        </is>
      </c>
      <c r="E17" s="116" t="inlineStr">
        <is>
          <t>Los Angeles</t>
        </is>
      </c>
      <c r="F17" s="116" t="inlineStr">
        <is>
          <t>CA</t>
        </is>
      </c>
      <c r="G17" s="116" t="n"/>
      <c r="H17" s="116" t="inlineStr">
        <is>
          <t>1.5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$1,736</t>
        </is>
      </c>
      <c r="L17" s="384" t="n">
        <v>3216</v>
      </c>
      <c r="M17" s="255" t="inlineStr">
        <is>
          <t>52</t>
        </is>
      </c>
      <c r="N17" s="116" t="inlineStr">
        <is>
          <t>1970</t>
        </is>
      </c>
      <c r="O17" s="116" t="inlineStr">
        <is>
          <t>0</t>
        </is>
      </c>
      <c r="P17" s="116" t="inlineStr">
        <is>
          <t>Varies</t>
        </is>
      </c>
      <c r="Q17" s="116" t="inlineStr">
        <is>
          <t>Varies</t>
        </is>
      </c>
      <c r="R17" s="116" t="inlineStr">
        <is>
          <t>Varies</t>
        </is>
      </c>
      <c r="S17" s="116" t="inlineStr">
        <is>
          <t>Varies</t>
        </is>
      </c>
      <c r="T17" s="116" t="inlineStr">
        <is>
          <t>Varies</t>
        </is>
      </c>
      <c r="U17" s="116" t="inlineStr">
        <is>
          <t>HIGH</t>
        </is>
      </c>
      <c r="V17" s="253" t="inlineStr">
        <is>
          <t>Market Rate Comp #3: No income restrictions, 1970 vintage (0 yr diff), 52 units, 4.0 mi from subject. Shows market-rate rents vs. affordable housing discount.</t>
        </is>
      </c>
      <c r="W17" s="257" t="inlineStr">
        <is>
          <t>https://www.rentcafe.com/apartments-for-rent/us/ca/los-angeles/</t>
        </is>
      </c>
      <c r="X17" s="258" t="n"/>
    </row>
    <row r="18" ht="21.75" customFormat="1" customHeight="1" s="3">
      <c r="B18" s="252" t="inlineStr">
        <is>
          <t>MARKET RATE</t>
        </is>
      </c>
      <c r="C18" s="253" t="inlineStr">
        <is>
          <t>NVE at Fairfax</t>
        </is>
      </c>
      <c r="D18" s="254" t="inlineStr">
        <is>
          <t>639 N Fairfax Ave</t>
        </is>
      </c>
      <c r="E18" s="116" t="inlineStr">
        <is>
          <t>Los Angeles</t>
        </is>
      </c>
      <c r="F18" s="116" t="inlineStr">
        <is>
          <t>CA</t>
        </is>
      </c>
      <c r="G18" s="116" t="n"/>
      <c r="H18" s="116" t="inlineStr">
        <is>
          <t>0.5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$1,736</t>
        </is>
      </c>
      <c r="L18" s="384" t="n">
        <v>3085</v>
      </c>
      <c r="M18" s="255" t="inlineStr">
        <is>
          <t>40</t>
        </is>
      </c>
      <c r="N18" s="116" t="inlineStr">
        <is>
          <t>1968</t>
        </is>
      </c>
      <c r="O18" s="116" t="inlineStr">
        <is>
          <t>2</t>
        </is>
      </c>
      <c r="P18" s="116" t="inlineStr">
        <is>
          <t>Varies</t>
        </is>
      </c>
      <c r="Q18" s="116" t="inlineStr">
        <is>
          <t>Varies</t>
        </is>
      </c>
      <c r="R18" s="116" t="inlineStr">
        <is>
          <t>Varies</t>
        </is>
      </c>
      <c r="S18" s="116" t="inlineStr">
        <is>
          <t>Varies</t>
        </is>
      </c>
      <c r="T18" s="116" t="inlineStr">
        <is>
          <t>Varies</t>
        </is>
      </c>
      <c r="U18" s="116" t="inlineStr">
        <is>
          <t>HIGH</t>
        </is>
      </c>
      <c r="V18" s="253" t="inlineStr">
        <is>
          <t>Market Rate Comp #4: No income restrictions, 1968 vintage (2 yr diff), 40 units, 3.5 mi from subject. Shows market-rate rents vs. affordable housing discount.</t>
        </is>
      </c>
      <c r="W18" s="257" t="inlineStr">
        <is>
          <t>https://www.rentcafe.com/apartments-for-rent/us/ca/los-angeles/</t>
        </is>
      </c>
      <c r="X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Los Angeles County</t>
        </is>
      </c>
      <c r="D19" s="254" t="inlineStr">
        <is>
          <t>N/A</t>
        </is>
      </c>
      <c r="E19" s="116" t="inlineStr">
        <is>
          <t>Los Angeles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$1,736</t>
        </is>
      </c>
      <c r="J19" s="116" t="inlineStr">
        <is>
          <t>$1,736</t>
        </is>
      </c>
      <c r="K19" s="116" t="inlineStr">
        <is>
          <t>$1,736</t>
        </is>
      </c>
      <c r="L19" s="116" t="inlineStr">
        <is>
          <t>N/A</t>
        </is>
      </c>
      <c r="M19" s="255" t="inlineStr">
        <is>
          <t>N/A</t>
        </is>
      </c>
      <c r="N19" s="116" t="inlineStr">
        <is>
          <t>N/A</t>
        </is>
      </c>
      <c r="O19" s="116" t="inlineStr">
        <is>
          <t>N/A</t>
        </is>
      </c>
      <c r="P19" s="116" t="inlineStr">
        <is>
          <t>N/A</t>
        </is>
      </c>
      <c r="Q19" s="116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BENCHMARK</t>
        </is>
      </c>
      <c r="V19" s="25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9" s="257" t="inlineStr">
        <is>
          <t>HUD FMR Database (huduser.gov)</t>
        </is>
      </c>
      <c r="X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Los Angeles</t>
        </is>
      </c>
      <c r="D20" s="254" t="inlineStr">
        <is>
          <t>N/A</t>
        </is>
      </c>
      <c r="E20" s="116" t="inlineStr">
        <is>
          <t>Los Angeles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$1,909</t>
        </is>
      </c>
      <c r="J20" s="116" t="inlineStr">
        <is>
          <t>$1,909</t>
        </is>
      </c>
      <c r="K20" s="116" t="inlineStr">
        <is>
          <t>$1,909</t>
        </is>
      </c>
      <c r="L20" s="116" t="inlineStr">
        <is>
          <t>N/A</t>
        </is>
      </c>
      <c r="M20" s="255" t="inlineStr">
        <is>
          <t>N/A</t>
        </is>
      </c>
      <c r="N20" s="116" t="inlineStr">
        <is>
          <t>N/A</t>
        </is>
      </c>
      <c r="O20" s="116" t="inlineStr">
        <is>
          <t>N/A</t>
        </is>
      </c>
      <c r="P20" s="116" t="inlineStr">
        <is>
          <t>N/A</t>
        </is>
      </c>
      <c r="Q20" s="116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BENCHMARK</t>
        </is>
      </c>
      <c r="V20" s="25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0" s="257" t="inlineStr">
        <is>
          <t>HUD FMR + Market Estimate</t>
        </is>
      </c>
      <c r="X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1612</v>
      </c>
      <c r="D27" s="376" t="n">
        <v>3118</v>
      </c>
      <c r="E27" s="377" t="n">
        <v>-1506</v>
      </c>
    </row>
    <row r="28" ht="20.25" customFormat="1" customHeight="1" s="3">
      <c r="B28" s="272" t="inlineStr">
        <is>
          <t>1BD</t>
        </is>
      </c>
      <c r="C28" s="375" t="n">
        <v>1612</v>
      </c>
      <c r="D28" s="376" t="n">
        <v>0</v>
      </c>
      <c r="E28" s="381" t="n">
        <v>1612</v>
      </c>
    </row>
    <row r="29" ht="20.25" customFormat="1" customHeight="1" s="3">
      <c r="B29" s="272" t="inlineStr">
        <is>
          <t>1BD</t>
        </is>
      </c>
      <c r="C29" s="375" t="n">
        <v>1612</v>
      </c>
      <c r="D29" s="376" t="n">
        <v>1057</v>
      </c>
      <c r="E29" s="381" t="n">
        <v>555</v>
      </c>
    </row>
    <row r="32" ht="18" customFormat="1" customHeight="1" s="3">
      <c r="B32" s="270" t="inlineStr">
        <is>
          <t>PMTS — Vouchers / FMR / UAP / NET</t>
        </is>
      </c>
      <c r="C32" s="294" t="n"/>
      <c r="D32" s="294" t="n"/>
      <c r="E32" s="294" t="n"/>
      <c r="F32" s="294" t="n"/>
      <c r="G32" s="294" t="n"/>
      <c r="H32" s="295" t="n"/>
    </row>
    <row r="33" ht="15.75" customFormat="1" customHeight="1" s="3">
      <c r="C33" s="378">
        <f>'Current Rents'!D38</f>
        <v/>
      </c>
      <c r="D33" s="271" t="inlineStr">
        <is>
          <t>VCH</t>
        </is>
      </c>
      <c r="E33" s="271" t="inlineStr">
        <is>
          <t>FMR</t>
        </is>
      </c>
      <c r="F33" s="271" t="inlineStr">
        <is>
          <t>UAP</t>
        </is>
      </c>
      <c r="G33" s="271" t="inlineStr">
        <is>
          <t>NET</t>
        </is>
      </c>
    </row>
    <row r="34" ht="20.25" customFormat="1" customHeight="1" s="3">
      <c r="B34" s="272" t="inlineStr">
        <is>
          <t>1BD</t>
        </is>
      </c>
      <c r="C34" s="292" t="n">
        <v>1612</v>
      </c>
      <c r="D34" s="49" t="n"/>
      <c r="E34" s="379" t="n">
        <v>1810</v>
      </c>
      <c r="F34" s="380" t="n">
        <v>35</v>
      </c>
      <c r="G34" s="292" t="n">
        <v>1775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34 - Pacific Pointe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Pacific Pointe (SUBJECT)</t>
        </is>
      </c>
      <c r="D10" s="285" t="inlineStr">
        <is>
          <t>1025 Rosemarie Ln</t>
        </is>
      </c>
      <c r="E10" s="239" t="inlineStr">
        <is>
          <t>Stockton</t>
        </is>
      </c>
      <c r="F10" s="239" t="inlineStr">
        <is>
          <t>CA</t>
        </is>
      </c>
      <c r="G10" s="239" t="inlineStr">
        <is>
          <t>95207</t>
        </is>
      </c>
      <c r="H10" s="239" t="inlineStr">
        <is>
          <t>0.0 mi</t>
        </is>
      </c>
      <c r="I10" s="239" t="inlineStr">
        <is>
          <t>$3,270</t>
        </is>
      </c>
      <c r="J10" s="239" t="inlineStr">
        <is>
          <t>$3,925</t>
        </is>
      </c>
      <c r="K10" s="239" t="inlineStr">
        <is>
          <t>$1,155</t>
        </is>
      </c>
      <c r="L10" s="239">
        <f>B29</f>
        <v/>
      </c>
      <c r="M10" s="255" t="inlineStr">
        <is>
          <t>$3,925</t>
        </is>
      </c>
      <c r="N10" s="239" t="inlineStr">
        <is>
          <t>$4,710</t>
        </is>
      </c>
      <c r="O10" s="239" t="inlineStr">
        <is>
          <t>$1,580</t>
        </is>
      </c>
      <c r="P10" s="239">
        <f>B30</f>
        <v/>
      </c>
      <c r="Q10" s="255" t="inlineStr">
        <is>
          <t>80</t>
        </is>
      </c>
      <c r="R10" s="239" t="inlineStr">
        <is>
          <t>1998</t>
        </is>
      </c>
      <c r="S10" s="239" t="inlineStr">
        <is>
          <t>0</t>
        </is>
      </c>
      <c r="T10" s="239" t="inlineStr">
        <is>
          <t>No</t>
        </is>
      </c>
      <c r="U10" s="242" t="inlineStr">
        <is>
          <t>No</t>
        </is>
      </c>
      <c r="V10" s="241" t="inlineStr">
        <is>
          <t>Yes</t>
        </is>
      </c>
      <c r="W10" s="241" t="inlineStr">
        <is>
          <t>Yes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80 units | LIHTC property. Year built: 1998.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Charleston Place Apts</t>
        </is>
      </c>
      <c r="D11" s="254" t="inlineStr">
        <is>
          <t>1515 E Bianchi Rd</t>
        </is>
      </c>
      <c r="E11" s="116" t="inlineStr">
        <is>
          <t>Stockton</t>
        </is>
      </c>
      <c r="F11" s="116" t="inlineStr">
        <is>
          <t>CA</t>
        </is>
      </c>
      <c r="G11" s="116" t="inlineStr">
        <is>
          <t>95210</t>
        </is>
      </c>
      <c r="H11" s="116" t="inlineStr">
        <is>
          <t>2.8 mi</t>
        </is>
      </c>
      <c r="I11" s="116" t="inlineStr">
        <is>
          <t>$3,270</t>
        </is>
      </c>
      <c r="J11" s="116" t="inlineStr">
        <is>
          <t>$3,925</t>
        </is>
      </c>
      <c r="K11" s="116" t="inlineStr">
        <is>
          <t>$1,155</t>
        </is>
      </c>
      <c r="L11" s="116" t="inlineStr">
        <is>
          <t>Not Listed</t>
        </is>
      </c>
      <c r="M11" s="255" t="inlineStr">
        <is>
          <t>$3,925</t>
        </is>
      </c>
      <c r="N11" s="116" t="inlineStr">
        <is>
          <t>$4,710</t>
        </is>
      </c>
      <c r="O11" s="116" t="inlineStr">
        <is>
          <t>$1,580</t>
        </is>
      </c>
      <c r="P11" s="116" t="inlineStr">
        <is>
          <t>$873</t>
        </is>
      </c>
      <c r="Q11" s="255" t="inlineStr">
        <is>
          <t>82</t>
        </is>
      </c>
      <c r="R11" s="116" t="inlineStr">
        <is>
          <t>1997</t>
        </is>
      </c>
      <c r="S11" s="116" t="inlineStr">
        <is>
          <t>1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LIHTC property, 1997 vintage (1 yr diff), 82 units, 2.8 mi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Lodi Hotel</t>
        </is>
      </c>
      <c r="D12" s="254" t="inlineStr">
        <is>
          <t>7 S School St</t>
        </is>
      </c>
      <c r="E12" s="116" t="inlineStr">
        <is>
          <t>Lodi</t>
        </is>
      </c>
      <c r="F12" s="116" t="inlineStr">
        <is>
          <t>CA</t>
        </is>
      </c>
      <c r="G12" s="116" t="inlineStr">
        <is>
          <t>95240</t>
        </is>
      </c>
      <c r="H12" s="116" t="inlineStr">
        <is>
          <t>12.2 mi</t>
        </is>
      </c>
      <c r="I12" s="116" t="inlineStr">
        <is>
          <t>$3,270</t>
        </is>
      </c>
      <c r="J12" s="116" t="inlineStr">
        <is>
          <t>$3,925</t>
        </is>
      </c>
      <c r="K12" s="116" t="inlineStr">
        <is>
          <t>$1,155</t>
        </is>
      </c>
      <c r="L12" s="116" t="inlineStr">
        <is>
          <t>Not Listed</t>
        </is>
      </c>
      <c r="M12" s="255" t="inlineStr">
        <is>
          <t>$3,925</t>
        </is>
      </c>
      <c r="N12" s="116" t="inlineStr">
        <is>
          <t>$4,710</t>
        </is>
      </c>
      <c r="O12" s="116" t="inlineStr">
        <is>
          <t>$1,580</t>
        </is>
      </c>
      <c r="P12" s="116" t="inlineStr">
        <is>
          <t>Not Listed</t>
        </is>
      </c>
      <c r="Q12" s="255" t="inlineStr">
        <is>
          <t>75</t>
        </is>
      </c>
      <c r="R12" s="116" t="inlineStr">
        <is>
          <t>1998</t>
        </is>
      </c>
      <c r="S12" s="116" t="inlineStr">
        <is>
          <t>0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HIGH</t>
        </is>
      </c>
      <c r="Z12" s="253" t="inlineStr">
        <is>
          <t>Affordable Comp #2: LIHTC property, 1998 vintage (0 yr diff), 75 units, 12.2 mi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Brentwood Garden Apts</t>
        </is>
      </c>
      <c r="D13" s="254" t="inlineStr">
        <is>
          <t>180 Sycamore Ave</t>
        </is>
      </c>
      <c r="E13" s="116" t="inlineStr">
        <is>
          <t>Brentwood</t>
        </is>
      </c>
      <c r="F13" s="116" t="inlineStr">
        <is>
          <t>CA</t>
        </is>
      </c>
      <c r="G13" s="116" t="inlineStr">
        <is>
          <t>94513</t>
        </is>
      </c>
      <c r="H13" s="116" t="inlineStr">
        <is>
          <t>21.9 mi</t>
        </is>
      </c>
      <c r="I13" s="116" t="inlineStr">
        <is>
          <t>$3,270</t>
        </is>
      </c>
      <c r="J13" s="116" t="inlineStr">
        <is>
          <t>$3,925</t>
        </is>
      </c>
      <c r="K13" s="116" t="inlineStr">
        <is>
          <t>$1,155</t>
        </is>
      </c>
      <c r="L13" s="116" t="inlineStr">
        <is>
          <t>Not Listed</t>
        </is>
      </c>
      <c r="M13" s="255" t="inlineStr">
        <is>
          <t>$3,925</t>
        </is>
      </c>
      <c r="N13" s="116" t="inlineStr">
        <is>
          <t>$4,710</t>
        </is>
      </c>
      <c r="O13" s="116" t="inlineStr">
        <is>
          <t>$1,580</t>
        </is>
      </c>
      <c r="P13" s="116" t="inlineStr">
        <is>
          <t>Not Listed</t>
        </is>
      </c>
      <c r="Q13" s="255" t="inlineStr">
        <is>
          <t>80</t>
        </is>
      </c>
      <c r="R13" s="116" t="inlineStr">
        <is>
          <t>1998</t>
        </is>
      </c>
      <c r="S13" s="116" t="inlineStr">
        <is>
          <t>0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MODERATE-HIGH</t>
        </is>
      </c>
      <c r="Z13" s="253" t="inlineStr">
        <is>
          <t>Affordable Comp #3: LIHTC property, 1998 vintage (0 yr diff), 80 units, 21.9 mi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Brentwood Park Apts</t>
        </is>
      </c>
      <c r="D14" s="254" t="inlineStr">
        <is>
          <t>160 Sycamore Ave</t>
        </is>
      </c>
      <c r="E14" s="116" t="inlineStr">
        <is>
          <t>Brentwood</t>
        </is>
      </c>
      <c r="F14" s="116" t="inlineStr">
        <is>
          <t>CA</t>
        </is>
      </c>
      <c r="G14" s="116" t="inlineStr">
        <is>
          <t>94513</t>
        </is>
      </c>
      <c r="H14" s="116" t="inlineStr">
        <is>
          <t>22.0 mi</t>
        </is>
      </c>
      <c r="I14" s="116" t="inlineStr">
        <is>
          <t>$3,270</t>
        </is>
      </c>
      <c r="J14" s="116" t="inlineStr">
        <is>
          <t>$3,925</t>
        </is>
      </c>
      <c r="K14" s="116" t="inlineStr">
        <is>
          <t>$1,155</t>
        </is>
      </c>
      <c r="L14" s="116" t="inlineStr">
        <is>
          <t>Not Listed</t>
        </is>
      </c>
      <c r="M14" s="255" t="inlineStr">
        <is>
          <t>$3,925</t>
        </is>
      </c>
      <c r="N14" s="116" t="inlineStr">
        <is>
          <t>$4,710</t>
        </is>
      </c>
      <c r="O14" s="116" t="inlineStr">
        <is>
          <t>$1,580</t>
        </is>
      </c>
      <c r="P14" s="116" t="inlineStr">
        <is>
          <t>Not Listed</t>
        </is>
      </c>
      <c r="Q14" s="255" t="inlineStr">
        <is>
          <t>80</t>
        </is>
      </c>
      <c r="R14" s="116" t="inlineStr">
        <is>
          <t>1997</t>
        </is>
      </c>
      <c r="S14" s="116" t="inlineStr">
        <is>
          <t>1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MODERATE-HIGH</t>
        </is>
      </c>
      <c r="Z14" s="253" t="inlineStr">
        <is>
          <t>Affordable Comp #4: LIHTC property, 1997 vintage (1 yr diff), 80 units, 22.0 mi from subject. Same income-eligible renter pool.</t>
        </is>
      </c>
      <c r="AA14" s="257" t="inlineStr">
        <is>
          <t>HUD LIHTC Database (huduser.gov)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Grouse Run Apartments</t>
        </is>
      </c>
      <c r="D15" s="254" t="inlineStr">
        <is>
          <t>4738 Grouse Run Dr</t>
        </is>
      </c>
      <c r="E15" s="116" t="inlineStr">
        <is>
          <t>Stockton</t>
        </is>
      </c>
      <c r="F15" s="116" t="inlineStr">
        <is>
          <t>CA</t>
        </is>
      </c>
      <c r="G15" s="116" t="n"/>
      <c r="H15" s="116" t="inlineStr">
        <is>
          <t>1.0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$1,155</t>
        </is>
      </c>
      <c r="L15" s="384" t="n">
        <v>1395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$1,580</t>
        </is>
      </c>
      <c r="P15" s="384" t="n">
        <v>1695</v>
      </c>
      <c r="Q15" s="255" t="inlineStr">
        <is>
          <t>180</t>
        </is>
      </c>
      <c r="R15" s="116" t="inlineStr">
        <is>
          <t>1999</t>
        </is>
      </c>
      <c r="S15" s="116" t="inlineStr">
        <is>
          <t>1</t>
        </is>
      </c>
      <c r="T15" s="116" t="inlineStr">
        <is>
          <t>Varies</t>
        </is>
      </c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1999 vintage (1 yr diff), 180 units, 3.5 mi from subject. Shows market-rate rents vs. affordable housing discount.</t>
        </is>
      </c>
      <c r="AA15" s="257" t="inlineStr">
        <is>
          <t>https://www.rentcafe.com/apartments-for-rent/us/ca/stockton/brookside/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Stratford Villas</t>
        </is>
      </c>
      <c r="D16" s="254" t="inlineStr">
        <is>
          <t>1118 Stratford Cir</t>
        </is>
      </c>
      <c r="E16" s="116" t="inlineStr">
        <is>
          <t>Stockton</t>
        </is>
      </c>
      <c r="F16" s="116" t="inlineStr">
        <is>
          <t>CA</t>
        </is>
      </c>
      <c r="G16" s="116" t="n"/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$1,155</t>
        </is>
      </c>
      <c r="L16" s="384" t="n">
        <v>1825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$1,580</t>
        </is>
      </c>
      <c r="P16" s="384" t="n">
        <v>2225</v>
      </c>
      <c r="Q16" s="255" t="inlineStr">
        <is>
          <t>144</t>
        </is>
      </c>
      <c r="R16" s="116" t="inlineStr">
        <is>
          <t>1996</t>
        </is>
      </c>
      <c r="S16" s="116" t="inlineStr">
        <is>
          <t>2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1996 vintage (2 yr diff), 144 units, 4.8 mi from subject. Shows market-rate rents vs. affordable housing discount.</t>
        </is>
      </c>
      <c r="AA16" s="257" t="inlineStr">
        <is>
          <t>https://www.rentcafe.com/apartments-for-rent/us/ca/stockton/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Venetian Bridges</t>
        </is>
      </c>
      <c r="D17" s="254" t="inlineStr">
        <is>
          <t>2101 Rosemarie Ln</t>
        </is>
      </c>
      <c r="E17" s="116" t="inlineStr">
        <is>
          <t>Stockton</t>
        </is>
      </c>
      <c r="F17" s="116" t="inlineStr">
        <is>
          <t>CA</t>
        </is>
      </c>
      <c r="G17" s="116" t="n"/>
      <c r="H17" s="116" t="inlineStr">
        <is>
          <t>2.0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$1,155</t>
        </is>
      </c>
      <c r="L17" s="384" t="n">
        <v>1825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$1,580</t>
        </is>
      </c>
      <c r="P17" s="384" t="n">
        <v>1760</v>
      </c>
      <c r="Q17" s="255" t="inlineStr">
        <is>
          <t>200</t>
        </is>
      </c>
      <c r="R17" s="116" t="inlineStr">
        <is>
          <t>2000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53" t="inlineStr">
        <is>
          <t>Market Rate Comp #3: No income restrictions, 2000 vintage (2 yr diff), 200 units, 5.2 mi from subject. Shows market-rate rents vs. affordable housing discount.</t>
        </is>
      </c>
      <c r="AA17" s="257" t="inlineStr">
        <is>
          <t>https://www.rentcafe.com/apartments-for-rent/us/ca/stockton/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Stonebridge Apartments</t>
        </is>
      </c>
      <c r="D18" s="254" t="inlineStr">
        <is>
          <t>1159 Stratford Cir</t>
        </is>
      </c>
      <c r="E18" s="116" t="inlineStr">
        <is>
          <t>Stockton</t>
        </is>
      </c>
      <c r="F18" s="116" t="inlineStr">
        <is>
          <t>CA</t>
        </is>
      </c>
      <c r="G18" s="116" t="n"/>
      <c r="H18" s="116" t="inlineStr">
        <is>
          <t>1.8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$1,155</t>
        </is>
      </c>
      <c r="L18" s="384" t="n">
        <v>1750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$1,580</t>
        </is>
      </c>
      <c r="P18" s="384" t="n">
        <v>1800</v>
      </c>
      <c r="Q18" s="255" t="inlineStr">
        <is>
          <t>120</t>
        </is>
      </c>
      <c r="R18" s="116" t="inlineStr">
        <is>
          <t>1997</t>
        </is>
      </c>
      <c r="S18" s="116" t="inlineStr">
        <is>
          <t>1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53" t="inlineStr">
        <is>
          <t>Market Rate Comp #4: No income restrictions, 1997 vintage (1 yr diff), 120 units, 6.5 mi from subject. Shows market-rate rents vs. affordable housing discount.</t>
        </is>
      </c>
      <c r="AA18" s="257" t="inlineStr">
        <is>
          <t>https://www.rentcafe.com/apartments-for-rent/us/ca/stockton/</t>
        </is>
      </c>
      <c r="AB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Stockton-Lodi MSA</t>
        </is>
      </c>
      <c r="D19" s="254" t="inlineStr">
        <is>
          <t>N/A</t>
        </is>
      </c>
      <c r="E19" s="116" t="inlineStr">
        <is>
          <t>Stockton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$1,155</t>
        </is>
      </c>
      <c r="J19" s="116" t="inlineStr">
        <is>
          <t>$1,155</t>
        </is>
      </c>
      <c r="K19" s="116" t="inlineStr">
        <is>
          <t>$1,155</t>
        </is>
      </c>
      <c r="L19" s="116" t="inlineStr">
        <is>
          <t>N/A</t>
        </is>
      </c>
      <c r="M19" s="255" t="inlineStr">
        <is>
          <t>$1,580</t>
        </is>
      </c>
      <c r="N19" s="116" t="inlineStr">
        <is>
          <t>$1,580</t>
        </is>
      </c>
      <c r="O19" s="116" t="inlineStr">
        <is>
          <t>$1,580</t>
        </is>
      </c>
      <c r="P19" s="116" t="inlineStr">
        <is>
          <t>N/A</t>
        </is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Stockton</t>
        </is>
      </c>
      <c r="D20" s="254" t="inlineStr">
        <is>
          <t>N/A</t>
        </is>
      </c>
      <c r="E20" s="116" t="inlineStr">
        <is>
          <t>Stockton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$1,270</t>
        </is>
      </c>
      <c r="J20" s="116" t="inlineStr">
        <is>
          <t>$1,270</t>
        </is>
      </c>
      <c r="K20" s="116" t="inlineStr">
        <is>
          <t>$1,270</t>
        </is>
      </c>
      <c r="L20" s="116" t="inlineStr">
        <is>
          <t>N/A</t>
        </is>
      </c>
      <c r="M20" s="255" t="inlineStr">
        <is>
          <t>$1,738</t>
        </is>
      </c>
      <c r="N20" s="116" t="inlineStr">
        <is>
          <t>$1,738</t>
        </is>
      </c>
      <c r="O20" s="116" t="inlineStr">
        <is>
          <t>$1,738</t>
        </is>
      </c>
      <c r="P20" s="116" t="inlineStr">
        <is>
          <t>N/A</t>
        </is>
      </c>
      <c r="Q20" s="25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1252</v>
      </c>
      <c r="D27" s="376" t="n">
        <v>1699</v>
      </c>
      <c r="E27" s="377" t="n">
        <v>-447</v>
      </c>
    </row>
    <row r="28" ht="20.25" customFormat="1" customHeight="1" s="3">
      <c r="B28" s="272" t="inlineStr">
        <is>
          <t>2BD</t>
        </is>
      </c>
      <c r="C28" s="375" t="n">
        <v>1374</v>
      </c>
      <c r="D28" s="376" t="n">
        <v>1870</v>
      </c>
      <c r="E28" s="377" t="n">
        <v>-496</v>
      </c>
    </row>
    <row r="29" ht="20.25" customFormat="1" customHeight="1" s="3">
      <c r="B29" s="272" t="inlineStr">
        <is>
          <t>1BD</t>
        </is>
      </c>
      <c r="C29" s="375" t="n">
        <v>1252</v>
      </c>
      <c r="D29" s="376" t="n">
        <v>1397</v>
      </c>
      <c r="E29" s="377" t="n">
        <v>-145</v>
      </c>
    </row>
    <row r="30" ht="20.25" customFormat="1" customHeight="1" s="3">
      <c r="B30" s="272" t="inlineStr">
        <is>
          <t>2BD</t>
        </is>
      </c>
      <c r="C30" s="375" t="n">
        <v>1374</v>
      </c>
      <c r="D30" s="376" t="n">
        <v>1789</v>
      </c>
      <c r="E30" s="377" t="n">
        <v>-415</v>
      </c>
    </row>
    <row r="31" ht="20.25" customFormat="1" customHeight="1" s="3">
      <c r="B31" s="272" t="inlineStr">
        <is>
          <t>1BD</t>
        </is>
      </c>
      <c r="C31" s="375" t="n">
        <v>1252</v>
      </c>
      <c r="D31" s="376" t="n">
        <v>1011</v>
      </c>
      <c r="E31" s="381" t="n">
        <v>241</v>
      </c>
    </row>
    <row r="32" ht="20.25" customFormat="1" customHeight="1" s="3">
      <c r="B32" s="272" t="inlineStr">
        <is>
          <t>2BD</t>
        </is>
      </c>
      <c r="C32" s="375" t="n">
        <v>1374</v>
      </c>
      <c r="D32" s="376" t="n">
        <v>1198</v>
      </c>
      <c r="E32" s="381" t="n">
        <v>176</v>
      </c>
    </row>
    <row r="33" ht="20.25" customFormat="1" customHeight="1" s="3">
      <c r="B33" s="272" t="inlineStr">
        <is>
          <t>1BD</t>
        </is>
      </c>
      <c r="C33" s="375" t="n">
        <v>1252</v>
      </c>
      <c r="D33" s="376" t="n">
        <v>1296</v>
      </c>
      <c r="E33" s="377" t="n">
        <v>-44</v>
      </c>
    </row>
    <row r="34" ht="20.25" customFormat="1" customHeight="1" s="3">
      <c r="B34" s="272" t="inlineStr">
        <is>
          <t>2BD</t>
        </is>
      </c>
      <c r="C34" s="375" t="n">
        <v>1374</v>
      </c>
      <c r="D34" s="376" t="n">
        <v>1618</v>
      </c>
      <c r="E34" s="377" t="n">
        <v>-244</v>
      </c>
    </row>
    <row r="37" ht="18" customFormat="1" customHeight="1" s="3">
      <c r="B37" s="270" t="inlineStr">
        <is>
          <t>PMTS — Vouchers / FMR / UAP / NET</t>
        </is>
      </c>
      <c r="C37" s="294" t="n"/>
      <c r="D37" s="294" t="n"/>
      <c r="E37" s="294" t="n"/>
      <c r="F37" s="294" t="n"/>
      <c r="G37" s="294" t="n"/>
      <c r="H37" s="295" t="n"/>
    </row>
    <row r="38" ht="15.75" customFormat="1" customHeight="1" s="3">
      <c r="C38" s="378">
        <f>'Current Rents'!D39</f>
        <v/>
      </c>
      <c r="D38" s="271" t="inlineStr">
        <is>
          <t>VCH</t>
        </is>
      </c>
      <c r="E38" s="271" t="inlineStr">
        <is>
          <t>FMR</t>
        </is>
      </c>
      <c r="F38" s="271" t="inlineStr">
        <is>
          <t>UAP</t>
        </is>
      </c>
      <c r="G38" s="271" t="inlineStr">
        <is>
          <t>NET</t>
        </is>
      </c>
    </row>
    <row r="39" ht="20.25" customFormat="1" customHeight="1" s="3">
      <c r="B39" s="272" t="inlineStr">
        <is>
          <t>1BD</t>
        </is>
      </c>
      <c r="C39" s="292">
        <f>'Current Rents'!E39</f>
        <v/>
      </c>
      <c r="D39" s="382" t="n">
        <v>1397</v>
      </c>
      <c r="E39" s="379" t="n">
        <v>1330</v>
      </c>
      <c r="F39" s="380" t="n">
        <v>148</v>
      </c>
      <c r="G39" s="292" t="n">
        <v>1182</v>
      </c>
    </row>
    <row r="40" ht="20.25" customFormat="1" customHeight="1" s="3">
      <c r="B40" s="272" t="inlineStr">
        <is>
          <t>2BD</t>
        </is>
      </c>
      <c r="C40" s="292" t="n">
        <v>1374</v>
      </c>
      <c r="D40" s="382" t="n">
        <v>1789</v>
      </c>
      <c r="E40" s="379" t="n">
        <v>1700</v>
      </c>
      <c r="F40" s="380" t="n">
        <v>195</v>
      </c>
      <c r="G40" s="292" t="n">
        <v>1505</v>
      </c>
    </row>
  </sheetData>
  <mergeCells count="9">
    <mergeCell ref="B4:Y4"/>
    <mergeCell ref="B7:AB7"/>
    <mergeCell ref="B6:AB6"/>
    <mergeCell ref="B24:H24"/>
    <mergeCell ref="B22:AB22"/>
    <mergeCell ref="B25:H25"/>
    <mergeCell ref="B5:AB5"/>
    <mergeCell ref="Z4:AB4"/>
    <mergeCell ref="B37:H3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28 - Granite Ridge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Granite Ridge (SUBJECT)</t>
        </is>
      </c>
      <c r="D10" s="285" t="inlineStr">
        <is>
          <t>246 E Iris Ave</t>
        </is>
      </c>
      <c r="E10" s="239" t="inlineStr">
        <is>
          <t>Stockton</t>
        </is>
      </c>
      <c r="F10" s="239" t="inlineStr">
        <is>
          <t>CA</t>
        </is>
      </c>
      <c r="G10" s="239" t="inlineStr">
        <is>
          <t>95207</t>
        </is>
      </c>
      <c r="H10" s="239" t="inlineStr">
        <is>
          <t>0.0 mi</t>
        </is>
      </c>
      <c r="I10" s="239" t="inlineStr">
        <is>
          <t>$3,270</t>
        </is>
      </c>
      <c r="J10" s="239" t="inlineStr">
        <is>
          <t>$3,925</t>
        </is>
      </c>
      <c r="K10" s="239" t="inlineStr">
        <is>
          <t>$1,155</t>
        </is>
      </c>
      <c r="L10" s="239">
        <f>B29</f>
        <v/>
      </c>
      <c r="M10" s="255" t="inlineStr">
        <is>
          <t>$3,925</t>
        </is>
      </c>
      <c r="N10" s="239" t="inlineStr">
        <is>
          <t>$4,710</t>
        </is>
      </c>
      <c r="O10" s="239" t="inlineStr">
        <is>
          <t>$1,580</t>
        </is>
      </c>
      <c r="P10" s="239">
        <f>B30</f>
        <v/>
      </c>
      <c r="Q10" s="255" t="inlineStr">
        <is>
          <t>80</t>
        </is>
      </c>
      <c r="R10" s="239" t="inlineStr">
        <is>
          <t>1998</t>
        </is>
      </c>
      <c r="S10" s="239" t="inlineStr">
        <is>
          <t>0</t>
        </is>
      </c>
      <c r="T10" s="239" t="inlineStr">
        <is>
          <t>No</t>
        </is>
      </c>
      <c r="U10" s="242" t="inlineStr">
        <is>
          <t>No</t>
        </is>
      </c>
      <c r="V10" s="241" t="inlineStr">
        <is>
          <t>Yes</t>
        </is>
      </c>
      <c r="W10" s="241" t="inlineStr">
        <is>
          <t>Yes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80 units | LIHTC property. Year built: 1998.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Charleston Place Apts</t>
        </is>
      </c>
      <c r="D11" s="254" t="inlineStr">
        <is>
          <t>1515 E Bianchi Rd</t>
        </is>
      </c>
      <c r="E11" s="116" t="inlineStr">
        <is>
          <t>Stockton</t>
        </is>
      </c>
      <c r="F11" s="116" t="inlineStr">
        <is>
          <t>CA</t>
        </is>
      </c>
      <c r="G11" s="116" t="inlineStr">
        <is>
          <t>95210</t>
        </is>
      </c>
      <c r="H11" s="116" t="inlineStr">
        <is>
          <t>2.8 mi</t>
        </is>
      </c>
      <c r="I11" s="116" t="inlineStr">
        <is>
          <t>$3,270</t>
        </is>
      </c>
      <c r="J11" s="116" t="inlineStr">
        <is>
          <t>$3,925</t>
        </is>
      </c>
      <c r="K11" s="116" t="inlineStr">
        <is>
          <t>$1,155</t>
        </is>
      </c>
      <c r="L11" s="116" t="inlineStr">
        <is>
          <t>Not Listed</t>
        </is>
      </c>
      <c r="M11" s="255" t="inlineStr">
        <is>
          <t>$3,925</t>
        </is>
      </c>
      <c r="N11" s="116" t="inlineStr">
        <is>
          <t>$4,710</t>
        </is>
      </c>
      <c r="O11" s="116" t="inlineStr">
        <is>
          <t>$1,580</t>
        </is>
      </c>
      <c r="P11" s="116" t="inlineStr">
        <is>
          <t>$873</t>
        </is>
      </c>
      <c r="Q11" s="255" t="inlineStr">
        <is>
          <t>82</t>
        </is>
      </c>
      <c r="R11" s="116" t="inlineStr">
        <is>
          <t>1997</t>
        </is>
      </c>
      <c r="S11" s="116" t="inlineStr">
        <is>
          <t>1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LIHTC property, 1997 vintage (1 yr diff), 82 units, 2.8 mi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Lodi Hotel</t>
        </is>
      </c>
      <c r="D12" s="254" t="inlineStr">
        <is>
          <t>7 S School St</t>
        </is>
      </c>
      <c r="E12" s="116" t="inlineStr">
        <is>
          <t>Lodi</t>
        </is>
      </c>
      <c r="F12" s="116" t="inlineStr">
        <is>
          <t>CA</t>
        </is>
      </c>
      <c r="G12" s="116" t="inlineStr">
        <is>
          <t>95240</t>
        </is>
      </c>
      <c r="H12" s="116" t="inlineStr">
        <is>
          <t>12.2 mi</t>
        </is>
      </c>
      <c r="I12" s="116" t="inlineStr">
        <is>
          <t>$3,270</t>
        </is>
      </c>
      <c r="J12" s="116" t="inlineStr">
        <is>
          <t>$3,925</t>
        </is>
      </c>
      <c r="K12" s="116" t="inlineStr">
        <is>
          <t>$1,155</t>
        </is>
      </c>
      <c r="L12" s="116" t="inlineStr">
        <is>
          <t>Not Listed</t>
        </is>
      </c>
      <c r="M12" s="255" t="inlineStr">
        <is>
          <t>$3,925</t>
        </is>
      </c>
      <c r="N12" s="116" t="inlineStr">
        <is>
          <t>$4,710</t>
        </is>
      </c>
      <c r="O12" s="116" t="inlineStr">
        <is>
          <t>$1,580</t>
        </is>
      </c>
      <c r="P12" s="116" t="inlineStr">
        <is>
          <t>Not Listed</t>
        </is>
      </c>
      <c r="Q12" s="255" t="inlineStr">
        <is>
          <t>75</t>
        </is>
      </c>
      <c r="R12" s="116" t="inlineStr">
        <is>
          <t>1998</t>
        </is>
      </c>
      <c r="S12" s="116" t="inlineStr">
        <is>
          <t>0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HIGH</t>
        </is>
      </c>
      <c r="Z12" s="253" t="inlineStr">
        <is>
          <t>Affordable Comp #2: LIHTC property, 1998 vintage (0 yr diff), 75 units, 12.2 mi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Brentwood Garden Apts</t>
        </is>
      </c>
      <c r="D13" s="254" t="inlineStr">
        <is>
          <t>180 Sycamore Ave</t>
        </is>
      </c>
      <c r="E13" s="116" t="inlineStr">
        <is>
          <t>Brentwood</t>
        </is>
      </c>
      <c r="F13" s="116" t="inlineStr">
        <is>
          <t>CA</t>
        </is>
      </c>
      <c r="G13" s="116" t="inlineStr">
        <is>
          <t>94513</t>
        </is>
      </c>
      <c r="H13" s="116" t="inlineStr">
        <is>
          <t>21.9 mi</t>
        </is>
      </c>
      <c r="I13" s="116" t="inlineStr">
        <is>
          <t>$3,270</t>
        </is>
      </c>
      <c r="J13" s="116" t="inlineStr">
        <is>
          <t>$3,925</t>
        </is>
      </c>
      <c r="K13" s="116" t="inlineStr">
        <is>
          <t>$1,155</t>
        </is>
      </c>
      <c r="L13" s="116" t="inlineStr">
        <is>
          <t>Not Listed</t>
        </is>
      </c>
      <c r="M13" s="255" t="inlineStr">
        <is>
          <t>$3,925</t>
        </is>
      </c>
      <c r="N13" s="116" t="inlineStr">
        <is>
          <t>$4,710</t>
        </is>
      </c>
      <c r="O13" s="116" t="inlineStr">
        <is>
          <t>$1,580</t>
        </is>
      </c>
      <c r="P13" s="116" t="inlineStr">
        <is>
          <t>Not Listed</t>
        </is>
      </c>
      <c r="Q13" s="255" t="inlineStr">
        <is>
          <t>80</t>
        </is>
      </c>
      <c r="R13" s="116" t="inlineStr">
        <is>
          <t>1998</t>
        </is>
      </c>
      <c r="S13" s="116" t="inlineStr">
        <is>
          <t>0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MODERATE-HIGH</t>
        </is>
      </c>
      <c r="Z13" s="253" t="inlineStr">
        <is>
          <t>Affordable Comp #3: LIHTC property, 1998 vintage (0 yr diff), 80 units, 21.9 mi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Brentwood Park Apts</t>
        </is>
      </c>
      <c r="D14" s="254" t="inlineStr">
        <is>
          <t>160 Sycamore Ave</t>
        </is>
      </c>
      <c r="E14" s="116" t="inlineStr">
        <is>
          <t>Brentwood</t>
        </is>
      </c>
      <c r="F14" s="116" t="inlineStr">
        <is>
          <t>CA</t>
        </is>
      </c>
      <c r="G14" s="116" t="inlineStr">
        <is>
          <t>94513</t>
        </is>
      </c>
      <c r="H14" s="116" t="inlineStr">
        <is>
          <t>22.0 mi</t>
        </is>
      </c>
      <c r="I14" s="116" t="inlineStr">
        <is>
          <t>$3,270</t>
        </is>
      </c>
      <c r="J14" s="116" t="inlineStr">
        <is>
          <t>$3,925</t>
        </is>
      </c>
      <c r="K14" s="116" t="inlineStr">
        <is>
          <t>$1,155</t>
        </is>
      </c>
      <c r="L14" s="116" t="inlineStr">
        <is>
          <t>Not Listed</t>
        </is>
      </c>
      <c r="M14" s="255" t="inlineStr">
        <is>
          <t>$3,925</t>
        </is>
      </c>
      <c r="N14" s="116" t="inlineStr">
        <is>
          <t>$4,710</t>
        </is>
      </c>
      <c r="O14" s="116" t="inlineStr">
        <is>
          <t>$1,580</t>
        </is>
      </c>
      <c r="P14" s="116" t="inlineStr">
        <is>
          <t>Not Listed</t>
        </is>
      </c>
      <c r="Q14" s="255" t="inlineStr">
        <is>
          <t>80</t>
        </is>
      </c>
      <c r="R14" s="116" t="inlineStr">
        <is>
          <t>1997</t>
        </is>
      </c>
      <c r="S14" s="116" t="inlineStr">
        <is>
          <t>1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MODERATE-HIGH</t>
        </is>
      </c>
      <c r="Z14" s="253" t="inlineStr">
        <is>
          <t>Affordable Comp #4: LIHTC property, 1997 vintage (1 yr diff), 80 units, 22.0 mi from subject. Same income-eligible renter pool.</t>
        </is>
      </c>
      <c r="AA14" s="257" t="inlineStr">
        <is>
          <t>HUD LIHTC Database (huduser.gov)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Grouse Run Apartments</t>
        </is>
      </c>
      <c r="D15" s="254" t="inlineStr">
        <is>
          <t>4738 Grouse Run Dr</t>
        </is>
      </c>
      <c r="E15" s="116" t="inlineStr">
        <is>
          <t>Stockton</t>
        </is>
      </c>
      <c r="F15" s="116" t="inlineStr">
        <is>
          <t>CA</t>
        </is>
      </c>
      <c r="G15" s="116" t="n"/>
      <c r="H15" s="116" t="inlineStr">
        <is>
          <t>1.0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$1,155</t>
        </is>
      </c>
      <c r="L15" s="384" t="n">
        <v>1395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$1,580</t>
        </is>
      </c>
      <c r="P15" s="384" t="n">
        <v>1695</v>
      </c>
      <c r="Q15" s="255" t="inlineStr">
        <is>
          <t>180</t>
        </is>
      </c>
      <c r="R15" s="116" t="inlineStr">
        <is>
          <t>1999</t>
        </is>
      </c>
      <c r="S15" s="116" t="inlineStr">
        <is>
          <t>1</t>
        </is>
      </c>
      <c r="T15" s="116" t="inlineStr">
        <is>
          <t>Varies</t>
        </is>
      </c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1999 vintage (1 yr diff), 180 units, 3.8 mi from subject. Shows market-rate rents vs. affordable housing discount.</t>
        </is>
      </c>
      <c r="AA15" s="257" t="inlineStr">
        <is>
          <t>https://www.rentcafe.com/apartments-for-rent/us/ca/stockton/brookside/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Stratford Villas</t>
        </is>
      </c>
      <c r="D16" s="254" t="inlineStr">
        <is>
          <t>1118 Stratford Cir</t>
        </is>
      </c>
      <c r="E16" s="116" t="inlineStr">
        <is>
          <t>Stockton</t>
        </is>
      </c>
      <c r="F16" s="116" t="inlineStr">
        <is>
          <t>CA</t>
        </is>
      </c>
      <c r="G16" s="116" t="n"/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$1,155</t>
        </is>
      </c>
      <c r="L16" s="384" t="n">
        <v>1825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$1,580</t>
        </is>
      </c>
      <c r="P16" s="384" t="n">
        <v>2225</v>
      </c>
      <c r="Q16" s="255" t="inlineStr">
        <is>
          <t>144</t>
        </is>
      </c>
      <c r="R16" s="116" t="inlineStr">
        <is>
          <t>1996</t>
        </is>
      </c>
      <c r="S16" s="116" t="inlineStr">
        <is>
          <t>2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1996 vintage (2 yr diff), 144 units, 5.2 mi from subject. Shows market-rate rents vs. affordable housing discount.</t>
        </is>
      </c>
      <c r="AA16" s="257" t="inlineStr">
        <is>
          <t>https://www.rentcafe.com/apartments-for-rent/us/ca/stockton/</t>
        </is>
      </c>
      <c r="AB16" s="258" t="n"/>
    </row>
    <row r="17" ht="21.75" customFormat="1" customHeight="1" s="3">
      <c r="B17" s="252" t="inlineStr">
        <is>
          <t>MARKET RATE</t>
        </is>
      </c>
      <c r="C17" s="253" t="inlineStr">
        <is>
          <t>Venetian Bridges</t>
        </is>
      </c>
      <c r="D17" s="254" t="inlineStr">
        <is>
          <t>2101 Rosemarie Ln</t>
        </is>
      </c>
      <c r="E17" s="116" t="inlineStr">
        <is>
          <t>Stockton</t>
        </is>
      </c>
      <c r="F17" s="116" t="inlineStr">
        <is>
          <t>CA</t>
        </is>
      </c>
      <c r="G17" s="116" t="n"/>
      <c r="H17" s="116" t="inlineStr">
        <is>
          <t>2.0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$1,155</t>
        </is>
      </c>
      <c r="L17" s="384" t="n">
        <v>1825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$1,580</t>
        </is>
      </c>
      <c r="P17" s="384" t="n">
        <v>1760</v>
      </c>
      <c r="Q17" s="255" t="inlineStr">
        <is>
          <t>200</t>
        </is>
      </c>
      <c r="R17" s="116" t="inlineStr">
        <is>
          <t>2000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HIGH</t>
        </is>
      </c>
      <c r="Z17" s="253" t="inlineStr">
        <is>
          <t>Market Rate Comp #3: No income restrictions, 2000 vintage (2 yr diff), 200 units, 5.8 mi from subject. Shows market-rate rents vs. affordable housing discount.</t>
        </is>
      </c>
      <c r="AA17" s="257" t="inlineStr">
        <is>
          <t>https://www.rentcafe.com/apartments-for-rent/us/ca/stockton/</t>
        </is>
      </c>
      <c r="AB17" s="258" t="n"/>
    </row>
    <row r="18" ht="21.75" customFormat="1" customHeight="1" s="3">
      <c r="B18" s="252" t="inlineStr">
        <is>
          <t>MARKET RATE</t>
        </is>
      </c>
      <c r="C18" s="253" t="inlineStr">
        <is>
          <t>Stonebridge Apartments</t>
        </is>
      </c>
      <c r="D18" s="254" t="inlineStr">
        <is>
          <t>1159 Stratford Cir</t>
        </is>
      </c>
      <c r="E18" s="116" t="inlineStr">
        <is>
          <t>Stockton</t>
        </is>
      </c>
      <c r="F18" s="116" t="inlineStr">
        <is>
          <t>CA</t>
        </is>
      </c>
      <c r="G18" s="116" t="n"/>
      <c r="H18" s="116" t="inlineStr">
        <is>
          <t>1.8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$1,155</t>
        </is>
      </c>
      <c r="L18" s="384" t="n">
        <v>1750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$1,580</t>
        </is>
      </c>
      <c r="P18" s="384" t="n">
        <v>1800</v>
      </c>
      <c r="Q18" s="255" t="inlineStr">
        <is>
          <t>120</t>
        </is>
      </c>
      <c r="R18" s="116" t="inlineStr">
        <is>
          <t>1997</t>
        </is>
      </c>
      <c r="S18" s="116" t="inlineStr">
        <is>
          <t>1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HIGH</t>
        </is>
      </c>
      <c r="Z18" s="253" t="inlineStr">
        <is>
          <t>Market Rate Comp #4: No income restrictions, 1997 vintage (1 yr diff), 120 units, 6.8 mi from subject. Shows market-rate rents vs. affordable housing discount.</t>
        </is>
      </c>
      <c r="AA18" s="257" t="inlineStr">
        <is>
          <t>https://www.rentcafe.com/apartments-for-rent/us/ca/stockton/</t>
        </is>
      </c>
      <c r="AB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Stockton-Lodi MSA</t>
        </is>
      </c>
      <c r="D19" s="254" t="inlineStr">
        <is>
          <t>N/A</t>
        </is>
      </c>
      <c r="E19" s="116" t="inlineStr">
        <is>
          <t>Stockton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$1,155</t>
        </is>
      </c>
      <c r="J19" s="116" t="inlineStr">
        <is>
          <t>$1,155</t>
        </is>
      </c>
      <c r="K19" s="116" t="inlineStr">
        <is>
          <t>$1,155</t>
        </is>
      </c>
      <c r="L19" s="116" t="inlineStr">
        <is>
          <t>N/A</t>
        </is>
      </c>
      <c r="M19" s="255" t="inlineStr">
        <is>
          <t>$1,580</t>
        </is>
      </c>
      <c r="N19" s="116" t="inlineStr">
        <is>
          <t>$1,580</t>
        </is>
      </c>
      <c r="O19" s="116" t="inlineStr">
        <is>
          <t>$1,580</t>
        </is>
      </c>
      <c r="P19" s="116" t="inlineStr">
        <is>
          <t>N/A</t>
        </is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Stockton</t>
        </is>
      </c>
      <c r="D20" s="254" t="inlineStr">
        <is>
          <t>N/A</t>
        </is>
      </c>
      <c r="E20" s="116" t="inlineStr">
        <is>
          <t>Stockton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$1,270</t>
        </is>
      </c>
      <c r="J20" s="116" t="inlineStr">
        <is>
          <t>$1,270</t>
        </is>
      </c>
      <c r="K20" s="116" t="inlineStr">
        <is>
          <t>$1,270</t>
        </is>
      </c>
      <c r="L20" s="116" t="inlineStr">
        <is>
          <t>N/A</t>
        </is>
      </c>
      <c r="M20" s="255" t="inlineStr">
        <is>
          <t>$1,738</t>
        </is>
      </c>
      <c r="N20" s="116" t="inlineStr">
        <is>
          <t>$1,738</t>
        </is>
      </c>
      <c r="O20" s="116" t="inlineStr">
        <is>
          <t>$1,738</t>
        </is>
      </c>
      <c r="P20" s="116" t="inlineStr">
        <is>
          <t>N/A</t>
        </is>
      </c>
      <c r="Q20" s="25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1212</v>
      </c>
      <c r="D27" s="376" t="n">
        <v>1699</v>
      </c>
      <c r="E27" s="377" t="n">
        <v>-487</v>
      </c>
    </row>
    <row r="28" ht="20.25" customFormat="1" customHeight="1" s="3">
      <c r="B28" s="272" t="inlineStr">
        <is>
          <t>2BD</t>
        </is>
      </c>
      <c r="C28" s="375" t="n">
        <v>1383</v>
      </c>
      <c r="D28" s="376" t="n">
        <v>1870</v>
      </c>
      <c r="E28" s="377" t="n">
        <v>-487</v>
      </c>
    </row>
    <row r="29" ht="20.25" customFormat="1" customHeight="1" s="3">
      <c r="B29" s="272" t="inlineStr">
        <is>
          <t>1BD</t>
        </is>
      </c>
      <c r="C29" s="375" t="n">
        <v>1212</v>
      </c>
      <c r="D29" s="376" t="n">
        <v>1260</v>
      </c>
      <c r="E29" s="377" t="n">
        <v>-48</v>
      </c>
    </row>
    <row r="30" ht="20.25" customFormat="1" customHeight="1" s="3">
      <c r="B30" s="272" t="inlineStr">
        <is>
          <t>2BD</t>
        </is>
      </c>
      <c r="C30" s="375" t="n">
        <v>1383</v>
      </c>
      <c r="D30" s="376" t="n">
        <v>1607</v>
      </c>
      <c r="E30" s="377" t="n">
        <v>-224</v>
      </c>
    </row>
    <row r="31" ht="20.25" customFormat="1" customHeight="1" s="3">
      <c r="B31" s="272" t="inlineStr">
        <is>
          <t>1BD</t>
        </is>
      </c>
      <c r="C31" s="375" t="n">
        <v>1212</v>
      </c>
      <c r="D31" s="376" t="n">
        <v>985</v>
      </c>
      <c r="E31" s="381" t="n">
        <v>227</v>
      </c>
    </row>
    <row r="32" ht="20.25" customFormat="1" customHeight="1" s="3">
      <c r="B32" s="272" t="inlineStr">
        <is>
          <t>2BD</t>
        </is>
      </c>
      <c r="C32" s="375" t="n">
        <v>1383</v>
      </c>
      <c r="D32" s="376" t="n">
        <v>1162</v>
      </c>
      <c r="E32" s="381" t="n">
        <v>221</v>
      </c>
    </row>
    <row r="33" ht="20.25" customFormat="1" customHeight="1" s="3">
      <c r="B33" s="272" t="inlineStr">
        <is>
          <t>1BD</t>
        </is>
      </c>
      <c r="C33" s="375" t="n">
        <v>1212</v>
      </c>
      <c r="D33" s="376" t="n">
        <v>1261</v>
      </c>
      <c r="E33" s="377" t="n">
        <v>-49</v>
      </c>
    </row>
    <row r="34" ht="20.25" customFormat="1" customHeight="1" s="3">
      <c r="B34" s="272" t="inlineStr">
        <is>
          <t>2BD</t>
        </is>
      </c>
      <c r="C34" s="375" t="n">
        <v>1383</v>
      </c>
      <c r="D34" s="376" t="n">
        <v>1442</v>
      </c>
      <c r="E34" s="377" t="n">
        <v>-59</v>
      </c>
    </row>
    <row r="37" ht="18" customFormat="1" customHeight="1" s="3">
      <c r="B37" s="270" t="inlineStr">
        <is>
          <t>PMTS — Vouchers / FMR / UAP / NET</t>
        </is>
      </c>
      <c r="C37" s="294" t="n"/>
      <c r="D37" s="294" t="n"/>
      <c r="E37" s="294" t="n"/>
      <c r="F37" s="294" t="n"/>
      <c r="G37" s="294" t="n"/>
      <c r="H37" s="295" t="n"/>
    </row>
    <row r="38" ht="15.75" customFormat="1" customHeight="1" s="3">
      <c r="C38" s="378">
        <f>'Current Rents'!D40</f>
        <v/>
      </c>
      <c r="D38" s="271" t="inlineStr">
        <is>
          <t>VCH</t>
        </is>
      </c>
      <c r="E38" s="271" t="inlineStr">
        <is>
          <t>FMR</t>
        </is>
      </c>
      <c r="F38" s="271" t="inlineStr">
        <is>
          <t>UAP</t>
        </is>
      </c>
      <c r="G38" s="271" t="inlineStr">
        <is>
          <t>NET</t>
        </is>
      </c>
    </row>
    <row r="39" ht="20.25" customFormat="1" customHeight="1" s="3">
      <c r="B39" s="272" t="inlineStr">
        <is>
          <t>1BD</t>
        </is>
      </c>
      <c r="C39" s="292">
        <f>'Current Rents'!E40</f>
        <v/>
      </c>
      <c r="D39" s="382" t="n">
        <v>1260</v>
      </c>
      <c r="E39" s="379" t="n">
        <v>1200</v>
      </c>
      <c r="F39" s="380" t="n">
        <v>192</v>
      </c>
      <c r="G39" s="292" t="n">
        <v>1008</v>
      </c>
    </row>
    <row r="40" ht="20.25" customFormat="1" customHeight="1" s="3">
      <c r="B40" s="272" t="inlineStr">
        <is>
          <t>2BD</t>
        </is>
      </c>
      <c r="C40" s="292" t="n">
        <v>1383</v>
      </c>
      <c r="D40" s="382" t="n">
        <v>1607</v>
      </c>
      <c r="E40" s="379" t="n">
        <v>1530</v>
      </c>
      <c r="F40" s="380" t="n">
        <v>251</v>
      </c>
      <c r="G40" s="292" t="n">
        <v>1279</v>
      </c>
    </row>
  </sheetData>
  <mergeCells count="9">
    <mergeCell ref="B4:Y4"/>
    <mergeCell ref="B7:AB7"/>
    <mergeCell ref="B6:AB6"/>
    <mergeCell ref="B24:H24"/>
    <mergeCell ref="B22:AB22"/>
    <mergeCell ref="B25:H25"/>
    <mergeCell ref="B5:AB5"/>
    <mergeCell ref="Z4:AB4"/>
    <mergeCell ref="B37:H3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1"/>
    <col width="9.00390625" customWidth="1" style="3" min="22" max="22"/>
    <col width="10.00390625" customWidth="1" style="3" min="23" max="23"/>
    <col width="8.00390625" customWidth="1" style="3" min="24" max="24"/>
    <col width="10.00390625" customWidth="1" style="3" min="25" max="26"/>
    <col width="8.00390625" customWidth="1" style="3" min="27" max="28"/>
    <col width="12.00390625" customWidth="1" style="3" min="29" max="29"/>
    <col width="16.00390625" customWidth="1" style="3" min="30" max="30"/>
    <col width="60.00390625" customWidth="1" style="3" min="31" max="31"/>
    <col width="40.00390625" customWidth="1" style="3" min="32" max="32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5" t="n"/>
      <c r="AD4" s="233" t="inlineStr">
        <is>
          <t>25 - Columbia  |  ? Units  |  Section 8 / HUD  |  2BD &amp; 3BD</t>
        </is>
      </c>
      <c r="AE4" s="294" t="n"/>
      <c r="AF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4BD
50% AMI</t>
        </is>
      </c>
      <c r="S8" s="64" t="inlineStr">
        <is>
          <t>4BD
60% AMI</t>
        </is>
      </c>
      <c r="T8" s="64" t="inlineStr">
        <is>
          <t>4BD
FMR</t>
        </is>
      </c>
      <c r="U8" s="64" t="inlineStr">
        <is>
          <t>4BD
Actual</t>
        </is>
      </c>
      <c r="V8" s="64" t="inlineStr">
        <is>
          <t>Units</t>
        </is>
      </c>
      <c r="W8" s="64" t="inlineStr">
        <is>
          <t>Yr Built</t>
        </is>
      </c>
      <c r="X8" s="64" t="inlineStr">
        <is>
          <t>Yr Diff</t>
        </is>
      </c>
      <c r="Y8" s="64" t="inlineStr">
        <is>
          <t>Utils
Incl.</t>
        </is>
      </c>
      <c r="Z8" s="64" t="inlineStr">
        <is>
          <t>Pet
Friendly</t>
        </is>
      </c>
      <c r="AA8" s="64" t="inlineStr">
        <is>
          <t>Gated</t>
        </is>
      </c>
      <c r="AB8" s="64" t="inlineStr">
        <is>
          <t>Pool</t>
        </is>
      </c>
      <c r="AC8" s="64" t="inlineStr">
        <is>
          <t>W/D
In-Unit</t>
        </is>
      </c>
      <c r="AD8" s="64" t="inlineStr">
        <is>
          <t>Competition
Level</t>
        </is>
      </c>
      <c r="AE8" s="64" t="inlineStr">
        <is>
          <t>Notes / Why Competitive</t>
        </is>
      </c>
      <c r="AF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116" t="inlineStr">
        <is>
          <t>Gated</t>
        </is>
      </c>
      <c r="AA9" s="116" t="inlineStr">
        <is>
          <t>Pool</t>
        </is>
      </c>
      <c r="AB9" s="116" t="inlineStr">
        <is>
          <t>W/D In-Unit</t>
        </is>
      </c>
      <c r="AC9" s="116" t="inlineStr">
        <is>
          <t>Competition Level</t>
        </is>
      </c>
      <c r="AD9" s="253" t="inlineStr">
        <is>
          <t>Why Competitive</t>
        </is>
      </c>
      <c r="AE9" s="257" t="inlineStr">
        <is>
          <t>Data Source</t>
        </is>
      </c>
      <c r="AF9" s="258" t="n"/>
    </row>
    <row r="10" ht="21.75" customFormat="1" customHeight="1" s="3">
      <c r="B10" s="71" t="inlineStr">
        <is>
          <t>SUBJECT</t>
        </is>
      </c>
      <c r="C10" s="253" t="inlineStr">
        <is>
          <t>Columbia Village (SUBJECT)</t>
        </is>
      </c>
      <c r="D10" s="285" t="inlineStr">
        <is>
          <t>11299 Columbia Village Dr</t>
        </is>
      </c>
      <c r="E10" s="239" t="inlineStr">
        <is>
          <t>Sonora</t>
        </is>
      </c>
      <c r="F10" s="239" t="inlineStr">
        <is>
          <t>CA</t>
        </is>
      </c>
      <c r="G10" s="239" t="inlineStr">
        <is>
          <t>95370</t>
        </is>
      </c>
      <c r="H10" s="239" t="inlineStr">
        <is>
          <t>0.0 mi</t>
        </is>
      </c>
      <c r="I10" s="239" t="inlineStr">
        <is>
          <t>$3,176</t>
        </is>
      </c>
      <c r="J10" s="239" t="inlineStr">
        <is>
          <t>$3,812</t>
        </is>
      </c>
      <c r="K10" s="239" t="inlineStr">
        <is>
          <t>$1,096</t>
        </is>
      </c>
      <c r="L10" s="239">
        <f>B29</f>
        <v/>
      </c>
      <c r="M10" s="255" t="inlineStr">
        <is>
          <t>$3,812</t>
        </is>
      </c>
      <c r="N10" s="239" t="inlineStr">
        <is>
          <t>$4,575</t>
        </is>
      </c>
      <c r="O10" s="239" t="inlineStr">
        <is>
          <t>$1,500</t>
        </is>
      </c>
      <c r="P10" s="239">
        <f>B30</f>
        <v/>
      </c>
      <c r="Q10" s="255" t="inlineStr">
        <is>
          <t>$4,233</t>
        </is>
      </c>
      <c r="R10" s="239" t="inlineStr">
        <is>
          <t>$5,080</t>
        </is>
      </c>
      <c r="S10" s="239" t="inlineStr">
        <is>
          <t>$1,970</t>
        </is>
      </c>
      <c r="T10" s="239">
        <f>B31</f>
        <v/>
      </c>
      <c r="U10" s="255" t="inlineStr">
        <is>
          <t>80</t>
        </is>
      </c>
      <c r="V10" s="239" t="inlineStr">
        <is>
          <t>2000</t>
        </is>
      </c>
      <c r="W10" s="239" t="inlineStr">
        <is>
          <t>0</t>
        </is>
      </c>
      <c r="X10" s="239" t="inlineStr">
        <is>
          <t>No</t>
        </is>
      </c>
      <c r="Y10" s="242" t="inlineStr">
        <is>
          <t>No</t>
        </is>
      </c>
      <c r="Z10" s="242" t="inlineStr">
        <is>
          <t>No</t>
        </is>
      </c>
      <c r="AA10" s="242" t="inlineStr">
        <is>
          <t>No</t>
        </is>
      </c>
      <c r="AB10" s="242" t="inlineStr">
        <is>
          <t>No</t>
        </is>
      </c>
      <c r="AC10" s="239" t="inlineStr">
        <is>
          <t>SUBJECT</t>
        </is>
      </c>
      <c r="AD10" s="253" t="inlineStr">
        <is>
          <t>80 units | LIHTC property. Year built: 2000. Subject property for market context.</t>
        </is>
      </c>
      <c r="AE10" s="243" t="inlineStr">
        <is>
          <t>Apartment Corp Records</t>
        </is>
      </c>
      <c r="AF10" s="244" t="n"/>
    </row>
    <row r="11" ht="21.75" customFormat="1" customHeight="1" s="3">
      <c r="B11" s="252" t="inlineStr">
        <is>
          <t>AFFORDABLE</t>
        </is>
      </c>
      <c r="C11" s="253" t="inlineStr">
        <is>
          <t>Oak Hills Apts</t>
        </is>
      </c>
      <c r="D11" s="254" t="inlineStr">
        <is>
          <t>10260 Preston Ln</t>
        </is>
      </c>
      <c r="E11" s="116" t="inlineStr">
        <is>
          <t>Jamestown</t>
        </is>
      </c>
      <c r="F11" s="116" t="inlineStr">
        <is>
          <t>CA</t>
        </is>
      </c>
      <c r="G11" s="116" t="inlineStr">
        <is>
          <t>95327</t>
        </is>
      </c>
      <c r="H11" s="116" t="inlineStr">
        <is>
          <t>3.1 mi</t>
        </is>
      </c>
      <c r="I11" s="116" t="inlineStr">
        <is>
          <t>$3,176</t>
        </is>
      </c>
      <c r="J11" s="116" t="inlineStr">
        <is>
          <t>$3,812</t>
        </is>
      </c>
      <c r="K11" s="116" t="inlineStr">
        <is>
          <t>$1,096</t>
        </is>
      </c>
      <c r="L11" s="116" t="inlineStr">
        <is>
          <t>Not Listed</t>
        </is>
      </c>
      <c r="M11" s="255" t="inlineStr">
        <is>
          <t>$3,812</t>
        </is>
      </c>
      <c r="N11" s="116" t="inlineStr">
        <is>
          <t>$4,575</t>
        </is>
      </c>
      <c r="O11" s="116" t="inlineStr">
        <is>
          <t>$1,500</t>
        </is>
      </c>
      <c r="P11" s="116" t="inlineStr">
        <is>
          <t>Not Listed</t>
        </is>
      </c>
      <c r="Q11" s="255" t="inlineStr">
        <is>
          <t>$4,233</t>
        </is>
      </c>
      <c r="R11" s="116" t="inlineStr">
        <is>
          <t>$5,080</t>
        </is>
      </c>
      <c r="S11" s="116" t="inlineStr">
        <is>
          <t>$1,970</t>
        </is>
      </c>
      <c r="T11" s="116" t="inlineStr">
        <is>
          <t>Not Listed</t>
        </is>
      </c>
      <c r="U11" s="255" t="inlineStr">
        <is>
          <t>80</t>
        </is>
      </c>
      <c r="V11" s="116" t="inlineStr">
        <is>
          <t>1998</t>
        </is>
      </c>
      <c r="W11" s="116" t="inlineStr">
        <is>
          <t>2</t>
        </is>
      </c>
      <c r="X11" s="116" t="inlineStr">
        <is>
          <t>Yes</t>
        </is>
      </c>
      <c r="Y11" s="256" t="inlineStr">
        <is>
          <t>No</t>
        </is>
      </c>
      <c r="Z11" s="256" t="inlineStr">
        <is>
          <t>No</t>
        </is>
      </c>
      <c r="AA11" s="256" t="inlineStr">
        <is>
          <t>No</t>
        </is>
      </c>
      <c r="AB11" s="256" t="inlineStr">
        <is>
          <t>No</t>
        </is>
      </c>
      <c r="AC11" s="116" t="inlineStr">
        <is>
          <t>HIGH</t>
        </is>
      </c>
      <c r="AD11" s="253" t="inlineStr">
        <is>
          <t>Affordable Comp #1: LIHTC property, 1998 vintage (2 yr diff), 80 units, 3.1 mi from subject. Same income-eligible renter pool.</t>
        </is>
      </c>
      <c r="AE11" s="257" t="inlineStr">
        <is>
          <t>HUD LIHTC Database (huduser.gov)</t>
        </is>
      </c>
      <c r="AF11" s="258" t="n"/>
    </row>
    <row r="12" ht="21.75" customFormat="1" customHeight="1" s="3">
      <c r="B12" s="252" t="inlineStr">
        <is>
          <t>AFFORDABLE</t>
        </is>
      </c>
      <c r="C12" s="253" t="inlineStr">
        <is>
          <t>Forest View Senior Apts</t>
        </is>
      </c>
      <c r="D12" s="254" t="inlineStr">
        <is>
          <t>19499 Hess Ave</t>
        </is>
      </c>
      <c r="E12" s="116" t="inlineStr">
        <is>
          <t>Sonora</t>
        </is>
      </c>
      <c r="F12" s="116" t="inlineStr">
        <is>
          <t>CA</t>
        </is>
      </c>
      <c r="G12" s="116" t="inlineStr">
        <is>
          <t>95370</t>
        </is>
      </c>
      <c r="H12" s="116" t="inlineStr">
        <is>
          <t>2.8 mi</t>
        </is>
      </c>
      <c r="I12" s="116" t="inlineStr">
        <is>
          <t>$3,176</t>
        </is>
      </c>
      <c r="J12" s="116" t="inlineStr">
        <is>
          <t>$3,812</t>
        </is>
      </c>
      <c r="K12" s="116" t="inlineStr">
        <is>
          <t>$1,096</t>
        </is>
      </c>
      <c r="L12" s="116" t="inlineStr">
        <is>
          <t>Not Listed</t>
        </is>
      </c>
      <c r="M12" s="255" t="inlineStr">
        <is>
          <t>$3,812</t>
        </is>
      </c>
      <c r="N12" s="116" t="inlineStr">
        <is>
          <t>$4,575</t>
        </is>
      </c>
      <c r="O12" s="116" t="inlineStr">
        <is>
          <t>$1,500</t>
        </is>
      </c>
      <c r="P12" s="116" t="inlineStr">
        <is>
          <t>Not Listed</t>
        </is>
      </c>
      <c r="Q12" s="255" t="inlineStr">
        <is>
          <t>$4,233</t>
        </is>
      </c>
      <c r="R12" s="116" t="inlineStr">
        <is>
          <t>$5,080</t>
        </is>
      </c>
      <c r="S12" s="116" t="inlineStr">
        <is>
          <t>$1,970</t>
        </is>
      </c>
      <c r="T12" s="116" t="inlineStr">
        <is>
          <t>Not Listed</t>
        </is>
      </c>
      <c r="U12" s="255" t="inlineStr">
        <is>
          <t>60</t>
        </is>
      </c>
      <c r="V12" s="116" t="inlineStr">
        <is>
          <t>1999</t>
        </is>
      </c>
      <c r="W12" s="116" t="inlineStr">
        <is>
          <t>1</t>
        </is>
      </c>
      <c r="X12" s="116" t="inlineStr">
        <is>
          <t>Yes</t>
        </is>
      </c>
      <c r="Y12" s="256" t="inlineStr">
        <is>
          <t>No</t>
        </is>
      </c>
      <c r="Z12" s="256" t="inlineStr">
        <is>
          <t>No</t>
        </is>
      </c>
      <c r="AA12" s="256" t="inlineStr">
        <is>
          <t>No</t>
        </is>
      </c>
      <c r="AB12" s="256" t="inlineStr">
        <is>
          <t>No</t>
        </is>
      </c>
      <c r="AC12" s="116" t="inlineStr">
        <is>
          <t>HIGH</t>
        </is>
      </c>
      <c r="AD12" s="253" t="inlineStr">
        <is>
          <t>Affordable Comp #2: LIHTC property, 1999 vintage (1 yr diff), 60 units, 2.8 mi from subject. Same income-eligible renter pool.</t>
        </is>
      </c>
      <c r="AE12" s="257" t="inlineStr">
        <is>
          <t>HUD LIHTC Database (huduser.gov)</t>
        </is>
      </c>
      <c r="AF12" s="258" t="n"/>
    </row>
    <row r="13" ht="21.75" customFormat="1" customHeight="1" s="3">
      <c r="B13" s="252" t="inlineStr">
        <is>
          <t>AFFORDABLE</t>
        </is>
      </c>
      <c r="C13" s="253" t="inlineStr">
        <is>
          <t>Stockton Gardens Apts</t>
        </is>
      </c>
      <c r="D13" s="254" t="inlineStr">
        <is>
          <t>1025 Rosemarie Ln</t>
        </is>
      </c>
      <c r="E13" s="116" t="inlineStr">
        <is>
          <t>Stockton</t>
        </is>
      </c>
      <c r="F13" s="116" t="inlineStr">
        <is>
          <t>CA</t>
        </is>
      </c>
      <c r="G13" s="116" t="inlineStr">
        <is>
          <t>95207</t>
        </is>
      </c>
      <c r="H13" s="116" t="inlineStr">
        <is>
          <t>51.0 mi</t>
        </is>
      </c>
      <c r="I13" s="116" t="inlineStr">
        <is>
          <t>$3,176</t>
        </is>
      </c>
      <c r="J13" s="116" t="inlineStr">
        <is>
          <t>$3,812</t>
        </is>
      </c>
      <c r="K13" s="116" t="inlineStr">
        <is>
          <t>$1,096</t>
        </is>
      </c>
      <c r="L13" s="116" t="inlineStr">
        <is>
          <t>$929</t>
        </is>
      </c>
      <c r="M13" s="255" t="inlineStr">
        <is>
          <t>$3,812</t>
        </is>
      </c>
      <c r="N13" s="116" t="inlineStr">
        <is>
          <t>$4,575</t>
        </is>
      </c>
      <c r="O13" s="116" t="inlineStr">
        <is>
          <t>$1,500</t>
        </is>
      </c>
      <c r="P13" s="116" t="inlineStr">
        <is>
          <t>$1,537</t>
        </is>
      </c>
      <c r="Q13" s="255" t="inlineStr">
        <is>
          <t>$4,233</t>
        </is>
      </c>
      <c r="R13" s="116" t="inlineStr">
        <is>
          <t>$5,080</t>
        </is>
      </c>
      <c r="S13" s="116" t="inlineStr">
        <is>
          <t>$1,970</t>
        </is>
      </c>
      <c r="T13" s="116" t="inlineStr">
        <is>
          <t>Not Listed</t>
        </is>
      </c>
      <c r="U13" s="255" t="inlineStr">
        <is>
          <t>80</t>
        </is>
      </c>
      <c r="V13" s="116" t="inlineStr">
        <is>
          <t>2000</t>
        </is>
      </c>
      <c r="W13" s="116" t="inlineStr">
        <is>
          <t>0</t>
        </is>
      </c>
      <c r="X13" s="116" t="inlineStr">
        <is>
          <t>Yes</t>
        </is>
      </c>
      <c r="Y13" s="256" t="inlineStr">
        <is>
          <t>No</t>
        </is>
      </c>
      <c r="Z13" s="256" t="inlineStr">
        <is>
          <t>No</t>
        </is>
      </c>
      <c r="AA13" s="256" t="inlineStr">
        <is>
          <t>No</t>
        </is>
      </c>
      <c r="AB13" s="256" t="inlineStr">
        <is>
          <t>No</t>
        </is>
      </c>
      <c r="AC13" s="116" t="inlineStr">
        <is>
          <t>MODERATE</t>
        </is>
      </c>
      <c r="AD13" s="253" t="inlineStr">
        <is>
          <t>Affordable Comp #3: LIHTC property, 2000 vintage (0 yr diff), 80 units, 51.0 mi from subject. Same income-eligible renter pool.</t>
        </is>
      </c>
      <c r="AE13" s="257" t="inlineStr">
        <is>
          <t>HUD LIHTC Database (huduser.gov)</t>
        </is>
      </c>
      <c r="AF13" s="258" t="n"/>
    </row>
    <row r="14" ht="21.75" customFormat="1" customHeight="1" s="3">
      <c r="B14" s="252" t="inlineStr">
        <is>
          <t>AFFORDABLE</t>
        </is>
      </c>
      <c r="C14" s="253" t="inlineStr">
        <is>
          <t>Stockton Terrace Apts</t>
        </is>
      </c>
      <c r="D14" s="254" t="inlineStr">
        <is>
          <t>246 E Iris Ave</t>
        </is>
      </c>
      <c r="E14" s="116" t="inlineStr">
        <is>
          <t>Stockton</t>
        </is>
      </c>
      <c r="F14" s="116" t="inlineStr">
        <is>
          <t>CA</t>
        </is>
      </c>
      <c r="G14" s="116" t="inlineStr">
        <is>
          <t>95210</t>
        </is>
      </c>
      <c r="H14" s="116" t="inlineStr">
        <is>
          <t>50.6 mi</t>
        </is>
      </c>
      <c r="I14" s="116" t="inlineStr">
        <is>
          <t>$3,176</t>
        </is>
      </c>
      <c r="J14" s="116" t="inlineStr">
        <is>
          <t>$3,812</t>
        </is>
      </c>
      <c r="K14" s="116" t="inlineStr">
        <is>
          <t>$1,096</t>
        </is>
      </c>
      <c r="L14" s="116" t="inlineStr">
        <is>
          <t>Not Listed</t>
        </is>
      </c>
      <c r="M14" s="255" t="inlineStr">
        <is>
          <t>$3,812</t>
        </is>
      </c>
      <c r="N14" s="116" t="inlineStr">
        <is>
          <t>$4,575</t>
        </is>
      </c>
      <c r="O14" s="116" t="inlineStr">
        <is>
          <t>$1,500</t>
        </is>
      </c>
      <c r="P14" s="116" t="inlineStr">
        <is>
          <t>Not Listed</t>
        </is>
      </c>
      <c r="Q14" s="255" t="inlineStr">
        <is>
          <t>$4,233</t>
        </is>
      </c>
      <c r="R14" s="116" t="inlineStr">
        <is>
          <t>$5,080</t>
        </is>
      </c>
      <c r="S14" s="116" t="inlineStr">
        <is>
          <t>$1,970</t>
        </is>
      </c>
      <c r="T14" s="116" t="inlineStr">
        <is>
          <t>Not Listed</t>
        </is>
      </c>
      <c r="U14" s="255" t="inlineStr">
        <is>
          <t>80</t>
        </is>
      </c>
      <c r="V14" s="116" t="inlineStr">
        <is>
          <t>2000</t>
        </is>
      </c>
      <c r="W14" s="116" t="inlineStr">
        <is>
          <t>0</t>
        </is>
      </c>
      <c r="X14" s="116" t="inlineStr">
        <is>
          <t>Yes</t>
        </is>
      </c>
      <c r="Y14" s="256" t="inlineStr">
        <is>
          <t>No</t>
        </is>
      </c>
      <c r="Z14" s="256" t="inlineStr">
        <is>
          <t>No</t>
        </is>
      </c>
      <c r="AA14" s="256" t="inlineStr">
        <is>
          <t>No</t>
        </is>
      </c>
      <c r="AB14" s="256" t="inlineStr">
        <is>
          <t>No</t>
        </is>
      </c>
      <c r="AC14" s="116" t="inlineStr">
        <is>
          <t>MODERATE</t>
        </is>
      </c>
      <c r="AD14" s="253" t="inlineStr">
        <is>
          <t>Affordable Comp #4: LIHTC property, 2000 vintage (0 yr diff), 80 units, 50.6 mi from subject. Same income-eligible renter pool.</t>
        </is>
      </c>
      <c r="AE14" s="257" t="inlineStr">
        <is>
          <t>HUD LIHTC Database (huduser.gov)</t>
        </is>
      </c>
      <c r="AF14" s="258" t="n"/>
    </row>
    <row r="15" ht="21.75" customFormat="1" customHeight="1" s="3">
      <c r="B15" s="252" t="inlineStr">
        <is>
          <t>MARKET RATE</t>
        </is>
      </c>
      <c r="C15" s="253" t="inlineStr">
        <is>
          <t>Quail Hollow Apartments</t>
        </is>
      </c>
      <c r="D15" s="254" t="inlineStr">
        <is>
          <t>20230 Grouse Way</t>
        </is>
      </c>
      <c r="E15" s="116" t="inlineStr">
        <is>
          <t>Sonora</t>
        </is>
      </c>
      <c r="F15" s="116" t="inlineStr">
        <is>
          <t>CA</t>
        </is>
      </c>
      <c r="G15" s="116" t="n"/>
      <c r="H15" s="116" t="inlineStr">
        <is>
          <t>2.0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$1,096</t>
        </is>
      </c>
      <c r="L15" s="384" t="n">
        <v>1365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$1,500</t>
        </is>
      </c>
      <c r="P15" s="384" t="n">
        <v>1420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$1,970</t>
        </is>
      </c>
      <c r="T15" s="384" t="n">
        <v>2050</v>
      </c>
      <c r="U15" s="255" t="inlineStr">
        <is>
          <t>N/A</t>
        </is>
      </c>
      <c r="V15" s="116" t="inlineStr">
        <is>
          <t>2000</t>
        </is>
      </c>
      <c r="W15" s="116" t="inlineStr">
        <is>
          <t>0</t>
        </is>
      </c>
      <c r="X15" s="116" t="inlineStr">
        <is>
          <t>Varies</t>
        </is>
      </c>
      <c r="Y15" s="116" t="inlineStr">
        <is>
          <t>Varies</t>
        </is>
      </c>
      <c r="Z15" s="116" t="inlineStr">
        <is>
          <t>Varies</t>
        </is>
      </c>
      <c r="AA15" s="116" t="inlineStr">
        <is>
          <t>Varies</t>
        </is>
      </c>
      <c r="AB15" s="116" t="inlineStr">
        <is>
          <t>Varies</t>
        </is>
      </c>
      <c r="AC15" s="116" t="inlineStr">
        <is>
          <t>HIGH</t>
        </is>
      </c>
      <c r="AD15" s="253" t="inlineStr">
        <is>
          <t>Market Rate Comp #1: No income restrictions, 2000 vintage (0 yr diff), N/A units, N/A from subject. Shows market-rate rents vs. affordable housing discount.</t>
        </is>
      </c>
      <c r="AE15" s="257" t="inlineStr">
        <is>
          <t>HUD FY2026 FMR - Tuolumne County, CA (limited market rate listings in Sonora)</t>
        </is>
      </c>
      <c r="AF15" s="258" t="n"/>
    </row>
    <row r="16" ht="21.75" customFormat="1" customHeight="1" s="3">
      <c r="B16" s="252" t="inlineStr">
        <is>
          <t>Quail Hollow Apartments</t>
        </is>
      </c>
      <c r="C16" s="253" t="inlineStr">
        <is>
          <t>Sonora Rental Market (est.)</t>
        </is>
      </c>
      <c r="D16" s="254" t="inlineStr">
        <is>
          <t>165 S Shepherd St</t>
        </is>
      </c>
      <c r="E16" s="116" t="inlineStr">
        <is>
          <t>Sonora</t>
        </is>
      </c>
      <c r="F16" s="116" t="inlineStr">
        <is>
          <t>CA</t>
        </is>
      </c>
      <c r="G16" s="116" t="n"/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$1,096</t>
        </is>
      </c>
      <c r="L16" s="116" t="inlineStr">
        <is>
          <t>N/A</t>
        </is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$1,500</t>
        </is>
      </c>
      <c r="P16" s="384" t="n">
        <v>1595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$1,970</t>
        </is>
      </c>
      <c r="T16" s="384" t="n">
        <v>1975</v>
      </c>
      <c r="U16" s="255" t="inlineStr">
        <is>
          <t>120</t>
        </is>
      </c>
      <c r="V16" s="116" t="inlineStr">
        <is>
          <t>2001</t>
        </is>
      </c>
      <c r="W16" s="116" t="inlineStr">
        <is>
          <t>1</t>
        </is>
      </c>
      <c r="X16" s="116" t="inlineStr">
        <is>
          <t>Varies</t>
        </is>
      </c>
      <c r="Y16" s="116" t="inlineStr">
        <is>
          <t>Varies</t>
        </is>
      </c>
      <c r="Z16" s="116" t="inlineStr">
        <is>
          <t>Varies</t>
        </is>
      </c>
      <c r="AA16" s="116" t="inlineStr">
        <is>
          <t>Varies</t>
        </is>
      </c>
      <c r="AB16" s="116" t="inlineStr">
        <is>
          <t>Varies</t>
        </is>
      </c>
      <c r="AC16" s="116" t="inlineStr">
        <is>
          <t>MODERATE</t>
        </is>
      </c>
      <c r="AD16" s="253" t="inlineStr">
        <is>
          <t>Market Rate Comp #2: No income restrictions, 2001 vintage (1 yr diff), 120 units, 45.0 mi from subject. Shows market-rate rents vs. affordable housing discount.</t>
        </is>
      </c>
      <c r="AE16" s="257" t="inlineStr">
        <is>
          <t>https://www.rentcafe.com/apartments-for-rent/us/ca/modesto/</t>
        </is>
      </c>
      <c r="AF16" s="258" t="n"/>
    </row>
    <row r="17" ht="21.75" customFormat="1" customHeight="1" s="3">
      <c r="B17" s="252" t="inlineStr">
        <is>
          <t>Shepherd Street Apartments</t>
        </is>
      </c>
      <c r="C17" s="253" t="inlineStr">
        <is>
          <t>Sonora Rental Market (est.)</t>
        </is>
      </c>
      <c r="D17" s="254" t="inlineStr">
        <is>
          <t>100 Greenley Rd</t>
        </is>
      </c>
      <c r="E17" s="116" t="inlineStr">
        <is>
          <t>Sonora</t>
        </is>
      </c>
      <c r="F17" s="116" t="inlineStr">
        <is>
          <t>CA</t>
        </is>
      </c>
      <c r="G17" s="116" t="n"/>
      <c r="H17" s="116" t="inlineStr">
        <is>
          <t>1.0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$1,096</t>
        </is>
      </c>
      <c r="L17" s="116" t="inlineStr">
        <is>
          <t>N/A</t>
        </is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$1,500</t>
        </is>
      </c>
      <c r="P17" s="384" t="n">
        <v>1550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$1,970</t>
        </is>
      </c>
      <c r="T17" s="384" t="n">
        <v>1925</v>
      </c>
      <c r="U17" s="255" t="inlineStr">
        <is>
          <t>96</t>
        </is>
      </c>
      <c r="V17" s="116" t="inlineStr">
        <is>
          <t>1998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116" t="inlineStr">
        <is>
          <t>Varies</t>
        </is>
      </c>
      <c r="AA17" s="116" t="inlineStr">
        <is>
          <t>Varies</t>
        </is>
      </c>
      <c r="AB17" s="116" t="inlineStr">
        <is>
          <t>Varies</t>
        </is>
      </c>
      <c r="AC17" s="116" t="inlineStr">
        <is>
          <t>MODERATE</t>
        </is>
      </c>
      <c r="AD17" s="253" t="inlineStr">
        <is>
          <t>Market Rate Comp #3: No income restrictions, 1998 vintage (2 yr diff), 96 units, 47.0 mi from subject. Shows market-rate rents vs. affordable housing discount.</t>
        </is>
      </c>
      <c r="AE17" s="257" t="inlineStr">
        <is>
          <t>https://www.rentcafe.com/apartments-for-rent/us/ca/modesto/</t>
        </is>
      </c>
      <c r="AF17" s="258" t="n"/>
    </row>
    <row r="18" ht="21.75" customFormat="1" customHeight="1" s="3">
      <c r="B18" s="252" t="inlineStr">
        <is>
          <t>Blackberry Oaks</t>
        </is>
      </c>
      <c r="C18" s="253" t="inlineStr">
        <is>
          <t>Sonora Rental Market (est.)</t>
        </is>
      </c>
      <c r="D18" s="254" t="inlineStr">
        <is>
          <t>22316 Longeway Rd</t>
        </is>
      </c>
      <c r="E18" s="116" t="inlineStr">
        <is>
          <t>Sonora</t>
        </is>
      </c>
      <c r="F18" s="116" t="inlineStr">
        <is>
          <t>CA</t>
        </is>
      </c>
      <c r="G18" s="116" t="n"/>
      <c r="H18" s="116" t="inlineStr">
        <is>
          <t>3.0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$1,096</t>
        </is>
      </c>
      <c r="L18" s="116" t="inlineStr">
        <is>
          <t>N/A</t>
        </is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$1,500</t>
        </is>
      </c>
      <c r="P18" s="384" t="n">
        <v>1650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$1,970</t>
        </is>
      </c>
      <c r="T18" s="384" t="n">
        <v>2050</v>
      </c>
      <c r="U18" s="255" t="inlineStr">
        <is>
          <t>N/A</t>
        </is>
      </c>
      <c r="V18" s="116" t="inlineStr">
        <is>
          <t>1998</t>
        </is>
      </c>
      <c r="W18" s="116" t="inlineStr">
        <is>
          <t>2</t>
        </is>
      </c>
      <c r="X18" s="116" t="inlineStr">
        <is>
          <t>Varies</t>
        </is>
      </c>
      <c r="Y18" s="116" t="inlineStr">
        <is>
          <t>Varies</t>
        </is>
      </c>
      <c r="Z18" s="116" t="inlineStr">
        <is>
          <t>Varies</t>
        </is>
      </c>
      <c r="AA18" s="116" t="inlineStr">
        <is>
          <t>Varies</t>
        </is>
      </c>
      <c r="AB18" s="116" t="inlineStr">
        <is>
          <t>Varies</t>
        </is>
      </c>
      <c r="AC18" s="116" t="inlineStr">
        <is>
          <t>HIGH</t>
        </is>
      </c>
      <c r="AD18" s="253" t="inlineStr">
        <is>
          <t>Market Rate Comp #4: No income restrictions, 1998 vintage (2 yr diff), N/A units, N/A from subject. Shows market-rate rents vs. affordable housing discount.</t>
        </is>
      </c>
      <c r="AE18" s="257" t="inlineStr">
        <is>
          <t>HUD FY2026 FMR - Tuolumne County, CA</t>
        </is>
      </c>
      <c r="AF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Tuolumne County, CA</t>
        </is>
      </c>
      <c r="D19" s="254" t="inlineStr">
        <is>
          <t>N/A</t>
        </is>
      </c>
      <c r="E19" s="116" t="inlineStr">
        <is>
          <t>Sonora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$1,096</t>
        </is>
      </c>
      <c r="J19" s="116" t="inlineStr">
        <is>
          <t>$1,096</t>
        </is>
      </c>
      <c r="K19" s="116" t="inlineStr">
        <is>
          <t>$1,096</t>
        </is>
      </c>
      <c r="L19" s="116" t="inlineStr">
        <is>
          <t>N/A</t>
        </is>
      </c>
      <c r="M19" s="255" t="inlineStr">
        <is>
          <t>$1,500</t>
        </is>
      </c>
      <c r="N19" s="116" t="inlineStr">
        <is>
          <t>$1,500</t>
        </is>
      </c>
      <c r="O19" s="116" t="inlineStr">
        <is>
          <t>$1,500</t>
        </is>
      </c>
      <c r="P19" s="116" t="inlineStr">
        <is>
          <t>N/A</t>
        </is>
      </c>
      <c r="Q19" s="255" t="inlineStr">
        <is>
          <t>$1,970</t>
        </is>
      </c>
      <c r="R19" s="116" t="inlineStr">
        <is>
          <t>$1,970</t>
        </is>
      </c>
      <c r="S19" s="116" t="inlineStr">
        <is>
          <t>$1,970</t>
        </is>
      </c>
      <c r="T19" s="116" t="inlineStr">
        <is>
          <t>N/A</t>
        </is>
      </c>
      <c r="U19" s="255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BENCHMARK</t>
        </is>
      </c>
      <c r="AD19" s="25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257" t="inlineStr">
        <is>
          <t>HUD FMR Database (huduser.gov)</t>
        </is>
      </c>
      <c r="AF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Sonora</t>
        </is>
      </c>
      <c r="D20" s="254" t="inlineStr">
        <is>
          <t>N/A</t>
        </is>
      </c>
      <c r="E20" s="116" t="inlineStr">
        <is>
          <t>Sonora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$1,205</t>
        </is>
      </c>
      <c r="J20" s="116" t="inlineStr">
        <is>
          <t>$1,205</t>
        </is>
      </c>
      <c r="K20" s="116" t="inlineStr">
        <is>
          <t>$1,205</t>
        </is>
      </c>
      <c r="L20" s="116" t="inlineStr">
        <is>
          <t>N/A</t>
        </is>
      </c>
      <c r="M20" s="255" t="inlineStr">
        <is>
          <t>$1,650</t>
        </is>
      </c>
      <c r="N20" s="116" t="inlineStr">
        <is>
          <t>$1,650</t>
        </is>
      </c>
      <c r="O20" s="116" t="inlineStr">
        <is>
          <t>$1,650</t>
        </is>
      </c>
      <c r="P20" s="116" t="inlineStr">
        <is>
          <t>N/A</t>
        </is>
      </c>
      <c r="Q20" s="255" t="inlineStr">
        <is>
          <t>$2,167</t>
        </is>
      </c>
      <c r="R20" s="116" t="inlineStr">
        <is>
          <t>$2,167</t>
        </is>
      </c>
      <c r="S20" s="116" t="inlineStr">
        <is>
          <t>$2,167</t>
        </is>
      </c>
      <c r="T20" s="116" t="inlineStr">
        <is>
          <t>N/A</t>
        </is>
      </c>
      <c r="U20" s="255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BENCHMARK</t>
        </is>
      </c>
      <c r="AD20" s="25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0" s="257" t="inlineStr">
        <is>
          <t>HUD FMR + Market Estimate</t>
        </is>
      </c>
      <c r="AF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2BD</t>
        </is>
      </c>
      <c r="C27" s="375" t="n">
        <v>1364</v>
      </c>
      <c r="D27" s="376" t="n">
        <v>1420</v>
      </c>
      <c r="E27" s="377" t="n">
        <v>-56</v>
      </c>
    </row>
    <row r="28" ht="20.25" customFormat="1" customHeight="1" s="3">
      <c r="B28" s="272" t="inlineStr">
        <is>
          <t>3BD</t>
        </is>
      </c>
      <c r="C28" s="375" t="n">
        <v>1577.5</v>
      </c>
      <c r="D28" s="376" t="n">
        <v>2050</v>
      </c>
      <c r="E28" s="377" t="n">
        <v>-472.5</v>
      </c>
    </row>
    <row r="29" ht="20.25" customFormat="1" customHeight="1" s="3">
      <c r="B29" s="272" t="inlineStr">
        <is>
          <t>2BD</t>
        </is>
      </c>
      <c r="C29" s="375" t="n">
        <v>1364</v>
      </c>
      <c r="D29" s="376" t="n">
        <v>1150</v>
      </c>
      <c r="E29" s="381" t="n">
        <v>214</v>
      </c>
    </row>
    <row r="30" ht="20.25" customFormat="1" customHeight="1" s="3">
      <c r="B30" s="272" t="inlineStr">
        <is>
          <t>3BD</t>
        </is>
      </c>
      <c r="C30" s="375" t="n">
        <v>1577.5</v>
      </c>
      <c r="D30" s="376" t="n">
        <v>1314</v>
      </c>
      <c r="E30" s="381" t="n">
        <v>263.5</v>
      </c>
    </row>
    <row r="31" ht="20.25" customFormat="1" customHeight="1" s="3">
      <c r="B31" s="272" t="inlineStr">
        <is>
          <t>4BD</t>
        </is>
      </c>
      <c r="C31" s="375" t="n">
        <v>1731</v>
      </c>
      <c r="D31" s="376" t="n">
        <v>1400</v>
      </c>
      <c r="E31" s="381" t="n">
        <v>331</v>
      </c>
    </row>
    <row r="32" ht="20.25" customFormat="1" customHeight="1" s="3">
      <c r="B32" s="272" t="inlineStr">
        <is>
          <t>2BD</t>
        </is>
      </c>
      <c r="C32" s="375" t="n">
        <v>1364</v>
      </c>
      <c r="D32" s="376" t="n">
        <v>749</v>
      </c>
      <c r="E32" s="381" t="n">
        <v>615</v>
      </c>
    </row>
    <row r="33" ht="20.25" customFormat="1" customHeight="1" s="3">
      <c r="B33" s="272" t="inlineStr">
        <is>
          <t>3BD</t>
        </is>
      </c>
      <c r="C33" s="375" t="n">
        <v>1577.5</v>
      </c>
      <c r="D33" s="376" t="n">
        <v>735</v>
      </c>
      <c r="E33" s="381" t="n">
        <v>842.5</v>
      </c>
    </row>
    <row r="34" ht="20.25" customFormat="1" customHeight="1" s="3">
      <c r="B34" s="272" t="inlineStr">
        <is>
          <t>4BD</t>
        </is>
      </c>
      <c r="C34" s="375" t="n">
        <v>1731</v>
      </c>
      <c r="D34" s="376" t="n">
        <v>849</v>
      </c>
      <c r="E34" s="381" t="n">
        <v>882</v>
      </c>
    </row>
    <row r="35" ht="20.25" customFormat="1" customHeight="1" s="3">
      <c r="B35" s="272" t="inlineStr">
        <is>
          <t>2BD</t>
        </is>
      </c>
      <c r="C35" s="375" t="n">
        <v>1364</v>
      </c>
      <c r="D35" s="376" t="n">
        <v>1185</v>
      </c>
      <c r="E35" s="381" t="n">
        <v>179</v>
      </c>
    </row>
    <row r="36" ht="20.25" customFormat="1" customHeight="1" s="3">
      <c r="B36" s="272" t="inlineStr">
        <is>
          <t>3BD</t>
        </is>
      </c>
      <c r="C36" s="375" t="n">
        <v>1577.5</v>
      </c>
      <c r="D36" s="376" t="n">
        <v>1239</v>
      </c>
      <c r="E36" s="381" t="n">
        <v>338.5</v>
      </c>
    </row>
    <row r="37" ht="20.25" customFormat="1" customHeight="1" s="3">
      <c r="B37" s="272" t="inlineStr">
        <is>
          <t>4BD</t>
        </is>
      </c>
      <c r="C37" s="375" t="n">
        <v>1731</v>
      </c>
      <c r="D37" s="376" t="n">
        <v>1364</v>
      </c>
      <c r="E37" s="381" t="n">
        <v>367</v>
      </c>
    </row>
    <row r="38" ht="20.25" customFormat="1" customHeight="1" s="3">
      <c r="B38" s="272" t="inlineStr">
        <is>
          <t>2BD</t>
        </is>
      </c>
      <c r="C38" s="375" t="n">
        <v>1364</v>
      </c>
      <c r="D38" s="376" t="n">
        <v>2005</v>
      </c>
      <c r="E38" s="377" t="n">
        <v>-641</v>
      </c>
    </row>
    <row r="39" ht="20.25" customFormat="1" customHeight="1" s="3">
      <c r="B39" s="272" t="inlineStr">
        <is>
          <t>3BD</t>
        </is>
      </c>
      <c r="C39" s="375" t="n">
        <v>1577.5</v>
      </c>
      <c r="D39" s="376" t="n">
        <v>2360</v>
      </c>
      <c r="E39" s="377" t="n">
        <v>-782.5</v>
      </c>
    </row>
    <row r="40" ht="20.25" customFormat="1" customHeight="1" s="3">
      <c r="B40" s="272" t="inlineStr">
        <is>
          <t>4BD</t>
        </is>
      </c>
      <c r="C40" s="375" t="n">
        <v>1731</v>
      </c>
      <c r="D40" s="376" t="n">
        <v>2682</v>
      </c>
      <c r="E40" s="377" t="n">
        <v>-951</v>
      </c>
    </row>
    <row r="43" ht="18" customFormat="1" customHeight="1" s="3">
      <c r="B43" s="270" t="inlineStr">
        <is>
          <t>PMTS — Vouchers / FMR / UAP / NET</t>
        </is>
      </c>
      <c r="C43" s="294" t="n"/>
      <c r="D43" s="294" t="n"/>
      <c r="E43" s="294" t="n"/>
      <c r="F43" s="294" t="n"/>
      <c r="G43" s="294" t="n"/>
      <c r="H43" s="295" t="n"/>
    </row>
    <row r="44" ht="15.75" customFormat="1" customHeight="1" s="3">
      <c r="C44" s="378">
        <f>'Current Rents'!E41</f>
        <v/>
      </c>
      <c r="D44" s="271" t="inlineStr">
        <is>
          <t>VCH</t>
        </is>
      </c>
      <c r="E44" s="271" t="inlineStr">
        <is>
          <t>FMR</t>
        </is>
      </c>
      <c r="F44" s="271" t="inlineStr">
        <is>
          <t>UAP</t>
        </is>
      </c>
      <c r="G44" s="271" t="inlineStr">
        <is>
          <t>NET</t>
        </is>
      </c>
    </row>
    <row r="45" ht="20.25" customFormat="1" customHeight="1" s="3">
      <c r="B45" s="272" t="inlineStr">
        <is>
          <t>2BD</t>
        </is>
      </c>
      <c r="C45" s="292">
        <f>'Current Rents'!F41</f>
        <v/>
      </c>
      <c r="D45" s="382" t="n">
        <v>1150</v>
      </c>
      <c r="E45" s="379" t="n">
        <v>1520</v>
      </c>
      <c r="F45" s="380" t="n">
        <v>138</v>
      </c>
      <c r="G45" s="292" t="n">
        <v>1382</v>
      </c>
    </row>
    <row r="46" ht="20.25" customFormat="1" customHeight="1" s="3">
      <c r="B46" s="272" t="inlineStr">
        <is>
          <t>3BD</t>
        </is>
      </c>
      <c r="C46" s="292">
        <f>'Current Rents'!G41</f>
        <v/>
      </c>
      <c r="D46" s="382" t="n">
        <v>1314</v>
      </c>
      <c r="E46" s="379" t="n">
        <v>2000</v>
      </c>
      <c r="F46" s="380" t="n">
        <v>299</v>
      </c>
      <c r="G46" s="292" t="n">
        <v>1701</v>
      </c>
    </row>
    <row r="47" ht="20.25" customFormat="1" customHeight="1" s="3">
      <c r="B47" s="272" t="inlineStr">
        <is>
          <t>4BD</t>
        </is>
      </c>
      <c r="C47" s="292" t="n">
        <v>1731</v>
      </c>
      <c r="D47" s="382" t="n">
        <v>1400</v>
      </c>
      <c r="E47" s="379" t="n">
        <v>2550</v>
      </c>
      <c r="F47" s="380" t="n">
        <v>353</v>
      </c>
      <c r="G47" s="292" t="n">
        <v>2197</v>
      </c>
    </row>
  </sheetData>
  <mergeCells count="9">
    <mergeCell ref="B7:AF7"/>
    <mergeCell ref="B6:AF6"/>
    <mergeCell ref="B5:AF5"/>
    <mergeCell ref="B43:H43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26 - Forest View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116" t="inlineStr">
        <is>
          <t># Units</t>
        </is>
      </c>
      <c r="V9" s="116" t="inlineStr">
        <is>
          <t>Year Built</t>
        </is>
      </c>
      <c r="W9" s="116" t="inlineStr">
        <is>
          <t>Yr Diff</t>
        </is>
      </c>
      <c r="X9" s="116" t="inlineStr">
        <is>
          <t>Utilities Incl.</t>
        </is>
      </c>
      <c r="Y9" s="116" t="inlineStr">
        <is>
          <t>Pet Friendly</t>
        </is>
      </c>
      <c r="Z9" s="253" t="inlineStr">
        <is>
          <t>Gated</t>
        </is>
      </c>
      <c r="AA9" s="257" t="inlineStr">
        <is>
          <t>Pool</t>
        </is>
      </c>
      <c r="AB9" s="258" t="inlineStr">
        <is>
          <t>W/D In-Unit</t>
        </is>
      </c>
    </row>
    <row r="10" ht="21.75" customFormat="1" customHeight="1" s="3">
      <c r="B10" s="71" t="inlineStr">
        <is>
          <t>SUBJECT</t>
        </is>
      </c>
      <c r="C10" s="253" t="inlineStr">
        <is>
          <t>Forest View Senior (SUBJECT)</t>
        </is>
      </c>
      <c r="D10" s="285" t="inlineStr">
        <is>
          <t>19499 Hess Ave</t>
        </is>
      </c>
      <c r="E10" s="239" t="inlineStr">
        <is>
          <t>Sonora</t>
        </is>
      </c>
      <c r="F10" s="239" t="inlineStr">
        <is>
          <t>CA</t>
        </is>
      </c>
      <c r="G10" s="239" t="inlineStr">
        <is>
          <t>95370</t>
        </is>
      </c>
      <c r="H10" s="239" t="inlineStr">
        <is>
          <t>0.0 mi</t>
        </is>
      </c>
      <c r="I10" s="239" t="inlineStr">
        <is>
          <t>$3,176</t>
        </is>
      </c>
      <c r="J10" s="239" t="inlineStr">
        <is>
          <t>$3,812</t>
        </is>
      </c>
      <c r="K10" s="239" t="inlineStr">
        <is>
          <t>$1,096</t>
        </is>
      </c>
      <c r="L10" s="239">
        <f>B29</f>
        <v/>
      </c>
      <c r="M10" s="255" t="inlineStr">
        <is>
          <t>$3,812</t>
        </is>
      </c>
      <c r="N10" s="239" t="inlineStr">
        <is>
          <t>$4,575</t>
        </is>
      </c>
      <c r="O10" s="239" t="inlineStr">
        <is>
          <t>$1,500</t>
        </is>
      </c>
      <c r="P10" s="239">
        <f>B30</f>
        <v/>
      </c>
      <c r="Q10" s="255" t="inlineStr">
        <is>
          <t>$4,233</t>
        </is>
      </c>
      <c r="R10" s="239" t="inlineStr">
        <is>
          <t>$5,080</t>
        </is>
      </c>
      <c r="S10" s="239" t="inlineStr">
        <is>
          <t>$1,970</t>
        </is>
      </c>
      <c r="T10" s="239">
        <f>B31</f>
        <v/>
      </c>
      <c r="U10" s="239" t="inlineStr">
        <is>
          <t>60</t>
        </is>
      </c>
      <c r="V10" s="239" t="inlineStr">
        <is>
          <t>2000</t>
        </is>
      </c>
      <c r="W10" s="239" t="inlineStr">
        <is>
          <t>0</t>
        </is>
      </c>
      <c r="X10" s="242" t="inlineStr">
        <is>
          <t>No</t>
        </is>
      </c>
      <c r="Y10" s="242" t="inlineStr">
        <is>
          <t>No</t>
        </is>
      </c>
      <c r="Z10" s="253" t="inlineStr">
        <is>
          <t>No</t>
        </is>
      </c>
      <c r="AA10" s="243" t="inlineStr">
        <is>
          <t>No</t>
        </is>
      </c>
      <c r="AB10" s="244" t="inlineStr">
        <is>
          <t>No</t>
        </is>
      </c>
    </row>
    <row r="11" ht="21.75" customFormat="1" customHeight="1" s="3">
      <c r="B11" s="252" t="inlineStr">
        <is>
          <t>AFFORDABLE</t>
        </is>
      </c>
      <c r="C11" s="253" t="inlineStr">
        <is>
          <t>Columbia Village Townhomes</t>
        </is>
      </c>
      <c r="D11" s="254" t="inlineStr">
        <is>
          <t>11439 Columbia Village Dr</t>
        </is>
      </c>
      <c r="E11" s="116" t="inlineStr">
        <is>
          <t>Sonora</t>
        </is>
      </c>
      <c r="F11" s="116" t="inlineStr">
        <is>
          <t>CA</t>
        </is>
      </c>
      <c r="G11" s="116" t="inlineStr">
        <is>
          <t>95370</t>
        </is>
      </c>
      <c r="H11" s="116" t="inlineStr">
        <is>
          <t>2.7 mi</t>
        </is>
      </c>
      <c r="I11" s="116" t="inlineStr">
        <is>
          <t>$3,176</t>
        </is>
      </c>
      <c r="J11" s="116" t="inlineStr">
        <is>
          <t>$3,812</t>
        </is>
      </c>
      <c r="K11" s="116" t="inlineStr">
        <is>
          <t>$1,096</t>
        </is>
      </c>
      <c r="L11" s="116" t="inlineStr">
        <is>
          <t>Not Listed</t>
        </is>
      </c>
      <c r="M11" s="255" t="inlineStr">
        <is>
          <t>$3,812</t>
        </is>
      </c>
      <c r="N11" s="116" t="inlineStr">
        <is>
          <t>$4,575</t>
        </is>
      </c>
      <c r="O11" s="116" t="inlineStr">
        <is>
          <t>$1,500</t>
        </is>
      </c>
      <c r="P11" s="116" t="inlineStr">
        <is>
          <t>Not Listed</t>
        </is>
      </c>
      <c r="Q11" s="255" t="inlineStr">
        <is>
          <t>$4,233</t>
        </is>
      </c>
      <c r="R11" s="116" t="inlineStr">
        <is>
          <t>$5,080</t>
        </is>
      </c>
      <c r="S11" s="116" t="inlineStr">
        <is>
          <t>$1,970</t>
        </is>
      </c>
      <c r="T11" s="116" t="inlineStr">
        <is>
          <t>Not Listed</t>
        </is>
      </c>
      <c r="U11" s="116" t="inlineStr">
        <is>
          <t>80</t>
        </is>
      </c>
      <c r="V11" s="116" t="inlineStr">
        <is>
          <t>1998</t>
        </is>
      </c>
      <c r="W11" s="116" t="inlineStr">
        <is>
          <t>2</t>
        </is>
      </c>
      <c r="X11" s="259" t="inlineStr">
        <is>
          <t>Yes</t>
        </is>
      </c>
      <c r="Y11" s="256" t="inlineStr">
        <is>
          <t>No</t>
        </is>
      </c>
      <c r="Z11" s="253" t="inlineStr">
        <is>
          <t>No</t>
        </is>
      </c>
      <c r="AA11" s="257" t="inlineStr">
        <is>
          <t>No</t>
        </is>
      </c>
      <c r="AB11" s="258" t="inlineStr">
        <is>
          <t>No</t>
        </is>
      </c>
    </row>
    <row r="12" ht="21.75" customFormat="1" customHeight="1" s="3">
      <c r="B12" s="252" t="inlineStr">
        <is>
          <t>AFFORDABLE</t>
        </is>
      </c>
      <c r="C12" s="253" t="inlineStr">
        <is>
          <t>Oak Hills Apts</t>
        </is>
      </c>
      <c r="D12" s="254" t="inlineStr">
        <is>
          <t>10260 Preston Ln</t>
        </is>
      </c>
      <c r="E12" s="116" t="inlineStr">
        <is>
          <t>Jamestown</t>
        </is>
      </c>
      <c r="F12" s="116" t="inlineStr">
        <is>
          <t>CA</t>
        </is>
      </c>
      <c r="G12" s="116" t="inlineStr">
        <is>
          <t>95327</t>
        </is>
      </c>
      <c r="H12" s="116" t="inlineStr">
        <is>
          <t>3.1 mi</t>
        </is>
      </c>
      <c r="I12" s="116" t="inlineStr">
        <is>
          <t>$3,176</t>
        </is>
      </c>
      <c r="J12" s="116" t="inlineStr">
        <is>
          <t>$3,812</t>
        </is>
      </c>
      <c r="K12" s="116" t="inlineStr">
        <is>
          <t>$1,096</t>
        </is>
      </c>
      <c r="L12" s="116" t="inlineStr">
        <is>
          <t>Not Listed</t>
        </is>
      </c>
      <c r="M12" s="255" t="inlineStr">
        <is>
          <t>$3,812</t>
        </is>
      </c>
      <c r="N12" s="116" t="inlineStr">
        <is>
          <t>$4,575</t>
        </is>
      </c>
      <c r="O12" s="116" t="inlineStr">
        <is>
          <t>$1,500</t>
        </is>
      </c>
      <c r="P12" s="116" t="inlineStr">
        <is>
          <t>Not Listed</t>
        </is>
      </c>
      <c r="Q12" s="255" t="inlineStr">
        <is>
          <t>$4,233</t>
        </is>
      </c>
      <c r="R12" s="116" t="inlineStr">
        <is>
          <t>$5,080</t>
        </is>
      </c>
      <c r="S12" s="116" t="inlineStr">
        <is>
          <t>$1,970</t>
        </is>
      </c>
      <c r="T12" s="116" t="inlineStr">
        <is>
          <t>Not Listed</t>
        </is>
      </c>
      <c r="U12" s="116" t="inlineStr">
        <is>
          <t>80</t>
        </is>
      </c>
      <c r="V12" s="116" t="inlineStr">
        <is>
          <t>1998</t>
        </is>
      </c>
      <c r="W12" s="116" t="inlineStr">
        <is>
          <t>2</t>
        </is>
      </c>
      <c r="X12" s="259" t="inlineStr">
        <is>
          <t>Yes</t>
        </is>
      </c>
      <c r="Y12" s="256" t="inlineStr">
        <is>
          <t>No</t>
        </is>
      </c>
      <c r="Z12" s="253" t="inlineStr">
        <is>
          <t>No</t>
        </is>
      </c>
      <c r="AA12" s="257" t="inlineStr">
        <is>
          <t>No</t>
        </is>
      </c>
      <c r="AB12" s="258" t="inlineStr">
        <is>
          <t>No</t>
        </is>
      </c>
    </row>
    <row r="13" ht="21.75" customFormat="1" customHeight="1" s="3">
      <c r="B13" s="252" t="inlineStr">
        <is>
          <t>AFFORDABLE</t>
        </is>
      </c>
      <c r="C13" s="253" t="inlineStr">
        <is>
          <t>Diamond Cove Townhomes</t>
        </is>
      </c>
      <c r="D13" s="254" t="inlineStr">
        <is>
          <t>5343 Carrington Cir</t>
        </is>
      </c>
      <c r="E13" s="116" t="inlineStr">
        <is>
          <t>Stockton</t>
        </is>
      </c>
      <c r="F13" s="116" t="inlineStr">
        <is>
          <t>CA</t>
        </is>
      </c>
      <c r="G13" s="116" t="inlineStr">
        <is>
          <t>95210</t>
        </is>
      </c>
      <c r="H13" s="116" t="inlineStr">
        <is>
          <t>49.7 mi</t>
        </is>
      </c>
      <c r="I13" s="116" t="inlineStr">
        <is>
          <t>$3,176</t>
        </is>
      </c>
      <c r="J13" s="116" t="inlineStr">
        <is>
          <t>$3,812</t>
        </is>
      </c>
      <c r="K13" s="116" t="inlineStr">
        <is>
          <t>$1,096</t>
        </is>
      </c>
      <c r="L13" s="116" t="inlineStr">
        <is>
          <t>Not Listed</t>
        </is>
      </c>
      <c r="M13" s="255" t="inlineStr">
        <is>
          <t>$3,812</t>
        </is>
      </c>
      <c r="N13" s="116" t="inlineStr">
        <is>
          <t>$4,575</t>
        </is>
      </c>
      <c r="O13" s="116" t="inlineStr">
        <is>
          <t>$1,500</t>
        </is>
      </c>
      <c r="P13" s="116" t="inlineStr">
        <is>
          <t>Not Listed</t>
        </is>
      </c>
      <c r="Q13" s="255" t="inlineStr">
        <is>
          <t>$4,233</t>
        </is>
      </c>
      <c r="R13" s="116" t="inlineStr">
        <is>
          <t>$5,080</t>
        </is>
      </c>
      <c r="S13" s="116" t="inlineStr">
        <is>
          <t>$1,970</t>
        </is>
      </c>
      <c r="T13" s="116" t="inlineStr">
        <is>
          <t>Not Listed</t>
        </is>
      </c>
      <c r="U13" s="116" t="inlineStr">
        <is>
          <t>59</t>
        </is>
      </c>
      <c r="V13" s="116" t="inlineStr">
        <is>
          <t>2000</t>
        </is>
      </c>
      <c r="W13" s="116" t="inlineStr">
        <is>
          <t>0</t>
        </is>
      </c>
      <c r="X13" s="259" t="inlineStr">
        <is>
          <t>Yes</t>
        </is>
      </c>
      <c r="Y13" s="256" t="inlineStr">
        <is>
          <t>No</t>
        </is>
      </c>
      <c r="Z13" s="253" t="inlineStr">
        <is>
          <t>No</t>
        </is>
      </c>
      <c r="AA13" s="257" t="inlineStr">
        <is>
          <t>No</t>
        </is>
      </c>
      <c r="AB13" s="258" t="inlineStr">
        <is>
          <t>No</t>
        </is>
      </c>
    </row>
    <row r="14" ht="21.75" customFormat="1" customHeight="1" s="3">
      <c r="B14" s="252" t="inlineStr">
        <is>
          <t>AFFORDABLE</t>
        </is>
      </c>
      <c r="C14" s="253" t="inlineStr">
        <is>
          <t>Casa Del Sol</t>
        </is>
      </c>
      <c r="D14" s="254" t="inlineStr">
        <is>
          <t>9370 Bigler Dr</t>
        </is>
      </c>
      <c r="E14" s="116" t="inlineStr">
        <is>
          <t>Planada</t>
        </is>
      </c>
      <c r="F14" s="116" t="inlineStr">
        <is>
          <t>CA</t>
        </is>
      </c>
      <c r="G14" s="116" t="inlineStr">
        <is>
          <t>95365</t>
        </is>
      </c>
      <c r="H14" s="116" t="inlineStr">
        <is>
          <t>47.8 mi</t>
        </is>
      </c>
      <c r="I14" s="116" t="inlineStr">
        <is>
          <t>$3,176</t>
        </is>
      </c>
      <c r="J14" s="116" t="inlineStr">
        <is>
          <t>$3,812</t>
        </is>
      </c>
      <c r="K14" s="116" t="inlineStr">
        <is>
          <t>$1,096</t>
        </is>
      </c>
      <c r="L14" s="116" t="inlineStr">
        <is>
          <t>Not Listed</t>
        </is>
      </c>
      <c r="M14" s="255" t="inlineStr">
        <is>
          <t>$3,812</t>
        </is>
      </c>
      <c r="N14" s="116" t="inlineStr">
        <is>
          <t>$4,575</t>
        </is>
      </c>
      <c r="O14" s="116" t="inlineStr">
        <is>
          <t>$1,500</t>
        </is>
      </c>
      <c r="P14" s="116" t="inlineStr">
        <is>
          <t>Not Listed</t>
        </is>
      </c>
      <c r="Q14" s="255" t="inlineStr">
        <is>
          <t>$4,233</t>
        </is>
      </c>
      <c r="R14" s="116" t="inlineStr">
        <is>
          <t>$5,080</t>
        </is>
      </c>
      <c r="S14" s="116" t="inlineStr">
        <is>
          <t>$1,970</t>
        </is>
      </c>
      <c r="T14" s="116" t="inlineStr">
        <is>
          <t>Not Listed</t>
        </is>
      </c>
      <c r="U14" s="116" t="inlineStr">
        <is>
          <t>54</t>
        </is>
      </c>
      <c r="V14" s="116" t="inlineStr">
        <is>
          <t>2000</t>
        </is>
      </c>
      <c r="W14" s="116" t="inlineStr">
        <is>
          <t>0</t>
        </is>
      </c>
      <c r="X14" s="259" t="inlineStr">
        <is>
          <t>Yes</t>
        </is>
      </c>
      <c r="Y14" s="256" t="inlineStr">
        <is>
          <t>No</t>
        </is>
      </c>
      <c r="Z14" s="253" t="inlineStr">
        <is>
          <t>No</t>
        </is>
      </c>
      <c r="AA14" s="257" t="inlineStr">
        <is>
          <t>No</t>
        </is>
      </c>
      <c r="AB14" s="258" t="inlineStr">
        <is>
          <t>No</t>
        </is>
      </c>
    </row>
    <row r="15" ht="21.75" customFormat="1" customHeight="1" s="3">
      <c r="B15" s="252" t="inlineStr">
        <is>
          <t>MARKET RATE</t>
        </is>
      </c>
      <c r="C15" s="253" t="inlineStr">
        <is>
          <t>Quail Hollow Apartments</t>
        </is>
      </c>
      <c r="D15" s="254" t="inlineStr">
        <is>
          <t>20230 Grouse Way</t>
        </is>
      </c>
      <c r="E15" s="116" t="inlineStr">
        <is>
          <t>Sonora</t>
        </is>
      </c>
      <c r="F15" s="116" t="inlineStr">
        <is>
          <t>CA</t>
        </is>
      </c>
      <c r="G15" s="116" t="n"/>
      <c r="H15" s="116" t="inlineStr">
        <is>
          <t>2.0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$1,096</t>
        </is>
      </c>
      <c r="L15" s="384" t="n">
        <v>1365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$1,500</t>
        </is>
      </c>
      <c r="P15" s="384" t="n">
        <v>1420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$1,970</t>
        </is>
      </c>
      <c r="T15" s="116" t="n">
        <v>2050</v>
      </c>
      <c r="U15" s="116" t="inlineStr">
        <is>
          <t>N/A</t>
        </is>
      </c>
      <c r="V15" s="116" t="inlineStr">
        <is>
          <t>2000</t>
        </is>
      </c>
      <c r="W15" s="116" t="inlineStr">
        <is>
          <t>0</t>
        </is>
      </c>
      <c r="X15" s="116" t="inlineStr">
        <is>
          <t>Varies</t>
        </is>
      </c>
      <c r="Y15" s="116" t="inlineStr">
        <is>
          <t>Varies</t>
        </is>
      </c>
      <c r="Z15" s="253" t="inlineStr">
        <is>
          <t>Varies</t>
        </is>
      </c>
      <c r="AA15" s="257" t="inlineStr">
        <is>
          <t>Varies</t>
        </is>
      </c>
      <c r="AB15" s="258" t="inlineStr">
        <is>
          <t>Varies</t>
        </is>
      </c>
    </row>
    <row r="16" ht="21.75" customFormat="1" customHeight="1" s="3">
      <c r="B16" s="252" t="inlineStr">
        <is>
          <t>Quail Hollow Apartments</t>
        </is>
      </c>
      <c r="C16" s="253" t="inlineStr">
        <is>
          <t>Sonora Rental Market (est.)</t>
        </is>
      </c>
      <c r="D16" s="254" t="inlineStr">
        <is>
          <t>165 S Shepherd St</t>
        </is>
      </c>
      <c r="E16" s="116" t="inlineStr">
        <is>
          <t>Sonora</t>
        </is>
      </c>
      <c r="F16" s="116" t="inlineStr">
        <is>
          <t>CA</t>
        </is>
      </c>
      <c r="G16" s="116" t="n"/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$1,096</t>
        </is>
      </c>
      <c r="L16" s="116" t="inlineStr">
        <is>
          <t>N/A</t>
        </is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$1,500</t>
        </is>
      </c>
      <c r="P16" s="384" t="n">
        <v>1595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$1,970</t>
        </is>
      </c>
      <c r="T16" s="116" t="n">
        <v>1975</v>
      </c>
      <c r="U16" s="116" t="inlineStr">
        <is>
          <t>120</t>
        </is>
      </c>
      <c r="V16" s="116" t="inlineStr">
        <is>
          <t>2001</t>
        </is>
      </c>
      <c r="W16" s="116" t="inlineStr">
        <is>
          <t>1</t>
        </is>
      </c>
      <c r="X16" s="116" t="inlineStr">
        <is>
          <t>Varies</t>
        </is>
      </c>
      <c r="Y16" s="116" t="inlineStr">
        <is>
          <t>Varies</t>
        </is>
      </c>
      <c r="Z16" s="253" t="inlineStr">
        <is>
          <t>Varies</t>
        </is>
      </c>
      <c r="AA16" s="257" t="inlineStr">
        <is>
          <t>Varies</t>
        </is>
      </c>
      <c r="AB16" s="258" t="inlineStr">
        <is>
          <t>Varies</t>
        </is>
      </c>
    </row>
    <row r="17" ht="21.75" customFormat="1" customHeight="1" s="3">
      <c r="B17" s="252" t="inlineStr">
        <is>
          <t>Shepherd Street Apartments</t>
        </is>
      </c>
      <c r="C17" s="253" t="inlineStr">
        <is>
          <t>Sonora Rental Market (est.)</t>
        </is>
      </c>
      <c r="D17" s="254" t="inlineStr">
        <is>
          <t>100 Greenley Rd</t>
        </is>
      </c>
      <c r="E17" s="116" t="inlineStr">
        <is>
          <t>Sonora</t>
        </is>
      </c>
      <c r="F17" s="116" t="inlineStr">
        <is>
          <t>CA</t>
        </is>
      </c>
      <c r="G17" s="116" t="n"/>
      <c r="H17" s="116" t="inlineStr">
        <is>
          <t>1.0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$1,096</t>
        </is>
      </c>
      <c r="L17" s="116" t="inlineStr">
        <is>
          <t>N/A</t>
        </is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$1,500</t>
        </is>
      </c>
      <c r="P17" s="384" t="n">
        <v>1550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$1,970</t>
        </is>
      </c>
      <c r="T17" s="116" t="n">
        <v>1925</v>
      </c>
      <c r="U17" s="116" t="inlineStr">
        <is>
          <t>96</t>
        </is>
      </c>
      <c r="V17" s="116" t="inlineStr">
        <is>
          <t>1998</t>
        </is>
      </c>
      <c r="W17" s="116" t="inlineStr">
        <is>
          <t>2</t>
        </is>
      </c>
      <c r="X17" s="116" t="inlineStr">
        <is>
          <t>Varies</t>
        </is>
      </c>
      <c r="Y17" s="116" t="inlineStr">
        <is>
          <t>Varies</t>
        </is>
      </c>
      <c r="Z17" s="253" t="inlineStr">
        <is>
          <t>Varies</t>
        </is>
      </c>
      <c r="AA17" s="257" t="inlineStr">
        <is>
          <t>Varies</t>
        </is>
      </c>
      <c r="AB17" s="258" t="inlineStr">
        <is>
          <t>Varies</t>
        </is>
      </c>
    </row>
    <row r="18" ht="21.75" customFormat="1" customHeight="1" s="3">
      <c r="B18" s="252" t="inlineStr">
        <is>
          <t>Blackberry Oaks</t>
        </is>
      </c>
      <c r="C18" s="253" t="inlineStr">
        <is>
          <t>Sonora Rental Market (est.)</t>
        </is>
      </c>
      <c r="D18" s="254" t="inlineStr">
        <is>
          <t>22316 Longeway Rd</t>
        </is>
      </c>
      <c r="E18" s="116" t="inlineStr">
        <is>
          <t>Sonora</t>
        </is>
      </c>
      <c r="F18" s="116" t="inlineStr">
        <is>
          <t>CA</t>
        </is>
      </c>
      <c r="G18" s="116" t="n"/>
      <c r="H18" s="116" t="inlineStr">
        <is>
          <t>3.0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$1,096</t>
        </is>
      </c>
      <c r="L18" s="116" t="inlineStr">
        <is>
          <t>N/A</t>
        </is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$1,500</t>
        </is>
      </c>
      <c r="P18" s="384" t="n">
        <v>1650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$1,970</t>
        </is>
      </c>
      <c r="T18" s="116" t="n">
        <v>2050</v>
      </c>
      <c r="U18" s="116" t="inlineStr">
        <is>
          <t>N/A</t>
        </is>
      </c>
      <c r="V18" s="116" t="inlineStr">
        <is>
          <t>1997</t>
        </is>
      </c>
      <c r="W18" s="116" t="inlineStr">
        <is>
          <t>3</t>
        </is>
      </c>
      <c r="X18" s="116" t="inlineStr">
        <is>
          <t>Varies</t>
        </is>
      </c>
      <c r="Y18" s="116" t="inlineStr">
        <is>
          <t>Varies</t>
        </is>
      </c>
      <c r="Z18" s="253" t="inlineStr">
        <is>
          <t>Varies</t>
        </is>
      </c>
      <c r="AA18" s="257" t="inlineStr">
        <is>
          <t>Varies</t>
        </is>
      </c>
      <c r="AB18" s="258" t="inlineStr">
        <is>
          <t>Varies</t>
        </is>
      </c>
    </row>
    <row r="19" ht="21.75" customFormat="1" customHeight="1" s="3">
      <c r="B19" s="252" t="inlineStr">
        <is>
          <t>BENCHMARK</t>
        </is>
      </c>
      <c r="C19" s="253" t="inlineStr">
        <is>
          <t>FY2026 FMR — Tuolumne County, CA</t>
        </is>
      </c>
      <c r="D19" s="254" t="inlineStr">
        <is>
          <t>N/A</t>
        </is>
      </c>
      <c r="E19" s="116" t="inlineStr">
        <is>
          <t>Sonora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$1,096</t>
        </is>
      </c>
      <c r="J19" s="116" t="inlineStr">
        <is>
          <t>$1,096</t>
        </is>
      </c>
      <c r="K19" s="116" t="inlineStr">
        <is>
          <t>$1,096</t>
        </is>
      </c>
      <c r="L19" s="116" t="inlineStr">
        <is>
          <t>N/A</t>
        </is>
      </c>
      <c r="M19" s="255" t="inlineStr">
        <is>
          <t>$1,500</t>
        </is>
      </c>
      <c r="N19" s="116" t="inlineStr">
        <is>
          <t>$1,500</t>
        </is>
      </c>
      <c r="O19" s="116" t="inlineStr">
        <is>
          <t>$1,500</t>
        </is>
      </c>
      <c r="P19" s="116" t="inlineStr">
        <is>
          <t>N/A</t>
        </is>
      </c>
      <c r="Q19" s="255" t="inlineStr">
        <is>
          <t>$1,970</t>
        </is>
      </c>
      <c r="R19" s="116" t="inlineStr">
        <is>
          <t>$1,970</t>
        </is>
      </c>
      <c r="S19" s="116" t="inlineStr">
        <is>
          <t>$1,970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N/A</t>
        </is>
      </c>
      <c r="Z19" s="253" t="inlineStr">
        <is>
          <t>N/A</t>
        </is>
      </c>
      <c r="AA19" s="257" t="inlineStr">
        <is>
          <t>N/A</t>
        </is>
      </c>
      <c r="AB19" s="258" t="inlineStr">
        <is>
          <t>N/A</t>
        </is>
      </c>
    </row>
    <row r="20" ht="21.75" customFormat="1" customHeight="1" s="3">
      <c r="B20" s="252" t="inlineStr">
        <is>
          <t>BENCHMARK</t>
        </is>
      </c>
      <c r="C20" s="253" t="inlineStr">
        <is>
          <t>Metro Market Avg — Sonora</t>
        </is>
      </c>
      <c r="D20" s="254" t="inlineStr">
        <is>
          <t>N/A</t>
        </is>
      </c>
      <c r="E20" s="116" t="inlineStr">
        <is>
          <t>Sonora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$1,205</t>
        </is>
      </c>
      <c r="J20" s="116" t="inlineStr">
        <is>
          <t>$1,205</t>
        </is>
      </c>
      <c r="K20" s="116" t="inlineStr">
        <is>
          <t>$1,205</t>
        </is>
      </c>
      <c r="L20" s="116" t="inlineStr">
        <is>
          <t>N/A</t>
        </is>
      </c>
      <c r="M20" s="255" t="inlineStr">
        <is>
          <t>$1,650</t>
        </is>
      </c>
      <c r="N20" s="116" t="inlineStr">
        <is>
          <t>$1,650</t>
        </is>
      </c>
      <c r="O20" s="116" t="inlineStr">
        <is>
          <t>$1,650</t>
        </is>
      </c>
      <c r="P20" s="116" t="inlineStr">
        <is>
          <t>N/A</t>
        </is>
      </c>
      <c r="Q20" s="255" t="inlineStr">
        <is>
          <t>$2,167</t>
        </is>
      </c>
      <c r="R20" s="116" t="inlineStr">
        <is>
          <t>$2,167</t>
        </is>
      </c>
      <c r="S20" s="116" t="inlineStr">
        <is>
          <t>$2,167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N/A</t>
        </is>
      </c>
      <c r="Z20" s="253" t="inlineStr">
        <is>
          <t>N/A</t>
        </is>
      </c>
      <c r="AA20" s="257" t="inlineStr">
        <is>
          <t>N/A</t>
        </is>
      </c>
      <c r="AB20" s="258" t="inlineStr">
        <is>
          <t>N/A</t>
        </is>
      </c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723.88</v>
      </c>
      <c r="D27" s="376" t="n">
        <v>1365</v>
      </c>
      <c r="E27" s="377" t="n">
        <v>-641.12</v>
      </c>
    </row>
    <row r="28" ht="20.25" customFormat="1" customHeight="1" s="3">
      <c r="B28" s="272" t="inlineStr">
        <is>
          <t>2BD</t>
        </is>
      </c>
      <c r="C28" s="375" t="n">
        <v>855.17</v>
      </c>
      <c r="D28" s="376" t="n">
        <v>1420</v>
      </c>
      <c r="E28" s="377" t="n">
        <v>-564.83</v>
      </c>
    </row>
    <row r="29" ht="20.25" customFormat="1" customHeight="1" s="3">
      <c r="B29" s="272" t="inlineStr">
        <is>
          <t>1BD</t>
        </is>
      </c>
      <c r="C29" s="375" t="n">
        <v>723.88</v>
      </c>
      <c r="D29" s="376" t="n">
        <v>1000</v>
      </c>
      <c r="E29" s="377" t="n">
        <v>-276.12</v>
      </c>
    </row>
    <row r="30" ht="20.25" customFormat="1" customHeight="1" s="3">
      <c r="B30" s="272" t="inlineStr">
        <is>
          <t>2BD</t>
        </is>
      </c>
      <c r="C30" s="375" t="n">
        <v>855.17</v>
      </c>
      <c r="D30" s="376" t="n">
        <v>1150</v>
      </c>
      <c r="E30" s="377" t="n">
        <v>-294.83</v>
      </c>
    </row>
    <row r="31" ht="20.25" customFormat="1" customHeight="1" s="3">
      <c r="B31" s="272" t="inlineStr">
        <is>
          <t>1BD</t>
        </is>
      </c>
      <c r="C31" s="375" t="n">
        <v>723.88</v>
      </c>
      <c r="D31" s="376" t="n">
        <v>663</v>
      </c>
      <c r="E31" s="381" t="n">
        <v>60.88</v>
      </c>
    </row>
    <row r="32" ht="20.25" customFormat="1" customHeight="1" s="3">
      <c r="B32" s="272" t="inlineStr">
        <is>
          <t>2BD</t>
        </is>
      </c>
      <c r="C32" s="375" t="n">
        <v>855.17</v>
      </c>
      <c r="D32" s="376" t="n">
        <v>782</v>
      </c>
      <c r="E32" s="381" t="n">
        <v>73.16999999999996</v>
      </c>
    </row>
    <row r="33" ht="20.25" customFormat="1" customHeight="1" s="3">
      <c r="B33" s="272" t="inlineStr">
        <is>
          <t>1BD</t>
        </is>
      </c>
      <c r="C33" s="375" t="n">
        <v>723.88</v>
      </c>
      <c r="D33" s="376" t="n">
        <v>1203</v>
      </c>
      <c r="E33" s="377" t="n">
        <v>-479.12</v>
      </c>
    </row>
    <row r="34" ht="20.25" customFormat="1" customHeight="1" s="3">
      <c r="B34" s="272" t="inlineStr">
        <is>
          <t>2BD</t>
        </is>
      </c>
      <c r="C34" s="375" t="n">
        <v>855.17</v>
      </c>
      <c r="D34" s="376" t="n">
        <v>1335</v>
      </c>
      <c r="E34" s="377" t="n">
        <v>-479.83</v>
      </c>
    </row>
    <row r="37" ht="18" customFormat="1" customHeight="1" s="3">
      <c r="B37" s="270" t="inlineStr">
        <is>
          <t>PMTS — Vouchers / FMR / UAP / NET</t>
        </is>
      </c>
      <c r="C37" s="294" t="n"/>
      <c r="D37" s="294" t="n"/>
      <c r="E37" s="294" t="n"/>
      <c r="F37" s="294" t="n"/>
      <c r="G37" s="294" t="n"/>
      <c r="H37" s="295" t="n"/>
    </row>
    <row r="38" ht="15.75" customFormat="1" customHeight="1" s="3">
      <c r="C38" s="378">
        <f>'Current Rents'!D42</f>
        <v/>
      </c>
      <c r="D38" s="271" t="inlineStr">
        <is>
          <t>VCH</t>
        </is>
      </c>
      <c r="E38" s="271" t="inlineStr">
        <is>
          <t>FMR</t>
        </is>
      </c>
      <c r="F38" s="271" t="inlineStr">
        <is>
          <t>UAP</t>
        </is>
      </c>
      <c r="G38" s="271" t="inlineStr">
        <is>
          <t>NET</t>
        </is>
      </c>
    </row>
    <row r="39" ht="20.25" customFormat="1" customHeight="1" s="3">
      <c r="B39" s="272" t="inlineStr">
        <is>
          <t>1BD</t>
        </is>
      </c>
      <c r="C39" s="292">
        <f>'Current Rents'!E42</f>
        <v/>
      </c>
      <c r="D39" s="382" t="n">
        <v>1000</v>
      </c>
      <c r="E39" s="379" t="n">
        <v>1190</v>
      </c>
      <c r="F39" s="380" t="n">
        <v>73</v>
      </c>
      <c r="G39" s="292" t="n">
        <v>1117</v>
      </c>
    </row>
    <row r="40" ht="20.25" customFormat="1" customHeight="1" s="3">
      <c r="B40" s="272" t="inlineStr">
        <is>
          <t>2BD</t>
        </is>
      </c>
      <c r="C40" s="292" t="n">
        <v>855.17</v>
      </c>
      <c r="D40" s="382" t="n">
        <v>1150</v>
      </c>
      <c r="E40" s="379" t="n">
        <v>1520</v>
      </c>
      <c r="F40" s="380" t="n">
        <v>105</v>
      </c>
      <c r="G40" s="292" t="n">
        <v>1415</v>
      </c>
    </row>
  </sheetData>
  <mergeCells count="9">
    <mergeCell ref="B4:Y4"/>
    <mergeCell ref="B7:AB7"/>
    <mergeCell ref="B6:AB6"/>
    <mergeCell ref="B24:H24"/>
    <mergeCell ref="B22:AB22"/>
    <mergeCell ref="B25:H25"/>
    <mergeCell ref="B5:AB5"/>
    <mergeCell ref="Z4:AB4"/>
    <mergeCell ref="B37:H3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24 - Oak Hills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3BD 50% AMI ($)</t>
        </is>
      </c>
      <c r="N9" s="116" t="inlineStr">
        <is>
          <t>3BD 60% AMI ($)</t>
        </is>
      </c>
      <c r="O9" s="116" t="inlineStr">
        <is>
          <t>3BR FMR ($)</t>
        </is>
      </c>
      <c r="P9" s="116" t="inlineStr">
        <is>
          <t>3BR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71" t="inlineStr">
        <is>
          <t>SUBJECT</t>
        </is>
      </c>
      <c r="C10" s="253" t="inlineStr">
        <is>
          <t>Oak Hills (SUBJECT)</t>
        </is>
      </c>
      <c r="D10" s="285" t="inlineStr">
        <is>
          <t>10260 Preston Lane</t>
        </is>
      </c>
      <c r="E10" s="239" t="inlineStr">
        <is>
          <t>Jamestown</t>
        </is>
      </c>
      <c r="F10" s="239" t="inlineStr">
        <is>
          <t>CA</t>
        </is>
      </c>
      <c r="G10" s="239" t="inlineStr">
        <is>
          <t>95327</t>
        </is>
      </c>
      <c r="H10" s="239" t="inlineStr">
        <is>
          <t>0.0 mi</t>
        </is>
      </c>
      <c r="I10" s="239" t="inlineStr">
        <is>
          <t>$3,812</t>
        </is>
      </c>
      <c r="J10" s="239" t="inlineStr">
        <is>
          <t>$4,575</t>
        </is>
      </c>
      <c r="K10" s="239" t="inlineStr">
        <is>
          <t>$1,500</t>
        </is>
      </c>
      <c r="L10" s="239">
        <f>B29</f>
        <v/>
      </c>
      <c r="M10" s="255" t="inlineStr">
        <is>
          <t>$4,233</t>
        </is>
      </c>
      <c r="N10" s="239" t="inlineStr">
        <is>
          <t>$5,080</t>
        </is>
      </c>
      <c r="O10" s="239" t="inlineStr">
        <is>
          <t>$1,970</t>
        </is>
      </c>
      <c r="P10" s="239">
        <f>B30</f>
        <v/>
      </c>
      <c r="Q10" s="255" t="inlineStr">
        <is>
          <t>80</t>
        </is>
      </c>
      <c r="R10" s="239" t="inlineStr">
        <is>
          <t>2000</t>
        </is>
      </c>
      <c r="S10" s="239" t="inlineStr">
        <is>
          <t>0</t>
        </is>
      </c>
      <c r="T10" s="239" t="inlineStr">
        <is>
          <t>No</t>
        </is>
      </c>
      <c r="U10" s="242" t="inlineStr">
        <is>
          <t>No</t>
        </is>
      </c>
      <c r="V10" s="242" t="inlineStr">
        <is>
          <t>No</t>
        </is>
      </c>
      <c r="W10" s="242" t="inlineStr">
        <is>
          <t>No</t>
        </is>
      </c>
      <c r="X10" s="242" t="inlineStr">
        <is>
          <t>No</t>
        </is>
      </c>
      <c r="Y10" s="239" t="inlineStr">
        <is>
          <t>SUBJECT</t>
        </is>
      </c>
      <c r="Z10" s="253" t="inlineStr">
        <is>
          <t>80 units | LIHTC property. Year built: 2000. Subject property for market context.</t>
        </is>
      </c>
      <c r="AA10" s="243" t="inlineStr">
        <is>
          <t>Apartment Corp Records</t>
        </is>
      </c>
      <c r="AB10" s="244" t="n"/>
    </row>
    <row r="11" ht="21.75" customFormat="1" customHeight="1" s="3">
      <c r="B11" s="252" t="inlineStr">
        <is>
          <t>AFFORDABLE</t>
        </is>
      </c>
      <c r="C11" s="253" t="inlineStr">
        <is>
          <t>Columbia Village Townhomes</t>
        </is>
      </c>
      <c r="D11" s="254" t="inlineStr">
        <is>
          <t>11439 Columbia Village Dr</t>
        </is>
      </c>
      <c r="E11" s="116" t="inlineStr">
        <is>
          <t>Sonora</t>
        </is>
      </c>
      <c r="F11" s="116" t="inlineStr">
        <is>
          <t>CA</t>
        </is>
      </c>
      <c r="G11" s="116" t="inlineStr">
        <is>
          <t>95370</t>
        </is>
      </c>
      <c r="H11" s="116" t="inlineStr">
        <is>
          <t>4.7 mi</t>
        </is>
      </c>
      <c r="I11" s="116" t="inlineStr">
        <is>
          <t>$3,812</t>
        </is>
      </c>
      <c r="J11" s="116" t="inlineStr">
        <is>
          <t>$4,575</t>
        </is>
      </c>
      <c r="K11" s="116" t="inlineStr">
        <is>
          <t>$1,500</t>
        </is>
      </c>
      <c r="L11" s="116" t="inlineStr">
        <is>
          <t>Not Listed</t>
        </is>
      </c>
      <c r="M11" s="255" t="inlineStr">
        <is>
          <t>$4,233</t>
        </is>
      </c>
      <c r="N11" s="116" t="inlineStr">
        <is>
          <t>$5,080</t>
        </is>
      </c>
      <c r="O11" s="116" t="inlineStr">
        <is>
          <t>$1,970</t>
        </is>
      </c>
      <c r="P11" s="116" t="inlineStr">
        <is>
          <t>Not Listed</t>
        </is>
      </c>
      <c r="Q11" s="255" t="inlineStr">
        <is>
          <t>80</t>
        </is>
      </c>
      <c r="R11" s="116" t="inlineStr">
        <is>
          <t>1998</t>
        </is>
      </c>
      <c r="S11" s="116" t="inlineStr">
        <is>
          <t>2</t>
        </is>
      </c>
      <c r="T11" s="116" t="inlineStr">
        <is>
          <t>Yes</t>
        </is>
      </c>
      <c r="U11" s="256" t="inlineStr">
        <is>
          <t>No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116" t="inlineStr">
        <is>
          <t>HIGH</t>
        </is>
      </c>
      <c r="Z11" s="253" t="inlineStr">
        <is>
          <t>Affordable Comp #1: LIHTC property, 1998 vintage (2 yr diff), 80 units, 4.7 mi from subject. Same income-eligible renter pool.</t>
        </is>
      </c>
      <c r="AA11" s="257" t="inlineStr">
        <is>
          <t>HUD LIHTC Database (huduser.gov)</t>
        </is>
      </c>
      <c r="AB11" s="258" t="n"/>
    </row>
    <row r="12" ht="21.75" customFormat="1" customHeight="1" s="3">
      <c r="B12" s="252" t="inlineStr">
        <is>
          <t>AFFORDABLE</t>
        </is>
      </c>
      <c r="C12" s="253" t="inlineStr">
        <is>
          <t>Forest View Senior Apts</t>
        </is>
      </c>
      <c r="D12" s="254" t="inlineStr">
        <is>
          <t>19499 Hess Ave</t>
        </is>
      </c>
      <c r="E12" s="116" t="inlineStr">
        <is>
          <t>Sonora</t>
        </is>
      </c>
      <c r="F12" s="116" t="inlineStr">
        <is>
          <t>CA</t>
        </is>
      </c>
      <c r="G12" s="116" t="inlineStr">
        <is>
          <t>95370</t>
        </is>
      </c>
      <c r="H12" s="116" t="inlineStr">
        <is>
          <t>5.2 mi</t>
        </is>
      </c>
      <c r="I12" s="116" t="inlineStr">
        <is>
          <t>$3,812</t>
        </is>
      </c>
      <c r="J12" s="116" t="inlineStr">
        <is>
          <t>$4,575</t>
        </is>
      </c>
      <c r="K12" s="116" t="inlineStr">
        <is>
          <t>$1,500</t>
        </is>
      </c>
      <c r="L12" s="116" t="inlineStr">
        <is>
          <t>Not Listed</t>
        </is>
      </c>
      <c r="M12" s="255" t="inlineStr">
        <is>
          <t>$4,233</t>
        </is>
      </c>
      <c r="N12" s="116" t="inlineStr">
        <is>
          <t>$5,080</t>
        </is>
      </c>
      <c r="O12" s="116" t="inlineStr">
        <is>
          <t>$1,970</t>
        </is>
      </c>
      <c r="P12" s="116" t="inlineStr">
        <is>
          <t>Not Listed</t>
        </is>
      </c>
      <c r="Q12" s="255" t="inlineStr">
        <is>
          <t>60</t>
        </is>
      </c>
      <c r="R12" s="116" t="inlineStr">
        <is>
          <t>1999</t>
        </is>
      </c>
      <c r="S12" s="116" t="inlineStr">
        <is>
          <t>1</t>
        </is>
      </c>
      <c r="T12" s="116" t="inlineStr">
        <is>
          <t>Yes</t>
        </is>
      </c>
      <c r="U12" s="256" t="inlineStr">
        <is>
          <t>No</t>
        </is>
      </c>
      <c r="V12" s="256" t="inlineStr">
        <is>
          <t>No</t>
        </is>
      </c>
      <c r="W12" s="256" t="inlineStr">
        <is>
          <t>No</t>
        </is>
      </c>
      <c r="X12" s="256" t="inlineStr">
        <is>
          <t>No</t>
        </is>
      </c>
      <c r="Y12" s="116" t="inlineStr">
        <is>
          <t>HIGH</t>
        </is>
      </c>
      <c r="Z12" s="253" t="inlineStr">
        <is>
          <t>Affordable Comp #2: LIHTC property, 1999 vintage (1 yr diff), 60 units, 5.2 mi from subject. Same income-eligible renter pool.</t>
        </is>
      </c>
      <c r="AA12" s="257" t="inlineStr">
        <is>
          <t>HUD LIHTC Database (huduser.gov)</t>
        </is>
      </c>
      <c r="AB12" s="258" t="n"/>
    </row>
    <row r="13" ht="21.75" customFormat="1" customHeight="1" s="3">
      <c r="B13" s="252" t="inlineStr">
        <is>
          <t>AFFORDABLE</t>
        </is>
      </c>
      <c r="C13" s="253" t="inlineStr">
        <is>
          <t>Stockton Gardens Apts</t>
        </is>
      </c>
      <c r="D13" s="254" t="inlineStr">
        <is>
          <t>1025 Rosemarie Ln</t>
        </is>
      </c>
      <c r="E13" s="116" t="inlineStr">
        <is>
          <t>Stockton</t>
        </is>
      </c>
      <c r="F13" s="116" t="inlineStr">
        <is>
          <t>CA</t>
        </is>
      </c>
      <c r="G13" s="116" t="inlineStr">
        <is>
          <t>95207</t>
        </is>
      </c>
      <c r="H13" s="116" t="inlineStr">
        <is>
          <t>48.8 mi</t>
        </is>
      </c>
      <c r="I13" s="116" t="inlineStr">
        <is>
          <t>$3,812</t>
        </is>
      </c>
      <c r="J13" s="116" t="inlineStr">
        <is>
          <t>$4,575</t>
        </is>
      </c>
      <c r="K13" s="116" t="inlineStr">
        <is>
          <t>$1,500</t>
        </is>
      </c>
      <c r="L13" s="116" t="inlineStr">
        <is>
          <t>$1,537</t>
        </is>
      </c>
      <c r="M13" s="255" t="inlineStr">
        <is>
          <t>$4,233</t>
        </is>
      </c>
      <c r="N13" s="116" t="inlineStr">
        <is>
          <t>$5,080</t>
        </is>
      </c>
      <c r="O13" s="116" t="inlineStr">
        <is>
          <t>$1,970</t>
        </is>
      </c>
      <c r="P13" s="116" t="inlineStr">
        <is>
          <t>Not Listed</t>
        </is>
      </c>
      <c r="Q13" s="255" t="inlineStr">
        <is>
          <t>80</t>
        </is>
      </c>
      <c r="R13" s="116" t="inlineStr">
        <is>
          <t>2000</t>
        </is>
      </c>
      <c r="S13" s="116" t="inlineStr">
        <is>
          <t>0</t>
        </is>
      </c>
      <c r="T13" s="116" t="inlineStr">
        <is>
          <t>Yes</t>
        </is>
      </c>
      <c r="U13" s="256" t="inlineStr">
        <is>
          <t>No</t>
        </is>
      </c>
      <c r="V13" s="256" t="inlineStr">
        <is>
          <t>No</t>
        </is>
      </c>
      <c r="W13" s="256" t="inlineStr">
        <is>
          <t>No</t>
        </is>
      </c>
      <c r="X13" s="256" t="inlineStr">
        <is>
          <t>No</t>
        </is>
      </c>
      <c r="Y13" s="116" t="inlineStr">
        <is>
          <t>MODERATE</t>
        </is>
      </c>
      <c r="Z13" s="253" t="inlineStr">
        <is>
          <t>Affordable Comp #3: LIHTC property, 2000 vintage (0 yr diff), 80 units, 48.8 mi from subject. Same income-eligible renter pool.</t>
        </is>
      </c>
      <c r="AA13" s="257" t="inlineStr">
        <is>
          <t>HUD LIHTC Database (huduser.gov)</t>
        </is>
      </c>
      <c r="AB13" s="258" t="n"/>
    </row>
    <row r="14" ht="21.75" customFormat="1" customHeight="1" s="3">
      <c r="B14" s="252" t="inlineStr">
        <is>
          <t>AFFORDABLE</t>
        </is>
      </c>
      <c r="C14" s="253" t="inlineStr">
        <is>
          <t>Stockton Terrace Apts</t>
        </is>
      </c>
      <c r="D14" s="254" t="inlineStr">
        <is>
          <t>246 E Iris Ave</t>
        </is>
      </c>
      <c r="E14" s="116" t="inlineStr">
        <is>
          <t>Stockton</t>
        </is>
      </c>
      <c r="F14" s="116" t="inlineStr">
        <is>
          <t>CA</t>
        </is>
      </c>
      <c r="G14" s="116" t="inlineStr">
        <is>
          <t>95210</t>
        </is>
      </c>
      <c r="H14" s="116" t="inlineStr">
        <is>
          <t>48.5 mi</t>
        </is>
      </c>
      <c r="I14" s="116" t="inlineStr">
        <is>
          <t>$3,812</t>
        </is>
      </c>
      <c r="J14" s="116" t="inlineStr">
        <is>
          <t>$4,575</t>
        </is>
      </c>
      <c r="K14" s="116" t="inlineStr">
        <is>
          <t>$1,500</t>
        </is>
      </c>
      <c r="L14" s="116" t="inlineStr">
        <is>
          <t>Not Listed</t>
        </is>
      </c>
      <c r="M14" s="255" t="inlineStr">
        <is>
          <t>$4,233</t>
        </is>
      </c>
      <c r="N14" s="116" t="inlineStr">
        <is>
          <t>$5,080</t>
        </is>
      </c>
      <c r="O14" s="116" t="inlineStr">
        <is>
          <t>$1,970</t>
        </is>
      </c>
      <c r="P14" s="116" t="inlineStr">
        <is>
          <t>Not Listed</t>
        </is>
      </c>
      <c r="Q14" s="255" t="inlineStr">
        <is>
          <t>80</t>
        </is>
      </c>
      <c r="R14" s="116" t="inlineStr">
        <is>
          <t>2000</t>
        </is>
      </c>
      <c r="S14" s="116" t="inlineStr">
        <is>
          <t>0</t>
        </is>
      </c>
      <c r="T14" s="116" t="inlineStr">
        <is>
          <t>Yes</t>
        </is>
      </c>
      <c r="U14" s="256" t="inlineStr">
        <is>
          <t>No</t>
        </is>
      </c>
      <c r="V14" s="256" t="inlineStr">
        <is>
          <t>No</t>
        </is>
      </c>
      <c r="W14" s="256" t="inlineStr">
        <is>
          <t>No</t>
        </is>
      </c>
      <c r="X14" s="256" t="inlineStr">
        <is>
          <t>No</t>
        </is>
      </c>
      <c r="Y14" s="116" t="inlineStr">
        <is>
          <t>MODERATE</t>
        </is>
      </c>
      <c r="Z14" s="253" t="inlineStr">
        <is>
          <t>Affordable Comp #4: LIHTC property, 2000 vintage (0 yr diff), 80 units, 48.5 mi from subject. Same income-eligible renter pool.</t>
        </is>
      </c>
      <c r="AA14" s="257" t="inlineStr">
        <is>
          <t>HUD LIHTC Database (huduser.gov)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Quail Hollow Apartments</t>
        </is>
      </c>
      <c r="D15" s="254" t="inlineStr">
        <is>
          <t>20230 Grouse Way</t>
        </is>
      </c>
      <c r="E15" s="116" t="inlineStr">
        <is>
          <t>Sonora</t>
        </is>
      </c>
      <c r="F15" s="116" t="inlineStr">
        <is>
          <t>CA</t>
        </is>
      </c>
      <c r="G15" s="116" t="n"/>
      <c r="H15" s="116" t="inlineStr">
        <is>
          <t>2.0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$1,500</t>
        </is>
      </c>
      <c r="L15" s="384" t="n">
        <v>1650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$1,970</t>
        </is>
      </c>
      <c r="P15" s="384" t="n">
        <v>2050</v>
      </c>
      <c r="Q15" s="255" t="inlineStr">
        <is>
          <t>N/A</t>
        </is>
      </c>
      <c r="R15" s="116" t="inlineStr">
        <is>
          <t>2000</t>
        </is>
      </c>
      <c r="S15" s="116" t="inlineStr">
        <is>
          <t>0</t>
        </is>
      </c>
      <c r="T15" s="116" t="inlineStr">
        <is>
          <t>Varies</t>
        </is>
      </c>
      <c r="U15" s="116" t="inlineStr">
        <is>
          <t>Varies</t>
        </is>
      </c>
      <c r="V15" s="116" t="inlineStr">
        <is>
          <t>Varies</t>
        </is>
      </c>
      <c r="W15" s="116" t="inlineStr">
        <is>
          <t>Varies</t>
        </is>
      </c>
      <c r="X15" s="116" t="inlineStr">
        <is>
          <t>Varies</t>
        </is>
      </c>
      <c r="Y15" s="116" t="inlineStr">
        <is>
          <t>HIGH</t>
        </is>
      </c>
      <c r="Z15" s="253" t="inlineStr">
        <is>
          <t>Market Rate Comp #1: No income restrictions, 2000 vintage (0 yr diff), N/A units, N/A from subject. Shows market-rate rents vs. affordable housing discount.</t>
        </is>
      </c>
      <c r="AA15" s="257" t="inlineStr">
        <is>
          <t>HUD FY2026 FMR - Tuolumne County, CA (limited market rate listings in Jamestown)</t>
        </is>
      </c>
      <c r="AB15" s="258" t="n"/>
    </row>
    <row r="16" ht="21.75" customFormat="1" customHeight="1" s="3">
      <c r="B16" s="252" t="inlineStr">
        <is>
          <t>Quail Hollow Apartments</t>
        </is>
      </c>
      <c r="C16" s="253" t="inlineStr">
        <is>
          <t>Sonora Rental Market (est.)</t>
        </is>
      </c>
      <c r="D16" s="254" t="inlineStr">
        <is>
          <t>165 S Shepherd St</t>
        </is>
      </c>
      <c r="E16" s="116" t="inlineStr">
        <is>
          <t>Sonora</t>
        </is>
      </c>
      <c r="F16" s="116" t="inlineStr">
        <is>
          <t>CA</t>
        </is>
      </c>
      <c r="G16" s="116" t="n"/>
      <c r="H16" s="116" t="inlineStr">
        <is>
          <t>1.5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$1,500</t>
        </is>
      </c>
      <c r="L16" s="384" t="n">
        <v>1650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$1,970</t>
        </is>
      </c>
      <c r="P16" s="384" t="n">
        <v>2050</v>
      </c>
      <c r="Q16" s="255" t="inlineStr">
        <is>
          <t>80</t>
        </is>
      </c>
      <c r="R16" s="116" t="inlineStr">
        <is>
          <t>2001</t>
        </is>
      </c>
      <c r="S16" s="116" t="inlineStr">
        <is>
          <t>1</t>
        </is>
      </c>
      <c r="T16" s="116" t="inlineStr">
        <is>
          <t>Varies</t>
        </is>
      </c>
      <c r="U16" s="116" t="inlineStr">
        <is>
          <t>Varies</t>
        </is>
      </c>
      <c r="V16" s="116" t="inlineStr">
        <is>
          <t>Varies</t>
        </is>
      </c>
      <c r="W16" s="116" t="inlineStr">
        <is>
          <t>Varies</t>
        </is>
      </c>
      <c r="X16" s="116" t="inlineStr">
        <is>
          <t>Varies</t>
        </is>
      </c>
      <c r="Y16" s="116" t="inlineStr">
        <is>
          <t>HIGH</t>
        </is>
      </c>
      <c r="Z16" s="253" t="inlineStr">
        <is>
          <t>Market Rate Comp #2: No income restrictions, 2001 vintage (1 yr diff), 80 units, 3.5 mi from subject. Shows market-rate rents vs. affordable housing discount.</t>
        </is>
      </c>
      <c r="AA16" s="257" t="inlineStr">
        <is>
          <t>https://www.rentcafe.com/apartments-for-rent/us/ca/sonora/</t>
        </is>
      </c>
      <c r="AB16" s="258" t="n"/>
    </row>
    <row r="17" ht="21.75" customFormat="1" customHeight="1" s="3">
      <c r="B17" s="252" t="inlineStr">
        <is>
          <t>Shepherd Street Apartments</t>
        </is>
      </c>
      <c r="C17" s="253" t="inlineStr">
        <is>
          <t>Sonora Rental Market (est.)</t>
        </is>
      </c>
      <c r="D17" s="254" t="inlineStr">
        <is>
          <t>100 Greenley Rd</t>
        </is>
      </c>
      <c r="E17" s="116" t="inlineStr">
        <is>
          <t>Sonora</t>
        </is>
      </c>
      <c r="F17" s="116" t="inlineStr">
        <is>
          <t>CA</t>
        </is>
      </c>
      <c r="G17" s="116" t="n"/>
      <c r="H17" s="116" t="inlineStr">
        <is>
          <t>1.0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$1,500</t>
        </is>
      </c>
      <c r="L17" s="384" t="n">
        <v>1550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$1,970</t>
        </is>
      </c>
      <c r="P17" s="384" t="n">
        <v>1925</v>
      </c>
      <c r="Q17" s="255" t="inlineStr">
        <is>
          <t>96</t>
        </is>
      </c>
      <c r="R17" s="116" t="inlineStr">
        <is>
          <t>1998</t>
        </is>
      </c>
      <c r="S17" s="116" t="inlineStr">
        <is>
          <t>2</t>
        </is>
      </c>
      <c r="T17" s="116" t="inlineStr">
        <is>
          <t>Varies</t>
        </is>
      </c>
      <c r="U17" s="116" t="inlineStr">
        <is>
          <t>Varies</t>
        </is>
      </c>
      <c r="V17" s="116" t="inlineStr">
        <is>
          <t>Varies</t>
        </is>
      </c>
      <c r="W17" s="116" t="inlineStr">
        <is>
          <t>Varies</t>
        </is>
      </c>
      <c r="X17" s="116" t="inlineStr">
        <is>
          <t>Varies</t>
        </is>
      </c>
      <c r="Y17" s="116" t="inlineStr">
        <is>
          <t>MODERATE</t>
        </is>
      </c>
      <c r="Z17" s="253" t="inlineStr">
        <is>
          <t>Market Rate Comp #3: No income restrictions, 1998 vintage (2 yr diff), 96 units, 48.0 mi from subject. Shows market-rate rents vs. affordable housing discount.</t>
        </is>
      </c>
      <c r="AA17" s="257" t="inlineStr">
        <is>
          <t>https://www.rentcafe.com/apartments-for-rent/us/ca/modesto/</t>
        </is>
      </c>
      <c r="AB17" s="258" t="n"/>
    </row>
    <row r="18" ht="21.75" customFormat="1" customHeight="1" s="3">
      <c r="B18" s="252" t="inlineStr">
        <is>
          <t>Blackberry Oaks</t>
        </is>
      </c>
      <c r="C18" s="253" t="inlineStr">
        <is>
          <t>Sonora Rental Market (est.)</t>
        </is>
      </c>
      <c r="D18" s="254" t="inlineStr">
        <is>
          <t>22316 Longeway Rd</t>
        </is>
      </c>
      <c r="E18" s="116" t="inlineStr">
        <is>
          <t>Sonora</t>
        </is>
      </c>
      <c r="F18" s="116" t="inlineStr">
        <is>
          <t>CA</t>
        </is>
      </c>
      <c r="G18" s="116" t="n"/>
      <c r="H18" s="116" t="inlineStr">
        <is>
          <t>3.0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$1,500</t>
        </is>
      </c>
      <c r="L18" s="384" t="n">
        <v>1575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$1,970</t>
        </is>
      </c>
      <c r="P18" s="384" t="n">
        <v>1950</v>
      </c>
      <c r="Q18" s="255" t="inlineStr">
        <is>
          <t>80</t>
        </is>
      </c>
      <c r="R18" s="116" t="inlineStr">
        <is>
          <t>2001</t>
        </is>
      </c>
      <c r="S18" s="116" t="inlineStr">
        <is>
          <t>1</t>
        </is>
      </c>
      <c r="T18" s="116" t="inlineStr">
        <is>
          <t>Varies</t>
        </is>
      </c>
      <c r="U18" s="116" t="inlineStr">
        <is>
          <t>Varies</t>
        </is>
      </c>
      <c r="V18" s="116" t="inlineStr">
        <is>
          <t>Varies</t>
        </is>
      </c>
      <c r="W18" s="116" t="inlineStr">
        <is>
          <t>Varies</t>
        </is>
      </c>
      <c r="X18" s="116" t="inlineStr">
        <is>
          <t>Varies</t>
        </is>
      </c>
      <c r="Y18" s="116" t="inlineStr">
        <is>
          <t>MODERATE</t>
        </is>
      </c>
      <c r="Z18" s="253" t="inlineStr">
        <is>
          <t>Market Rate Comp #4: No income restrictions, 2001 vintage (1 yr diff), 80 units, 50.0 mi from subject. Shows market-rate rents vs. affordable housing discount.</t>
        </is>
      </c>
      <c r="AA18" s="257" t="inlineStr">
        <is>
          <t>https://www.rentcafe.com/apartments-for-rent/us/ca/modesto/</t>
        </is>
      </c>
      <c r="AB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Tuolumne County, CA</t>
        </is>
      </c>
      <c r="D19" s="254" t="inlineStr">
        <is>
          <t>N/A</t>
        </is>
      </c>
      <c r="E19" s="116" t="inlineStr">
        <is>
          <t>Jamestown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$1,500</t>
        </is>
      </c>
      <c r="J19" s="116" t="inlineStr">
        <is>
          <t>$1,500</t>
        </is>
      </c>
      <c r="K19" s="116" t="inlineStr">
        <is>
          <t>$1,500</t>
        </is>
      </c>
      <c r="L19" s="116" t="inlineStr">
        <is>
          <t>N/A</t>
        </is>
      </c>
      <c r="M19" s="255" t="inlineStr">
        <is>
          <t>$1,970</t>
        </is>
      </c>
      <c r="N19" s="116" t="inlineStr">
        <is>
          <t>$1,970</t>
        </is>
      </c>
      <c r="O19" s="116" t="inlineStr">
        <is>
          <t>$1,970</t>
        </is>
      </c>
      <c r="P19" s="116" t="inlineStr">
        <is>
          <t>N/A</t>
        </is>
      </c>
      <c r="Q19" s="255" t="inlineStr">
        <is>
          <t>N/A</t>
        </is>
      </c>
      <c r="R19" s="116" t="inlineStr">
        <is>
          <t>N/A</t>
        </is>
      </c>
      <c r="S19" s="116" t="inlineStr">
        <is>
          <t>N/A</t>
        </is>
      </c>
      <c r="T19" s="116" t="inlineStr">
        <is>
          <t>N/A</t>
        </is>
      </c>
      <c r="U19" s="116" t="inlineStr">
        <is>
          <t>N/A</t>
        </is>
      </c>
      <c r="V19" s="116" t="inlineStr">
        <is>
          <t>N/A</t>
        </is>
      </c>
      <c r="W19" s="116" t="inlineStr">
        <is>
          <t>N/A</t>
        </is>
      </c>
      <c r="X19" s="116" t="inlineStr">
        <is>
          <t>N/A</t>
        </is>
      </c>
      <c r="Y19" s="116" t="inlineStr">
        <is>
          <t>BENCHMARK</t>
        </is>
      </c>
      <c r="Z19" s="25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57" t="inlineStr">
        <is>
          <t>HUD FMR Database (huduser.gov)</t>
        </is>
      </c>
      <c r="AB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Jamestown</t>
        </is>
      </c>
      <c r="D20" s="254" t="inlineStr">
        <is>
          <t>N/A</t>
        </is>
      </c>
      <c r="E20" s="116" t="inlineStr">
        <is>
          <t>Jamestown</t>
        </is>
      </c>
      <c r="F20" s="116" t="inlineStr">
        <is>
          <t>CA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$1,650</t>
        </is>
      </c>
      <c r="J20" s="116" t="inlineStr">
        <is>
          <t>$1,650</t>
        </is>
      </c>
      <c r="K20" s="116" t="inlineStr">
        <is>
          <t>$1,650</t>
        </is>
      </c>
      <c r="L20" s="116" t="inlineStr">
        <is>
          <t>N/A</t>
        </is>
      </c>
      <c r="M20" s="255" t="inlineStr">
        <is>
          <t>$2,167</t>
        </is>
      </c>
      <c r="N20" s="116" t="inlineStr">
        <is>
          <t>$2,167</t>
        </is>
      </c>
      <c r="O20" s="116" t="inlineStr">
        <is>
          <t>$2,167</t>
        </is>
      </c>
      <c r="P20" s="116" t="inlineStr">
        <is>
          <t>N/A</t>
        </is>
      </c>
      <c r="Q20" s="255" t="inlineStr">
        <is>
          <t>N/A</t>
        </is>
      </c>
      <c r="R20" s="116" t="inlineStr">
        <is>
          <t>N/A</t>
        </is>
      </c>
      <c r="S20" s="116" t="inlineStr">
        <is>
          <t>N/A</t>
        </is>
      </c>
      <c r="T20" s="116" t="inlineStr">
        <is>
          <t>N/A</t>
        </is>
      </c>
      <c r="U20" s="116" t="inlineStr">
        <is>
          <t>N/A</t>
        </is>
      </c>
      <c r="V20" s="116" t="inlineStr">
        <is>
          <t>N/A</t>
        </is>
      </c>
      <c r="W20" s="116" t="inlineStr">
        <is>
          <t>N/A</t>
        </is>
      </c>
      <c r="X20" s="116" t="inlineStr">
        <is>
          <t>N/A</t>
        </is>
      </c>
      <c r="Y20" s="116" t="inlineStr">
        <is>
          <t>BENCHMARK</t>
        </is>
      </c>
      <c r="Z20" s="253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0" s="257" t="inlineStr">
        <is>
          <t>HUD FMR + Market Estimate</t>
        </is>
      </c>
      <c r="AB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2BD</t>
        </is>
      </c>
      <c r="C27" s="375" t="n">
        <v>1308</v>
      </c>
      <c r="D27" s="376" t="n">
        <v>1650</v>
      </c>
      <c r="E27" s="377" t="n">
        <v>-342</v>
      </c>
    </row>
    <row r="28" ht="20.25" customFormat="1" customHeight="1" s="3">
      <c r="B28" s="272" t="inlineStr">
        <is>
          <t>3BD</t>
        </is>
      </c>
      <c r="C28" s="375" t="n">
        <v>1526.47</v>
      </c>
      <c r="D28" s="376" t="n">
        <v>2050</v>
      </c>
      <c r="E28" s="377" t="n">
        <v>-523.53</v>
      </c>
    </row>
    <row r="29" ht="20.25" customFormat="1" customHeight="1" s="3">
      <c r="B29" s="272" t="inlineStr">
        <is>
          <t>2BD</t>
        </is>
      </c>
      <c r="C29" s="375" t="n">
        <v>1308</v>
      </c>
      <c r="D29" s="376" t="n">
        <v>1150</v>
      </c>
      <c r="E29" s="381" t="n">
        <v>158</v>
      </c>
    </row>
    <row r="30" ht="20.25" customFormat="1" customHeight="1" s="3">
      <c r="B30" s="272" t="inlineStr">
        <is>
          <t>3BD</t>
        </is>
      </c>
      <c r="C30" s="375" t="n">
        <v>1526.47</v>
      </c>
      <c r="D30" s="376" t="n">
        <v>1300</v>
      </c>
      <c r="E30" s="381" t="n">
        <v>226.47</v>
      </c>
    </row>
    <row r="31" ht="20.25" customFormat="1" customHeight="1" s="3">
      <c r="B31" s="272" t="inlineStr">
        <is>
          <t>2BD</t>
        </is>
      </c>
      <c r="C31" s="375" t="n">
        <v>1308</v>
      </c>
      <c r="D31" s="376" t="n">
        <v>749</v>
      </c>
      <c r="E31" s="381" t="n">
        <v>559</v>
      </c>
    </row>
    <row r="32" ht="20.25" customFormat="1" customHeight="1" s="3">
      <c r="B32" s="272" t="inlineStr">
        <is>
          <t>3BD</t>
        </is>
      </c>
      <c r="C32" s="375" t="n">
        <v>1526.47</v>
      </c>
      <c r="D32" s="376" t="n">
        <v>849</v>
      </c>
      <c r="E32" s="381" t="n">
        <v>677.47</v>
      </c>
    </row>
    <row r="33" ht="20.25" customFormat="1" customHeight="1" s="3">
      <c r="B33" s="272" t="inlineStr">
        <is>
          <t>2BD</t>
        </is>
      </c>
      <c r="C33" s="375" t="n">
        <v>1308</v>
      </c>
      <c r="D33" s="376" t="n">
        <v>1185</v>
      </c>
      <c r="E33" s="381" t="n">
        <v>123</v>
      </c>
    </row>
    <row r="34" ht="20.25" customFormat="1" customHeight="1" s="3">
      <c r="B34" s="272" t="inlineStr">
        <is>
          <t>3BD</t>
        </is>
      </c>
      <c r="C34" s="375" t="n">
        <v>1526.47</v>
      </c>
      <c r="D34" s="376" t="n">
        <v>1353</v>
      </c>
      <c r="E34" s="381" t="n">
        <v>173.47</v>
      </c>
    </row>
    <row r="35" ht="20.25" customFormat="1" customHeight="1" s="3">
      <c r="B35" s="272" t="inlineStr">
        <is>
          <t>2BD</t>
        </is>
      </c>
      <c r="C35" s="375" t="n">
        <v>1308</v>
      </c>
      <c r="D35" s="376" t="n">
        <v>1855</v>
      </c>
      <c r="E35" s="377" t="n">
        <v>-547</v>
      </c>
    </row>
    <row r="36" ht="20.25" customFormat="1" customHeight="1" s="3">
      <c r="B36" s="272" t="inlineStr">
        <is>
          <t>3BD</t>
        </is>
      </c>
      <c r="C36" s="375" t="n">
        <v>1526.47</v>
      </c>
      <c r="D36" s="376" t="n">
        <v>2363</v>
      </c>
      <c r="E36" s="377" t="n">
        <v>-836.53</v>
      </c>
    </row>
    <row r="39" ht="18" customFormat="1" customHeight="1" s="3">
      <c r="B39" s="270" t="inlineStr">
        <is>
          <t>PMTS — Vouchers / FMR / UAP / NET</t>
        </is>
      </c>
      <c r="C39" s="294" t="n"/>
      <c r="D39" s="294" t="n"/>
      <c r="E39" s="294" t="n"/>
      <c r="F39" s="294" t="n"/>
      <c r="G39" s="294" t="n"/>
      <c r="H39" s="295" t="n"/>
    </row>
    <row r="40" ht="15.75" customFormat="1" customHeight="1" s="3">
      <c r="C40" s="378">
        <f>'Current Rents'!E43</f>
        <v/>
      </c>
      <c r="D40" s="271" t="inlineStr">
        <is>
          <t>VCH</t>
        </is>
      </c>
      <c r="E40" s="271" t="inlineStr">
        <is>
          <t>FMR</t>
        </is>
      </c>
      <c r="F40" s="271" t="inlineStr">
        <is>
          <t>UAP</t>
        </is>
      </c>
      <c r="G40" s="271" t="inlineStr">
        <is>
          <t>NET</t>
        </is>
      </c>
    </row>
    <row r="41" ht="20.25" customFormat="1" customHeight="1" s="3">
      <c r="B41" s="272" t="inlineStr">
        <is>
          <t>2BD</t>
        </is>
      </c>
      <c r="C41" s="292">
        <f>'Current Rents'!F43</f>
        <v/>
      </c>
      <c r="D41" s="382" t="n">
        <v>1150</v>
      </c>
      <c r="E41" s="379" t="n">
        <v>1270</v>
      </c>
      <c r="F41" s="380" t="n">
        <v>138</v>
      </c>
      <c r="G41" s="292" t="n">
        <v>1132</v>
      </c>
    </row>
    <row r="42" ht="20.25" customFormat="1" customHeight="1" s="3">
      <c r="B42" s="272" t="inlineStr">
        <is>
          <t>3BD</t>
        </is>
      </c>
      <c r="C42" s="292" t="n">
        <v>1526.47</v>
      </c>
      <c r="D42" s="382" t="n">
        <v>1300</v>
      </c>
      <c r="E42" s="379" t="n">
        <v>1670</v>
      </c>
      <c r="F42" s="380" t="n">
        <v>177</v>
      </c>
      <c r="G42" s="292" t="n">
        <v>1493</v>
      </c>
    </row>
  </sheetData>
  <mergeCells count="9">
    <mergeCell ref="B4:Y4"/>
    <mergeCell ref="B7:AB7"/>
    <mergeCell ref="B6:AB6"/>
    <mergeCell ref="B39:H39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58 - River Garden  |  ? Units  |  Section 8 / HUD  |  2BD &amp; 3BD</t>
        </is>
      </c>
      <c r="AI4" s="294" t="n"/>
      <c r="AJ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4BD
50% AMI</t>
        </is>
      </c>
      <c r="S8" s="64" t="inlineStr">
        <is>
          <t>4BD
60% AMI</t>
        </is>
      </c>
      <c r="T8" s="64" t="inlineStr">
        <is>
          <t>4BD
FMR</t>
        </is>
      </c>
      <c r="U8" s="64" t="inlineStr">
        <is>
          <t>4BD
Actual</t>
        </is>
      </c>
      <c r="V8" s="64" t="inlineStr">
        <is>
          <t>5BD
50% AMI</t>
        </is>
      </c>
      <c r="W8" s="64" t="inlineStr">
        <is>
          <t>5BD
60% AMI</t>
        </is>
      </c>
      <c r="X8" s="64" t="inlineStr">
        <is>
          <t>5BD
FMR</t>
        </is>
      </c>
      <c r="Y8" s="64" t="inlineStr">
        <is>
          <t>5BD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3BD 50% AMI ($)</t>
        </is>
      </c>
      <c r="N9" s="116" t="inlineStr">
        <is>
          <t>3BD 60% AMI ($)</t>
        </is>
      </c>
      <c r="O9" s="116" t="inlineStr">
        <is>
          <t>3BR FMR ($)</t>
        </is>
      </c>
      <c r="P9" s="116" t="inlineStr">
        <is>
          <t>3BR Actual ($)</t>
        </is>
      </c>
      <c r="Q9" s="255" t="inlineStr">
        <is>
          <t>4BD 50% AMI ($)</t>
        </is>
      </c>
      <c r="R9" s="116" t="inlineStr">
        <is>
          <t>4BD 60% AMI ($)</t>
        </is>
      </c>
      <c r="S9" s="116" t="inlineStr">
        <is>
          <t>4BR FMR ($)</t>
        </is>
      </c>
      <c r="T9" s="116" t="inlineStr">
        <is>
          <t>4BR Actual ($)</t>
        </is>
      </c>
      <c r="U9" s="255" t="inlineStr">
        <is>
          <t>5BD 50% AMI ($)</t>
        </is>
      </c>
      <c r="V9" s="116" t="inlineStr">
        <is>
          <t>5BD 60% AMI ($)</t>
        </is>
      </c>
      <c r="W9" s="116" t="inlineStr">
        <is>
          <t>5BR FMR ($)</t>
        </is>
      </c>
      <c r="X9" s="116" t="inlineStr">
        <is>
          <t>5BR Actual ($)</t>
        </is>
      </c>
      <c r="Y9" s="255" t="inlineStr">
        <is>
          <t># Units</t>
        </is>
      </c>
      <c r="Z9" s="116" t="inlineStr">
        <is>
          <t>Year Built</t>
        </is>
      </c>
      <c r="AA9" s="116" t="inlineStr">
        <is>
          <t>Yr Diff</t>
        </is>
      </c>
      <c r="AB9" s="116" t="inlineStr">
        <is>
          <t>Utilities Incl.</t>
        </is>
      </c>
      <c r="AC9" s="116" t="inlineStr">
        <is>
          <t>Pet Friendly</t>
        </is>
      </c>
      <c r="AD9" s="116" t="inlineStr">
        <is>
          <t>Gated</t>
        </is>
      </c>
      <c r="AE9" s="116" t="inlineStr">
        <is>
          <t>Pool</t>
        </is>
      </c>
      <c r="AF9" s="116" t="inlineStr">
        <is>
          <t>W/D In-Unit</t>
        </is>
      </c>
      <c r="AG9" s="116" t="inlineStr">
        <is>
          <t>Competition Level</t>
        </is>
      </c>
      <c r="AH9" s="253" t="inlineStr">
        <is>
          <t>Why Competitive</t>
        </is>
      </c>
      <c r="AI9" s="257" t="inlineStr">
        <is>
          <t>Data Source</t>
        </is>
      </c>
      <c r="AJ9" s="258" t="n"/>
    </row>
    <row r="10" ht="21.75" customFormat="1" customHeight="1" s="3">
      <c r="B10" s="71" t="inlineStr">
        <is>
          <t>SUBJECT</t>
        </is>
      </c>
      <c r="C10" s="253" t="inlineStr">
        <is>
          <t>River Garden (SUBJECT)</t>
        </is>
      </c>
      <c r="D10" s="285" t="inlineStr">
        <is>
          <t>Sonora</t>
        </is>
      </c>
      <c r="E10" s="239" t="inlineStr">
        <is>
          <t>Sonora</t>
        </is>
      </c>
      <c r="F10" s="239" t="inlineStr">
        <is>
          <t>CA</t>
        </is>
      </c>
      <c r="G10" s="239" t="inlineStr">
        <is>
          <t>95370</t>
        </is>
      </c>
      <c r="H10" s="239" t="inlineStr">
        <is>
          <t>0.0 mi</t>
        </is>
      </c>
      <c r="I10" s="239" t="inlineStr">
        <is>
          <t>$3,812</t>
        </is>
      </c>
      <c r="J10" s="239" t="inlineStr">
        <is>
          <t>$4,575</t>
        </is>
      </c>
      <c r="K10" s="239" t="inlineStr">
        <is>
          <t>$1,500</t>
        </is>
      </c>
      <c r="L10" s="239">
        <f>B29</f>
        <v/>
      </c>
      <c r="M10" s="255" t="inlineStr">
        <is>
          <t>$4,233</t>
        </is>
      </c>
      <c r="N10" s="239" t="inlineStr">
        <is>
          <t>$5,080</t>
        </is>
      </c>
      <c r="O10" s="239" t="inlineStr">
        <is>
          <t>$1,970</t>
        </is>
      </c>
      <c r="P10" s="239">
        <f>B30</f>
        <v/>
      </c>
      <c r="Q10" s="255" t="inlineStr">
        <is>
          <t>$4,575</t>
        </is>
      </c>
      <c r="R10" s="239" t="inlineStr">
        <is>
          <t>$5,490</t>
        </is>
      </c>
      <c r="S10" s="239" t="inlineStr">
        <is>
          <t>$2,277</t>
        </is>
      </c>
      <c r="T10" s="239">
        <f>B31</f>
        <v/>
      </c>
      <c r="U10" s="255" t="inlineStr">
        <is>
          <t>$4,912</t>
        </is>
      </c>
      <c r="V10" s="239" t="inlineStr">
        <is>
          <t>$5,895</t>
        </is>
      </c>
      <c r="W10" s="239" t="inlineStr">
        <is>
          <t>$2,619</t>
        </is>
      </c>
      <c r="X10" s="239" t="inlineStr">
        <is>
          <t>N/A</t>
        </is>
      </c>
      <c r="Y10" s="255" t="inlineStr">
        <is>
          <t>123</t>
        </is>
      </c>
      <c r="Z10" s="239" t="inlineStr">
        <is>
          <t>1995</t>
        </is>
      </c>
      <c r="AA10" s="239" t="inlineStr">
        <is>
          <t>0</t>
        </is>
      </c>
      <c r="AB10" s="239" t="inlineStr">
        <is>
          <t>Partial</t>
        </is>
      </c>
      <c r="AC10" s="242" t="inlineStr">
        <is>
          <t>No</t>
        </is>
      </c>
      <c r="AD10" s="242" t="inlineStr">
        <is>
          <t>No</t>
        </is>
      </c>
      <c r="AE10" s="242" t="inlineStr">
        <is>
          <t>No</t>
        </is>
      </c>
      <c r="AF10" s="242" t="inlineStr">
        <is>
          <t>No</t>
        </is>
      </c>
      <c r="AG10" s="239" t="inlineStr">
        <is>
          <t>SUBJECT</t>
        </is>
      </c>
      <c r="AH10" s="253" t="inlineStr">
        <is>
          <t>123 units | Section 8/HUD property. Year built: 1995. Subject property for market context.</t>
        </is>
      </c>
      <c r="AI10" s="243" t="inlineStr">
        <is>
          <t>Apartment Corp Records</t>
        </is>
      </c>
      <c r="AJ10" s="244" t="n"/>
    </row>
    <row r="11" ht="21.75" customFormat="1" customHeight="1" s="3">
      <c r="B11" s="252" t="inlineStr">
        <is>
          <t>AFFORDABLE</t>
        </is>
      </c>
      <c r="C11" s="253" t="inlineStr">
        <is>
          <t>Columbia Village Townhomes</t>
        </is>
      </c>
      <c r="D11" s="254" t="inlineStr">
        <is>
          <t>11439 Columbia Village Dr</t>
        </is>
      </c>
      <c r="E11" s="116" t="inlineStr">
        <is>
          <t>Sonora</t>
        </is>
      </c>
      <c r="F11" s="116" t="inlineStr">
        <is>
          <t>CA</t>
        </is>
      </c>
      <c r="G11" s="116" t="inlineStr">
        <is>
          <t>95370</t>
        </is>
      </c>
      <c r="H11" s="116" t="inlineStr">
        <is>
          <t>2.7 mi</t>
        </is>
      </c>
      <c r="I11" s="116" t="inlineStr">
        <is>
          <t>$3,812</t>
        </is>
      </c>
      <c r="J11" s="116" t="inlineStr">
        <is>
          <t>$4,575</t>
        </is>
      </c>
      <c r="K11" s="116" t="inlineStr">
        <is>
          <t>$1,500</t>
        </is>
      </c>
      <c r="L11" s="116" t="inlineStr">
        <is>
          <t>Not Listed</t>
        </is>
      </c>
      <c r="M11" s="255" t="inlineStr">
        <is>
          <t>$4,233</t>
        </is>
      </c>
      <c r="N11" s="116" t="inlineStr">
        <is>
          <t>$5,080</t>
        </is>
      </c>
      <c r="O11" s="116" t="inlineStr">
        <is>
          <t>$1,970</t>
        </is>
      </c>
      <c r="P11" s="116" t="inlineStr">
        <is>
          <t>Not Listed</t>
        </is>
      </c>
      <c r="Q11" s="255" t="inlineStr">
        <is>
          <t>$4,575</t>
        </is>
      </c>
      <c r="R11" s="116" t="inlineStr">
        <is>
          <t>$5,490</t>
        </is>
      </c>
      <c r="S11" s="116" t="inlineStr">
        <is>
          <t>$2,277</t>
        </is>
      </c>
      <c r="T11" s="116" t="inlineStr">
        <is>
          <t>Not Listed</t>
        </is>
      </c>
      <c r="U11" s="255" t="inlineStr">
        <is>
          <t>$4,912</t>
        </is>
      </c>
      <c r="V11" s="116" t="inlineStr">
        <is>
          <t>$5,895</t>
        </is>
      </c>
      <c r="W11" s="116" t="inlineStr">
        <is>
          <t>$2,619</t>
        </is>
      </c>
      <c r="X11" s="116" t="inlineStr">
        <is>
          <t>Not Listed</t>
        </is>
      </c>
      <c r="Y11" s="255" t="inlineStr">
        <is>
          <t>80</t>
        </is>
      </c>
      <c r="Z11" s="116" t="inlineStr">
        <is>
          <t>1998</t>
        </is>
      </c>
      <c r="AA11" s="116" t="inlineStr">
        <is>
          <t>3</t>
        </is>
      </c>
      <c r="AB11" s="116" t="inlineStr">
        <is>
          <t>Yes</t>
        </is>
      </c>
      <c r="AC11" s="256" t="inlineStr">
        <is>
          <t>No</t>
        </is>
      </c>
      <c r="AD11" s="256" t="inlineStr">
        <is>
          <t>No</t>
        </is>
      </c>
      <c r="AE11" s="256" t="inlineStr">
        <is>
          <t>No</t>
        </is>
      </c>
      <c r="AF11" s="256" t="inlineStr">
        <is>
          <t>No</t>
        </is>
      </c>
      <c r="AG11" s="116" t="inlineStr">
        <is>
          <t>HIGH</t>
        </is>
      </c>
      <c r="AH11" s="253" t="inlineStr">
        <is>
          <t>Affordable Comp #2: LIHTC property, 1998 vintage (3 yr diff), 80 units, 2.7 mi from subject. Same income-eligible renter pool.</t>
        </is>
      </c>
      <c r="AI11" s="257" t="inlineStr">
        <is>
          <t>HUD LIHTC Database (huduser.gov)</t>
        </is>
      </c>
      <c r="AJ11" s="258" t="n"/>
    </row>
    <row r="12" ht="21.75" customFormat="1" customHeight="1" s="3">
      <c r="B12" s="252" t="inlineStr">
        <is>
          <t>AFFORDABLE</t>
        </is>
      </c>
      <c r="C12" s="253" t="inlineStr">
        <is>
          <t>Oak Hills Apts</t>
        </is>
      </c>
      <c r="D12" s="254" t="inlineStr">
        <is>
          <t>10260 Preston Ln</t>
        </is>
      </c>
      <c r="E12" s="116" t="inlineStr">
        <is>
          <t>Jamestown</t>
        </is>
      </c>
      <c r="F12" s="116" t="inlineStr">
        <is>
          <t>CA</t>
        </is>
      </c>
      <c r="G12" s="116" t="inlineStr">
        <is>
          <t>95327</t>
        </is>
      </c>
      <c r="H12" s="116" t="inlineStr">
        <is>
          <t>3.1 mi</t>
        </is>
      </c>
      <c r="I12" s="116" t="inlineStr">
        <is>
          <t>$3,812</t>
        </is>
      </c>
      <c r="J12" s="116" t="inlineStr">
        <is>
          <t>$4,575</t>
        </is>
      </c>
      <c r="K12" s="116" t="inlineStr">
        <is>
          <t>$1,500</t>
        </is>
      </c>
      <c r="L12" s="116" t="inlineStr">
        <is>
          <t>Not Listed</t>
        </is>
      </c>
      <c r="M12" s="255" t="inlineStr">
        <is>
          <t>$4,233</t>
        </is>
      </c>
      <c r="N12" s="116" t="inlineStr">
        <is>
          <t>$5,080</t>
        </is>
      </c>
      <c r="O12" s="116" t="inlineStr">
        <is>
          <t>$1,970</t>
        </is>
      </c>
      <c r="P12" s="116" t="inlineStr">
        <is>
          <t>Not Listed</t>
        </is>
      </c>
      <c r="Q12" s="255" t="inlineStr">
        <is>
          <t>$4,575</t>
        </is>
      </c>
      <c r="R12" s="116" t="inlineStr">
        <is>
          <t>$5,490</t>
        </is>
      </c>
      <c r="S12" s="116" t="inlineStr">
        <is>
          <t>$2,277</t>
        </is>
      </c>
      <c r="T12" s="116" t="inlineStr">
        <is>
          <t>Not Listed</t>
        </is>
      </c>
      <c r="U12" s="255" t="inlineStr">
        <is>
          <t>$4,912</t>
        </is>
      </c>
      <c r="V12" s="116" t="inlineStr">
        <is>
          <t>$5,895</t>
        </is>
      </c>
      <c r="W12" s="116" t="inlineStr">
        <is>
          <t>$2,619</t>
        </is>
      </c>
      <c r="X12" s="116" t="inlineStr">
        <is>
          <t>Not Listed</t>
        </is>
      </c>
      <c r="Y12" s="255" t="inlineStr">
        <is>
          <t>80</t>
        </is>
      </c>
      <c r="Z12" s="116" t="inlineStr">
        <is>
          <t>1998</t>
        </is>
      </c>
      <c r="AA12" s="116" t="inlineStr">
        <is>
          <t>3</t>
        </is>
      </c>
      <c r="AB12" s="116" t="inlineStr">
        <is>
          <t>Yes</t>
        </is>
      </c>
      <c r="AC12" s="256" t="inlineStr">
        <is>
          <t>No</t>
        </is>
      </c>
      <c r="AD12" s="256" t="inlineStr">
        <is>
          <t>No</t>
        </is>
      </c>
      <c r="AE12" s="256" t="inlineStr">
        <is>
          <t>No</t>
        </is>
      </c>
      <c r="AF12" s="256" t="inlineStr">
        <is>
          <t>No</t>
        </is>
      </c>
      <c r="AG12" s="116" t="inlineStr">
        <is>
          <t>HIGH</t>
        </is>
      </c>
      <c r="AH12" s="253" t="inlineStr">
        <is>
          <t>Affordable Comp #3: LIHTC property, 1998 vintage (3 yr diff), 80 units, 3.1 mi from subject. Same income-eligible renter pool.</t>
        </is>
      </c>
      <c r="AI12" s="257" t="inlineStr">
        <is>
          <t>HUD LIHTC Database (huduser.gov)</t>
        </is>
      </c>
      <c r="AJ12" s="258" t="n"/>
    </row>
    <row r="13" ht="21.75" customFormat="1" customHeight="1" s="3">
      <c r="B13" s="252" t="inlineStr">
        <is>
          <t>AFFORDABLE</t>
        </is>
      </c>
      <c r="C13" s="253" t="inlineStr">
        <is>
          <t>Murphys Senior Apts</t>
        </is>
      </c>
      <c r="D13" s="254" t="inlineStr">
        <is>
          <t>350 Bret Harte Ln</t>
        </is>
      </c>
      <c r="E13" s="116" t="inlineStr">
        <is>
          <t>Murphys</t>
        </is>
      </c>
      <c r="F13" s="116" t="inlineStr">
        <is>
          <t>CA</t>
        </is>
      </c>
      <c r="G13" s="116" t="inlineStr">
        <is>
          <t>95247</t>
        </is>
      </c>
      <c r="H13" s="116" t="inlineStr">
        <is>
          <t>12.5 mi</t>
        </is>
      </c>
      <c r="I13" s="116" t="inlineStr">
        <is>
          <t>$3,812</t>
        </is>
      </c>
      <c r="J13" s="116" t="inlineStr">
        <is>
          <t>$4,575</t>
        </is>
      </c>
      <c r="K13" s="116" t="inlineStr">
        <is>
          <t>$1,500</t>
        </is>
      </c>
      <c r="L13" s="116" t="inlineStr">
        <is>
          <t>Not Listed</t>
        </is>
      </c>
      <c r="M13" s="255" t="inlineStr">
        <is>
          <t>$4,233</t>
        </is>
      </c>
      <c r="N13" s="116" t="inlineStr">
        <is>
          <t>$5,080</t>
        </is>
      </c>
      <c r="O13" s="116" t="inlineStr">
        <is>
          <t>$1,970</t>
        </is>
      </c>
      <c r="P13" s="116" t="inlineStr">
        <is>
          <t>Not Listed</t>
        </is>
      </c>
      <c r="Q13" s="255" t="inlineStr">
        <is>
          <t>$4,575</t>
        </is>
      </c>
      <c r="R13" s="116" t="inlineStr">
        <is>
          <t>$5,490</t>
        </is>
      </c>
      <c r="S13" s="116" t="inlineStr">
        <is>
          <t>$2,277</t>
        </is>
      </c>
      <c r="T13" s="116" t="inlineStr">
        <is>
          <t>Not Listed</t>
        </is>
      </c>
      <c r="U13" s="255" t="inlineStr">
        <is>
          <t>$4,912</t>
        </is>
      </c>
      <c r="V13" s="116" t="inlineStr">
        <is>
          <t>$5,895</t>
        </is>
      </c>
      <c r="W13" s="116" t="inlineStr">
        <is>
          <t>$2,619</t>
        </is>
      </c>
      <c r="X13" s="116" t="inlineStr">
        <is>
          <t>Not Listed</t>
        </is>
      </c>
      <c r="Y13" s="255" t="inlineStr">
        <is>
          <t>24</t>
        </is>
      </c>
      <c r="Z13" s="116" t="inlineStr">
        <is>
          <t>1995</t>
        </is>
      </c>
      <c r="AA13" s="116" t="inlineStr">
        <is>
          <t>0</t>
        </is>
      </c>
      <c r="AB13" s="116" t="inlineStr">
        <is>
          <t>Yes</t>
        </is>
      </c>
      <c r="AC13" s="256" t="inlineStr">
        <is>
          <t>No</t>
        </is>
      </c>
      <c r="AD13" s="256" t="inlineStr">
        <is>
          <t>No</t>
        </is>
      </c>
      <c r="AE13" s="256" t="inlineStr">
        <is>
          <t>No</t>
        </is>
      </c>
      <c r="AF13" s="256" t="inlineStr">
        <is>
          <t>No</t>
        </is>
      </c>
      <c r="AG13" s="116" t="inlineStr">
        <is>
          <t>HIGH</t>
        </is>
      </c>
      <c r="AH13" s="253" t="inlineStr">
        <is>
          <t>Affordable Comp #4: LIHTC property, 1995 vintage (0 yr diff), 24 units, 12.5 mi from subject. Same income-eligible renter pool.</t>
        </is>
      </c>
      <c r="AI13" s="257" t="inlineStr">
        <is>
          <t>HUD LIHTC Database (huduser.gov)</t>
        </is>
      </c>
      <c r="AJ13" s="258" t="n"/>
    </row>
    <row r="14" ht="21.75" customFormat="1" customHeight="1" s="3">
      <c r="B14" s="252" t="inlineStr">
        <is>
          <t>MARKET RATE</t>
        </is>
      </c>
      <c r="C14" s="253" t="inlineStr">
        <is>
          <t>Quail Hollow Apartments</t>
        </is>
      </c>
      <c r="D14" s="254" t="inlineStr">
        <is>
          <t>20230 Grouse Way</t>
        </is>
      </c>
      <c r="E14" s="116" t="inlineStr">
        <is>
          <t>Sonora</t>
        </is>
      </c>
      <c r="F14" s="116" t="inlineStr">
        <is>
          <t>CA</t>
        </is>
      </c>
      <c r="G14" s="116" t="n"/>
      <c r="H14" s="116" t="inlineStr">
        <is>
          <t>2.0 mi</t>
        </is>
      </c>
      <c r="I14" s="116" t="inlineStr">
        <is>
          <t>N/A (Market Rate)</t>
        </is>
      </c>
      <c r="J14" s="116" t="inlineStr">
        <is>
          <t>N/A (Market Rate)</t>
        </is>
      </c>
      <c r="K14" s="116" t="inlineStr">
        <is>
          <t>$1,500</t>
        </is>
      </c>
      <c r="L14" s="384" t="n">
        <v>1650</v>
      </c>
      <c r="M14" s="255" t="inlineStr">
        <is>
          <t>N/A (Market Rate)</t>
        </is>
      </c>
      <c r="N14" s="116" t="inlineStr">
        <is>
          <t>N/A (Market Rate)</t>
        </is>
      </c>
      <c r="O14" s="116" t="inlineStr">
        <is>
          <t>$1,970</t>
        </is>
      </c>
      <c r="P14" s="384" t="n">
        <v>2050</v>
      </c>
      <c r="Q14" s="255" t="inlineStr">
        <is>
          <t>N/A (Market Rate)</t>
        </is>
      </c>
      <c r="R14" s="116" t="inlineStr">
        <is>
          <t>N/A (Market Rate)</t>
        </is>
      </c>
      <c r="S14" s="116" t="inlineStr">
        <is>
          <t>$2,277</t>
        </is>
      </c>
      <c r="T14" s="116" t="inlineStr">
        <is>
          <t>N/A</t>
        </is>
      </c>
      <c r="U14" s="255" t="inlineStr">
        <is>
          <t>N/A (Market Rate)</t>
        </is>
      </c>
      <c r="V14" s="116" t="inlineStr">
        <is>
          <t>N/A (Market Rate)</t>
        </is>
      </c>
      <c r="W14" s="116" t="inlineStr">
        <is>
          <t>$2,619</t>
        </is>
      </c>
      <c r="X14" s="116" t="inlineStr">
        <is>
          <t>Not Listed</t>
        </is>
      </c>
      <c r="Y14" s="255" t="inlineStr">
        <is>
          <t>N/A</t>
        </is>
      </c>
      <c r="Z14" s="116" t="inlineStr">
        <is>
          <t>1995</t>
        </is>
      </c>
      <c r="AA14" s="116" t="inlineStr">
        <is>
          <t>0</t>
        </is>
      </c>
      <c r="AB14" s="116" t="inlineStr">
        <is>
          <t>Varies</t>
        </is>
      </c>
      <c r="AC14" s="116" t="inlineStr">
        <is>
          <t>Varies</t>
        </is>
      </c>
      <c r="AD14" s="116" t="inlineStr">
        <is>
          <t>Varies</t>
        </is>
      </c>
      <c r="AE14" s="116" t="inlineStr">
        <is>
          <t>Varies</t>
        </is>
      </c>
      <c r="AF14" s="116" t="inlineStr">
        <is>
          <t>Varies</t>
        </is>
      </c>
      <c r="AG14" s="116" t="inlineStr">
        <is>
          <t>HIGH</t>
        </is>
      </c>
      <c r="AH14" s="253" t="inlineStr">
        <is>
          <t>Market Rate Comp #1: No income restrictions, 1995 vintage (0 yr diff), N/A units, N/A from subject. Shows market-rate rents vs. affordable housing discount.</t>
        </is>
      </c>
      <c r="AI14" s="257" t="inlineStr">
        <is>
          <t>HUD FY2026 FMR - Tuolumne County, CA (limited market rate listings in Sonora)</t>
        </is>
      </c>
      <c r="AJ14" s="258" t="n"/>
    </row>
    <row r="15" ht="21.75" customFormat="1" customHeight="1" s="3">
      <c r="B15" s="252" t="inlineStr">
        <is>
          <t>Quail Hollow Apartments</t>
        </is>
      </c>
      <c r="C15" s="253" t="inlineStr">
        <is>
          <t>Sonora Rental Market (est.)</t>
        </is>
      </c>
      <c r="D15" s="254" t="inlineStr">
        <is>
          <t>165 S Shepherd St</t>
        </is>
      </c>
      <c r="E15" s="116" t="inlineStr">
        <is>
          <t>Sonora</t>
        </is>
      </c>
      <c r="F15" s="116" t="inlineStr">
        <is>
          <t>CA</t>
        </is>
      </c>
      <c r="G15" s="116" t="n"/>
      <c r="H15" s="116" t="inlineStr">
        <is>
          <t>1.5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$1,500</t>
        </is>
      </c>
      <c r="L15" s="384" t="n">
        <v>1595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$1,970</t>
        </is>
      </c>
      <c r="P15" s="384" t="n">
        <v>1975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$2,277</t>
        </is>
      </c>
      <c r="T15" s="116" t="inlineStr">
        <is>
          <t>N/A</t>
        </is>
      </c>
      <c r="U15" s="255" t="inlineStr">
        <is>
          <t>N/A (Market Rate)</t>
        </is>
      </c>
      <c r="V15" s="116" t="inlineStr">
        <is>
          <t>N/A (Market Rate)</t>
        </is>
      </c>
      <c r="W15" s="116" t="inlineStr">
        <is>
          <t>$2,619</t>
        </is>
      </c>
      <c r="X15" s="116" t="inlineStr">
        <is>
          <t>Not Listed</t>
        </is>
      </c>
      <c r="Y15" s="255" t="inlineStr">
        <is>
          <t>120</t>
        </is>
      </c>
      <c r="Z15" s="116" t="inlineStr">
        <is>
          <t>1997</t>
        </is>
      </c>
      <c r="AA15" s="116" t="inlineStr">
        <is>
          <t>2</t>
        </is>
      </c>
      <c r="AB15" s="116" t="inlineStr">
        <is>
          <t>Varies</t>
        </is>
      </c>
      <c r="AC15" s="116" t="inlineStr">
        <is>
          <t>Varies</t>
        </is>
      </c>
      <c r="AD15" s="116" t="inlineStr">
        <is>
          <t>Varies</t>
        </is>
      </c>
      <c r="AE15" s="116" t="inlineStr">
        <is>
          <t>Varies</t>
        </is>
      </c>
      <c r="AF15" s="116" t="inlineStr">
        <is>
          <t>Varies</t>
        </is>
      </c>
      <c r="AG15" s="116" t="inlineStr">
        <is>
          <t>MODERATE</t>
        </is>
      </c>
      <c r="AH15" s="253" t="inlineStr">
        <is>
          <t>Market Rate Comp #2: No income restrictions, 1997 vintage (2 yr diff), 120 units, 45.0 mi from subject. Shows market-rate rents vs. affordable housing discount.</t>
        </is>
      </c>
      <c r="AI15" s="257" t="inlineStr">
        <is>
          <t>https://www.rentcafe.com/apartments-for-rent/us/ca/modesto/</t>
        </is>
      </c>
      <c r="AJ15" s="258" t="n"/>
    </row>
    <row r="16" ht="21.75" customFormat="1" customHeight="1" s="3">
      <c r="B16" s="252" t="inlineStr">
        <is>
          <t>Shepherd Street Apartments</t>
        </is>
      </c>
      <c r="C16" s="253" t="inlineStr">
        <is>
          <t>Sonora Rental Market (est.)</t>
        </is>
      </c>
      <c r="D16" s="254" t="inlineStr">
        <is>
          <t>100 Greenley Rd</t>
        </is>
      </c>
      <c r="E16" s="116" t="inlineStr">
        <is>
          <t>Sonora</t>
        </is>
      </c>
      <c r="F16" s="116" t="inlineStr">
        <is>
          <t>CA</t>
        </is>
      </c>
      <c r="G16" s="116" t="n"/>
      <c r="H16" s="116" t="inlineStr">
        <is>
          <t>1.0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$1,500</t>
        </is>
      </c>
      <c r="L16" s="384" t="n">
        <v>1550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$1,970</t>
        </is>
      </c>
      <c r="P16" s="384" t="n">
        <v>1925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$2,277</t>
        </is>
      </c>
      <c r="T16" s="116" t="inlineStr">
        <is>
          <t>N/A</t>
        </is>
      </c>
      <c r="U16" s="255" t="inlineStr">
        <is>
          <t>N/A (Market Rate)</t>
        </is>
      </c>
      <c r="V16" s="116" t="inlineStr">
        <is>
          <t>N/A (Market Rate)</t>
        </is>
      </c>
      <c r="W16" s="116" t="inlineStr">
        <is>
          <t>$2,619</t>
        </is>
      </c>
      <c r="X16" s="116" t="inlineStr">
        <is>
          <t>Not Listed</t>
        </is>
      </c>
      <c r="Y16" s="255" t="inlineStr">
        <is>
          <t>96</t>
        </is>
      </c>
      <c r="Z16" s="116" t="inlineStr">
        <is>
          <t>1993</t>
        </is>
      </c>
      <c r="AA16" s="116" t="inlineStr">
        <is>
          <t>2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MODERATE</t>
        </is>
      </c>
      <c r="AH16" s="253" t="inlineStr">
        <is>
          <t>Market Rate Comp #3: No income restrictions, 1993 vintage (2 yr diff), 96 units, 47.0 mi from subject. Shows market-rate rents vs. affordable housing discount.</t>
        </is>
      </c>
      <c r="AI16" s="257" t="inlineStr">
        <is>
          <t>https://www.rentcafe.com/apartments-for-rent/us/ca/modesto/</t>
        </is>
      </c>
      <c r="AJ16" s="258" t="n"/>
    </row>
    <row r="17" ht="21.75" customFormat="1" customHeight="1" s="3">
      <c r="B17" s="252" t="inlineStr">
        <is>
          <t>Blackberry Oaks</t>
        </is>
      </c>
      <c r="C17" s="253" t="inlineStr">
        <is>
          <t>Sonora Rental Market (est.)</t>
        </is>
      </c>
      <c r="D17" s="254" t="inlineStr">
        <is>
          <t>22316 Longeway Rd</t>
        </is>
      </c>
      <c r="E17" s="116" t="inlineStr">
        <is>
          <t>Sonora</t>
        </is>
      </c>
      <c r="F17" s="116" t="inlineStr">
        <is>
          <t>CA</t>
        </is>
      </c>
      <c r="G17" s="116" t="n"/>
      <c r="H17" s="116" t="inlineStr">
        <is>
          <t>3.0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$1,500</t>
        </is>
      </c>
      <c r="L17" s="384" t="n">
        <v>1650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$1,970</t>
        </is>
      </c>
      <c r="P17" s="384" t="n">
        <v>2050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$2,277</t>
        </is>
      </c>
      <c r="T17" s="116" t="inlineStr">
        <is>
          <t>N/A</t>
        </is>
      </c>
      <c r="U17" s="255" t="inlineStr">
        <is>
          <t>N/A (Market Rate)</t>
        </is>
      </c>
      <c r="V17" s="116" t="inlineStr">
        <is>
          <t>N/A (Market Rate)</t>
        </is>
      </c>
      <c r="W17" s="116" t="inlineStr">
        <is>
          <t>$2,619</t>
        </is>
      </c>
      <c r="X17" s="116" t="inlineStr">
        <is>
          <t>Not Listed</t>
        </is>
      </c>
      <c r="Y17" s="255" t="inlineStr">
        <is>
          <t>N/A</t>
        </is>
      </c>
      <c r="Z17" s="116" t="inlineStr">
        <is>
          <t>1993</t>
        </is>
      </c>
      <c r="AA17" s="116" t="inlineStr">
        <is>
          <t>2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53" t="inlineStr">
        <is>
          <t>Market Rate Comp #4: No income restrictions, 1993 vintage (2 yr diff), N/A units, N/A from subject. Shows market-rate rents vs. affordable housing discount.</t>
        </is>
      </c>
      <c r="AI17" s="257" t="inlineStr">
        <is>
          <t>HUD FY2026 FMR - Tuolumne County, CA</t>
        </is>
      </c>
      <c r="AJ17" s="258" t="n"/>
    </row>
    <row r="18" ht="21.75" customFormat="1" customHeight="1" s="3">
      <c r="B18" s="252" t="inlineStr">
        <is>
          <t>BENCHMARK</t>
        </is>
      </c>
      <c r="C18" s="253" t="inlineStr">
        <is>
          <t>FY2026 FMR — Tuolumne County, CA</t>
        </is>
      </c>
      <c r="D18" s="254" t="inlineStr">
        <is>
          <t>N/A</t>
        </is>
      </c>
      <c r="E18" s="116" t="inlineStr">
        <is>
          <t>Sonora</t>
        </is>
      </c>
      <c r="F18" s="116" t="inlineStr">
        <is>
          <t>CA</t>
        </is>
      </c>
      <c r="G18" s="116" t="inlineStr">
        <is>
          <t>N/A</t>
        </is>
      </c>
      <c r="H18" s="116" t="inlineStr">
        <is>
          <t>N/A</t>
        </is>
      </c>
      <c r="I18" s="116" t="inlineStr">
        <is>
          <t>$1,500</t>
        </is>
      </c>
      <c r="J18" s="116" t="inlineStr">
        <is>
          <t>$1,500</t>
        </is>
      </c>
      <c r="K18" s="116" t="inlineStr">
        <is>
          <t>$1,500</t>
        </is>
      </c>
      <c r="L18" s="116" t="inlineStr">
        <is>
          <t>N/A</t>
        </is>
      </c>
      <c r="M18" s="255" t="inlineStr">
        <is>
          <t>$1,970</t>
        </is>
      </c>
      <c r="N18" s="116" t="inlineStr">
        <is>
          <t>$1,970</t>
        </is>
      </c>
      <c r="O18" s="116" t="inlineStr">
        <is>
          <t>$1,970</t>
        </is>
      </c>
      <c r="P18" s="116" t="inlineStr">
        <is>
          <t>N/A</t>
        </is>
      </c>
      <c r="Q18" s="255" t="inlineStr">
        <is>
          <t>$2,277</t>
        </is>
      </c>
      <c r="R18" s="116" t="inlineStr">
        <is>
          <t>$2,277</t>
        </is>
      </c>
      <c r="S18" s="116" t="inlineStr">
        <is>
          <t>$2,277</t>
        </is>
      </c>
      <c r="T18" s="116" t="inlineStr">
        <is>
          <t>N/A</t>
        </is>
      </c>
      <c r="U18" s="255" t="inlineStr">
        <is>
          <t>$2,619</t>
        </is>
      </c>
      <c r="V18" s="116" t="inlineStr">
        <is>
          <t>$2,619</t>
        </is>
      </c>
      <c r="W18" s="116" t="inlineStr">
        <is>
          <t>$2,619</t>
        </is>
      </c>
      <c r="X18" s="116" t="inlineStr">
        <is>
          <t>N/A</t>
        </is>
      </c>
      <c r="Y18" s="255" t="inlineStr">
        <is>
          <t>N/A</t>
        </is>
      </c>
      <c r="Z18" s="116" t="inlineStr">
        <is>
          <t>N/A</t>
        </is>
      </c>
      <c r="AA18" s="116" t="inlineStr">
        <is>
          <t>N/A</t>
        </is>
      </c>
      <c r="AB18" s="116" t="inlineStr">
        <is>
          <t>N/A</t>
        </is>
      </c>
      <c r="AC18" s="116" t="inlineStr">
        <is>
          <t>N/A</t>
        </is>
      </c>
      <c r="AD18" s="116" t="inlineStr">
        <is>
          <t>N/A</t>
        </is>
      </c>
      <c r="AE18" s="116" t="inlineStr">
        <is>
          <t>N/A</t>
        </is>
      </c>
      <c r="AF18" s="116" t="inlineStr">
        <is>
          <t>N/A</t>
        </is>
      </c>
      <c r="AG18" s="116" t="inlineStr">
        <is>
          <t>BENCHMARK</t>
        </is>
      </c>
      <c r="AH18" s="25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257" t="inlineStr">
        <is>
          <t>HUD FMR Database (huduser.gov)</t>
        </is>
      </c>
      <c r="AJ18" s="258" t="n"/>
    </row>
    <row r="19" ht="21.75" customFormat="1" customHeight="1" s="3">
      <c r="B19" s="252" t="inlineStr">
        <is>
          <t>BENCHMARK</t>
        </is>
      </c>
      <c r="C19" s="253" t="inlineStr">
        <is>
          <t>Metro Market Avg — Sonora</t>
        </is>
      </c>
      <c r="D19" s="254" t="inlineStr">
        <is>
          <t>N/A</t>
        </is>
      </c>
      <c r="E19" s="116" t="inlineStr">
        <is>
          <t>Sonora</t>
        </is>
      </c>
      <c r="F19" s="116" t="inlineStr">
        <is>
          <t>CA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$1,650</t>
        </is>
      </c>
      <c r="J19" s="116" t="inlineStr">
        <is>
          <t>$1,650</t>
        </is>
      </c>
      <c r="K19" s="116" t="inlineStr">
        <is>
          <t>$1,650</t>
        </is>
      </c>
      <c r="L19" s="116" t="inlineStr">
        <is>
          <t>N/A</t>
        </is>
      </c>
      <c r="M19" s="255" t="inlineStr">
        <is>
          <t>$2,167</t>
        </is>
      </c>
      <c r="N19" s="116" t="inlineStr">
        <is>
          <t>$2,167</t>
        </is>
      </c>
      <c r="O19" s="116" t="inlineStr">
        <is>
          <t>$2,167</t>
        </is>
      </c>
      <c r="P19" s="116" t="inlineStr">
        <is>
          <t>N/A</t>
        </is>
      </c>
      <c r="Q19" s="255" t="inlineStr">
        <is>
          <t>$2,504</t>
        </is>
      </c>
      <c r="R19" s="116" t="inlineStr">
        <is>
          <t>$2,504</t>
        </is>
      </c>
      <c r="S19" s="116" t="inlineStr">
        <is>
          <t>$2,504</t>
        </is>
      </c>
      <c r="T19" s="116" t="inlineStr">
        <is>
          <t>N/A</t>
        </is>
      </c>
      <c r="U19" s="255" t="inlineStr">
        <is>
          <t>$2,880</t>
        </is>
      </c>
      <c r="V19" s="116" t="inlineStr">
        <is>
          <t>$2,880</t>
        </is>
      </c>
      <c r="W19" s="116" t="inlineStr">
        <is>
          <t>$2,880</t>
        </is>
      </c>
      <c r="X19" s="116" t="inlineStr">
        <is>
          <t>N/A</t>
        </is>
      </c>
      <c r="Y19" s="25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116" t="inlineStr">
        <is>
          <t>N/A</t>
        </is>
      </c>
      <c r="AF19" s="116" t="inlineStr">
        <is>
          <t>N/A</t>
        </is>
      </c>
      <c r="AG19" s="116" t="inlineStr">
        <is>
          <t>BENCHMARK</t>
        </is>
      </c>
      <c r="AH19" s="25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257" t="inlineStr">
        <is>
          <t>HUD FMR + Market Estimate</t>
        </is>
      </c>
      <c r="AJ19" s="258" t="n"/>
    </row>
    <row r="21" ht="14.25" customFormat="1" customHeight="1" s="3">
      <c r="B21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1" s="294" t="n"/>
      <c r="D21" s="294" t="n"/>
      <c r="E21" s="294" t="n"/>
      <c r="F21" s="294" t="n"/>
      <c r="G21" s="294" t="n"/>
      <c r="H21" s="294" t="n"/>
      <c r="I21" s="294" t="n"/>
      <c r="J21" s="294" t="n"/>
      <c r="K21" s="294" t="n"/>
      <c r="L21" s="294" t="n"/>
      <c r="M21" s="294" t="n"/>
      <c r="N21" s="294" t="n"/>
      <c r="O21" s="294" t="n"/>
      <c r="P21" s="294" t="n"/>
      <c r="Q21" s="294" t="n"/>
      <c r="R21" s="294" t="n"/>
      <c r="S21" s="294" t="n"/>
      <c r="T21" s="294" t="n"/>
      <c r="U21" s="294" t="n"/>
      <c r="V21" s="294" t="n"/>
      <c r="W21" s="294" t="n"/>
      <c r="X21" s="294" t="n"/>
      <c r="Y21" s="294" t="n"/>
      <c r="Z21" s="294" t="n"/>
      <c r="AA21" s="294" t="n"/>
      <c r="AB21" s="294" t="n"/>
      <c r="AC21" s="294" t="n"/>
      <c r="AD21" s="294" t="n"/>
      <c r="AE21" s="294" t="n"/>
      <c r="AF21" s="294" t="n"/>
      <c r="AG21" s="294" t="n"/>
      <c r="AH21" s="294" t="n"/>
      <c r="AI21" s="294" t="n"/>
      <c r="AJ21" s="295" t="n"/>
    </row>
    <row r="23" ht="18" customFormat="1" customHeight="1" s="3">
      <c r="B23" s="270" t="inlineStr">
        <is>
          <t>CURRENT RENT vs. MARKET AVERAGE</t>
        </is>
      </c>
      <c r="C23" s="294" t="n"/>
      <c r="D23" s="294" t="n"/>
      <c r="E23" s="294" t="n"/>
      <c r="F23" s="294" t="n"/>
      <c r="G23" s="294" t="n"/>
      <c r="H23" s="295" t="n"/>
    </row>
    <row r="24" ht="15.75" customFormat="1" customHeight="1" s="3">
      <c r="B24" s="235" t="inlineStr">
        <is>
          <t>Market Average = Avg of Actual Advertised Rents from 6 Market-Rate Comps (Apartments.com)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C25" s="271" t="inlineStr">
        <is>
          <t>Current Rent</t>
        </is>
      </c>
      <c r="D25" s="271" t="inlineStr">
        <is>
          <t>Market Avg</t>
        </is>
      </c>
      <c r="E25" s="271" t="inlineStr">
        <is>
          <t>Difference</t>
        </is>
      </c>
    </row>
    <row r="26" ht="20.25" customFormat="1" customHeight="1" s="3">
      <c r="B26" s="272" t="inlineStr">
        <is>
          <t>2BD</t>
        </is>
      </c>
      <c r="C26" s="375" t="n">
        <v>1140</v>
      </c>
      <c r="D26" s="376" t="n">
        <v>1650</v>
      </c>
      <c r="E26" s="377" t="n">
        <v>-510</v>
      </c>
    </row>
    <row r="27" ht="20.25" customFormat="1" customHeight="1" s="3">
      <c r="B27" s="272" t="inlineStr">
        <is>
          <t>3BD</t>
        </is>
      </c>
      <c r="C27" s="375" t="n">
        <v>1317</v>
      </c>
      <c r="D27" s="376" t="n">
        <v>2050</v>
      </c>
      <c r="E27" s="377" t="n">
        <v>-733</v>
      </c>
    </row>
    <row r="28" ht="20.25" customFormat="1" customHeight="1" s="3">
      <c r="B28" s="272" t="inlineStr">
        <is>
          <t>4BD</t>
        </is>
      </c>
      <c r="C28" s="375" t="n">
        <v>1470</v>
      </c>
      <c r="D28" s="376" t="n">
        <v>1470</v>
      </c>
      <c r="E28" s="381" t="n">
        <v>0</v>
      </c>
    </row>
    <row r="29" ht="20.25" customFormat="1" customHeight="1" s="3">
      <c r="B29" s="272" t="inlineStr">
        <is>
          <t>5BD</t>
        </is>
      </c>
      <c r="C29" s="375" t="n">
        <v>1784</v>
      </c>
      <c r="D29" s="376" t="n">
        <v>1784</v>
      </c>
      <c r="E29" s="381" t="n">
        <v>0</v>
      </c>
    </row>
    <row r="30" ht="20.25" customFormat="1" customHeight="1" s="3">
      <c r="B30" s="272" t="inlineStr">
        <is>
          <t>2BD</t>
        </is>
      </c>
      <c r="C30" s="375" t="n">
        <v>1140</v>
      </c>
      <c r="D30" s="376" t="n">
        <v>2486</v>
      </c>
      <c r="E30" s="377" t="n">
        <v>-1346</v>
      </c>
    </row>
    <row r="31" ht="20.25" customFormat="1" customHeight="1" s="3">
      <c r="B31" s="272" t="inlineStr">
        <is>
          <t>3BD</t>
        </is>
      </c>
      <c r="C31" s="375" t="n">
        <v>1317</v>
      </c>
      <c r="D31" s="376" t="n">
        <v>3465</v>
      </c>
      <c r="E31" s="377" t="n">
        <v>-2148</v>
      </c>
    </row>
    <row r="32" ht="20.25" customFormat="1" customHeight="1" s="3">
      <c r="B32" s="272" t="inlineStr">
        <is>
          <t>4BD</t>
        </is>
      </c>
      <c r="C32" s="375" t="n">
        <v>1470</v>
      </c>
      <c r="D32" s="376" t="n">
        <v>3982</v>
      </c>
      <c r="E32" s="377" t="n">
        <v>-2512</v>
      </c>
    </row>
    <row r="33" ht="20.25" customFormat="1" customHeight="1" s="3">
      <c r="B33" s="272" t="inlineStr">
        <is>
          <t>5BD</t>
        </is>
      </c>
      <c r="C33" s="375" t="n">
        <v>1784</v>
      </c>
      <c r="D33" s="376" t="n">
        <v>4579</v>
      </c>
      <c r="E33" s="377" t="n">
        <v>-2795</v>
      </c>
    </row>
    <row r="34" ht="20.25" customFormat="1" customHeight="1" s="3">
      <c r="B34" s="272" t="inlineStr">
        <is>
          <t>2BD</t>
        </is>
      </c>
      <c r="C34" s="375" t="n">
        <v>1140</v>
      </c>
      <c r="D34" s="376" t="n">
        <v>867</v>
      </c>
      <c r="E34" s="381" t="n">
        <v>273</v>
      </c>
    </row>
    <row r="35" ht="20.25" customFormat="1" customHeight="1" s="3">
      <c r="B35" s="272" t="inlineStr">
        <is>
          <t>3BD</t>
        </is>
      </c>
      <c r="C35" s="375" t="n">
        <v>1317</v>
      </c>
      <c r="D35" s="376" t="n">
        <v>996</v>
      </c>
      <c r="E35" s="381" t="n">
        <v>321</v>
      </c>
    </row>
    <row r="36" ht="20.25" customFormat="1" customHeight="1" s="3">
      <c r="B36" s="272" t="inlineStr">
        <is>
          <t>4BD</t>
        </is>
      </c>
      <c r="C36" s="375" t="n">
        <v>1470</v>
      </c>
      <c r="D36" s="376" t="n">
        <v>1096</v>
      </c>
      <c r="E36" s="381" t="n">
        <v>374</v>
      </c>
    </row>
    <row r="37" ht="20.25" customFormat="1" customHeight="1" s="3">
      <c r="B37" s="272" t="inlineStr">
        <is>
          <t>5BD</t>
        </is>
      </c>
      <c r="C37" s="375" t="n">
        <v>1784</v>
      </c>
      <c r="D37" s="376" t="n">
        <v>1204</v>
      </c>
      <c r="E37" s="381" t="n">
        <v>580</v>
      </c>
    </row>
    <row r="38" ht="20.25" customFormat="1" customHeight="1" s="3">
      <c r="B38" s="272" t="inlineStr">
        <is>
          <t>2BD</t>
        </is>
      </c>
      <c r="C38" s="375" t="n">
        <v>1140</v>
      </c>
      <c r="D38" s="376" t="n">
        <v>1301</v>
      </c>
      <c r="E38" s="377" t="n">
        <v>-161</v>
      </c>
    </row>
    <row r="39" ht="20.25" customFormat="1" customHeight="1" s="3">
      <c r="B39" s="272" t="inlineStr">
        <is>
          <t>3BD</t>
        </is>
      </c>
      <c r="C39" s="375" t="n">
        <v>1317</v>
      </c>
      <c r="D39" s="376" t="n">
        <v>1497</v>
      </c>
      <c r="E39" s="377" t="n">
        <v>-180</v>
      </c>
    </row>
    <row r="40" ht="20.25" customFormat="1" customHeight="1" s="3">
      <c r="B40" s="272" t="inlineStr">
        <is>
          <t>4BD</t>
        </is>
      </c>
      <c r="C40" s="375" t="n">
        <v>1470</v>
      </c>
      <c r="D40" s="376" t="n">
        <v>1656</v>
      </c>
      <c r="E40" s="377" t="n">
        <v>-186</v>
      </c>
    </row>
    <row r="41" ht="20.25" customFormat="1" customHeight="1" s="3">
      <c r="B41" s="272" t="inlineStr">
        <is>
          <t>5BD</t>
        </is>
      </c>
      <c r="C41" s="375" t="n">
        <v>1784</v>
      </c>
      <c r="D41" s="376" t="n">
        <v>1822</v>
      </c>
      <c r="E41" s="377" t="n">
        <v>-38</v>
      </c>
    </row>
    <row r="42" ht="20.25" customFormat="1" customHeight="1" s="3">
      <c r="B42" s="272" t="inlineStr">
        <is>
          <t>3BD</t>
        </is>
      </c>
      <c r="C42" s="375" t="n">
        <v>1317</v>
      </c>
      <c r="D42" s="376" t="n">
        <v>1665</v>
      </c>
      <c r="E42" s="377" t="n">
        <v>-348</v>
      </c>
    </row>
    <row r="43" ht="20.25" customFormat="1" customHeight="1" s="3">
      <c r="B43" s="272" t="inlineStr">
        <is>
          <t>4BD</t>
        </is>
      </c>
      <c r="C43" s="375" t="n">
        <v>1470</v>
      </c>
      <c r="D43" s="376" t="n">
        <v>1842</v>
      </c>
      <c r="E43" s="377" t="n">
        <v>-372</v>
      </c>
    </row>
    <row r="44" ht="20.25" customFormat="1" customHeight="1" s="3">
      <c r="B44" s="272" t="inlineStr">
        <is>
          <t>5BD</t>
        </is>
      </c>
      <c r="C44" s="375" t="n">
        <v>1784</v>
      </c>
      <c r="D44" s="376" t="n">
        <v>2227</v>
      </c>
      <c r="E44" s="377" t="n">
        <v>-443</v>
      </c>
    </row>
    <row r="47" ht="18" customFormat="1" customHeight="1" s="3">
      <c r="B47" s="270" t="inlineStr">
        <is>
          <t>PMTS — Vouchers / FMR / UAP / NET</t>
        </is>
      </c>
      <c r="C47" s="294" t="n"/>
      <c r="D47" s="294" t="n"/>
      <c r="E47" s="294" t="n"/>
      <c r="F47" s="294" t="n"/>
      <c r="G47" s="294" t="n"/>
      <c r="H47" s="295" t="n"/>
    </row>
    <row r="48" ht="15.75" customFormat="1" customHeight="1" s="3">
      <c r="C48" s="378">
        <f>'Current Rents'!E44</f>
        <v/>
      </c>
      <c r="D48" s="271" t="inlineStr">
        <is>
          <t>VCH</t>
        </is>
      </c>
      <c r="E48" s="271" t="inlineStr">
        <is>
          <t>FMR</t>
        </is>
      </c>
      <c r="F48" s="271" t="inlineStr">
        <is>
          <t>UAP</t>
        </is>
      </c>
      <c r="G48" s="271" t="inlineStr">
        <is>
          <t>NET</t>
        </is>
      </c>
    </row>
    <row r="49" ht="20.25" customFormat="1" customHeight="1" s="3">
      <c r="B49" s="272" t="inlineStr">
        <is>
          <t>2BD</t>
        </is>
      </c>
      <c r="C49" s="292">
        <f>'Current Rents'!F44</f>
        <v/>
      </c>
      <c r="D49" s="382" t="n">
        <v>2486</v>
      </c>
      <c r="E49" s="379" t="n">
        <v>2370</v>
      </c>
      <c r="F49" s="380" t="n">
        <v>146</v>
      </c>
      <c r="G49" s="292" t="n">
        <v>2224</v>
      </c>
    </row>
    <row r="50" ht="20.25" customFormat="1" customHeight="1" s="3">
      <c r="B50" s="272" t="inlineStr">
        <is>
          <t>3BD</t>
        </is>
      </c>
      <c r="C50" s="292">
        <f>'Current Rents'!G44</f>
        <v/>
      </c>
      <c r="D50" s="382" t="n">
        <v>3465</v>
      </c>
      <c r="E50" s="379" t="n">
        <v>3210</v>
      </c>
      <c r="F50" s="380" t="n">
        <v>174</v>
      </c>
      <c r="G50" s="292" t="n">
        <v>3036</v>
      </c>
    </row>
    <row r="51" ht="20.25" customFormat="1" customHeight="1" s="3">
      <c r="B51" s="272" t="inlineStr">
        <is>
          <t>4BD</t>
        </is>
      </c>
      <c r="C51" s="292">
        <f>'Current Rents'!H44</f>
        <v/>
      </c>
      <c r="D51" s="382" t="n">
        <v>3982</v>
      </c>
      <c r="E51" s="379" t="n">
        <v>3710</v>
      </c>
      <c r="F51" s="380" t="n">
        <v>209</v>
      </c>
      <c r="G51" s="292" t="n">
        <v>3501</v>
      </c>
    </row>
    <row r="52" ht="20.25" customFormat="1" customHeight="1" s="3">
      <c r="B52" s="272" t="inlineStr">
        <is>
          <t>5BD</t>
        </is>
      </c>
      <c r="C52" s="292" t="n">
        <v>1784</v>
      </c>
      <c r="D52" s="382" t="n">
        <v>4579</v>
      </c>
      <c r="E52" s="379" t="n">
        <v>4267</v>
      </c>
      <c r="F52" s="380" t="n">
        <v>236</v>
      </c>
      <c r="G52" s="292" t="n">
        <v>4031</v>
      </c>
    </row>
  </sheetData>
  <mergeCells count="9">
    <mergeCell ref="B5:AJ5"/>
    <mergeCell ref="B4:AG4"/>
    <mergeCell ref="B24:H24"/>
    <mergeCell ref="B47:H47"/>
    <mergeCell ref="B6:AJ6"/>
    <mergeCell ref="B21:AJ21"/>
    <mergeCell ref="AH4:AJ4"/>
    <mergeCell ref="B7:AJ7"/>
    <mergeCell ref="B23:H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36 - Silver Springs  |  ? Units  |  Section 8 / HUD  |  2BD &amp; 3BD</t>
        </is>
      </c>
      <c r="AI4" s="294" t="n"/>
      <c r="AJ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4BD
50% AMI</t>
        </is>
      </c>
      <c r="W8" s="64" t="inlineStr">
        <is>
          <t>4BD
60% AMI</t>
        </is>
      </c>
      <c r="X8" s="64" t="inlineStr">
        <is>
          <t>4BD
FMR</t>
        </is>
      </c>
      <c r="Y8" s="64" t="inlineStr">
        <is>
          <t>4BD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4BD 50% AMI ($)</t>
        </is>
      </c>
      <c r="V9" s="116" t="inlineStr">
        <is>
          <t>4BD 60% AMI ($)</t>
        </is>
      </c>
      <c r="W9" s="116" t="inlineStr">
        <is>
          <t>4BR FMR ($)</t>
        </is>
      </c>
      <c r="X9" s="116" t="inlineStr">
        <is>
          <t>4BR Actual ($)</t>
        </is>
      </c>
      <c r="Y9" s="255" t="inlineStr">
        <is>
          <t># Units</t>
        </is>
      </c>
      <c r="Z9" s="116" t="inlineStr">
        <is>
          <t>Year Built</t>
        </is>
      </c>
      <c r="AA9" s="116" t="inlineStr">
        <is>
          <t>Yr Diff</t>
        </is>
      </c>
      <c r="AB9" s="116" t="inlineStr">
        <is>
          <t>Utilities Incl.</t>
        </is>
      </c>
      <c r="AC9" s="116" t="inlineStr">
        <is>
          <t>Pet Friendly</t>
        </is>
      </c>
      <c r="AD9" s="116" t="inlineStr">
        <is>
          <t>Gated</t>
        </is>
      </c>
      <c r="AE9" s="116" t="inlineStr">
        <is>
          <t>Pool</t>
        </is>
      </c>
      <c r="AF9" s="116" t="inlineStr">
        <is>
          <t>W/D In-Unit</t>
        </is>
      </c>
      <c r="AG9" s="116" t="inlineStr">
        <is>
          <t>Competition Level</t>
        </is>
      </c>
      <c r="AH9" s="253" t="inlineStr">
        <is>
          <t>Why Competitive</t>
        </is>
      </c>
      <c r="AI9" s="257" t="inlineStr">
        <is>
          <t>Data Source</t>
        </is>
      </c>
      <c r="AJ9" s="258" t="n"/>
    </row>
    <row r="10" ht="21.75" customFormat="1" customHeight="1" s="3">
      <c r="B10" s="71" t="inlineStr">
        <is>
          <t>SUBJECT</t>
        </is>
      </c>
      <c r="C10" s="253" t="inlineStr">
        <is>
          <t>Silver Springs Terrace (SUBJECT)</t>
        </is>
      </c>
      <c r="D10" s="285" t="inlineStr">
        <is>
          <t>950 NE 20th Street</t>
        </is>
      </c>
      <c r="E10" s="239" t="inlineStr">
        <is>
          <t>Hickory</t>
        </is>
      </c>
      <c r="F10" s="239" t="inlineStr">
        <is>
          <t>NC</t>
        </is>
      </c>
      <c r="G10" s="239" t="inlineStr">
        <is>
          <t>28601</t>
        </is>
      </c>
      <c r="H10" s="239" t="inlineStr">
        <is>
          <t>0.0 mi</t>
        </is>
      </c>
      <c r="I10" s="239" t="inlineStr">
        <is>
          <t>$2,426</t>
        </is>
      </c>
      <c r="J10" s="239" t="inlineStr">
        <is>
          <t>$2,912</t>
        </is>
      </c>
      <c r="K10" s="239" t="inlineStr">
        <is>
          <t>$663</t>
        </is>
      </c>
      <c r="L10" s="239">
        <f>B29</f>
        <v/>
      </c>
      <c r="M10" s="255" t="inlineStr">
        <is>
          <t>$2,912</t>
        </is>
      </c>
      <c r="N10" s="239" t="inlineStr">
        <is>
          <t>$3,495</t>
        </is>
      </c>
      <c r="O10" s="239" t="inlineStr">
        <is>
          <t>$908</t>
        </is>
      </c>
      <c r="P10" s="239">
        <f>B30</f>
        <v/>
      </c>
      <c r="Q10" s="255" t="inlineStr">
        <is>
          <t>$3,233</t>
        </is>
      </c>
      <c r="R10" s="239" t="inlineStr">
        <is>
          <t>$3,880</t>
        </is>
      </c>
      <c r="S10" s="239" t="inlineStr">
        <is>
          <t>$1,372</t>
        </is>
      </c>
      <c r="T10" s="239">
        <f>B31</f>
        <v/>
      </c>
      <c r="U10" s="255" t="inlineStr">
        <is>
          <t>$3,495</t>
        </is>
      </c>
      <c r="V10" s="239" t="inlineStr">
        <is>
          <t>$4,195</t>
        </is>
      </c>
      <c r="W10" s="239" t="inlineStr">
        <is>
          <t>$1,586</t>
        </is>
      </c>
      <c r="X10" s="239" t="inlineStr">
        <is>
          <t>N/A</t>
        </is>
      </c>
      <c r="Y10" s="255" t="inlineStr">
        <is>
          <t>100</t>
        </is>
      </c>
      <c r="Z10" s="239" t="inlineStr">
        <is>
          <t>1971</t>
        </is>
      </c>
      <c r="AA10" s="239" t="inlineStr">
        <is>
          <t>0</t>
        </is>
      </c>
      <c r="AB10" s="239" t="inlineStr">
        <is>
          <t>Yes</t>
        </is>
      </c>
      <c r="AC10" s="242" t="inlineStr">
        <is>
          <t>No</t>
        </is>
      </c>
      <c r="AD10" s="242" t="inlineStr">
        <is>
          <t>No</t>
        </is>
      </c>
      <c r="AE10" s="242" t="inlineStr">
        <is>
          <t>No</t>
        </is>
      </c>
      <c r="AF10" s="242" t="inlineStr">
        <is>
          <t>No</t>
        </is>
      </c>
      <c r="AG10" s="239" t="inlineStr">
        <is>
          <t>SUBJECT</t>
        </is>
      </c>
      <c r="AH10" s="253" t="inlineStr">
        <is>
          <t>100 units | Layered HUD/LIHTC property. Year built: 1971. Subject property for market context.</t>
        </is>
      </c>
      <c r="AI10" s="243" t="inlineStr">
        <is>
          <t>Apartment Corp Records</t>
        </is>
      </c>
      <c r="AJ10" s="244" t="n"/>
    </row>
    <row r="11" ht="21.75" customFormat="1" customHeight="1" s="3">
      <c r="B11" s="252" t="inlineStr">
        <is>
          <t>AFFORDABLE</t>
        </is>
      </c>
      <c r="C11" s="253" t="inlineStr">
        <is>
          <t>Catawba Valley Homes</t>
        </is>
      </c>
      <c r="D11" s="254" t="inlineStr">
        <is>
          <t>1200 9th Ave Dr NW</t>
        </is>
      </c>
      <c r="E11" s="116" t="inlineStr">
        <is>
          <t>Hickory</t>
        </is>
      </c>
      <c r="F11" s="116" t="inlineStr">
        <is>
          <t>NC</t>
        </is>
      </c>
      <c r="G11" s="116" t="inlineStr">
        <is>
          <t>28601</t>
        </is>
      </c>
      <c r="H11" s="116" t="inlineStr">
        <is>
          <t>2.5 mi</t>
        </is>
      </c>
      <c r="I11" s="116" t="inlineStr">
        <is>
          <t>$2,426</t>
        </is>
      </c>
      <c r="J11" s="116" t="inlineStr">
        <is>
          <t>$2,912</t>
        </is>
      </c>
      <c r="K11" s="116" t="inlineStr">
        <is>
          <t>$663</t>
        </is>
      </c>
      <c r="L11" s="116" t="inlineStr">
        <is>
          <t>Not Listed</t>
        </is>
      </c>
      <c r="M11" s="255" t="inlineStr">
        <is>
          <t>$2,912</t>
        </is>
      </c>
      <c r="N11" s="116" t="inlineStr">
        <is>
          <t>$3,495</t>
        </is>
      </c>
      <c r="O11" s="116" t="inlineStr">
        <is>
          <t>$908</t>
        </is>
      </c>
      <c r="P11" s="116" t="inlineStr">
        <is>
          <t>Not Listed</t>
        </is>
      </c>
      <c r="Q11" s="255" t="inlineStr">
        <is>
          <t>$3,233</t>
        </is>
      </c>
      <c r="R11" s="116" t="inlineStr">
        <is>
          <t>$3,880</t>
        </is>
      </c>
      <c r="S11" s="116" t="inlineStr">
        <is>
          <t>$1,372</t>
        </is>
      </c>
      <c r="T11" s="116" t="inlineStr">
        <is>
          <t>Not Listed</t>
        </is>
      </c>
      <c r="U11" s="255" t="inlineStr">
        <is>
          <t>$3,495</t>
        </is>
      </c>
      <c r="V11" s="116" t="inlineStr">
        <is>
          <t>$4,195</t>
        </is>
      </c>
      <c r="W11" s="116" t="inlineStr">
        <is>
          <t>$1,586</t>
        </is>
      </c>
      <c r="X11" s="116" t="inlineStr">
        <is>
          <t>Not Listed</t>
        </is>
      </c>
      <c r="Y11" s="255" t="inlineStr">
        <is>
          <t>96</t>
        </is>
      </c>
      <c r="Z11" s="116" t="inlineStr">
        <is>
          <t>1972</t>
        </is>
      </c>
      <c r="AA11" s="116" t="inlineStr">
        <is>
          <t>1</t>
        </is>
      </c>
      <c r="AB11" s="116" t="inlineStr">
        <is>
          <t>Yes</t>
        </is>
      </c>
      <c r="AC11" s="256" t="inlineStr">
        <is>
          <t>No</t>
        </is>
      </c>
      <c r="AD11" s="256" t="inlineStr">
        <is>
          <t>No</t>
        </is>
      </c>
      <c r="AE11" s="256" t="inlineStr">
        <is>
          <t>No</t>
        </is>
      </c>
      <c r="AF11" s="256" t="inlineStr">
        <is>
          <t>No</t>
        </is>
      </c>
      <c r="AG11" s="116" t="inlineStr">
        <is>
          <t>HIGH</t>
        </is>
      </c>
      <c r="AH11" s="253" t="inlineStr">
        <is>
          <t>Affordable Comp #1: Section 8/HUD property, 1972 vintage (1 yr diff), 96 units, 2.5 mi from subject. Same income-eligible renter pool.</t>
        </is>
      </c>
      <c r="AI11" s="257" t="inlineStr">
        <is>
          <t>HUD Multifamily Assisted Housing</t>
        </is>
      </c>
      <c r="AJ11" s="258" t="n"/>
    </row>
    <row r="12" ht="21.75" customFormat="1" customHeight="1" s="3">
      <c r="B12" s="252" t="inlineStr">
        <is>
          <t>AFFORDABLE</t>
        </is>
      </c>
      <c r="C12" s="253" t="inlineStr">
        <is>
          <t>Lenoir Housing Authority - Granite Falls Homes</t>
        </is>
      </c>
      <c r="D12" s="254" t="inlineStr">
        <is>
          <t>300 Pennton Ave SW</t>
        </is>
      </c>
      <c r="E12" s="116" t="inlineStr">
        <is>
          <t>Lenoir</t>
        </is>
      </c>
      <c r="F12" s="116" t="inlineStr">
        <is>
          <t>NC</t>
        </is>
      </c>
      <c r="G12" s="116" t="inlineStr">
        <is>
          <t>28645</t>
        </is>
      </c>
      <c r="H12" s="116" t="inlineStr">
        <is>
          <t>22.0 mi</t>
        </is>
      </c>
      <c r="I12" s="116" t="inlineStr">
        <is>
          <t>$2,426</t>
        </is>
      </c>
      <c r="J12" s="116" t="inlineStr">
        <is>
          <t>$2,912</t>
        </is>
      </c>
      <c r="K12" s="116" t="inlineStr">
        <is>
          <t>$663</t>
        </is>
      </c>
      <c r="L12" s="116" t="inlineStr">
        <is>
          <t>Not Listed</t>
        </is>
      </c>
      <c r="M12" s="255" t="inlineStr">
        <is>
          <t>$2,912</t>
        </is>
      </c>
      <c r="N12" s="116" t="inlineStr">
        <is>
          <t>$3,495</t>
        </is>
      </c>
      <c r="O12" s="116" t="inlineStr">
        <is>
          <t>$908</t>
        </is>
      </c>
      <c r="P12" s="116" t="inlineStr">
        <is>
          <t>Not Listed</t>
        </is>
      </c>
      <c r="Q12" s="255" t="inlineStr">
        <is>
          <t>$3,233</t>
        </is>
      </c>
      <c r="R12" s="116" t="inlineStr">
        <is>
          <t>$3,880</t>
        </is>
      </c>
      <c r="S12" s="116" t="inlineStr">
        <is>
          <t>$1,372</t>
        </is>
      </c>
      <c r="T12" s="116" t="inlineStr">
        <is>
          <t>Not Listed</t>
        </is>
      </c>
      <c r="U12" s="255" t="inlineStr">
        <is>
          <t>$3,495</t>
        </is>
      </c>
      <c r="V12" s="116" t="inlineStr">
        <is>
          <t>$4,195</t>
        </is>
      </c>
      <c r="W12" s="116" t="inlineStr">
        <is>
          <t>$1,586</t>
        </is>
      </c>
      <c r="X12" s="116" t="inlineStr">
        <is>
          <t>Not Listed</t>
        </is>
      </c>
      <c r="Y12" s="255" t="inlineStr">
        <is>
          <t>100</t>
        </is>
      </c>
      <c r="Z12" s="116" t="inlineStr">
        <is>
          <t>1970</t>
        </is>
      </c>
      <c r="AA12" s="116" t="inlineStr">
        <is>
          <t>1</t>
        </is>
      </c>
      <c r="AB12" s="116" t="inlineStr">
        <is>
          <t>Yes</t>
        </is>
      </c>
      <c r="AC12" s="256" t="inlineStr">
        <is>
          <t>No</t>
        </is>
      </c>
      <c r="AD12" s="256" t="inlineStr">
        <is>
          <t>No</t>
        </is>
      </c>
      <c r="AE12" s="256" t="inlineStr">
        <is>
          <t>No</t>
        </is>
      </c>
      <c r="AF12" s="256" t="inlineStr">
        <is>
          <t>No</t>
        </is>
      </c>
      <c r="AG12" s="116" t="inlineStr">
        <is>
          <t>MODERATE-HIGH</t>
        </is>
      </c>
      <c r="AH12" s="253" t="inlineStr">
        <is>
          <t>Affordable Comp #2: Public Housing/HUD property, 1970 vintage (1 yr diff), 100 units, 22.0 mi from subject. Same income-eligible renter pool.</t>
        </is>
      </c>
      <c r="AI12" s="257" t="inlineStr">
        <is>
          <t>Lenoir Housing Authority</t>
        </is>
      </c>
      <c r="AJ12" s="258" t="n"/>
    </row>
    <row r="13" ht="21.75" customFormat="1" customHeight="1" s="3">
      <c r="B13" s="252" t="inlineStr">
        <is>
          <t>AFFORDABLE</t>
        </is>
      </c>
      <c r="C13" s="253" t="inlineStr">
        <is>
          <t>Statesville Manor Apartments</t>
        </is>
      </c>
      <c r="D13" s="254" t="inlineStr">
        <is>
          <t>500 Davie Ave</t>
        </is>
      </c>
      <c r="E13" s="116" t="inlineStr">
        <is>
          <t>Statesville</t>
        </is>
      </c>
      <c r="F13" s="116" t="inlineStr">
        <is>
          <t>NC</t>
        </is>
      </c>
      <c r="G13" s="116" t="inlineStr">
        <is>
          <t>28677</t>
        </is>
      </c>
      <c r="H13" s="116" t="inlineStr">
        <is>
          <t>28.0 mi</t>
        </is>
      </c>
      <c r="I13" s="116" t="inlineStr">
        <is>
          <t>$2,426</t>
        </is>
      </c>
      <c r="J13" s="116" t="inlineStr">
        <is>
          <t>$2,912</t>
        </is>
      </c>
      <c r="K13" s="116" t="inlineStr">
        <is>
          <t>$663</t>
        </is>
      </c>
      <c r="L13" s="116" t="inlineStr">
        <is>
          <t>Not Listed</t>
        </is>
      </c>
      <c r="M13" s="255" t="inlineStr">
        <is>
          <t>$2,912</t>
        </is>
      </c>
      <c r="N13" s="116" t="inlineStr">
        <is>
          <t>$3,495</t>
        </is>
      </c>
      <c r="O13" s="116" t="inlineStr">
        <is>
          <t>$908</t>
        </is>
      </c>
      <c r="P13" s="116" t="inlineStr">
        <is>
          <t>Not Listed</t>
        </is>
      </c>
      <c r="Q13" s="255" t="inlineStr">
        <is>
          <t>$3,233</t>
        </is>
      </c>
      <c r="R13" s="116" t="inlineStr">
        <is>
          <t>$3,880</t>
        </is>
      </c>
      <c r="S13" s="116" t="inlineStr">
        <is>
          <t>$1,372</t>
        </is>
      </c>
      <c r="T13" s="116" t="inlineStr">
        <is>
          <t>Not Listed</t>
        </is>
      </c>
      <c r="U13" s="255" t="inlineStr">
        <is>
          <t>$3,495</t>
        </is>
      </c>
      <c r="V13" s="116" t="inlineStr">
        <is>
          <t>$4,195</t>
        </is>
      </c>
      <c r="W13" s="116" t="inlineStr">
        <is>
          <t>$1,586</t>
        </is>
      </c>
      <c r="X13" s="116" t="inlineStr">
        <is>
          <t>Not Listed</t>
        </is>
      </c>
      <c r="Y13" s="255" t="inlineStr">
        <is>
          <t>108</t>
        </is>
      </c>
      <c r="Z13" s="116" t="inlineStr">
        <is>
          <t>1973</t>
        </is>
      </c>
      <c r="AA13" s="116" t="inlineStr">
        <is>
          <t>2</t>
        </is>
      </c>
      <c r="AB13" s="116" t="inlineStr">
        <is>
          <t>Yes</t>
        </is>
      </c>
      <c r="AC13" s="256" t="inlineStr">
        <is>
          <t>No</t>
        </is>
      </c>
      <c r="AD13" s="256" t="inlineStr">
        <is>
          <t>No</t>
        </is>
      </c>
      <c r="AE13" s="256" t="inlineStr">
        <is>
          <t>No</t>
        </is>
      </c>
      <c r="AF13" s="256" t="inlineStr">
        <is>
          <t>No</t>
        </is>
      </c>
      <c r="AG13" s="116" t="inlineStr">
        <is>
          <t>MODERATE-HIGH</t>
        </is>
      </c>
      <c r="AH13" s="253" t="inlineStr">
        <is>
          <t>Affordable Comp #3: Section 8/HUD property, 1973 vintage (2 yr diff), 108 units, 28.0 mi from subject. Same income-eligible renter pool.</t>
        </is>
      </c>
      <c r="AI13" s="257" t="inlineStr">
        <is>
          <t>HUD Multifamily Assisted Housing</t>
        </is>
      </c>
      <c r="AJ13" s="258" t="n"/>
    </row>
    <row r="14" ht="21.75" customFormat="1" customHeight="1" s="3">
      <c r="B14" s="252" t="inlineStr">
        <is>
          <t>AFFORDABLE</t>
        </is>
      </c>
      <c r="C14" s="253" t="inlineStr">
        <is>
          <t>Hickory Housing Authority - Ridgeview Homes</t>
        </is>
      </c>
      <c r="D14" s="254" t="inlineStr">
        <is>
          <t>400 Ridgeview Rd NE</t>
        </is>
      </c>
      <c r="E14" s="116" t="inlineStr">
        <is>
          <t>Hickory</t>
        </is>
      </c>
      <c r="F14" s="116" t="inlineStr">
        <is>
          <t>NC</t>
        </is>
      </c>
      <c r="G14" s="116" t="inlineStr">
        <is>
          <t>28601</t>
        </is>
      </c>
      <c r="H14" s="116" t="inlineStr">
        <is>
          <t>1.8 mi</t>
        </is>
      </c>
      <c r="I14" s="116" t="inlineStr">
        <is>
          <t>$2,426</t>
        </is>
      </c>
      <c r="J14" s="116" t="inlineStr">
        <is>
          <t>$2,912</t>
        </is>
      </c>
      <c r="K14" s="116" t="inlineStr">
        <is>
          <t>$663</t>
        </is>
      </c>
      <c r="L14" s="116" t="inlineStr">
        <is>
          <t>Not Listed</t>
        </is>
      </c>
      <c r="M14" s="255" t="inlineStr">
        <is>
          <t>$2,912</t>
        </is>
      </c>
      <c r="N14" s="116" t="inlineStr">
        <is>
          <t>$3,495</t>
        </is>
      </c>
      <c r="O14" s="116" t="inlineStr">
        <is>
          <t>$908</t>
        </is>
      </c>
      <c r="P14" s="116" t="inlineStr">
        <is>
          <t>Not Listed</t>
        </is>
      </c>
      <c r="Q14" s="255" t="inlineStr">
        <is>
          <t>$3,233</t>
        </is>
      </c>
      <c r="R14" s="116" t="inlineStr">
        <is>
          <t>$3,880</t>
        </is>
      </c>
      <c r="S14" s="116" t="inlineStr">
        <is>
          <t>$1,372</t>
        </is>
      </c>
      <c r="T14" s="116" t="inlineStr">
        <is>
          <t>Not Listed</t>
        </is>
      </c>
      <c r="U14" s="255" t="inlineStr">
        <is>
          <t>$3,495</t>
        </is>
      </c>
      <c r="V14" s="116" t="inlineStr">
        <is>
          <t>$4,195</t>
        </is>
      </c>
      <c r="W14" s="116" t="inlineStr">
        <is>
          <t>$1,586</t>
        </is>
      </c>
      <c r="X14" s="116" t="inlineStr">
        <is>
          <t>Not Listed</t>
        </is>
      </c>
      <c r="Y14" s="255" t="inlineStr">
        <is>
          <t>96</t>
        </is>
      </c>
      <c r="Z14" s="116" t="inlineStr">
        <is>
          <t>1970</t>
        </is>
      </c>
      <c r="AA14" s="116" t="inlineStr">
        <is>
          <t>1</t>
        </is>
      </c>
      <c r="AB14" s="116" t="inlineStr">
        <is>
          <t>Yes</t>
        </is>
      </c>
      <c r="AC14" s="256" t="inlineStr">
        <is>
          <t>No</t>
        </is>
      </c>
      <c r="AD14" s="256" t="inlineStr">
        <is>
          <t>No</t>
        </is>
      </c>
      <c r="AE14" s="256" t="inlineStr">
        <is>
          <t>No</t>
        </is>
      </c>
      <c r="AF14" s="256" t="inlineStr">
        <is>
          <t>No</t>
        </is>
      </c>
      <c r="AG14" s="116" t="inlineStr">
        <is>
          <t>HIGH</t>
        </is>
      </c>
      <c r="AH14" s="253" t="inlineStr">
        <is>
          <t>Affordable Comp #4: Public Housing/HUD property, 1970 vintage (1 yr diff), 96 units, 1.8 mi from subject. Same income-eligible renter pool.</t>
        </is>
      </c>
      <c r="AI14" s="257" t="inlineStr">
        <is>
          <t>Hickory Housing Authority</t>
        </is>
      </c>
      <c r="AJ14" s="258" t="n"/>
    </row>
    <row r="15" ht="21.75" customFormat="1" customHeight="1" s="3">
      <c r="B15" s="252" t="inlineStr">
        <is>
          <t>MARKET RATE</t>
        </is>
      </c>
      <c r="C15" s="253" t="inlineStr">
        <is>
          <t>Hickory Trace Village</t>
        </is>
      </c>
      <c r="D15" s="254" t="inlineStr">
        <is>
          <t>1250 5th St NE</t>
        </is>
      </c>
      <c r="E15" s="116" t="inlineStr">
        <is>
          <t>Hickory</t>
        </is>
      </c>
      <c r="F15" s="116" t="inlineStr">
        <is>
          <t>NC</t>
        </is>
      </c>
      <c r="G15" s="116" t="n"/>
      <c r="H15" s="116" t="inlineStr">
        <is>
          <t>0.5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$663</t>
        </is>
      </c>
      <c r="L15" s="384" t="n">
        <v>979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$908</t>
        </is>
      </c>
      <c r="P15" s="384" t="n">
        <v>1240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$1,372</t>
        </is>
      </c>
      <c r="T15" s="384" t="n">
        <v>1440</v>
      </c>
      <c r="U15" s="255" t="inlineStr">
        <is>
          <t>N/A (Market Rate)</t>
        </is>
      </c>
      <c r="V15" s="116" t="inlineStr">
        <is>
          <t>N/A (Market Rate)</t>
        </is>
      </c>
      <c r="W15" s="116" t="inlineStr">
        <is>
          <t>$1,586</t>
        </is>
      </c>
      <c r="X15" s="116" t="inlineStr">
        <is>
          <t>$1,650</t>
        </is>
      </c>
      <c r="Y15" s="255" t="inlineStr">
        <is>
          <t>N/A</t>
        </is>
      </c>
      <c r="Z15" s="116" t="inlineStr">
        <is>
          <t>1971</t>
        </is>
      </c>
      <c r="AA15" s="116" t="inlineStr">
        <is>
          <t>0</t>
        </is>
      </c>
      <c r="AB15" s="116" t="inlineStr">
        <is>
          <t>Varies</t>
        </is>
      </c>
      <c r="AC15" s="116" t="inlineStr">
        <is>
          <t>Varies</t>
        </is>
      </c>
      <c r="AD15" s="116" t="inlineStr">
        <is>
          <t>Varies</t>
        </is>
      </c>
      <c r="AE15" s="116" t="inlineStr">
        <is>
          <t>Varies</t>
        </is>
      </c>
      <c r="AF15" s="116" t="inlineStr">
        <is>
          <t>Varies</t>
        </is>
      </c>
      <c r="AG15" s="116" t="inlineStr">
        <is>
          <t>HIGH</t>
        </is>
      </c>
      <c r="AH15" s="253" t="inlineStr">
        <is>
          <t>Market Rate Comp #1: No income restrictions, 1971 vintage (0 yr diff), N/A units, N/A from subject. Shows market-rate rents vs. affordable housing discount.</t>
        </is>
      </c>
      <c r="AI15" s="257" t="inlineStr">
        <is>
          <t>HUD FY2026 FMR - Catawba County, NC (limited market rate listings for 1961-1981 vintage)</t>
        </is>
      </c>
      <c r="AJ15" s="258" t="n"/>
    </row>
    <row r="16" ht="21.75" customFormat="1" customHeight="1" s="3">
      <c r="B16" s="252" t="inlineStr">
        <is>
          <t>Hickory Trace Village Apartments</t>
        </is>
      </c>
      <c r="C16" s="253" t="inlineStr">
        <is>
          <t>Apartments on 20th</t>
        </is>
      </c>
      <c r="D16" s="254" t="inlineStr">
        <is>
          <t>1755 20th Ave Dr NE</t>
        </is>
      </c>
      <c r="E16" s="116" t="inlineStr">
        <is>
          <t>Hickory</t>
        </is>
      </c>
      <c r="F16" s="116" t="inlineStr">
        <is>
          <t>NC</t>
        </is>
      </c>
      <c r="G16" s="116" t="n"/>
      <c r="H16" s="116" t="inlineStr">
        <is>
          <t>1.2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$663</t>
        </is>
      </c>
      <c r="L16" s="384" t="n">
        <v>1000</v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$908</t>
        </is>
      </c>
      <c r="P16" s="384" t="n">
        <v>1350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$1,372</t>
        </is>
      </c>
      <c r="T16" s="116" t="inlineStr">
        <is>
          <t>N/A</t>
        </is>
      </c>
      <c r="U16" s="255" t="inlineStr">
        <is>
          <t>N/A (Market Rate)</t>
        </is>
      </c>
      <c r="V16" s="116" t="inlineStr">
        <is>
          <t>N/A (Market Rate)</t>
        </is>
      </c>
      <c r="W16" s="116" t="inlineStr">
        <is>
          <t>$1,586</t>
        </is>
      </c>
      <c r="X16" s="116" t="inlineStr">
        <is>
          <t>$1,650</t>
        </is>
      </c>
      <c r="Y16" s="255" t="inlineStr">
        <is>
          <t>N/A</t>
        </is>
      </c>
      <c r="Z16" s="116" t="inlineStr">
        <is>
          <t>1975</t>
        </is>
      </c>
      <c r="AA16" s="116" t="inlineStr">
        <is>
          <t>4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53" t="inlineStr">
        <is>
          <t>Market Rate Comp #2: No income restrictions, 1975 vintage (4 yr diff), N/A units, N/A from subject. Shows market-rate rents vs. affordable housing discount.</t>
        </is>
      </c>
      <c r="AI16" s="257" t="inlineStr">
        <is>
          <t>HUD FY2026 FMR - Catawba County, NC</t>
        </is>
      </c>
      <c r="AJ16" s="258" t="n"/>
    </row>
    <row r="17" ht="21.75" customFormat="1" customHeight="1" s="3">
      <c r="B17" s="252" t="inlineStr">
        <is>
          <t>Apartments on 20th</t>
        </is>
      </c>
      <c r="C17" s="253" t="inlineStr">
        <is>
          <t>29 North</t>
        </is>
      </c>
      <c r="D17" s="254" t="inlineStr">
        <is>
          <t>112 29th Ave Dr NW</t>
        </is>
      </c>
      <c r="E17" s="116" t="inlineStr">
        <is>
          <t>Hickory</t>
        </is>
      </c>
      <c r="F17" s="116" t="inlineStr">
        <is>
          <t>NC</t>
        </is>
      </c>
      <c r="G17" s="116" t="n"/>
      <c r="H17" s="116" t="inlineStr">
        <is>
          <t>2.0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$663</t>
        </is>
      </c>
      <c r="L17" s="384" t="n">
        <v>1285</v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$908</t>
        </is>
      </c>
      <c r="P17" s="384" t="n">
        <v>1530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$1,372</t>
        </is>
      </c>
      <c r="T17" s="384" t="n">
        <v>1875</v>
      </c>
      <c r="U17" s="255" t="inlineStr">
        <is>
          <t>N/A (Market Rate)</t>
        </is>
      </c>
      <c r="V17" s="116" t="inlineStr">
        <is>
          <t>N/A (Market Rate)</t>
        </is>
      </c>
      <c r="W17" s="116" t="inlineStr">
        <is>
          <t>$1,586</t>
        </is>
      </c>
      <c r="X17" s="116" t="inlineStr">
        <is>
          <t>$1,650</t>
        </is>
      </c>
      <c r="Y17" s="255" t="inlineStr">
        <is>
          <t>N/A</t>
        </is>
      </c>
      <c r="Z17" s="116" t="inlineStr">
        <is>
          <t>1968</t>
        </is>
      </c>
      <c r="AA17" s="116" t="inlineStr">
        <is>
          <t>3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HIGH</t>
        </is>
      </c>
      <c r="AH17" s="253" t="inlineStr">
        <is>
          <t>Market Rate Comp #3: No income restrictions, 1968 vintage (3 yr diff), N/A units, N/A from subject. Shows market-rate rents vs. affordable housing discount.</t>
        </is>
      </c>
      <c r="AI17" s="257" t="inlineStr">
        <is>
          <t>HUD FY2026 FMR - Catawba County, NC</t>
        </is>
      </c>
      <c r="AJ17" s="258" t="n"/>
    </row>
    <row r="18" ht="21.75" customFormat="1" customHeight="1" s="3">
      <c r="B18" s="252" t="inlineStr">
        <is>
          <t>Redwood Hickory</t>
        </is>
      </c>
      <c r="C18" s="253" t="inlineStr">
        <is>
          <t>Hawks Landing</t>
        </is>
      </c>
      <c r="D18" s="254" t="inlineStr">
        <is>
          <t>2778 2nd St NE</t>
        </is>
      </c>
      <c r="E18" s="116" t="inlineStr">
        <is>
          <t>Hickory</t>
        </is>
      </c>
      <c r="F18" s="116" t="inlineStr">
        <is>
          <t>NC</t>
        </is>
      </c>
      <c r="G18" s="116" t="n"/>
      <c r="H18" s="116" t="inlineStr">
        <is>
          <t>1.8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$663</t>
        </is>
      </c>
      <c r="L18" s="384" t="n">
        <v>1391</v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$908</t>
        </is>
      </c>
      <c r="P18" s="384" t="n">
        <v>1510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$1,372</t>
        </is>
      </c>
      <c r="T18" s="384" t="n">
        <v>1672</v>
      </c>
      <c r="U18" s="255" t="inlineStr">
        <is>
          <t>N/A (Market Rate)</t>
        </is>
      </c>
      <c r="V18" s="116" t="inlineStr">
        <is>
          <t>N/A (Market Rate)</t>
        </is>
      </c>
      <c r="W18" s="116" t="inlineStr">
        <is>
          <t>$1,586</t>
        </is>
      </c>
      <c r="X18" s="116" t="inlineStr">
        <is>
          <t>$1,650</t>
        </is>
      </c>
      <c r="Y18" s="255" t="inlineStr">
        <is>
          <t>N/A</t>
        </is>
      </c>
      <c r="Z18" s="116" t="inlineStr">
        <is>
          <t>1973</t>
        </is>
      </c>
      <c r="AA18" s="116" t="inlineStr">
        <is>
          <t>2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HIGH</t>
        </is>
      </c>
      <c r="AH18" s="253" t="inlineStr">
        <is>
          <t>Market Rate Comp #4: No income restrictions, 1973 vintage (2 yr diff), N/A units, N/A from subject. Shows market-rate rents vs. affordable housing discount.</t>
        </is>
      </c>
      <c r="AI18" s="257" t="inlineStr">
        <is>
          <t>HUD FY2026 FMR - Catawba County, NC</t>
        </is>
      </c>
      <c r="AJ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Hickory-Lenoir-Morganton MSA</t>
        </is>
      </c>
      <c r="D19" s="254" t="inlineStr">
        <is>
          <t>N/A</t>
        </is>
      </c>
      <c r="E19" s="116" t="inlineStr">
        <is>
          <t>Hickory</t>
        </is>
      </c>
      <c r="F19" s="116" t="inlineStr">
        <is>
          <t>NC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$663</t>
        </is>
      </c>
      <c r="J19" s="116" t="inlineStr">
        <is>
          <t>$663</t>
        </is>
      </c>
      <c r="K19" s="116" t="inlineStr">
        <is>
          <t>$663</t>
        </is>
      </c>
      <c r="L19" s="116" t="inlineStr">
        <is>
          <t>N/A</t>
        </is>
      </c>
      <c r="M19" s="255" t="inlineStr">
        <is>
          <t>$908</t>
        </is>
      </c>
      <c r="N19" s="116" t="inlineStr">
        <is>
          <t>$908</t>
        </is>
      </c>
      <c r="O19" s="116" t="inlineStr">
        <is>
          <t>$908</t>
        </is>
      </c>
      <c r="P19" s="116" t="inlineStr">
        <is>
          <t>N/A</t>
        </is>
      </c>
      <c r="Q19" s="255" t="inlineStr">
        <is>
          <t>$1,372</t>
        </is>
      </c>
      <c r="R19" s="116" t="inlineStr">
        <is>
          <t>$1,372</t>
        </is>
      </c>
      <c r="S19" s="116" t="inlineStr">
        <is>
          <t>$1,372</t>
        </is>
      </c>
      <c r="T19" s="116" t="inlineStr">
        <is>
          <t>N/A</t>
        </is>
      </c>
      <c r="U19" s="255" t="inlineStr">
        <is>
          <t>$1,586</t>
        </is>
      </c>
      <c r="V19" s="116" t="inlineStr">
        <is>
          <t>$1,586</t>
        </is>
      </c>
      <c r="W19" s="116" t="inlineStr">
        <is>
          <t>$1,586</t>
        </is>
      </c>
      <c r="X19" s="116" t="inlineStr">
        <is>
          <t>N/A</t>
        </is>
      </c>
      <c r="Y19" s="25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116" t="inlineStr">
        <is>
          <t>N/A</t>
        </is>
      </c>
      <c r="AF19" s="116" t="inlineStr">
        <is>
          <t>N/A</t>
        </is>
      </c>
      <c r="AG19" s="116" t="inlineStr">
        <is>
          <t>BENCHMARK</t>
        </is>
      </c>
      <c r="AH19" s="253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257" t="inlineStr">
        <is>
          <t>HUD FMR Database (huduser.gov)</t>
        </is>
      </c>
      <c r="AJ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Hickory</t>
        </is>
      </c>
      <c r="D20" s="254" t="inlineStr">
        <is>
          <t>N/A</t>
        </is>
      </c>
      <c r="E20" s="116" t="inlineStr">
        <is>
          <t>Hickory</t>
        </is>
      </c>
      <c r="F20" s="116" t="inlineStr">
        <is>
          <t>NC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$729</t>
        </is>
      </c>
      <c r="J20" s="116" t="inlineStr">
        <is>
          <t>$729</t>
        </is>
      </c>
      <c r="K20" s="116" t="inlineStr">
        <is>
          <t>$729</t>
        </is>
      </c>
      <c r="L20" s="116" t="inlineStr">
        <is>
          <t>N/A</t>
        </is>
      </c>
      <c r="M20" s="255" t="inlineStr">
        <is>
          <t>$998</t>
        </is>
      </c>
      <c r="N20" s="116" t="inlineStr">
        <is>
          <t>$998</t>
        </is>
      </c>
      <c r="O20" s="116" t="inlineStr">
        <is>
          <t>$998</t>
        </is>
      </c>
      <c r="P20" s="116" t="inlineStr">
        <is>
          <t>N/A</t>
        </is>
      </c>
      <c r="Q20" s="255" t="inlineStr">
        <is>
          <t>$1,509</t>
        </is>
      </c>
      <c r="R20" s="116" t="inlineStr">
        <is>
          <t>$1,509</t>
        </is>
      </c>
      <c r="S20" s="116" t="inlineStr">
        <is>
          <t>$1,509</t>
        </is>
      </c>
      <c r="T20" s="116" t="inlineStr">
        <is>
          <t>N/A</t>
        </is>
      </c>
      <c r="U20" s="255" t="inlineStr">
        <is>
          <t>$1,744</t>
        </is>
      </c>
      <c r="V20" s="116" t="inlineStr">
        <is>
          <t>$1,744</t>
        </is>
      </c>
      <c r="W20" s="116" t="inlineStr">
        <is>
          <t>$1,744</t>
        </is>
      </c>
      <c r="X20" s="116" t="inlineStr">
        <is>
          <t>N/A</t>
        </is>
      </c>
      <c r="Y20" s="25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53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257" t="inlineStr">
        <is>
          <t>HUD FMR + Market Estimate</t>
        </is>
      </c>
      <c r="AJ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4" t="n"/>
      <c r="AG22" s="294" t="n"/>
      <c r="AH22" s="294" t="n"/>
      <c r="AI22" s="294" t="n"/>
      <c r="AJ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970</v>
      </c>
      <c r="D27" s="376" t="n">
        <v>979</v>
      </c>
      <c r="E27" s="377" t="n">
        <v>-9</v>
      </c>
    </row>
    <row r="28" ht="20.25" customFormat="1" customHeight="1" s="3">
      <c r="B28" s="272" t="inlineStr">
        <is>
          <t>2BD</t>
        </is>
      </c>
      <c r="C28" s="375" t="n">
        <v>1185</v>
      </c>
      <c r="D28" s="376" t="n">
        <v>1240</v>
      </c>
      <c r="E28" s="377" t="n">
        <v>-55</v>
      </c>
    </row>
    <row r="29" ht="20.25" customFormat="1" customHeight="1" s="3">
      <c r="B29" s="272" t="inlineStr">
        <is>
          <t>3BD</t>
        </is>
      </c>
      <c r="C29" s="375" t="n">
        <v>1400</v>
      </c>
      <c r="D29" s="376" t="n">
        <v>1440</v>
      </c>
      <c r="E29" s="377" t="n">
        <v>-40</v>
      </c>
    </row>
    <row r="30" ht="20.25" customFormat="1" customHeight="1" s="3">
      <c r="B30" s="272" t="inlineStr">
        <is>
          <t>4BD</t>
        </is>
      </c>
      <c r="C30" s="375" t="n">
        <v>1695</v>
      </c>
      <c r="D30" s="376" t="n">
        <v>1650</v>
      </c>
      <c r="E30" s="381" t="n">
        <v>45</v>
      </c>
    </row>
    <row r="31" ht="20.25" customFormat="1" customHeight="1" s="3">
      <c r="B31" s="272" t="inlineStr">
        <is>
          <t>1BD</t>
        </is>
      </c>
      <c r="C31" s="375" t="n">
        <v>970</v>
      </c>
      <c r="D31" s="376" t="n">
        <v>981</v>
      </c>
      <c r="E31" s="377" t="n">
        <v>-11</v>
      </c>
    </row>
    <row r="32" ht="20.25" customFormat="1" customHeight="1" s="3">
      <c r="B32" s="272" t="inlineStr">
        <is>
          <t>2BD</t>
        </is>
      </c>
      <c r="C32" s="375" t="n">
        <v>1185</v>
      </c>
      <c r="D32" s="376" t="n">
        <v>1250</v>
      </c>
      <c r="E32" s="377" t="n">
        <v>-65</v>
      </c>
    </row>
    <row r="33" ht="20.25" customFormat="1" customHeight="1" s="3">
      <c r="B33" s="272" t="inlineStr">
        <is>
          <t>3BD</t>
        </is>
      </c>
      <c r="C33" s="375" t="n">
        <v>1400</v>
      </c>
      <c r="D33" s="376" t="n">
        <v>1500</v>
      </c>
      <c r="E33" s="377" t="n">
        <v>-100</v>
      </c>
    </row>
    <row r="34" ht="20.25" customFormat="1" customHeight="1" s="3">
      <c r="B34" s="272" t="inlineStr">
        <is>
          <t>4BD</t>
        </is>
      </c>
      <c r="C34" s="375" t="n">
        <v>1695</v>
      </c>
      <c r="D34" s="376" t="n">
        <v>1650</v>
      </c>
      <c r="E34" s="381" t="n">
        <v>45</v>
      </c>
    </row>
    <row r="35" ht="20.25" customFormat="1" customHeight="1" s="3">
      <c r="B35" s="272" t="inlineStr">
        <is>
          <t>1BD</t>
        </is>
      </c>
      <c r="C35" s="375" t="n">
        <v>970</v>
      </c>
      <c r="D35" s="376" t="n">
        <v>564</v>
      </c>
      <c r="E35" s="381" t="n">
        <v>406</v>
      </c>
    </row>
    <row r="36" ht="20.25" customFormat="1" customHeight="1" s="3">
      <c r="B36" s="272" t="inlineStr">
        <is>
          <t>2BD</t>
        </is>
      </c>
      <c r="C36" s="375" t="n">
        <v>1185</v>
      </c>
      <c r="D36" s="376" t="n">
        <v>643</v>
      </c>
      <c r="E36" s="381" t="n">
        <v>542</v>
      </c>
    </row>
    <row r="37" ht="20.25" customFormat="1" customHeight="1" s="3">
      <c r="B37" s="272" t="inlineStr">
        <is>
          <t>3BD</t>
        </is>
      </c>
      <c r="C37" s="375" t="n">
        <v>1400</v>
      </c>
      <c r="D37" s="376" t="n">
        <v>774</v>
      </c>
      <c r="E37" s="381" t="n">
        <v>626</v>
      </c>
    </row>
    <row r="38" ht="20.25" customFormat="1" customHeight="1" s="3">
      <c r="B38" s="272" t="inlineStr">
        <is>
          <t>4BD</t>
        </is>
      </c>
      <c r="C38" s="375" t="n">
        <v>1695</v>
      </c>
      <c r="D38" s="376" t="n">
        <v>866</v>
      </c>
      <c r="E38" s="381" t="n">
        <v>829</v>
      </c>
    </row>
    <row r="39" ht="20.25" customFormat="1" customHeight="1" s="3">
      <c r="B39" s="272" t="inlineStr">
        <is>
          <t>1BD</t>
        </is>
      </c>
      <c r="C39" s="375" t="n">
        <v>970</v>
      </c>
      <c r="D39" s="376" t="n">
        <v>1083</v>
      </c>
      <c r="E39" s="377" t="n">
        <v>-113</v>
      </c>
    </row>
    <row r="40" ht="20.25" customFormat="1" customHeight="1" s="3">
      <c r="B40" s="272" t="inlineStr">
        <is>
          <t>2BD</t>
        </is>
      </c>
      <c r="C40" s="375" t="n">
        <v>1185</v>
      </c>
      <c r="D40" s="376" t="n">
        <v>1365</v>
      </c>
      <c r="E40" s="377" t="n">
        <v>-180</v>
      </c>
    </row>
    <row r="41" ht="20.25" customFormat="1" customHeight="1" s="3">
      <c r="B41" s="272" t="inlineStr">
        <is>
          <t>3BD</t>
        </is>
      </c>
      <c r="C41" s="375" t="n">
        <v>1400</v>
      </c>
      <c r="D41" s="376" t="n">
        <v>1587</v>
      </c>
      <c r="E41" s="377" t="n">
        <v>-187</v>
      </c>
    </row>
    <row r="42" ht="20.25" customFormat="1" customHeight="1" s="3">
      <c r="B42" s="272" t="inlineStr">
        <is>
          <t>4BD</t>
        </is>
      </c>
      <c r="C42" s="375" t="n">
        <v>1695</v>
      </c>
      <c r="D42" s="376" t="n">
        <v>1953</v>
      </c>
      <c r="E42" s="377" t="n">
        <v>-258</v>
      </c>
    </row>
    <row r="45" ht="18" customFormat="1" customHeight="1" s="3">
      <c r="B45" s="270" t="inlineStr">
        <is>
          <t>PMTS — Vouchers / FMR / UAP / NET</t>
        </is>
      </c>
      <c r="C45" s="294" t="n"/>
      <c r="D45" s="294" t="n"/>
      <c r="E45" s="294" t="n"/>
      <c r="F45" s="294" t="n"/>
      <c r="G45" s="294" t="n"/>
      <c r="H45" s="295" t="n"/>
    </row>
    <row r="46" ht="15.75" customFormat="1" customHeight="1" s="3">
      <c r="C46" s="378">
        <f>'Current Rents'!D45</f>
        <v/>
      </c>
      <c r="D46" s="271" t="inlineStr">
        <is>
          <t>VCH</t>
        </is>
      </c>
      <c r="E46" s="271" t="inlineStr">
        <is>
          <t>FMR</t>
        </is>
      </c>
      <c r="F46" s="271" t="inlineStr">
        <is>
          <t>UAP</t>
        </is>
      </c>
      <c r="G46" s="271" t="inlineStr">
        <is>
          <t>NET</t>
        </is>
      </c>
    </row>
    <row r="47" ht="20.25" customFormat="1" customHeight="1" s="3">
      <c r="B47" s="272" t="inlineStr">
        <is>
          <t>1BD</t>
        </is>
      </c>
      <c r="C47" s="292">
        <f>'Current Rents'!E45</f>
        <v/>
      </c>
      <c r="D47" s="382" t="n">
        <v>981</v>
      </c>
      <c r="E47" s="379" t="n">
        <v>930</v>
      </c>
      <c r="F47" s="380" t="n">
        <v>83</v>
      </c>
      <c r="G47" s="292" t="n">
        <v>847</v>
      </c>
    </row>
    <row r="48" ht="20.25" customFormat="1" customHeight="1" s="3">
      <c r="B48" s="272" t="inlineStr">
        <is>
          <t>2BD</t>
        </is>
      </c>
      <c r="C48" s="292">
        <f>'Current Rents'!F45</f>
        <v/>
      </c>
      <c r="D48" s="382" t="n">
        <v>1250</v>
      </c>
      <c r="E48" s="379" t="n">
        <v>1140</v>
      </c>
      <c r="F48" s="380" t="n">
        <v>115</v>
      </c>
      <c r="G48" s="292" t="n">
        <v>1025</v>
      </c>
    </row>
    <row r="49" ht="20.25" customFormat="1" customHeight="1" s="3">
      <c r="B49" s="272" t="inlineStr">
        <is>
          <t>3BD</t>
        </is>
      </c>
      <c r="C49" s="292">
        <f>'Current Rents'!G45</f>
        <v/>
      </c>
      <c r="D49" s="382" t="n">
        <v>1500</v>
      </c>
      <c r="E49" s="379" t="n">
        <v>1450</v>
      </c>
      <c r="F49" s="380" t="n">
        <v>134</v>
      </c>
      <c r="G49" s="292" t="n">
        <v>1316</v>
      </c>
    </row>
    <row r="50" ht="20.25" customFormat="1" customHeight="1" s="3">
      <c r="B50" s="272" t="inlineStr">
        <is>
          <t>4BD</t>
        </is>
      </c>
      <c r="C50" s="292" t="n">
        <v>1695</v>
      </c>
      <c r="D50" s="382" t="n">
        <v>1650</v>
      </c>
      <c r="E50" s="379" t="n">
        <v>1710</v>
      </c>
      <c r="F50" s="380" t="n">
        <v>151</v>
      </c>
      <c r="G50" s="292" t="n">
        <v>1559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25"/>
    <col width="9.00390625" customWidth="1" style="3" min="26" max="26"/>
    <col width="10.00390625" customWidth="1" style="3" min="27" max="27"/>
    <col width="8.00390625" customWidth="1" style="3" min="28" max="28"/>
    <col width="10.00390625" customWidth="1" style="3" min="29" max="30"/>
    <col width="8.00390625" customWidth="1" style="3" min="31" max="32"/>
    <col width="12.00390625" customWidth="1" style="3" min="33" max="33"/>
    <col width="16.00390625" customWidth="1" style="3" min="34" max="34"/>
    <col width="60.00390625" customWidth="1" style="3" min="35" max="35"/>
    <col width="40.00390625" customWidth="1" style="3" min="36" max="36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4" t="n"/>
      <c r="Z4" s="294" t="n"/>
      <c r="AA4" s="294" t="n"/>
      <c r="AB4" s="294" t="n"/>
      <c r="AC4" s="294" t="n"/>
      <c r="AD4" s="294" t="n"/>
      <c r="AE4" s="294" t="n"/>
      <c r="AF4" s="294" t="n"/>
      <c r="AG4" s="295" t="n"/>
      <c r="AH4" s="233" t="inlineStr">
        <is>
          <t>44 - Thomasville  |  ? Units  |  Section 8 / HUD  |  2BD &amp; 3BD</t>
        </is>
      </c>
      <c r="AI4" s="294" t="n"/>
      <c r="AJ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4" t="n"/>
      <c r="AC5" s="294" t="n"/>
      <c r="AD5" s="294" t="n"/>
      <c r="AE5" s="294" t="n"/>
      <c r="AF5" s="294" t="n"/>
      <c r="AG5" s="294" t="n"/>
      <c r="AH5" s="294" t="n"/>
      <c r="AI5" s="294" t="n"/>
      <c r="AJ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4" t="n"/>
      <c r="AC6" s="294" t="n"/>
      <c r="AD6" s="294" t="n"/>
      <c r="AE6" s="294" t="n"/>
      <c r="AF6" s="294" t="n"/>
      <c r="AG6" s="294" t="n"/>
      <c r="AH6" s="294" t="n"/>
      <c r="AI6" s="294" t="n"/>
      <c r="AJ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4" t="n"/>
      <c r="AC7" s="294" t="n"/>
      <c r="AD7" s="294" t="n"/>
      <c r="AE7" s="294" t="n"/>
      <c r="AF7" s="294" t="n"/>
      <c r="AG7" s="294" t="n"/>
      <c r="AH7" s="294" t="n"/>
      <c r="AI7" s="294" t="n"/>
      <c r="AJ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1BD
50% AMI</t>
        </is>
      </c>
      <c r="K8" s="64" t="inlineStr">
        <is>
          <t>1BD
60% AMI</t>
        </is>
      </c>
      <c r="L8" s="64" t="inlineStr">
        <is>
          <t>1BD
FMR</t>
        </is>
      </c>
      <c r="M8" s="64" t="inlineStr">
        <is>
          <t>1BD
Actual</t>
        </is>
      </c>
      <c r="N8" s="64" t="inlineStr">
        <is>
          <t>2BD
50% AMI</t>
        </is>
      </c>
      <c r="O8" s="64" t="inlineStr">
        <is>
          <t>2BD
60% AMI</t>
        </is>
      </c>
      <c r="P8" s="64" t="inlineStr">
        <is>
          <t>2BD
FMR</t>
        </is>
      </c>
      <c r="Q8" s="64" t="inlineStr">
        <is>
          <t>2BD
Actual</t>
        </is>
      </c>
      <c r="R8" s="64" t="inlineStr">
        <is>
          <t>3BD
50% AMI</t>
        </is>
      </c>
      <c r="S8" s="64" t="inlineStr">
        <is>
          <t>3BD
60% AMI</t>
        </is>
      </c>
      <c r="T8" s="64" t="inlineStr">
        <is>
          <t>3BD
FMR</t>
        </is>
      </c>
      <c r="U8" s="64" t="inlineStr">
        <is>
          <t>3BD
Actual</t>
        </is>
      </c>
      <c r="V8" s="64" t="inlineStr">
        <is>
          <t>4BD
50% AMI</t>
        </is>
      </c>
      <c r="W8" s="64" t="inlineStr">
        <is>
          <t>4BD
60% AMI</t>
        </is>
      </c>
      <c r="X8" s="64" t="inlineStr">
        <is>
          <t>4BD
FMR</t>
        </is>
      </c>
      <c r="Y8" s="64" t="inlineStr">
        <is>
          <t>4BD
Actual</t>
        </is>
      </c>
      <c r="Z8" s="64" t="inlineStr">
        <is>
          <t>Units</t>
        </is>
      </c>
      <c r="AA8" s="64" t="inlineStr">
        <is>
          <t>Yr Built</t>
        </is>
      </c>
      <c r="AB8" s="64" t="inlineStr">
        <is>
          <t>Yr Diff</t>
        </is>
      </c>
      <c r="AC8" s="64" t="inlineStr">
        <is>
          <t>Utils
Incl.</t>
        </is>
      </c>
      <c r="AD8" s="64" t="inlineStr">
        <is>
          <t>Pet
Friendly</t>
        </is>
      </c>
      <c r="AE8" s="64" t="inlineStr">
        <is>
          <t>Gated</t>
        </is>
      </c>
      <c r="AF8" s="64" t="inlineStr">
        <is>
          <t>Pool</t>
        </is>
      </c>
      <c r="AG8" s="64" t="inlineStr">
        <is>
          <t>W/D
In-Unit</t>
        </is>
      </c>
      <c r="AH8" s="64" t="inlineStr">
        <is>
          <t>Competition
Level</t>
        </is>
      </c>
      <c r="AI8" s="64" t="inlineStr">
        <is>
          <t>Notes / Why Competitive</t>
        </is>
      </c>
      <c r="AJ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1BD 50% AMI ($)</t>
        </is>
      </c>
      <c r="J9" s="116" t="inlineStr">
        <is>
          <t>1BD 60% AMI ($)</t>
        </is>
      </c>
      <c r="K9" s="116" t="inlineStr">
        <is>
          <t>1BR FMR ($)</t>
        </is>
      </c>
      <c r="L9" s="116" t="inlineStr">
        <is>
          <t>1BR Actual ($)</t>
        </is>
      </c>
      <c r="M9" s="255" t="inlineStr">
        <is>
          <t>2BD 50% AMI ($)</t>
        </is>
      </c>
      <c r="N9" s="116" t="inlineStr">
        <is>
          <t>2BD 60% AMI ($)</t>
        </is>
      </c>
      <c r="O9" s="116" t="inlineStr">
        <is>
          <t>2BR FMR ($)</t>
        </is>
      </c>
      <c r="P9" s="116" t="inlineStr">
        <is>
          <t>2BR Actual ($)</t>
        </is>
      </c>
      <c r="Q9" s="255" t="inlineStr">
        <is>
          <t>3BD 50% AMI ($)</t>
        </is>
      </c>
      <c r="R9" s="116" t="inlineStr">
        <is>
          <t>3BD 60% AMI ($)</t>
        </is>
      </c>
      <c r="S9" s="116" t="inlineStr">
        <is>
          <t>3BR FMR ($)</t>
        </is>
      </c>
      <c r="T9" s="116" t="inlineStr">
        <is>
          <t>3BR Actual ($)</t>
        </is>
      </c>
      <c r="U9" s="255" t="inlineStr">
        <is>
          <t>4BD 50% AMI ($)</t>
        </is>
      </c>
      <c r="V9" s="116" t="inlineStr">
        <is>
          <t>4BD 60% AMI ($)</t>
        </is>
      </c>
      <c r="W9" s="116" t="inlineStr">
        <is>
          <t>4BR FMR ($)</t>
        </is>
      </c>
      <c r="X9" s="116" t="inlineStr">
        <is>
          <t>4BR Actual ($)</t>
        </is>
      </c>
      <c r="Y9" s="255" t="inlineStr">
        <is>
          <t># Units</t>
        </is>
      </c>
      <c r="Z9" s="116" t="inlineStr">
        <is>
          <t>Year Built</t>
        </is>
      </c>
      <c r="AA9" s="116" t="inlineStr">
        <is>
          <t>Yr Diff</t>
        </is>
      </c>
      <c r="AB9" s="116" t="inlineStr">
        <is>
          <t>Utilities Incl.</t>
        </is>
      </c>
      <c r="AC9" s="116" t="inlineStr">
        <is>
          <t>Pet Friendly</t>
        </is>
      </c>
      <c r="AD9" s="116" t="inlineStr">
        <is>
          <t>Gated</t>
        </is>
      </c>
      <c r="AE9" s="116" t="inlineStr">
        <is>
          <t>Pool</t>
        </is>
      </c>
      <c r="AF9" s="116" t="inlineStr">
        <is>
          <t>W/D In-Unit</t>
        </is>
      </c>
      <c r="AG9" s="116" t="inlineStr">
        <is>
          <t>Competition Level</t>
        </is>
      </c>
      <c r="AH9" s="253" t="inlineStr">
        <is>
          <t>Why Competitive</t>
        </is>
      </c>
      <c r="AI9" s="257" t="inlineStr">
        <is>
          <t>Data Source</t>
        </is>
      </c>
      <c r="AJ9" s="258" t="n"/>
    </row>
    <row r="10" ht="21.75" customFormat="1" customHeight="1" s="3">
      <c r="B10" s="71" t="inlineStr">
        <is>
          <t>SUBJECT</t>
        </is>
      </c>
      <c r="C10" s="253" t="inlineStr">
        <is>
          <t>Thomasville Church Homes (SUBJECT)</t>
        </is>
      </c>
      <c r="D10" s="285" t="inlineStr">
        <is>
          <t>904 Doak Street</t>
        </is>
      </c>
      <c r="E10" s="239" t="inlineStr">
        <is>
          <t>Thomasville</t>
        </is>
      </c>
      <c r="F10" s="239" t="inlineStr">
        <is>
          <t>NC</t>
        </is>
      </c>
      <c r="G10" s="239" t="inlineStr">
        <is>
          <t>27360</t>
        </is>
      </c>
      <c r="H10" s="239" t="inlineStr">
        <is>
          <t>0.0 mi</t>
        </is>
      </c>
      <c r="I10" s="239" t="inlineStr">
        <is>
          <t>$2,512</t>
        </is>
      </c>
      <c r="J10" s="239" t="inlineStr">
        <is>
          <t>$3,015</t>
        </is>
      </c>
      <c r="K10" s="239" t="inlineStr">
        <is>
          <t>$704</t>
        </is>
      </c>
      <c r="L10" s="239">
        <f>B29</f>
        <v/>
      </c>
      <c r="M10" s="255" t="inlineStr">
        <is>
          <t>$3,012</t>
        </is>
      </c>
      <c r="N10" s="239" t="inlineStr">
        <is>
          <t>$3,615</t>
        </is>
      </c>
      <c r="O10" s="239" t="inlineStr">
        <is>
          <t>$964</t>
        </is>
      </c>
      <c r="P10" s="239">
        <f>B30</f>
        <v/>
      </c>
      <c r="Q10" s="255" t="inlineStr">
        <is>
          <t>$3,345</t>
        </is>
      </c>
      <c r="R10" s="239" t="inlineStr">
        <is>
          <t>$4,015</t>
        </is>
      </c>
      <c r="S10" s="239" t="inlineStr">
        <is>
          <t>$1,448</t>
        </is>
      </c>
      <c r="T10" s="239">
        <f>B31</f>
        <v/>
      </c>
      <c r="U10" s="255" t="inlineStr">
        <is>
          <t>$3,616</t>
        </is>
      </c>
      <c r="V10" s="239" t="inlineStr">
        <is>
          <t>$4,340</t>
        </is>
      </c>
      <c r="W10" s="239" t="inlineStr">
        <is>
          <t>$1,673</t>
        </is>
      </c>
      <c r="X10" s="239" t="inlineStr">
        <is>
          <t>N/A</t>
        </is>
      </c>
      <c r="Y10" s="255" t="inlineStr">
        <is>
          <t>100</t>
        </is>
      </c>
      <c r="Z10" s="239" t="inlineStr">
        <is>
          <t>1975</t>
        </is>
      </c>
      <c r="AA10" s="239" t="inlineStr">
        <is>
          <t>0</t>
        </is>
      </c>
      <c r="AB10" s="239" t="inlineStr">
        <is>
          <t>Yes</t>
        </is>
      </c>
      <c r="AC10" s="242" t="inlineStr">
        <is>
          <t>No</t>
        </is>
      </c>
      <c r="AD10" s="242" t="inlineStr">
        <is>
          <t>No</t>
        </is>
      </c>
      <c r="AE10" s="242" t="inlineStr">
        <is>
          <t>No</t>
        </is>
      </c>
      <c r="AF10" s="242" t="inlineStr">
        <is>
          <t>No</t>
        </is>
      </c>
      <c r="AG10" s="239" t="inlineStr">
        <is>
          <t>SUBJECT</t>
        </is>
      </c>
      <c r="AH10" s="253" t="inlineStr">
        <is>
          <t>100 units | Section 8/HUD property. Year built: 1975. Subject property for market context.</t>
        </is>
      </c>
      <c r="AI10" s="243" t="inlineStr">
        <is>
          <t>Apartment Corp Records</t>
        </is>
      </c>
      <c r="AJ10" s="244" t="n"/>
    </row>
    <row r="11" ht="21.75" customFormat="1" customHeight="1" s="3">
      <c r="B11" s="252" t="inlineStr">
        <is>
          <t>AFFORDABLE</t>
        </is>
      </c>
      <c r="C11" s="253" t="inlineStr">
        <is>
          <t>High Point Housing Authority - Southside Homes</t>
        </is>
      </c>
      <c r="D11" s="254" t="inlineStr">
        <is>
          <t>1000 S Main St</t>
        </is>
      </c>
      <c r="E11" s="116" t="inlineStr">
        <is>
          <t>High Point</t>
        </is>
      </c>
      <c r="F11" s="116" t="inlineStr">
        <is>
          <t>NC</t>
        </is>
      </c>
      <c r="G11" s="116" t="inlineStr">
        <is>
          <t>27260</t>
        </is>
      </c>
      <c r="H11" s="116" t="inlineStr">
        <is>
          <t>12.0 mi</t>
        </is>
      </c>
      <c r="I11" s="116" t="inlineStr">
        <is>
          <t>$2,512</t>
        </is>
      </c>
      <c r="J11" s="116" t="inlineStr">
        <is>
          <t>$3,015</t>
        </is>
      </c>
      <c r="K11" s="116" t="inlineStr">
        <is>
          <t>$704</t>
        </is>
      </c>
      <c r="L11" s="116" t="inlineStr">
        <is>
          <t>Not Listed</t>
        </is>
      </c>
      <c r="M11" s="255" t="inlineStr">
        <is>
          <t>$3,012</t>
        </is>
      </c>
      <c r="N11" s="116" t="inlineStr">
        <is>
          <t>$3,615</t>
        </is>
      </c>
      <c r="O11" s="116" t="inlineStr">
        <is>
          <t>$964</t>
        </is>
      </c>
      <c r="P11" s="116" t="inlineStr">
        <is>
          <t>Not Listed</t>
        </is>
      </c>
      <c r="Q11" s="255" t="inlineStr">
        <is>
          <t>$3,345</t>
        </is>
      </c>
      <c r="R11" s="116" t="inlineStr">
        <is>
          <t>$4,015</t>
        </is>
      </c>
      <c r="S11" s="116" t="inlineStr">
        <is>
          <t>$1,448</t>
        </is>
      </c>
      <c r="T11" s="116" t="inlineStr">
        <is>
          <t>Not Listed</t>
        </is>
      </c>
      <c r="U11" s="255" t="inlineStr">
        <is>
          <t>$3,616</t>
        </is>
      </c>
      <c r="V11" s="116" t="inlineStr">
        <is>
          <t>$4,340</t>
        </is>
      </c>
      <c r="W11" s="116" t="inlineStr">
        <is>
          <t>$1,673</t>
        </is>
      </c>
      <c r="X11" s="116" t="inlineStr">
        <is>
          <t>Not Listed</t>
        </is>
      </c>
      <c r="Y11" s="255" t="inlineStr">
        <is>
          <t>100</t>
        </is>
      </c>
      <c r="Z11" s="116" t="inlineStr">
        <is>
          <t>1975</t>
        </is>
      </c>
      <c r="AA11" s="116" t="inlineStr">
        <is>
          <t>0</t>
        </is>
      </c>
      <c r="AB11" s="116" t="inlineStr">
        <is>
          <t>Yes</t>
        </is>
      </c>
      <c r="AC11" s="256" t="inlineStr">
        <is>
          <t>No</t>
        </is>
      </c>
      <c r="AD11" s="256" t="inlineStr">
        <is>
          <t>No</t>
        </is>
      </c>
      <c r="AE11" s="256" t="inlineStr">
        <is>
          <t>No</t>
        </is>
      </c>
      <c r="AF11" s="256" t="inlineStr">
        <is>
          <t>No</t>
        </is>
      </c>
      <c r="AG11" s="116" t="inlineStr">
        <is>
          <t>HIGH</t>
        </is>
      </c>
      <c r="AH11" s="253" t="inlineStr">
        <is>
          <t>Affordable Comp #1: Section 8/HUD property, 1975 vintage (0 yr diff), 100 units, 12.0 mi from subject. Same income-eligible renter pool.</t>
        </is>
      </c>
      <c r="AI11" s="257" t="inlineStr">
        <is>
          <t>High Point Housing Authority</t>
        </is>
      </c>
      <c r="AJ11" s="258" t="n"/>
    </row>
    <row r="12" ht="21.75" customFormat="1" customHeight="1" s="3">
      <c r="B12" s="252" t="inlineStr">
        <is>
          <t>AFFORDABLE</t>
        </is>
      </c>
      <c r="C12" s="253" t="inlineStr">
        <is>
          <t>Lexington Manor Apartments</t>
        </is>
      </c>
      <c r="D12" s="254" t="inlineStr">
        <is>
          <t>600 W Center St Ext</t>
        </is>
      </c>
      <c r="E12" s="116" t="inlineStr">
        <is>
          <t>Lexington</t>
        </is>
      </c>
      <c r="F12" s="116" t="inlineStr">
        <is>
          <t>NC</t>
        </is>
      </c>
      <c r="G12" s="116" t="inlineStr">
        <is>
          <t>27292</t>
        </is>
      </c>
      <c r="H12" s="116" t="inlineStr">
        <is>
          <t>10.5 mi</t>
        </is>
      </c>
      <c r="I12" s="116" t="inlineStr">
        <is>
          <t>$2,512</t>
        </is>
      </c>
      <c r="J12" s="116" t="inlineStr">
        <is>
          <t>$3,015</t>
        </is>
      </c>
      <c r="K12" s="116" t="inlineStr">
        <is>
          <t>$704</t>
        </is>
      </c>
      <c r="L12" s="116" t="inlineStr">
        <is>
          <t>Not Listed</t>
        </is>
      </c>
      <c r="M12" s="255" t="inlineStr">
        <is>
          <t>$3,012</t>
        </is>
      </c>
      <c r="N12" s="116" t="inlineStr">
        <is>
          <t>$3,615</t>
        </is>
      </c>
      <c r="O12" s="116" t="inlineStr">
        <is>
          <t>$964</t>
        </is>
      </c>
      <c r="P12" s="116" t="inlineStr">
        <is>
          <t>Not Listed</t>
        </is>
      </c>
      <c r="Q12" s="255" t="inlineStr">
        <is>
          <t>$3,345</t>
        </is>
      </c>
      <c r="R12" s="116" t="inlineStr">
        <is>
          <t>$4,015</t>
        </is>
      </c>
      <c r="S12" s="116" t="inlineStr">
        <is>
          <t>$1,448</t>
        </is>
      </c>
      <c r="T12" s="116" t="inlineStr">
        <is>
          <t>Not Listed</t>
        </is>
      </c>
      <c r="U12" s="255" t="inlineStr">
        <is>
          <t>$3,616</t>
        </is>
      </c>
      <c r="V12" s="116" t="inlineStr">
        <is>
          <t>$4,340</t>
        </is>
      </c>
      <c r="W12" s="116" t="inlineStr">
        <is>
          <t>$1,673</t>
        </is>
      </c>
      <c r="X12" s="116" t="inlineStr">
        <is>
          <t>Not Listed</t>
        </is>
      </c>
      <c r="Y12" s="255" t="inlineStr">
        <is>
          <t>96</t>
        </is>
      </c>
      <c r="Z12" s="116" t="inlineStr">
        <is>
          <t>1976</t>
        </is>
      </c>
      <c r="AA12" s="116" t="inlineStr">
        <is>
          <t>1</t>
        </is>
      </c>
      <c r="AB12" s="116" t="inlineStr">
        <is>
          <t>Yes</t>
        </is>
      </c>
      <c r="AC12" s="256" t="inlineStr">
        <is>
          <t>No</t>
        </is>
      </c>
      <c r="AD12" s="256" t="inlineStr">
        <is>
          <t>No</t>
        </is>
      </c>
      <c r="AE12" s="256" t="inlineStr">
        <is>
          <t>No</t>
        </is>
      </c>
      <c r="AF12" s="256" t="inlineStr">
        <is>
          <t>No</t>
        </is>
      </c>
      <c r="AG12" s="116" t="inlineStr">
        <is>
          <t>HIGH</t>
        </is>
      </c>
      <c r="AH12" s="253" t="inlineStr">
        <is>
          <t>Affordable Comp #2: Section 8/HUD property, 1976 vintage (1 yr diff), 96 units, 10.5 mi from subject. Same income-eligible renter pool.</t>
        </is>
      </c>
      <c r="AI12" s="257" t="inlineStr">
        <is>
          <t>HUD Multifamily Assisted Housing</t>
        </is>
      </c>
      <c r="AJ12" s="258" t="n"/>
    </row>
    <row r="13" ht="21.75" customFormat="1" customHeight="1" s="3">
      <c r="B13" s="252" t="inlineStr">
        <is>
          <t>AFFORDABLE</t>
        </is>
      </c>
      <c r="C13" s="253" t="inlineStr">
        <is>
          <t>Asheboro Gardens</t>
        </is>
      </c>
      <c r="D13" s="254" t="inlineStr">
        <is>
          <t>400 Sunset Ave</t>
        </is>
      </c>
      <c r="E13" s="116" t="inlineStr">
        <is>
          <t>Asheboro</t>
        </is>
      </c>
      <c r="F13" s="116" t="inlineStr">
        <is>
          <t>NC</t>
        </is>
      </c>
      <c r="G13" s="116" t="inlineStr">
        <is>
          <t>27203</t>
        </is>
      </c>
      <c r="H13" s="116" t="inlineStr">
        <is>
          <t>28.0 mi</t>
        </is>
      </c>
      <c r="I13" s="116" t="inlineStr">
        <is>
          <t>$2,512</t>
        </is>
      </c>
      <c r="J13" s="116" t="inlineStr">
        <is>
          <t>$3,015</t>
        </is>
      </c>
      <c r="K13" s="116" t="inlineStr">
        <is>
          <t>$704</t>
        </is>
      </c>
      <c r="L13" s="116" t="inlineStr">
        <is>
          <t>Not Listed</t>
        </is>
      </c>
      <c r="M13" s="255" t="inlineStr">
        <is>
          <t>$3,012</t>
        </is>
      </c>
      <c r="N13" s="116" t="inlineStr">
        <is>
          <t>$3,615</t>
        </is>
      </c>
      <c r="O13" s="116" t="inlineStr">
        <is>
          <t>$964</t>
        </is>
      </c>
      <c r="P13" s="116" t="inlineStr">
        <is>
          <t>Not Listed</t>
        </is>
      </c>
      <c r="Q13" s="255" t="inlineStr">
        <is>
          <t>$3,345</t>
        </is>
      </c>
      <c r="R13" s="116" t="inlineStr">
        <is>
          <t>$4,015</t>
        </is>
      </c>
      <c r="S13" s="116" t="inlineStr">
        <is>
          <t>$1,448</t>
        </is>
      </c>
      <c r="T13" s="116" t="inlineStr">
        <is>
          <t>Not Listed</t>
        </is>
      </c>
      <c r="U13" s="255" t="inlineStr">
        <is>
          <t>$3,616</t>
        </is>
      </c>
      <c r="V13" s="116" t="inlineStr">
        <is>
          <t>$4,340</t>
        </is>
      </c>
      <c r="W13" s="116" t="inlineStr">
        <is>
          <t>$1,673</t>
        </is>
      </c>
      <c r="X13" s="116" t="inlineStr">
        <is>
          <t>Not Listed</t>
        </is>
      </c>
      <c r="Y13" s="255" t="inlineStr">
        <is>
          <t>104</t>
        </is>
      </c>
      <c r="Z13" s="116" t="inlineStr">
        <is>
          <t>1974</t>
        </is>
      </c>
      <c r="AA13" s="116" t="inlineStr">
        <is>
          <t>1</t>
        </is>
      </c>
      <c r="AB13" s="116" t="inlineStr">
        <is>
          <t>Yes</t>
        </is>
      </c>
      <c r="AC13" s="256" t="inlineStr">
        <is>
          <t>No</t>
        </is>
      </c>
      <c r="AD13" s="256" t="inlineStr">
        <is>
          <t>No</t>
        </is>
      </c>
      <c r="AE13" s="256" t="inlineStr">
        <is>
          <t>No</t>
        </is>
      </c>
      <c r="AF13" s="256" t="inlineStr">
        <is>
          <t>No</t>
        </is>
      </c>
      <c r="AG13" s="116" t="inlineStr">
        <is>
          <t>MODERATE-HIGH</t>
        </is>
      </c>
      <c r="AH13" s="253" t="inlineStr">
        <is>
          <t>Affordable Comp #3: Section 8/HUD property, 1974 vintage (1 yr diff), 104 units, 28.0 mi from subject. Same income-eligible renter pool.</t>
        </is>
      </c>
      <c r="AI13" s="257" t="inlineStr">
        <is>
          <t>HUD Multifamily Assisted Housing</t>
        </is>
      </c>
      <c r="AJ13" s="258" t="n"/>
    </row>
    <row r="14" ht="21.75" customFormat="1" customHeight="1" s="3">
      <c r="B14" s="252" t="inlineStr">
        <is>
          <t>AFFORDABLE</t>
        </is>
      </c>
      <c r="C14" s="253" t="inlineStr">
        <is>
          <t>Thomasville Housing Authority - Sunrise Homes</t>
        </is>
      </c>
      <c r="D14" s="254" t="inlineStr">
        <is>
          <t>200 Sunrise Dr</t>
        </is>
      </c>
      <c r="E14" s="116" t="inlineStr">
        <is>
          <t>Thomasville</t>
        </is>
      </c>
      <c r="F14" s="116" t="inlineStr">
        <is>
          <t>NC</t>
        </is>
      </c>
      <c r="G14" s="116" t="inlineStr">
        <is>
          <t>27360</t>
        </is>
      </c>
      <c r="H14" s="116" t="inlineStr">
        <is>
          <t>1.5 mi</t>
        </is>
      </c>
      <c r="I14" s="116" t="inlineStr">
        <is>
          <t>$2,512</t>
        </is>
      </c>
      <c r="J14" s="116" t="inlineStr">
        <is>
          <t>$3,015</t>
        </is>
      </c>
      <c r="K14" s="116" t="inlineStr">
        <is>
          <t>$704</t>
        </is>
      </c>
      <c r="L14" s="116" t="inlineStr">
        <is>
          <t>Not Listed</t>
        </is>
      </c>
      <c r="M14" s="255" t="inlineStr">
        <is>
          <t>$3,012</t>
        </is>
      </c>
      <c r="N14" s="116" t="inlineStr">
        <is>
          <t>$3,615</t>
        </is>
      </c>
      <c r="O14" s="116" t="inlineStr">
        <is>
          <t>$964</t>
        </is>
      </c>
      <c r="P14" s="116" t="inlineStr">
        <is>
          <t>Not Listed</t>
        </is>
      </c>
      <c r="Q14" s="255" t="inlineStr">
        <is>
          <t>$3,345</t>
        </is>
      </c>
      <c r="R14" s="116" t="inlineStr">
        <is>
          <t>$4,015</t>
        </is>
      </c>
      <c r="S14" s="116" t="inlineStr">
        <is>
          <t>$1,448</t>
        </is>
      </c>
      <c r="T14" s="116" t="inlineStr">
        <is>
          <t>Not Listed</t>
        </is>
      </c>
      <c r="U14" s="255" t="inlineStr">
        <is>
          <t>$3,616</t>
        </is>
      </c>
      <c r="V14" s="116" t="inlineStr">
        <is>
          <t>$4,340</t>
        </is>
      </c>
      <c r="W14" s="116" t="inlineStr">
        <is>
          <t>$1,673</t>
        </is>
      </c>
      <c r="X14" s="116" t="inlineStr">
        <is>
          <t>Not Listed</t>
        </is>
      </c>
      <c r="Y14" s="255" t="inlineStr">
        <is>
          <t>96</t>
        </is>
      </c>
      <c r="Z14" s="116" t="inlineStr">
        <is>
          <t>1976</t>
        </is>
      </c>
      <c r="AA14" s="116" t="inlineStr">
        <is>
          <t>1</t>
        </is>
      </c>
      <c r="AB14" s="116" t="inlineStr">
        <is>
          <t>Yes</t>
        </is>
      </c>
      <c r="AC14" s="256" t="inlineStr">
        <is>
          <t>No</t>
        </is>
      </c>
      <c r="AD14" s="256" t="inlineStr">
        <is>
          <t>No</t>
        </is>
      </c>
      <c r="AE14" s="256" t="inlineStr">
        <is>
          <t>No</t>
        </is>
      </c>
      <c r="AF14" s="256" t="inlineStr">
        <is>
          <t>No</t>
        </is>
      </c>
      <c r="AG14" s="116" t="inlineStr">
        <is>
          <t>HIGH</t>
        </is>
      </c>
      <c r="AH14" s="253" t="inlineStr">
        <is>
          <t>Affordable Comp #4: Public Housing/HUD property, 1976 vintage (1 yr diff), 96 units, 1.5 mi from subject. Same income-eligible renter pool.</t>
        </is>
      </c>
      <c r="AI14" s="257" t="inlineStr">
        <is>
          <t>Thomasville Housing Authority</t>
        </is>
      </c>
      <c r="AJ14" s="258" t="n"/>
    </row>
    <row r="15" ht="21.75" customFormat="1" customHeight="1" s="3">
      <c r="B15" s="252" t="inlineStr">
        <is>
          <t>MARKET RATE</t>
        </is>
      </c>
      <c r="C15" s="253" t="inlineStr">
        <is>
          <t>Southgate Gardens</t>
        </is>
      </c>
      <c r="D15" s="254" t="inlineStr">
        <is>
          <t>205 Arthur Dr</t>
        </is>
      </c>
      <c r="E15" s="116" t="inlineStr">
        <is>
          <t>Thomasville</t>
        </is>
      </c>
      <c r="F15" s="116" t="inlineStr">
        <is>
          <t>NC</t>
        </is>
      </c>
      <c r="G15" s="116" t="n"/>
      <c r="H15" s="116" t="inlineStr">
        <is>
          <t>0.5 mi</t>
        </is>
      </c>
      <c r="I15" s="116" t="inlineStr">
        <is>
          <t>N/A (Market Rate)</t>
        </is>
      </c>
      <c r="J15" s="116" t="inlineStr">
        <is>
          <t>N/A (Market Rate)</t>
        </is>
      </c>
      <c r="K15" s="116" t="inlineStr">
        <is>
          <t>$704</t>
        </is>
      </c>
      <c r="L15" s="384" t="n">
        <v>850</v>
      </c>
      <c r="M15" s="255" t="inlineStr">
        <is>
          <t>N/A (Market Rate)</t>
        </is>
      </c>
      <c r="N15" s="116" t="inlineStr">
        <is>
          <t>N/A (Market Rate)</t>
        </is>
      </c>
      <c r="O15" s="116" t="inlineStr">
        <is>
          <t>$964</t>
        </is>
      </c>
      <c r="P15" s="384" t="n">
        <v>955</v>
      </c>
      <c r="Q15" s="255" t="inlineStr">
        <is>
          <t>N/A (Market Rate)</t>
        </is>
      </c>
      <c r="R15" s="116" t="inlineStr">
        <is>
          <t>N/A (Market Rate)</t>
        </is>
      </c>
      <c r="S15" s="116" t="inlineStr">
        <is>
          <t>$1,448</t>
        </is>
      </c>
      <c r="T15" s="384" t="n">
        <v>1165</v>
      </c>
      <c r="U15" s="255" t="inlineStr">
        <is>
          <t>N/A (Market Rate)</t>
        </is>
      </c>
      <c r="V15" s="116" t="inlineStr">
        <is>
          <t>N/A (Market Rate)</t>
        </is>
      </c>
      <c r="W15" s="116" t="inlineStr">
        <is>
          <t>$1,673</t>
        </is>
      </c>
      <c r="X15" s="116" t="inlineStr">
        <is>
          <t>$1,700</t>
        </is>
      </c>
      <c r="Y15" s="255" t="inlineStr">
        <is>
          <t>N/A</t>
        </is>
      </c>
      <c r="Z15" s="116" t="inlineStr">
        <is>
          <t>1975</t>
        </is>
      </c>
      <c r="AA15" s="116" t="inlineStr">
        <is>
          <t>0</t>
        </is>
      </c>
      <c r="AB15" s="116" t="inlineStr">
        <is>
          <t>Varies</t>
        </is>
      </c>
      <c r="AC15" s="116" t="inlineStr">
        <is>
          <t>Varies</t>
        </is>
      </c>
      <c r="AD15" s="116" t="inlineStr">
        <is>
          <t>Varies</t>
        </is>
      </c>
      <c r="AE15" s="116" t="inlineStr">
        <is>
          <t>Varies</t>
        </is>
      </c>
      <c r="AF15" s="116" t="inlineStr">
        <is>
          <t>Varies</t>
        </is>
      </c>
      <c r="AG15" s="116" t="inlineStr">
        <is>
          <t>HIGH</t>
        </is>
      </c>
      <c r="AH15" s="253" t="inlineStr">
        <is>
          <t>Market Rate Comp #1: No income restrictions, 1975 vintage (0 yr diff), N/A units, N/A from subject. Shows market-rate rents vs. affordable housing discount.</t>
        </is>
      </c>
      <c r="AI15" s="257" t="inlineStr">
        <is>
          <t>HUD FY2026 FMR - Davidson County, NC (limited market rate listings for 1965-1985 vintage)</t>
        </is>
      </c>
      <c r="AJ15" s="258" t="n"/>
    </row>
    <row r="16" ht="21.75" customFormat="1" customHeight="1" s="3">
      <c r="B16" s="252" t="inlineStr">
        <is>
          <t>Southgate Gardens</t>
        </is>
      </c>
      <c r="C16" s="253" t="inlineStr">
        <is>
          <t>Lionchase Apartments</t>
        </is>
      </c>
      <c r="D16" s="254" t="inlineStr">
        <is>
          <t>1311 Blair St</t>
        </is>
      </c>
      <c r="E16" s="116" t="inlineStr">
        <is>
          <t>Thomasville</t>
        </is>
      </c>
      <c r="F16" s="116" t="inlineStr">
        <is>
          <t>NC</t>
        </is>
      </c>
      <c r="G16" s="116" t="n"/>
      <c r="H16" s="116" t="inlineStr">
        <is>
          <t>0.8 mi</t>
        </is>
      </c>
      <c r="I16" s="116" t="inlineStr">
        <is>
          <t>N/A (Market Rate)</t>
        </is>
      </c>
      <c r="J16" s="116" t="inlineStr">
        <is>
          <t>N/A (Market Rate)</t>
        </is>
      </c>
      <c r="K16" s="116" t="inlineStr">
        <is>
          <t>$704</t>
        </is>
      </c>
      <c r="L16" s="116" t="inlineStr">
        <is>
          <t>N/A</t>
        </is>
      </c>
      <c r="M16" s="255" t="inlineStr">
        <is>
          <t>N/A (Market Rate)</t>
        </is>
      </c>
      <c r="N16" s="116" t="inlineStr">
        <is>
          <t>N/A (Market Rate)</t>
        </is>
      </c>
      <c r="O16" s="116" t="inlineStr">
        <is>
          <t>$964</t>
        </is>
      </c>
      <c r="P16" s="384" t="n">
        <v>1099</v>
      </c>
      <c r="Q16" s="255" t="inlineStr">
        <is>
          <t>N/A (Market Rate)</t>
        </is>
      </c>
      <c r="R16" s="116" t="inlineStr">
        <is>
          <t>N/A (Market Rate)</t>
        </is>
      </c>
      <c r="S16" s="116" t="inlineStr">
        <is>
          <t>$1,448</t>
        </is>
      </c>
      <c r="T16" s="116" t="inlineStr">
        <is>
          <t>N/A</t>
        </is>
      </c>
      <c r="U16" s="255" t="inlineStr">
        <is>
          <t>N/A (Market Rate)</t>
        </is>
      </c>
      <c r="V16" s="116" t="inlineStr">
        <is>
          <t>N/A (Market Rate)</t>
        </is>
      </c>
      <c r="W16" s="116" t="inlineStr">
        <is>
          <t>$1,673</t>
        </is>
      </c>
      <c r="X16" s="116" t="inlineStr">
        <is>
          <t>$1,725</t>
        </is>
      </c>
      <c r="Y16" s="255" t="inlineStr">
        <is>
          <t>80</t>
        </is>
      </c>
      <c r="Z16" s="116" t="inlineStr">
        <is>
          <t>1978</t>
        </is>
      </c>
      <c r="AA16" s="116" t="inlineStr">
        <is>
          <t>3</t>
        </is>
      </c>
      <c r="AB16" s="116" t="inlineStr">
        <is>
          <t>Varies</t>
        </is>
      </c>
      <c r="AC16" s="116" t="inlineStr">
        <is>
          <t>Varies</t>
        </is>
      </c>
      <c r="AD16" s="116" t="inlineStr">
        <is>
          <t>Varies</t>
        </is>
      </c>
      <c r="AE16" s="116" t="inlineStr">
        <is>
          <t>Varies</t>
        </is>
      </c>
      <c r="AF16" s="116" t="inlineStr">
        <is>
          <t>Varies</t>
        </is>
      </c>
      <c r="AG16" s="116" t="inlineStr">
        <is>
          <t>HIGH</t>
        </is>
      </c>
      <c r="AH16" s="253" t="inlineStr">
        <is>
          <t>Market Rate Comp #2: No income restrictions, 1978 vintage (3 yr diff), 80 units, 15.0 mi from subject. Shows market-rate rents vs. affordable housing discount.</t>
        </is>
      </c>
      <c r="AI16" s="257" t="inlineStr">
        <is>
          <t>https://www.rentcafe.com/apartments-for-rent/us/nc/high-point/</t>
        </is>
      </c>
      <c r="AJ16" s="258" t="n"/>
    </row>
    <row r="17" ht="21.75" customFormat="1" customHeight="1" s="3">
      <c r="B17" s="252" t="inlineStr">
        <is>
          <t>Lionchase Apartments</t>
        </is>
      </c>
      <c r="C17" s="253" t="inlineStr">
        <is>
          <t>Holly Hill Townhomes</t>
        </is>
      </c>
      <c r="D17" s="254" t="inlineStr">
        <is>
          <t>50 W Holly Hill Dr</t>
        </is>
      </c>
      <c r="E17" s="116" t="inlineStr">
        <is>
          <t>Thomasville</t>
        </is>
      </c>
      <c r="F17" s="116" t="inlineStr">
        <is>
          <t>NC</t>
        </is>
      </c>
      <c r="G17" s="116" t="n"/>
      <c r="H17" s="116" t="inlineStr">
        <is>
          <t>1.0 mi</t>
        </is>
      </c>
      <c r="I17" s="116" t="inlineStr">
        <is>
          <t>N/A (Market Rate)</t>
        </is>
      </c>
      <c r="J17" s="116" t="inlineStr">
        <is>
          <t>N/A (Market Rate)</t>
        </is>
      </c>
      <c r="K17" s="116" t="inlineStr">
        <is>
          <t>$704</t>
        </is>
      </c>
      <c r="L17" s="116" t="inlineStr">
        <is>
          <t>N/A</t>
        </is>
      </c>
      <c r="M17" s="255" t="inlineStr">
        <is>
          <t>N/A (Market Rate)</t>
        </is>
      </c>
      <c r="N17" s="116" t="inlineStr">
        <is>
          <t>N/A (Market Rate)</t>
        </is>
      </c>
      <c r="O17" s="116" t="inlineStr">
        <is>
          <t>$964</t>
        </is>
      </c>
      <c r="P17" s="384" t="n">
        <v>1200</v>
      </c>
      <c r="Q17" s="255" t="inlineStr">
        <is>
          <t>N/A (Market Rate)</t>
        </is>
      </c>
      <c r="R17" s="116" t="inlineStr">
        <is>
          <t>N/A (Market Rate)</t>
        </is>
      </c>
      <c r="S17" s="116" t="inlineStr">
        <is>
          <t>$1,448</t>
        </is>
      </c>
      <c r="T17" s="116" t="inlineStr">
        <is>
          <t>N/A</t>
        </is>
      </c>
      <c r="U17" s="255" t="inlineStr">
        <is>
          <t>N/A (Market Rate)</t>
        </is>
      </c>
      <c r="V17" s="116" t="inlineStr">
        <is>
          <t>N/A (Market Rate)</t>
        </is>
      </c>
      <c r="W17" s="116" t="inlineStr">
        <is>
          <t>$1,673</t>
        </is>
      </c>
      <c r="X17" s="116" t="inlineStr">
        <is>
          <t>$1,750</t>
        </is>
      </c>
      <c r="Y17" s="255" t="inlineStr">
        <is>
          <t>96</t>
        </is>
      </c>
      <c r="Z17" s="116" t="inlineStr">
        <is>
          <t>1972</t>
        </is>
      </c>
      <c r="AA17" s="116" t="inlineStr">
        <is>
          <t>3</t>
        </is>
      </c>
      <c r="AB17" s="116" t="inlineStr">
        <is>
          <t>Varies</t>
        </is>
      </c>
      <c r="AC17" s="116" t="inlineStr">
        <is>
          <t>Varies</t>
        </is>
      </c>
      <c r="AD17" s="116" t="inlineStr">
        <is>
          <t>Varies</t>
        </is>
      </c>
      <c r="AE17" s="116" t="inlineStr">
        <is>
          <t>Varies</t>
        </is>
      </c>
      <c r="AF17" s="116" t="inlineStr">
        <is>
          <t>Varies</t>
        </is>
      </c>
      <c r="AG17" s="116" t="inlineStr">
        <is>
          <t>MODERATE-HIGH</t>
        </is>
      </c>
      <c r="AH17" s="253" t="inlineStr">
        <is>
          <t>Market Rate Comp #3: No income restrictions, 1972 vintage (3 yr diff), 96 units, 22.0 mi from subject. Shows market-rate rents vs. affordable housing discount.</t>
        </is>
      </c>
      <c r="AI17" s="257" t="inlineStr">
        <is>
          <t>https://www.rentcafe.com/apartments-for-rent/us/nc/greensboro/</t>
        </is>
      </c>
      <c r="AJ17" s="258" t="n"/>
    </row>
    <row r="18" ht="21.75" customFormat="1" customHeight="1" s="3">
      <c r="B18" s="252" t="inlineStr">
        <is>
          <t>Creekside at Kennedy Mill</t>
        </is>
      </c>
      <c r="C18" s="253" t="inlineStr">
        <is>
          <t>Creekside at Kennedy Mill</t>
        </is>
      </c>
      <c r="D18" s="254" t="inlineStr">
        <is>
          <t>219 Dorothy St</t>
        </is>
      </c>
      <c r="E18" s="116" t="inlineStr">
        <is>
          <t>High Point</t>
        </is>
      </c>
      <c r="F18" s="116" t="inlineStr">
        <is>
          <t>NC</t>
        </is>
      </c>
      <c r="G18" s="116" t="n"/>
      <c r="H18" s="116" t="inlineStr">
        <is>
          <t>12.0 mi</t>
        </is>
      </c>
      <c r="I18" s="116" t="inlineStr">
        <is>
          <t>N/A (Market Rate)</t>
        </is>
      </c>
      <c r="J18" s="116" t="inlineStr">
        <is>
          <t>N/A (Market Rate)</t>
        </is>
      </c>
      <c r="K18" s="116" t="inlineStr">
        <is>
          <t>$704</t>
        </is>
      </c>
      <c r="L18" s="116" t="inlineStr">
        <is>
          <t>N/A</t>
        </is>
      </c>
      <c r="M18" s="255" t="inlineStr">
        <is>
          <t>N/A (Market Rate)</t>
        </is>
      </c>
      <c r="N18" s="116" t="inlineStr">
        <is>
          <t>N/A (Market Rate)</t>
        </is>
      </c>
      <c r="O18" s="116" t="inlineStr">
        <is>
          <t>$964</t>
        </is>
      </c>
      <c r="P18" s="384" t="n">
        <v>999</v>
      </c>
      <c r="Q18" s="255" t="inlineStr">
        <is>
          <t>N/A (Market Rate)</t>
        </is>
      </c>
      <c r="R18" s="116" t="inlineStr">
        <is>
          <t>N/A (Market Rate)</t>
        </is>
      </c>
      <c r="S18" s="116" t="inlineStr">
        <is>
          <t>$1,448</t>
        </is>
      </c>
      <c r="T18" s="116" t="inlineStr">
        <is>
          <t>N/A</t>
        </is>
      </c>
      <c r="U18" s="255" t="inlineStr">
        <is>
          <t>N/A (Market Rate)</t>
        </is>
      </c>
      <c r="V18" s="116" t="inlineStr">
        <is>
          <t>N/A (Market Rate)</t>
        </is>
      </c>
      <c r="W18" s="116" t="inlineStr">
        <is>
          <t>$1,673</t>
        </is>
      </c>
      <c r="X18" s="116" t="inlineStr">
        <is>
          <t>$1,725</t>
        </is>
      </c>
      <c r="Y18" s="255" t="inlineStr">
        <is>
          <t>80</t>
        </is>
      </c>
      <c r="Z18" s="116" t="inlineStr">
        <is>
          <t>1977</t>
        </is>
      </c>
      <c r="AA18" s="116" t="inlineStr">
        <is>
          <t>2</t>
        </is>
      </c>
      <c r="AB18" s="116" t="inlineStr">
        <is>
          <t>Varies</t>
        </is>
      </c>
      <c r="AC18" s="116" t="inlineStr">
        <is>
          <t>Varies</t>
        </is>
      </c>
      <c r="AD18" s="116" t="inlineStr">
        <is>
          <t>Varies</t>
        </is>
      </c>
      <c r="AE18" s="116" t="inlineStr">
        <is>
          <t>Varies</t>
        </is>
      </c>
      <c r="AF18" s="116" t="inlineStr">
        <is>
          <t>Varies</t>
        </is>
      </c>
      <c r="AG18" s="116" t="inlineStr">
        <is>
          <t>MODERATE-HIGH</t>
        </is>
      </c>
      <c r="AH18" s="253" t="inlineStr">
        <is>
          <t>Market Rate Comp #4: No income restrictions, 1977 vintage (2 yr diff), 80 units, 16.0 mi from subject. Shows market-rate rents vs. affordable housing discount.</t>
        </is>
      </c>
      <c r="AI18" s="257" t="inlineStr">
        <is>
          <t>https://www.rentcafe.com/apartments-for-rent/us/nc/high-point/</t>
        </is>
      </c>
      <c r="AJ18" s="258" t="n"/>
    </row>
    <row r="19" ht="21.75" customFormat="1" customHeight="1" s="3">
      <c r="B19" s="252" t="inlineStr">
        <is>
          <t>BENCHMARK</t>
        </is>
      </c>
      <c r="C19" s="253" t="inlineStr">
        <is>
          <t>FY2026 FMR — High Point-Thomasville MSA</t>
        </is>
      </c>
      <c r="D19" s="254" t="inlineStr">
        <is>
          <t>N/A</t>
        </is>
      </c>
      <c r="E19" s="116" t="inlineStr">
        <is>
          <t>Thomasville</t>
        </is>
      </c>
      <c r="F19" s="116" t="inlineStr">
        <is>
          <t>NC</t>
        </is>
      </c>
      <c r="G19" s="116" t="inlineStr">
        <is>
          <t>N/A</t>
        </is>
      </c>
      <c r="H19" s="116" t="inlineStr">
        <is>
          <t>N/A</t>
        </is>
      </c>
      <c r="I19" s="116" t="inlineStr">
        <is>
          <t>$704</t>
        </is>
      </c>
      <c r="J19" s="116" t="inlineStr">
        <is>
          <t>$704</t>
        </is>
      </c>
      <c r="K19" s="116" t="inlineStr">
        <is>
          <t>$704</t>
        </is>
      </c>
      <c r="L19" s="116" t="inlineStr">
        <is>
          <t>N/A</t>
        </is>
      </c>
      <c r="M19" s="255" t="inlineStr">
        <is>
          <t>$964</t>
        </is>
      </c>
      <c r="N19" s="116" t="inlineStr">
        <is>
          <t>$964</t>
        </is>
      </c>
      <c r="O19" s="116" t="inlineStr">
        <is>
          <t>$964</t>
        </is>
      </c>
      <c r="P19" s="116" t="inlineStr">
        <is>
          <t>N/A</t>
        </is>
      </c>
      <c r="Q19" s="255" t="inlineStr">
        <is>
          <t>$1,448</t>
        </is>
      </c>
      <c r="R19" s="116" t="inlineStr">
        <is>
          <t>$1,448</t>
        </is>
      </c>
      <c r="S19" s="116" t="inlineStr">
        <is>
          <t>$1,448</t>
        </is>
      </c>
      <c r="T19" s="116" t="inlineStr">
        <is>
          <t>N/A</t>
        </is>
      </c>
      <c r="U19" s="255" t="inlineStr">
        <is>
          <t>$1,673</t>
        </is>
      </c>
      <c r="V19" s="116" t="inlineStr">
        <is>
          <t>$1,673</t>
        </is>
      </c>
      <c r="W19" s="116" t="inlineStr">
        <is>
          <t>$1,673</t>
        </is>
      </c>
      <c r="X19" s="116" t="inlineStr">
        <is>
          <t>N/A</t>
        </is>
      </c>
      <c r="Y19" s="255" t="inlineStr">
        <is>
          <t>N/A</t>
        </is>
      </c>
      <c r="Z19" s="116" t="inlineStr">
        <is>
          <t>N/A</t>
        </is>
      </c>
      <c r="AA19" s="116" t="inlineStr">
        <is>
          <t>N/A</t>
        </is>
      </c>
      <c r="AB19" s="116" t="inlineStr">
        <is>
          <t>N/A</t>
        </is>
      </c>
      <c r="AC19" s="116" t="inlineStr">
        <is>
          <t>N/A</t>
        </is>
      </c>
      <c r="AD19" s="116" t="inlineStr">
        <is>
          <t>N/A</t>
        </is>
      </c>
      <c r="AE19" s="116" t="inlineStr">
        <is>
          <t>N/A</t>
        </is>
      </c>
      <c r="AF19" s="116" t="inlineStr">
        <is>
          <t>N/A</t>
        </is>
      </c>
      <c r="AG19" s="116" t="inlineStr">
        <is>
          <t>BENCHMARK</t>
        </is>
      </c>
      <c r="AH19" s="253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9" s="257" t="inlineStr">
        <is>
          <t>HUD FMR Database (huduser.gov)</t>
        </is>
      </c>
      <c r="AJ19" s="258" t="n"/>
    </row>
    <row r="20" ht="21.75" customFormat="1" customHeight="1" s="3">
      <c r="B20" s="252" t="inlineStr">
        <is>
          <t>BENCHMARK</t>
        </is>
      </c>
      <c r="C20" s="253" t="inlineStr">
        <is>
          <t>Metro Market Avg — Thomasville</t>
        </is>
      </c>
      <c r="D20" s="254" t="inlineStr">
        <is>
          <t>N/A</t>
        </is>
      </c>
      <c r="E20" s="116" t="inlineStr">
        <is>
          <t>Thomasville</t>
        </is>
      </c>
      <c r="F20" s="116" t="inlineStr">
        <is>
          <t>NC</t>
        </is>
      </c>
      <c r="G20" s="116" t="inlineStr">
        <is>
          <t>N/A</t>
        </is>
      </c>
      <c r="H20" s="116" t="inlineStr">
        <is>
          <t>N/A</t>
        </is>
      </c>
      <c r="I20" s="116" t="inlineStr">
        <is>
          <t>$774</t>
        </is>
      </c>
      <c r="J20" s="116" t="inlineStr">
        <is>
          <t>$774</t>
        </is>
      </c>
      <c r="K20" s="116" t="inlineStr">
        <is>
          <t>$774</t>
        </is>
      </c>
      <c r="L20" s="116" t="inlineStr">
        <is>
          <t>N/A</t>
        </is>
      </c>
      <c r="M20" s="255" t="inlineStr">
        <is>
          <t>$1,060</t>
        </is>
      </c>
      <c r="N20" s="116" t="inlineStr">
        <is>
          <t>$1,060</t>
        </is>
      </c>
      <c r="O20" s="116" t="inlineStr">
        <is>
          <t>$1,060</t>
        </is>
      </c>
      <c r="P20" s="116" t="inlineStr">
        <is>
          <t>N/A</t>
        </is>
      </c>
      <c r="Q20" s="255" t="inlineStr">
        <is>
          <t>$1,592</t>
        </is>
      </c>
      <c r="R20" s="116" t="inlineStr">
        <is>
          <t>$1,592</t>
        </is>
      </c>
      <c r="S20" s="116" t="inlineStr">
        <is>
          <t>$1,592</t>
        </is>
      </c>
      <c r="T20" s="116" t="inlineStr">
        <is>
          <t>N/A</t>
        </is>
      </c>
      <c r="U20" s="255" t="inlineStr">
        <is>
          <t>$1,840</t>
        </is>
      </c>
      <c r="V20" s="116" t="inlineStr">
        <is>
          <t>$1,840</t>
        </is>
      </c>
      <c r="W20" s="116" t="inlineStr">
        <is>
          <t>$1,840</t>
        </is>
      </c>
      <c r="X20" s="116" t="inlineStr">
        <is>
          <t>N/A</t>
        </is>
      </c>
      <c r="Y20" s="255" t="inlineStr">
        <is>
          <t>N/A</t>
        </is>
      </c>
      <c r="Z20" s="116" t="inlineStr">
        <is>
          <t>N/A</t>
        </is>
      </c>
      <c r="AA20" s="116" t="inlineStr">
        <is>
          <t>N/A</t>
        </is>
      </c>
      <c r="AB20" s="116" t="inlineStr">
        <is>
          <t>N/A</t>
        </is>
      </c>
      <c r="AC20" s="116" t="inlineStr">
        <is>
          <t>N/A</t>
        </is>
      </c>
      <c r="AD20" s="116" t="inlineStr">
        <is>
          <t>N/A</t>
        </is>
      </c>
      <c r="AE20" s="116" t="inlineStr">
        <is>
          <t>N/A</t>
        </is>
      </c>
      <c r="AF20" s="116" t="inlineStr">
        <is>
          <t>N/A</t>
        </is>
      </c>
      <c r="AG20" s="116" t="inlineStr">
        <is>
          <t>BENCHMARK</t>
        </is>
      </c>
      <c r="AH20" s="253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0" s="257" t="inlineStr">
        <is>
          <t>HUD FMR + Market Estimate</t>
        </is>
      </c>
      <c r="AJ20" s="258" t="n"/>
    </row>
    <row r="22" ht="14.25" customFormat="1" customHeight="1" s="3">
      <c r="B22" s="235" t="inlineStr">
        <is>
          <t>COLOR KEY:  GREEN = Subject Property  |  TEAL = Affordable/Income-Restricted Comps  |  BLUE = Market Rate Comps  |  ORANGE = Actual Advertised Rent  |  YELLOW = Market Average Benchmark</t>
        </is>
      </c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  <c r="S22" s="294" t="n"/>
      <c r="T22" s="294" t="n"/>
      <c r="U22" s="294" t="n"/>
      <c r="V22" s="294" t="n"/>
      <c r="W22" s="294" t="n"/>
      <c r="X22" s="294" t="n"/>
      <c r="Y22" s="294" t="n"/>
      <c r="Z22" s="294" t="n"/>
      <c r="AA22" s="294" t="n"/>
      <c r="AB22" s="294" t="n"/>
      <c r="AC22" s="294" t="n"/>
      <c r="AD22" s="294" t="n"/>
      <c r="AE22" s="294" t="n"/>
      <c r="AF22" s="294" t="n"/>
      <c r="AG22" s="294" t="n"/>
      <c r="AH22" s="294" t="n"/>
      <c r="AI22" s="294" t="n"/>
      <c r="AJ22" s="295" t="n"/>
    </row>
    <row r="24" ht="18" customFormat="1" customHeight="1" s="3">
      <c r="B24" s="270" t="inlineStr">
        <is>
          <t>CURRENT RENT vs. MARKET AVERAGE</t>
        </is>
      </c>
      <c r="C24" s="294" t="n"/>
      <c r="D24" s="294" t="n"/>
      <c r="E24" s="294" t="n"/>
      <c r="F24" s="294" t="n"/>
      <c r="G24" s="294" t="n"/>
      <c r="H24" s="295" t="n"/>
    </row>
    <row r="25" ht="15.75" customFormat="1" customHeight="1" s="3">
      <c r="B25" s="235" t="inlineStr">
        <is>
          <t>Market Average = Avg of Actual Advertised Rents from 6 Market-Rate Comps (Apartments.com)</t>
        </is>
      </c>
      <c r="C25" s="294" t="n"/>
      <c r="D25" s="294" t="n"/>
      <c r="E25" s="294" t="n"/>
      <c r="F25" s="294" t="n"/>
      <c r="G25" s="294" t="n"/>
      <c r="H25" s="295" t="n"/>
    </row>
    <row r="26" ht="15.75" customFormat="1" customHeight="1" s="3">
      <c r="C26" s="271" t="inlineStr">
        <is>
          <t>Current Rent</t>
        </is>
      </c>
      <c r="D26" s="271" t="inlineStr">
        <is>
          <t>Market Avg</t>
        </is>
      </c>
      <c r="E26" s="271" t="inlineStr">
        <is>
          <t>Difference</t>
        </is>
      </c>
    </row>
    <row r="27" ht="20.25" customFormat="1" customHeight="1" s="3">
      <c r="B27" s="272" t="inlineStr">
        <is>
          <t>1BD</t>
        </is>
      </c>
      <c r="C27" s="375" t="n">
        <v>946</v>
      </c>
      <c r="D27" s="376" t="n">
        <v>850</v>
      </c>
      <c r="E27" s="381" t="n">
        <v>96</v>
      </c>
    </row>
    <row r="28" ht="20.25" customFormat="1" customHeight="1" s="3">
      <c r="B28" s="272" t="inlineStr">
        <is>
          <t>2BD</t>
        </is>
      </c>
      <c r="C28" s="375" t="n">
        <v>1054</v>
      </c>
      <c r="D28" s="376" t="n">
        <v>955</v>
      </c>
      <c r="E28" s="381" t="n">
        <v>99</v>
      </c>
    </row>
    <row r="29" ht="20.25" customFormat="1" customHeight="1" s="3">
      <c r="B29" s="272" t="inlineStr">
        <is>
          <t>3BD</t>
        </is>
      </c>
      <c r="C29" s="375" t="n">
        <v>1328</v>
      </c>
      <c r="D29" s="376" t="n">
        <v>1165</v>
      </c>
      <c r="E29" s="381" t="n">
        <v>163</v>
      </c>
    </row>
    <row r="30" ht="20.25" customFormat="1" customHeight="1" s="3">
      <c r="B30" s="272" t="inlineStr">
        <is>
          <t>4BD</t>
        </is>
      </c>
      <c r="C30" s="375" t="n">
        <v>1425</v>
      </c>
      <c r="D30" s="376" t="n">
        <v>1700</v>
      </c>
      <c r="E30" s="377" t="n">
        <v>-275</v>
      </c>
    </row>
    <row r="31" ht="20.25" customFormat="1" customHeight="1" s="3">
      <c r="B31" s="272" t="inlineStr">
        <is>
          <t>1BD</t>
        </is>
      </c>
      <c r="C31" s="375" t="n">
        <v>946</v>
      </c>
      <c r="D31" s="376" t="n">
        <v>0</v>
      </c>
      <c r="E31" s="381" t="n">
        <v>946</v>
      </c>
    </row>
    <row r="32" ht="20.25" customFormat="1" customHeight="1" s="3">
      <c r="B32" s="272" t="inlineStr">
        <is>
          <t>2BD</t>
        </is>
      </c>
      <c r="C32" s="375" t="n">
        <v>1054</v>
      </c>
      <c r="D32" s="376" t="n">
        <v>0</v>
      </c>
      <c r="E32" s="381" t="n">
        <v>1054</v>
      </c>
    </row>
    <row r="33" ht="20.25" customFormat="1" customHeight="1" s="3">
      <c r="B33" s="272" t="inlineStr">
        <is>
          <t>3BD</t>
        </is>
      </c>
      <c r="C33" s="375" t="n">
        <v>1328</v>
      </c>
      <c r="D33" s="376" t="n">
        <v>0</v>
      </c>
      <c r="E33" s="381" t="n">
        <v>1328</v>
      </c>
    </row>
    <row r="34" ht="20.25" customFormat="1" customHeight="1" s="3">
      <c r="B34" s="272" t="inlineStr">
        <is>
          <t>4BD</t>
        </is>
      </c>
      <c r="C34" s="375" t="n">
        <v>1425</v>
      </c>
      <c r="D34" s="376" t="n">
        <v>0</v>
      </c>
      <c r="E34" s="381" t="n">
        <v>1425</v>
      </c>
    </row>
    <row r="35" ht="20.25" customFormat="1" customHeight="1" s="3">
      <c r="B35" s="272" t="inlineStr">
        <is>
          <t>1BD</t>
        </is>
      </c>
      <c r="C35" s="375" t="n">
        <v>946</v>
      </c>
      <c r="D35" s="376" t="n">
        <v>983</v>
      </c>
      <c r="E35" s="377" t="n">
        <v>-37</v>
      </c>
    </row>
    <row r="36" ht="20.25" customFormat="1" customHeight="1" s="3">
      <c r="B36" s="272" t="inlineStr">
        <is>
          <t>2BD</t>
        </is>
      </c>
      <c r="C36" s="375" t="n">
        <v>1054</v>
      </c>
      <c r="D36" s="376" t="n">
        <v>1135</v>
      </c>
      <c r="E36" s="377" t="n">
        <v>-81</v>
      </c>
    </row>
    <row r="37" ht="20.25" customFormat="1" customHeight="1" s="3">
      <c r="B37" s="272" t="inlineStr">
        <is>
          <t>3BD</t>
        </is>
      </c>
      <c r="C37" s="375" t="n">
        <v>1328</v>
      </c>
      <c r="D37" s="376" t="n">
        <v>1340</v>
      </c>
      <c r="E37" s="377" t="n">
        <v>-12</v>
      </c>
    </row>
    <row r="38" ht="20.25" customFormat="1" customHeight="1" s="3">
      <c r="B38" s="272" t="inlineStr">
        <is>
          <t>4BD</t>
        </is>
      </c>
      <c r="C38" s="375" t="n">
        <v>1425</v>
      </c>
      <c r="D38" s="376" t="n">
        <v>1796</v>
      </c>
      <c r="E38" s="377" t="n">
        <v>-371</v>
      </c>
    </row>
    <row r="41" ht="18" customFormat="1" customHeight="1" s="3">
      <c r="B41" s="270" t="inlineStr">
        <is>
          <t>PMTS — Vouchers / FMR / UAP / NET</t>
        </is>
      </c>
      <c r="C41" s="294" t="n"/>
      <c r="D41" s="294" t="n"/>
      <c r="E41" s="294" t="n"/>
      <c r="F41" s="294" t="n"/>
      <c r="G41" s="294" t="n"/>
      <c r="H41" s="295" t="n"/>
    </row>
    <row r="42" ht="15.75" customFormat="1" customHeight="1" s="3">
      <c r="C42" s="378">
        <f>'Current Rents'!D46</f>
        <v/>
      </c>
      <c r="D42" s="271" t="inlineStr">
        <is>
          <t>VCH</t>
        </is>
      </c>
      <c r="E42" s="271" t="inlineStr">
        <is>
          <t>FMR</t>
        </is>
      </c>
      <c r="F42" s="271" t="inlineStr">
        <is>
          <t>UAP</t>
        </is>
      </c>
      <c r="G42" s="271" t="inlineStr">
        <is>
          <t>NET</t>
        </is>
      </c>
    </row>
    <row r="43" ht="20.25" customFormat="1" customHeight="1" s="3">
      <c r="B43" s="272" t="inlineStr">
        <is>
          <t>1BD</t>
        </is>
      </c>
      <c r="C43" s="292">
        <f>'Current Rents'!E46</f>
        <v/>
      </c>
      <c r="D43" s="49" t="n"/>
      <c r="E43" s="379" t="n">
        <v>940</v>
      </c>
      <c r="F43" s="380" t="n">
        <v>97</v>
      </c>
      <c r="G43" s="292" t="n">
        <v>843</v>
      </c>
    </row>
    <row r="44" ht="20.25" customFormat="1" customHeight="1" s="3">
      <c r="B44" s="272" t="inlineStr">
        <is>
          <t>2BD</t>
        </is>
      </c>
      <c r="C44" s="292">
        <f>'Current Rents'!F46</f>
        <v/>
      </c>
      <c r="D44" s="49" t="n"/>
      <c r="E44" s="379" t="n">
        <v>1060</v>
      </c>
      <c r="F44" s="380" t="n">
        <v>99</v>
      </c>
      <c r="G44" s="292" t="n">
        <v>961</v>
      </c>
    </row>
    <row r="45" ht="20.25" customFormat="1" customHeight="1" s="3">
      <c r="B45" s="272" t="inlineStr">
        <is>
          <t>3BD</t>
        </is>
      </c>
      <c r="C45" s="292">
        <f>'Current Rents'!G46</f>
        <v/>
      </c>
      <c r="D45" s="49" t="n"/>
      <c r="E45" s="379" t="n">
        <v>1350</v>
      </c>
      <c r="F45" s="380" t="n">
        <v>125</v>
      </c>
      <c r="G45" s="292" t="n">
        <v>1225</v>
      </c>
    </row>
    <row r="46" ht="20.25" customFormat="1" customHeight="1" s="3">
      <c r="B46" s="272" t="inlineStr">
        <is>
          <t>4BD</t>
        </is>
      </c>
      <c r="C46" s="292" t="n">
        <v>1425</v>
      </c>
      <c r="D46" s="49" t="n"/>
      <c r="E46" s="379" t="n">
        <v>1520</v>
      </c>
      <c r="F46" s="380" t="n">
        <v>158</v>
      </c>
      <c r="G46" s="292" t="n">
        <v>1362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5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3" min="1" max="1"/>
    <col width="6.00390625" customWidth="1" style="3" min="2" max="2"/>
    <col width="14.00390625" customWidth="1" style="3" min="3" max="3"/>
    <col width="28.00390625" customWidth="1" style="3" min="4" max="4"/>
    <col width="32.00390625" customWidth="1" style="3" min="5" max="5"/>
    <col width="16.00390625" customWidth="1" style="3" min="6" max="6"/>
    <col width="6.00390625" customWidth="1" style="3" min="7" max="7"/>
    <col width="8.00390625" customWidth="1" style="3" min="8" max="8"/>
    <col width="12.00390625" customWidth="1" style="3" min="9" max="9"/>
    <col width="13.00390625" customWidth="1" style="3" min="10" max="17"/>
    <col width="9.00390625" customWidth="1" style="3" min="18" max="18"/>
    <col width="10.00390625" customWidth="1" style="3" min="19" max="19"/>
    <col width="8.00390625" customWidth="1" style="3" min="20" max="20"/>
    <col width="10.00390625" customWidth="1" style="3" min="21" max="22"/>
    <col width="8.00390625" customWidth="1" style="3" min="23" max="24"/>
    <col width="12.00390625" customWidth="1" style="3" min="25" max="25"/>
    <col width="16.00390625" customWidth="1" style="3" min="26" max="26"/>
    <col width="60.00390625" customWidth="1" style="3" min="27" max="27"/>
    <col width="40.00390625" customWidth="1" style="3" min="28" max="28"/>
  </cols>
  <sheetData>
    <row r="1" ht="15" customHeight="1" s="288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8.25" customFormat="1" customHeight="1" s="3"/>
    <row r="4" ht="36" customFormat="1" customHeight="1" s="3">
      <c r="B4" s="23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  <c r="O4" s="294" t="n"/>
      <c r="P4" s="294" t="n"/>
      <c r="Q4" s="294" t="n"/>
      <c r="R4" s="294" t="n"/>
      <c r="S4" s="294" t="n"/>
      <c r="T4" s="294" t="n"/>
      <c r="U4" s="294" t="n"/>
      <c r="V4" s="294" t="n"/>
      <c r="W4" s="294" t="n"/>
      <c r="X4" s="294" t="n"/>
      <c r="Y4" s="295" t="n"/>
      <c r="Z4" s="233" t="inlineStr">
        <is>
          <t>63 - Crossroads  |  ? Units  |  Section 8 / HUD  |  2BD &amp; 3BD</t>
        </is>
      </c>
      <c r="AA4" s="294" t="n"/>
      <c r="AB4" s="295" t="n"/>
    </row>
    <row r="5" ht="18" customFormat="1" customHeight="1" s="3">
      <c r="B5" s="234" t="n"/>
      <c r="C5" s="294" t="n"/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294" t="n"/>
      <c r="U5" s="294" t="n"/>
      <c r="V5" s="294" t="n"/>
      <c r="W5" s="294" t="n"/>
      <c r="X5" s="294" t="n"/>
      <c r="Y5" s="294" t="n"/>
      <c r="Z5" s="294" t="n"/>
      <c r="AA5" s="294" t="n"/>
      <c r="AB5" s="295" t="n"/>
    </row>
    <row r="6" ht="14.25" customFormat="1" customHeight="1" s="3">
      <c r="B6" s="235" t="inlineStr">
        <is>
          <t>Data as of June 2026</t>
        </is>
      </c>
      <c r="C6" s="294" t="n"/>
      <c r="D6" s="294" t="n"/>
      <c r="E6" s="294" t="n"/>
      <c r="F6" s="294" t="n"/>
      <c r="G6" s="294" t="n"/>
      <c r="H6" s="294" t="n"/>
      <c r="I6" s="294" t="n"/>
      <c r="J6" s="294" t="n"/>
      <c r="K6" s="294" t="n"/>
      <c r="L6" s="294" t="n"/>
      <c r="M6" s="294" t="n"/>
      <c r="N6" s="294" t="n"/>
      <c r="O6" s="294" t="n"/>
      <c r="P6" s="294" t="n"/>
      <c r="Q6" s="294" t="n"/>
      <c r="R6" s="294" t="n"/>
      <c r="S6" s="294" t="n"/>
      <c r="T6" s="294" t="n"/>
      <c r="U6" s="294" t="n"/>
      <c r="V6" s="294" t="n"/>
      <c r="W6" s="294" t="n"/>
      <c r="X6" s="294" t="n"/>
      <c r="Y6" s="294" t="n"/>
      <c r="Z6" s="294" t="n"/>
      <c r="AA6" s="294" t="n"/>
      <c r="AB6" s="295" t="n"/>
    </row>
    <row r="7" ht="50.25" customFormat="1" customHeight="1" s="3">
      <c r="B7" s="23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7" s="294" t="n"/>
      <c r="D7" s="294" t="n"/>
      <c r="E7" s="294" t="n"/>
      <c r="F7" s="294" t="n"/>
      <c r="G7" s="294" t="n"/>
      <c r="H7" s="294" t="n"/>
      <c r="I7" s="294" t="n"/>
      <c r="J7" s="294" t="n"/>
      <c r="K7" s="294" t="n"/>
      <c r="L7" s="294" t="n"/>
      <c r="M7" s="294" t="n"/>
      <c r="N7" s="294" t="n"/>
      <c r="O7" s="294" t="n"/>
      <c r="P7" s="294" t="n"/>
      <c r="Q7" s="294" t="n"/>
      <c r="R7" s="294" t="n"/>
      <c r="S7" s="294" t="n"/>
      <c r="T7" s="294" t="n"/>
      <c r="U7" s="294" t="n"/>
      <c r="V7" s="294" t="n"/>
      <c r="W7" s="294" t="n"/>
      <c r="X7" s="294" t="n"/>
      <c r="Y7" s="294" t="n"/>
      <c r="Z7" s="294" t="n"/>
      <c r="AA7" s="294" t="n"/>
      <c r="AB7" s="295" t="n"/>
    </row>
    <row r="8" ht="39.75" customFormat="1" customHeight="1" s="3">
      <c r="B8" s="64" t="inlineStr">
        <is>
          <t>Rank</t>
        </is>
      </c>
      <c r="C8" s="64" t="inlineStr">
        <is>
          <t>Type</t>
        </is>
      </c>
      <c r="D8" s="64" t="inlineStr">
        <is>
          <t>Property Name</t>
        </is>
      </c>
      <c r="E8" s="64" t="inlineStr">
        <is>
          <t>Address</t>
        </is>
      </c>
      <c r="F8" s="64" t="inlineStr">
        <is>
          <t>City</t>
        </is>
      </c>
      <c r="G8" s="64" t="inlineStr">
        <is>
          <t>St</t>
        </is>
      </c>
      <c r="H8" s="64" t="inlineStr">
        <is>
          <t>ZIP</t>
        </is>
      </c>
      <c r="I8" s="64" t="inlineStr">
        <is>
          <t>Distance</t>
        </is>
      </c>
      <c r="J8" s="64" t="inlineStr">
        <is>
          <t>2BD
50% AMI</t>
        </is>
      </c>
      <c r="K8" s="64" t="inlineStr">
        <is>
          <t>2BD
60% AMI</t>
        </is>
      </c>
      <c r="L8" s="64" t="inlineStr">
        <is>
          <t>2BD
FMR</t>
        </is>
      </c>
      <c r="M8" s="64" t="inlineStr">
        <is>
          <t>2BD
Actual</t>
        </is>
      </c>
      <c r="N8" s="64" t="inlineStr">
        <is>
          <t>3BD
50% AMI</t>
        </is>
      </c>
      <c r="O8" s="64" t="inlineStr">
        <is>
          <t>3BD
60% AMI</t>
        </is>
      </c>
      <c r="P8" s="64" t="inlineStr">
        <is>
          <t>3BD
FMR</t>
        </is>
      </c>
      <c r="Q8" s="64" t="inlineStr">
        <is>
          <t>3BD
Actual</t>
        </is>
      </c>
      <c r="R8" s="64" t="inlineStr">
        <is>
          <t>Units</t>
        </is>
      </c>
      <c r="S8" s="64" t="inlineStr">
        <is>
          <t>Yr Built</t>
        </is>
      </c>
      <c r="T8" s="64" t="inlineStr">
        <is>
          <t>Yr Diff</t>
        </is>
      </c>
      <c r="U8" s="64" t="inlineStr">
        <is>
          <t>Utils
Incl.</t>
        </is>
      </c>
      <c r="V8" s="64" t="inlineStr">
        <is>
          <t>Pet
Friendly</t>
        </is>
      </c>
      <c r="W8" s="64" t="inlineStr">
        <is>
          <t>Gated</t>
        </is>
      </c>
      <c r="X8" s="64" t="inlineStr">
        <is>
          <t>Pool</t>
        </is>
      </c>
      <c r="Y8" s="64" t="inlineStr">
        <is>
          <t>W/D
In-Unit</t>
        </is>
      </c>
      <c r="Z8" s="64" t="inlineStr">
        <is>
          <t>Competition
Level</t>
        </is>
      </c>
      <c r="AA8" s="64" t="inlineStr">
        <is>
          <t>Notes / Why Competitive</t>
        </is>
      </c>
      <c r="AB8" s="64" t="inlineStr">
        <is>
          <t>Data Source</t>
        </is>
      </c>
    </row>
    <row r="9" ht="21.75" customFormat="1" customHeight="1" s="3">
      <c r="B9" s="252" t="inlineStr">
        <is>
          <t>Type</t>
        </is>
      </c>
      <c r="C9" s="253" t="inlineStr">
        <is>
          <t>Property Name</t>
        </is>
      </c>
      <c r="D9" s="254" t="inlineStr">
        <is>
          <t>Address</t>
        </is>
      </c>
      <c r="E9" s="116" t="inlineStr">
        <is>
          <t>City</t>
        </is>
      </c>
      <c r="F9" s="116" t="inlineStr">
        <is>
          <t>State</t>
        </is>
      </c>
      <c r="G9" s="116" t="inlineStr">
        <is>
          <t>ZIP</t>
        </is>
      </c>
      <c r="H9" s="116" t="inlineStr">
        <is>
          <t>Distance (mi)</t>
        </is>
      </c>
      <c r="I9" s="116" t="inlineStr">
        <is>
          <t>2BD 50% AMI ($)</t>
        </is>
      </c>
      <c r="J9" s="116" t="inlineStr">
        <is>
          <t>2BD 60% AMI ($)</t>
        </is>
      </c>
      <c r="K9" s="116" t="inlineStr">
        <is>
          <t>2BR FMR ($)</t>
        </is>
      </c>
      <c r="L9" s="116" t="inlineStr">
        <is>
          <t>2BR Actual ($)</t>
        </is>
      </c>
      <c r="M9" s="255" t="inlineStr">
        <is>
          <t>3BD 50% AMI ($)</t>
        </is>
      </c>
      <c r="N9" s="116" t="inlineStr">
        <is>
          <t>3BD 60% AMI ($)</t>
        </is>
      </c>
      <c r="O9" s="116" t="inlineStr">
        <is>
          <t>3BR FMR ($)</t>
        </is>
      </c>
      <c r="P9" s="116" t="inlineStr">
        <is>
          <t>3BR Actual ($)</t>
        </is>
      </c>
      <c r="Q9" s="255" t="inlineStr">
        <is>
          <t># Units</t>
        </is>
      </c>
      <c r="R9" s="116" t="inlineStr">
        <is>
          <t>Year Built</t>
        </is>
      </c>
      <c r="S9" s="116" t="inlineStr">
        <is>
          <t>Yr Diff</t>
        </is>
      </c>
      <c r="T9" s="116" t="inlineStr">
        <is>
          <t>Utilities Incl.</t>
        </is>
      </c>
      <c r="U9" s="116" t="inlineStr">
        <is>
          <t>Pet Friendly</t>
        </is>
      </c>
      <c r="V9" s="116" t="inlineStr">
        <is>
          <t>Gated</t>
        </is>
      </c>
      <c r="W9" s="116" t="inlineStr">
        <is>
          <t>Pool</t>
        </is>
      </c>
      <c r="X9" s="116" t="inlineStr">
        <is>
          <t>W/D In-Unit</t>
        </is>
      </c>
      <c r="Y9" s="116" t="inlineStr">
        <is>
          <t>Competition Level</t>
        </is>
      </c>
      <c r="Z9" s="253" t="inlineStr">
        <is>
          <t>Why Competitive</t>
        </is>
      </c>
      <c r="AA9" s="257" t="inlineStr">
        <is>
          <t>Data Source</t>
        </is>
      </c>
      <c r="AB9" s="258" t="n"/>
    </row>
    <row r="10" ht="21.75" customFormat="1" customHeight="1" s="3">
      <c r="B10" s="252" t="inlineStr">
        <is>
          <t>SUBJECT (LIHTC)</t>
        </is>
      </c>
      <c r="C10" s="253" t="inlineStr">
        <is>
          <t>Crossroads of Lee's Summit</t>
        </is>
      </c>
      <c r="D10" s="254" t="inlineStr">
        <is>
          <t>2200 NE Town Centre Blvd</t>
        </is>
      </c>
      <c r="E10" s="116" t="inlineStr">
        <is>
          <t>Lee's Summit</t>
        </is>
      </c>
      <c r="F10" s="116" t="inlineStr">
        <is>
          <t>MO</t>
        </is>
      </c>
      <c r="G10" s="116" t="inlineStr">
        <is>
          <t>64064</t>
        </is>
      </c>
      <c r="H10" s="116" t="inlineStr">
        <is>
          <t>0.0 mi</t>
        </is>
      </c>
      <c r="I10" s="116" t="n">
        <v>807</v>
      </c>
      <c r="J10" s="384" t="n">
        <v>968</v>
      </c>
      <c r="K10" s="384" t="n">
        <v>1420</v>
      </c>
      <c r="L10" s="384" t="n">
        <v>1412</v>
      </c>
      <c r="M10" s="374" t="n">
        <v>932</v>
      </c>
      <c r="N10" s="384" t="n">
        <v>1118</v>
      </c>
      <c r="O10" s="384" t="n">
        <v>1850</v>
      </c>
      <c r="P10" s="384" t="n">
        <v>1633</v>
      </c>
      <c r="Q10" s="374" t="n">
        <v>160</v>
      </c>
      <c r="R10" s="116" t="n">
        <v>2001</v>
      </c>
      <c r="S10" s="116" t="n"/>
      <c r="T10" s="116" t="inlineStr">
        <is>
          <t>No</t>
        </is>
      </c>
      <c r="U10" s="259" t="inlineStr">
        <is>
          <t>Yes</t>
        </is>
      </c>
      <c r="V10" s="256" t="inlineStr">
        <is>
          <t>No</t>
        </is>
      </c>
      <c r="W10" s="259" t="inlineStr">
        <is>
          <t>Yes</t>
        </is>
      </c>
      <c r="X10" s="256" t="inlineStr">
        <is>
          <t>No</t>
        </is>
      </c>
      <c r="Y10" s="116" t="inlineStr">
        <is>
          <t>SUBJECT</t>
        </is>
      </c>
      <c r="Z10" s="253" t="inlineStr">
        <is>
          <t>SUBJECT PROPERTY — Crossroads of Lee's Summit. 160-unit LIHTC community at 2200 NE Town Centre Blvd, Lee's Summit, MO 64064. Built 2001. 2BR and 3BR units. Managed by Apartment Corp.</t>
        </is>
      </c>
      <c r="AA10" s="257" t="inlineStr">
        <is>
          <t>https://www.apartments.com/crossroads-of-lees-summit-lees-summit-mo/6nvbher/</t>
        </is>
      </c>
      <c r="AB10" s="258" t="n"/>
    </row>
    <row r="11" ht="21.75" customFormat="1" customHeight="1" s="3">
      <c r="B11" s="252" t="inlineStr">
        <is>
          <t>MARKET RATE</t>
        </is>
      </c>
      <c r="C11" s="253" t="inlineStr">
        <is>
          <t>Chapel Oaks</t>
        </is>
      </c>
      <c r="D11" s="254" t="inlineStr">
        <is>
          <t>3606 NE Independence Ave</t>
        </is>
      </c>
      <c r="E11" s="116" t="inlineStr">
        <is>
          <t>Lee's Summit</t>
        </is>
      </c>
      <c r="F11" s="116" t="inlineStr">
        <is>
          <t>MO</t>
        </is>
      </c>
      <c r="G11" s="116" t="inlineStr">
        <is>
          <t>64064</t>
        </is>
      </c>
      <c r="H11" s="116" t="inlineStr">
        <is>
          <t>2.0 mi</t>
        </is>
      </c>
      <c r="I11" s="116" t="inlineStr">
        <is>
          <t>N/A (Market Rate)</t>
        </is>
      </c>
      <c r="J11" s="116" t="inlineStr">
        <is>
          <t>N/A (Market Rate)</t>
        </is>
      </c>
      <c r="K11" s="384" t="n">
        <v>1420</v>
      </c>
      <c r="L11" s="384" t="n">
        <v>1413</v>
      </c>
      <c r="M11" s="255" t="inlineStr">
        <is>
          <t>N/A (Market Rate)</t>
        </is>
      </c>
      <c r="N11" s="116" t="inlineStr">
        <is>
          <t>N/A (Market Rate)</t>
        </is>
      </c>
      <c r="O11" s="384" t="n">
        <v>1850</v>
      </c>
      <c r="P11" s="384" t="n">
        <v>1588</v>
      </c>
      <c r="Q11" s="374" t="n">
        <v>168</v>
      </c>
      <c r="R11" s="116" t="n">
        <v>1985</v>
      </c>
      <c r="S11" s="116" t="n">
        <v>16</v>
      </c>
      <c r="T11" s="116" t="inlineStr">
        <is>
          <t>No</t>
        </is>
      </c>
      <c r="U11" s="259" t="inlineStr">
        <is>
          <t>Yes</t>
        </is>
      </c>
      <c r="V11" s="256" t="inlineStr">
        <is>
          <t>No</t>
        </is>
      </c>
      <c r="W11" s="259" t="inlineStr">
        <is>
          <t>Yes</t>
        </is>
      </c>
      <c r="X11" s="256" t="inlineStr">
        <is>
          <t>No</t>
        </is>
      </c>
      <c r="Y11" s="116" t="inlineStr">
        <is>
          <t>MODERATE</t>
        </is>
      </c>
      <c r="Z11" s="253" t="inlineStr">
        <is>
          <t>Market Rate Comp #1: No income restrictions, 1985 vintage (16 yr diff), 168 units, 2.0 mi from subject in Lee's Summit MO 64064. 2BD avg $1,413 / 3BD avg $1,588.</t>
        </is>
      </c>
      <c r="AA11" s="257" t="inlineStr">
        <is>
          <t>https://www.apartments.com/chapel-oaks-lees-summit-mo/vgeh3nd/</t>
        </is>
      </c>
      <c r="AB11" s="258" t="n"/>
    </row>
    <row r="12" ht="21.75" customFormat="1" customHeight="1" s="3">
      <c r="B12" s="252" t="inlineStr">
        <is>
          <t>MARKET RATE</t>
        </is>
      </c>
      <c r="C12" s="253" t="inlineStr">
        <is>
          <t>The Manor Homes of Arborwalk</t>
        </is>
      </c>
      <c r="D12" s="254" t="inlineStr">
        <is>
          <t>1318 SW Manor Lake Dr</t>
        </is>
      </c>
      <c r="E12" s="116" t="inlineStr">
        <is>
          <t>Lee's Summit</t>
        </is>
      </c>
      <c r="F12" s="116" t="inlineStr">
        <is>
          <t>MO</t>
        </is>
      </c>
      <c r="G12" s="116" t="inlineStr">
        <is>
          <t>64082</t>
        </is>
      </c>
      <c r="H12" s="116" t="inlineStr">
        <is>
          <t>4.5 mi</t>
        </is>
      </c>
      <c r="I12" s="116" t="inlineStr">
        <is>
          <t>N/A (Market Rate)</t>
        </is>
      </c>
      <c r="J12" s="116" t="inlineStr">
        <is>
          <t>N/A (Market Rate)</t>
        </is>
      </c>
      <c r="K12" s="384" t="n">
        <v>1420</v>
      </c>
      <c r="L12" s="384" t="n">
        <v>1682</v>
      </c>
      <c r="M12" s="255" t="inlineStr">
        <is>
          <t>N/A (Market Rate)</t>
        </is>
      </c>
      <c r="N12" s="116" t="inlineStr">
        <is>
          <t>N/A (Market Rate)</t>
        </is>
      </c>
      <c r="O12" s="384" t="n">
        <v>1850</v>
      </c>
      <c r="P12" s="384" t="n">
        <v>1977</v>
      </c>
      <c r="Q12" s="374" t="n">
        <v>280</v>
      </c>
      <c r="R12" s="116" t="n">
        <v>2006</v>
      </c>
      <c r="S12" s="116" t="n">
        <v>5</v>
      </c>
      <c r="T12" s="116" t="inlineStr">
        <is>
          <t>No</t>
        </is>
      </c>
      <c r="U12" s="259" t="inlineStr">
        <is>
          <t>Yes</t>
        </is>
      </c>
      <c r="V12" s="256" t="inlineStr">
        <is>
          <t>No</t>
        </is>
      </c>
      <c r="W12" s="259" t="inlineStr">
        <is>
          <t>Yes</t>
        </is>
      </c>
      <c r="X12" s="259" t="inlineStr">
        <is>
          <t>Yes</t>
        </is>
      </c>
      <c r="Y12" s="116" t="inlineStr">
        <is>
          <t>HIGH</t>
        </is>
      </c>
      <c r="Z12" s="253" t="inlineStr">
        <is>
          <t>Market Rate Comp #2: No income restrictions, 2006 vintage (5 yr diff), 280 units, 4.5 mi from subject in Lee's Summit MO 64082. Closest in age to subject. 2BD avg $1,682 / 3BD avg $1,977.</t>
        </is>
      </c>
      <c r="AA12" s="257" t="inlineStr">
        <is>
          <t>https://www.apartments.com/the-manor-homes-of-arborwalk-apartments-lees-summit-mo/f988h8v/</t>
        </is>
      </c>
      <c r="AB12" s="258" t="n"/>
    </row>
    <row r="13" ht="21.75" customFormat="1" customHeight="1" s="3">
      <c r="B13" s="252" t="inlineStr">
        <is>
          <t>MARKET RATE</t>
        </is>
      </c>
      <c r="C13" s="253" t="inlineStr">
        <is>
          <t>Chapel Ridge Townhomes</t>
        </is>
      </c>
      <c r="D13" s="254" t="inlineStr">
        <is>
          <t>3670 NE Akin Dr</t>
        </is>
      </c>
      <c r="E13" s="116" t="inlineStr">
        <is>
          <t>Lee's Summit</t>
        </is>
      </c>
      <c r="F13" s="116" t="inlineStr">
        <is>
          <t>MO</t>
        </is>
      </c>
      <c r="G13" s="116" t="inlineStr">
        <is>
          <t>64064</t>
        </is>
      </c>
      <c r="H13" s="116" t="inlineStr">
        <is>
          <t>2.5 mi</t>
        </is>
      </c>
      <c r="I13" s="116" t="inlineStr">
        <is>
          <t>N/A (Market Rate)</t>
        </is>
      </c>
      <c r="J13" s="116" t="inlineStr">
        <is>
          <t>N/A (Market Rate)</t>
        </is>
      </c>
      <c r="K13" s="384" t="n">
        <v>1420</v>
      </c>
      <c r="L13" s="384" t="n">
        <v>1920</v>
      </c>
      <c r="M13" s="255" t="inlineStr">
        <is>
          <t>N/A (Market Rate)</t>
        </is>
      </c>
      <c r="N13" s="116" t="inlineStr">
        <is>
          <t>N/A (Market Rate)</t>
        </is>
      </c>
      <c r="O13" s="384" t="n">
        <v>1850</v>
      </c>
      <c r="P13" s="384" t="n">
        <v>2100</v>
      </c>
      <c r="Q13" s="374" t="n">
        <v>100</v>
      </c>
      <c r="R13" s="116" t="n">
        <v>2017</v>
      </c>
      <c r="S13" s="116" t="n">
        <v>16</v>
      </c>
      <c r="T13" s="116" t="inlineStr">
        <is>
          <t>No</t>
        </is>
      </c>
      <c r="U13" s="259" t="inlineStr">
        <is>
          <t>Yes</t>
        </is>
      </c>
      <c r="V13" s="256" t="inlineStr">
        <is>
          <t>No</t>
        </is>
      </c>
      <c r="W13" s="256" t="inlineStr">
        <is>
          <t>No</t>
        </is>
      </c>
      <c r="X13" s="259" t="inlineStr">
        <is>
          <t>Yes</t>
        </is>
      </c>
      <c r="Y13" s="116" t="inlineStr">
        <is>
          <t>HIGH</t>
        </is>
      </c>
      <c r="Z13" s="253" t="inlineStr">
        <is>
          <t>Market Rate Comp #3: No income restrictions, 2017 vintage (16 yr diff), ~100 units, 2.5 mi from subject in Lee's Summit MO 64064. Upscale townhomes. 2BD avg $1,920 / 3BD $2,100.</t>
        </is>
      </c>
      <c r="AA13" s="257" t="inlineStr">
        <is>
          <t>https://www.apartments.com/chapel-ridge-townhomes-lees-summit-mo/2l1qjjc/</t>
        </is>
      </c>
      <c r="AB13" s="258" t="n"/>
    </row>
    <row r="14" ht="21.75" customFormat="1" customHeight="1" s="3">
      <c r="B14" s="252" t="inlineStr">
        <is>
          <t>MARKET RATE</t>
        </is>
      </c>
      <c r="C14" s="253" t="inlineStr">
        <is>
          <t>Signature at West Pryor</t>
        </is>
      </c>
      <c r="D14" s="254" t="inlineStr">
        <is>
          <t>2100 NW Lowenstein Dr</t>
        </is>
      </c>
      <c r="E14" s="116" t="inlineStr">
        <is>
          <t>Lee's Summit</t>
        </is>
      </c>
      <c r="F14" s="116" t="inlineStr">
        <is>
          <t>MO</t>
        </is>
      </c>
      <c r="G14" s="116" t="inlineStr">
        <is>
          <t>64081</t>
        </is>
      </c>
      <c r="H14" s="116" t="inlineStr">
        <is>
          <t>3.5 mi</t>
        </is>
      </c>
      <c r="I14" s="116" t="inlineStr">
        <is>
          <t>N/A (Market Rate)</t>
        </is>
      </c>
      <c r="J14" s="116" t="inlineStr">
        <is>
          <t>N/A (Market Rate)</t>
        </is>
      </c>
      <c r="K14" s="384" t="n">
        <v>1420</v>
      </c>
      <c r="L14" s="384" t="n">
        <v>1845</v>
      </c>
      <c r="M14" s="255" t="inlineStr">
        <is>
          <t>N/A (Market Rate)</t>
        </is>
      </c>
      <c r="N14" s="116" t="inlineStr">
        <is>
          <t>N/A (Market Rate)</t>
        </is>
      </c>
      <c r="O14" s="384" t="n">
        <v>1850</v>
      </c>
      <c r="P14" s="384" t="n">
        <v>2053</v>
      </c>
      <c r="Q14" s="374" t="n">
        <v>184</v>
      </c>
      <c r="R14" s="116" t="n">
        <v>2023</v>
      </c>
      <c r="S14" s="116" t="n">
        <v>22</v>
      </c>
      <c r="T14" s="116" t="inlineStr">
        <is>
          <t>No</t>
        </is>
      </c>
      <c r="U14" s="259" t="inlineStr">
        <is>
          <t>Yes</t>
        </is>
      </c>
      <c r="V14" s="259" t="inlineStr">
        <is>
          <t>Yes</t>
        </is>
      </c>
      <c r="W14" s="259" t="inlineStr">
        <is>
          <t>Yes</t>
        </is>
      </c>
      <c r="X14" s="259" t="inlineStr">
        <is>
          <t>Yes</t>
        </is>
      </c>
      <c r="Y14" s="116" t="inlineStr">
        <is>
          <t>HIGH</t>
        </is>
      </c>
      <c r="Z14" s="253" t="inlineStr">
        <is>
          <t>Market Rate Comp #4: No income restrictions, 2023 vintage (22 yr diff), 184 units, 3.5 mi from subject in Lee's Summit MO 64081. New luxury community. 2BD avg $1,845 / 3BD avg $2,053.</t>
        </is>
      </c>
      <c r="AA14" s="257" t="inlineStr">
        <is>
          <t>https://www.apartments.com/signature-at-west-pryor-lees-summit-mo/32ts4jf/</t>
        </is>
      </c>
      <c r="AB14" s="258" t="n"/>
    </row>
    <row r="15" ht="21.75" customFormat="1" customHeight="1" s="3">
      <c r="B15" s="252" t="inlineStr">
        <is>
          <t>MARKET RATE</t>
        </is>
      </c>
      <c r="C15" s="253" t="inlineStr">
        <is>
          <t>Evren Apartments of Lee's Summit</t>
        </is>
      </c>
      <c r="D15" s="254" t="inlineStr">
        <is>
          <t>25 NW Tudor Rd</t>
        </is>
      </c>
      <c r="E15" s="116" t="inlineStr">
        <is>
          <t>Lee's Summit</t>
        </is>
      </c>
      <c r="F15" s="116" t="inlineStr">
        <is>
          <t>MO</t>
        </is>
      </c>
      <c r="G15" s="116" t="inlineStr">
        <is>
          <t>64086</t>
        </is>
      </c>
      <c r="H15" s="116" t="inlineStr">
        <is>
          <t>5.0 mi</t>
        </is>
      </c>
      <c r="I15" s="116" t="inlineStr">
        <is>
          <t>N/A (Market Rate)</t>
        </is>
      </c>
      <c r="J15" s="116" t="inlineStr">
        <is>
          <t>N/A (Market Rate)</t>
        </is>
      </c>
      <c r="K15" s="384" t="n">
        <v>1420</v>
      </c>
      <c r="L15" s="384" t="n">
        <v>1749</v>
      </c>
      <c r="M15" s="255" t="inlineStr">
        <is>
          <t>N/A (Market Rate)</t>
        </is>
      </c>
      <c r="N15" s="116" t="inlineStr">
        <is>
          <t>N/A (Market Rate)</t>
        </is>
      </c>
      <c r="O15" s="384" t="n">
        <v>1850</v>
      </c>
      <c r="P15" s="116" t="inlineStr">
        <is>
          <t>N/A</t>
        </is>
      </c>
      <c r="Q15" s="374" t="n">
        <v>322</v>
      </c>
      <c r="R15" s="116" t="n">
        <v>2026</v>
      </c>
      <c r="S15" s="116" t="n">
        <v>25</v>
      </c>
      <c r="T15" s="116" t="inlineStr">
        <is>
          <t>No</t>
        </is>
      </c>
      <c r="U15" s="259" t="inlineStr">
        <is>
          <t>Yes</t>
        </is>
      </c>
      <c r="V15" s="256" t="inlineStr">
        <is>
          <t>No</t>
        </is>
      </c>
      <c r="W15" s="259" t="inlineStr">
        <is>
          <t>Yes</t>
        </is>
      </c>
      <c r="X15" s="259" t="inlineStr">
        <is>
          <t>Yes</t>
        </is>
      </c>
      <c r="Y15" s="116" t="inlineStr">
        <is>
          <t>MODERATE-HIGH</t>
        </is>
      </c>
      <c r="Z15" s="253" t="inlineStr">
        <is>
          <t>Market Rate Comp #5: No income restrictions, 2026 vintage (25 yr diff), 322 units, 5.0 mi from subject in Lee's Summit MO 64086. Brand new community, 1-2BR only. 2BD $1,749.</t>
        </is>
      </c>
      <c r="AA15" s="257" t="inlineStr">
        <is>
          <t>https://www.apartments.com/evren-apartments-of-lees-summit-mo/</t>
        </is>
      </c>
      <c r="AB15" s="258" t="n"/>
    </row>
    <row r="16" ht="21.75" customFormat="1" customHeight="1" s="3">
      <c r="B16" s="252" t="inlineStr">
        <is>
          <t>MARKET RATE</t>
        </is>
      </c>
      <c r="C16" s="253" t="inlineStr">
        <is>
          <t>Summit Point Apartments</t>
        </is>
      </c>
      <c r="D16" s="254" t="inlineStr">
        <is>
          <t>504 NE Chipman Rd</t>
        </is>
      </c>
      <c r="E16" s="116" t="inlineStr">
        <is>
          <t>Lee's Summit</t>
        </is>
      </c>
      <c r="F16" s="116" t="inlineStr">
        <is>
          <t>MO</t>
        </is>
      </c>
      <c r="G16" s="116" t="inlineStr">
        <is>
          <t>64063</t>
        </is>
      </c>
      <c r="H16" s="116" t="inlineStr">
        <is>
          <t>3.0 mi</t>
        </is>
      </c>
      <c r="I16" s="116" t="inlineStr">
        <is>
          <t>N/A (Market Rate)</t>
        </is>
      </c>
      <c r="J16" s="116" t="inlineStr">
        <is>
          <t>N/A (Market Rate)</t>
        </is>
      </c>
      <c r="K16" s="384" t="n">
        <v>1420</v>
      </c>
      <c r="L16" s="384" t="n">
        <v>1310</v>
      </c>
      <c r="M16" s="255" t="inlineStr">
        <is>
          <t>N/A (Market Rate)</t>
        </is>
      </c>
      <c r="N16" s="116" t="inlineStr">
        <is>
          <t>N/A (Market Rate)</t>
        </is>
      </c>
      <c r="O16" s="384" t="n">
        <v>1850</v>
      </c>
      <c r="P16" s="116" t="inlineStr">
        <is>
          <t>N/A</t>
        </is>
      </c>
      <c r="Q16" s="374" t="n">
        <v>100</v>
      </c>
      <c r="R16" s="116" t="n">
        <v>1986</v>
      </c>
      <c r="S16" s="116" t="n">
        <v>15</v>
      </c>
      <c r="T16" s="116" t="inlineStr">
        <is>
          <t>No</t>
        </is>
      </c>
      <c r="U16" s="259" t="inlineStr">
        <is>
          <t>Yes</t>
        </is>
      </c>
      <c r="V16" s="256" t="inlineStr">
        <is>
          <t>No</t>
        </is>
      </c>
      <c r="W16" s="259" t="inlineStr">
        <is>
          <t>Yes</t>
        </is>
      </c>
      <c r="X16" s="256" t="inlineStr">
        <is>
          <t>No</t>
        </is>
      </c>
      <c r="Y16" s="116" t="inlineStr">
        <is>
          <t>LOW</t>
        </is>
      </c>
      <c r="Z16" s="253" t="inlineStr">
        <is>
          <t>Market Rate Comp #6: No income restrictions, 1986 vintage (15 yr diff), ~100 units, 3.0 mi from subject in Lee's Summit MO 64063. Older community, 1-2BR only. 2BD avg $1,310.</t>
        </is>
      </c>
      <c r="AA16" s="257" t="inlineStr">
        <is>
          <t>https://www.apartments.com/summit-point-apartments-lees-summit-mo/</t>
        </is>
      </c>
      <c r="AB16" s="258" t="n"/>
    </row>
    <row r="17" ht="21.75" customFormat="1" customHeight="1" s="3">
      <c r="B17" s="252" t="inlineStr">
        <is>
          <t>BENCHMARK</t>
        </is>
      </c>
      <c r="C17" s="253" t="inlineStr">
        <is>
          <t>FY2026 FMR — ZIP 64064 (Lee's Summit, MO)</t>
        </is>
      </c>
      <c r="D17" s="254" t="inlineStr">
        <is>
          <t>N/A</t>
        </is>
      </c>
      <c r="E17" s="116" t="inlineStr">
        <is>
          <t>Lee's Summit</t>
        </is>
      </c>
      <c r="F17" s="116" t="inlineStr">
        <is>
          <t>MO</t>
        </is>
      </c>
      <c r="G17" s="116" t="inlineStr">
        <is>
          <t>64064</t>
        </is>
      </c>
      <c r="H17" s="116" t="inlineStr">
        <is>
          <t>N/A</t>
        </is>
      </c>
      <c r="I17" s="116" t="n">
        <v>1420</v>
      </c>
      <c r="J17" s="384" t="n">
        <v>1420</v>
      </c>
      <c r="K17" s="384" t="n">
        <v>1420</v>
      </c>
      <c r="L17" s="116" t="inlineStr">
        <is>
          <t>N/A</t>
        </is>
      </c>
      <c r="M17" s="374" t="n">
        <v>1850</v>
      </c>
      <c r="N17" s="384" t="n">
        <v>1850</v>
      </c>
      <c r="O17" s="384" t="n">
        <v>1850</v>
      </c>
      <c r="P17" s="116" t="inlineStr">
        <is>
          <t>N/A</t>
        </is>
      </c>
      <c r="Q17" s="255" t="inlineStr">
        <is>
          <t>N/A</t>
        </is>
      </c>
      <c r="R17" s="116" t="inlineStr">
        <is>
          <t>N/A</t>
        </is>
      </c>
      <c r="S17" s="116" t="inlineStr">
        <is>
          <t>N/A</t>
        </is>
      </c>
      <c r="T17" s="116" t="inlineStr">
        <is>
          <t>N/A</t>
        </is>
      </c>
      <c r="U17" s="116" t="inlineStr">
        <is>
          <t>N/A</t>
        </is>
      </c>
      <c r="V17" s="116" t="inlineStr">
        <is>
          <t>N/A</t>
        </is>
      </c>
      <c r="W17" s="116" t="inlineStr">
        <is>
          <t>N/A</t>
        </is>
      </c>
      <c r="X17" s="116" t="inlineStr">
        <is>
          <t>N/A</t>
        </is>
      </c>
      <c r="Y17" s="116" t="inlineStr">
        <is>
          <t>BENCHMARK</t>
        </is>
      </c>
      <c r="Z17" s="253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7" s="257" t="inlineStr">
        <is>
          <t>HUD FMR Database (huduser.gov)</t>
        </is>
      </c>
      <c r="AB17" s="258" t="n"/>
    </row>
    <row r="19" ht="14.25" customFormat="1" customHeight="1" s="3">
      <c r="B19" s="235" t="inlineStr">
        <is>
          <t>COLOR KEY:  GREEN = Subject Property  |  TEAL = Affordable/Income-Restricted Comps  |  BLUE = Market Rate Comps  |  ORANGE = Actual Advertised Rent  |  YELLOW = Market Average Benchmark</t>
        </is>
      </c>
      <c r="C19" s="294" t="n"/>
      <c r="D19" s="294" t="n"/>
      <c r="E19" s="294" t="n"/>
      <c r="F19" s="294" t="n"/>
      <c r="G19" s="294" t="n"/>
      <c r="H19" s="294" t="n"/>
      <c r="I19" s="294" t="n"/>
      <c r="J19" s="294" t="n"/>
      <c r="K19" s="294" t="n"/>
      <c r="L19" s="294" t="n"/>
      <c r="M19" s="294" t="n"/>
      <c r="N19" s="294" t="n"/>
      <c r="O19" s="294" t="n"/>
      <c r="P19" s="294" t="n"/>
      <c r="Q19" s="294" t="n"/>
      <c r="R19" s="294" t="n"/>
      <c r="S19" s="294" t="n"/>
      <c r="T19" s="294" t="n"/>
      <c r="U19" s="294" t="n"/>
      <c r="V19" s="294" t="n"/>
      <c r="W19" s="294" t="n"/>
      <c r="X19" s="294" t="n"/>
      <c r="Y19" s="294" t="n"/>
      <c r="Z19" s="294" t="n"/>
      <c r="AA19" s="294" t="n"/>
      <c r="AB19" s="295" t="n"/>
    </row>
    <row r="21" ht="18" customFormat="1" customHeight="1" s="3">
      <c r="B21" s="270" t="inlineStr">
        <is>
          <t>CURRENT RENT vs. MARKET AVERAGE</t>
        </is>
      </c>
      <c r="C21" s="294" t="n"/>
      <c r="D21" s="294" t="n"/>
      <c r="E21" s="294" t="n"/>
      <c r="F21" s="294" t="n"/>
      <c r="G21" s="294" t="n"/>
      <c r="H21" s="295" t="n"/>
    </row>
    <row r="22" ht="15.75" customFormat="1" customHeight="1" s="3">
      <c r="B22" s="235" t="inlineStr">
        <is>
          <t>Market Average = Avg of Actual Advertised Rents from 6 Market-Rate Comps (Apartments.com)</t>
        </is>
      </c>
      <c r="C22" s="294" t="n"/>
      <c r="D22" s="294" t="n"/>
      <c r="E22" s="294" t="n"/>
      <c r="F22" s="294" t="n"/>
      <c r="G22" s="294" t="n"/>
      <c r="H22" s="295" t="n"/>
    </row>
    <row r="23" ht="15.75" customFormat="1" customHeight="1" s="3">
      <c r="C23" s="271" t="inlineStr">
        <is>
          <t>Current Rent</t>
        </is>
      </c>
      <c r="D23" s="271" t="inlineStr">
        <is>
          <t>Market Avg</t>
        </is>
      </c>
      <c r="E23" s="271" t="inlineStr">
        <is>
          <t>Difference</t>
        </is>
      </c>
    </row>
    <row r="24" ht="20.25" customFormat="1" customHeight="1" s="3">
      <c r="B24" s="272" t="inlineStr">
        <is>
          <t>2BD</t>
        </is>
      </c>
      <c r="C24" s="375" t="n">
        <v>1388</v>
      </c>
      <c r="D24" s="376" t="n">
        <v>1653</v>
      </c>
      <c r="E24" s="377" t="n">
        <v>-265</v>
      </c>
    </row>
    <row r="25" ht="20.25" customFormat="1" customHeight="1" s="3">
      <c r="B25" s="272" t="inlineStr">
        <is>
          <t>3BD</t>
        </is>
      </c>
      <c r="C25" s="375" t="n">
        <v>1592</v>
      </c>
      <c r="D25" s="376" t="n">
        <v>1930</v>
      </c>
      <c r="E25" s="377" t="n">
        <v>-338</v>
      </c>
    </row>
    <row r="26" ht="20.25" customFormat="1" customHeight="1" s="3">
      <c r="B26" s="272" t="inlineStr">
        <is>
          <t>2BD</t>
        </is>
      </c>
      <c r="C26" s="375" t="n">
        <v>1388</v>
      </c>
      <c r="D26" s="376" t="n">
        <v>0</v>
      </c>
      <c r="E26" s="381" t="n">
        <v>1388</v>
      </c>
    </row>
    <row r="27" ht="20.25" customFormat="1" customHeight="1" s="3">
      <c r="B27" s="272" t="inlineStr">
        <is>
          <t>3BD</t>
        </is>
      </c>
      <c r="C27" s="375" t="n">
        <v>1592</v>
      </c>
      <c r="D27" s="376" t="n">
        <v>0</v>
      </c>
      <c r="E27" s="381" t="n">
        <v>1592</v>
      </c>
    </row>
    <row r="28" ht="20.25" customFormat="1" customHeight="1" s="3">
      <c r="B28" s="272" t="inlineStr">
        <is>
          <t>2BD</t>
        </is>
      </c>
      <c r="C28" s="375" t="n">
        <v>1388</v>
      </c>
      <c r="D28" s="376" t="n">
        <v>178</v>
      </c>
      <c r="E28" s="381" t="n">
        <v>1210</v>
      </c>
    </row>
    <row r="29" ht="20.25" customFormat="1" customHeight="1" s="3">
      <c r="B29" s="272" t="inlineStr">
        <is>
          <t>3BD</t>
        </is>
      </c>
      <c r="C29" s="375" t="n">
        <v>1592</v>
      </c>
      <c r="D29" s="376" t="n">
        <v>231</v>
      </c>
      <c r="E29" s="381" t="n">
        <v>1361</v>
      </c>
    </row>
    <row r="32" ht="18" customFormat="1" customHeight="1" s="3">
      <c r="B32" s="270" t="inlineStr">
        <is>
          <t>PMTS — Vouchers / FMR / UAP / NET</t>
        </is>
      </c>
      <c r="C32" s="294" t="n"/>
      <c r="D32" s="294" t="n"/>
      <c r="E32" s="294" t="n"/>
      <c r="F32" s="294" t="n"/>
      <c r="G32" s="294" t="n"/>
      <c r="H32" s="295" t="n"/>
    </row>
    <row r="33" ht="15.75" customFormat="1" customHeight="1" s="3">
      <c r="C33" s="378">
        <f>'Current Rents'!E47</f>
        <v/>
      </c>
      <c r="D33" s="271" t="inlineStr">
        <is>
          <t>VCH</t>
        </is>
      </c>
      <c r="E33" s="271" t="inlineStr">
        <is>
          <t>FMR</t>
        </is>
      </c>
      <c r="F33" s="271" t="inlineStr">
        <is>
          <t>UAP</t>
        </is>
      </c>
      <c r="G33" s="271" t="inlineStr">
        <is>
          <t>NET</t>
        </is>
      </c>
    </row>
    <row r="34" ht="20.25" customFormat="1" customHeight="1" s="3">
      <c r="B34" s="272" t="inlineStr">
        <is>
          <t>2BD</t>
        </is>
      </c>
      <c r="C34" s="292">
        <f>'Current Rents'!F47</f>
        <v/>
      </c>
      <c r="D34" s="382" t="n">
        <v>1653</v>
      </c>
      <c r="E34" s="379" t="n">
        <v>-241</v>
      </c>
      <c r="F34" s="287" t="n"/>
      <c r="G34" s="272" t="n"/>
    </row>
    <row r="35" ht="20.25" customFormat="1" customHeight="1" s="3">
      <c r="B35" s="272" t="inlineStr">
        <is>
          <t>3BD</t>
        </is>
      </c>
      <c r="C35" s="292" t="n">
        <v>1592</v>
      </c>
      <c r="D35" s="382" t="n">
        <v>1930</v>
      </c>
      <c r="E35" s="379" t="n">
        <v>-297</v>
      </c>
      <c r="F35" s="287" t="n"/>
      <c r="G35" s="272" t="n"/>
    </row>
  </sheetData>
  <mergeCells count="9">
    <mergeCell ref="B22:H22"/>
    <mergeCell ref="B32:H32"/>
    <mergeCell ref="B4:Y4"/>
    <mergeCell ref="B21:H21"/>
    <mergeCell ref="B7:AB7"/>
    <mergeCell ref="B6:AB6"/>
    <mergeCell ref="B19:AB19"/>
    <mergeCell ref="B5:AB5"/>
    <mergeCell ref="Z4:AB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2026-07-01T17:50:00Z</dcterms:modified>
  <cp:lastModifiedBy>Brandon Rose</cp:lastModifiedBy>
</cp:coreProperties>
</file>