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3"/>
  </bookViews>
  <sheets>
    <sheet r:id="rId1" name="INDEX" sheetId="1"/>
    <sheet r:id="rId2" name="Current Rents" sheetId="2"/>
    <sheet r:id="rId3" name="21 - Boca Ciega" sheetId="3"/>
    <sheet r:id="rId4" name="13 - Jefferson" sheetId="4"/>
    <sheet r:id="rId5" name="18 - Opa Locka" sheetId="5"/>
    <sheet r:id="rId6" name="14 - Macedonia" sheetId="6"/>
    <sheet r:id="rId7" name="48 - Coral Village" sheetId="7"/>
    <sheet r:id="rId8" name="15 - Holiday" sheetId="8"/>
    <sheet r:id="rId9" name="16 - Cumberland" sheetId="9"/>
    <sheet r:id="rId10" name="59 - Walnut Hill" sheetId="10"/>
    <sheet r:id="rId11" name="29 - River Pointe" sheetId="11"/>
    <sheet r:id="rId12" name="12 - Breckenridge" sheetId="12"/>
    <sheet r:id="rId13" name="38 - Lexington" sheetId="13"/>
    <sheet r:id="rId14" name="23 - Grace Townhomes" sheetId="14"/>
    <sheet r:id="rId15" name="46 - Grove Park" sheetId="15"/>
    <sheet r:id="rId16" name="60 - La Promesa" sheetId="16"/>
    <sheet r:id="rId17" name="3 - Wilmington" sheetId="17"/>
    <sheet r:id="rId18" name="19 - Gates" sheetId="18"/>
    <sheet r:id="rId19" name="42 - Ruby" sheetId="19"/>
    <sheet r:id="rId20" name="39 - Star" sheetId="20"/>
    <sheet r:id="rId21" name="20 - Thibodaux" sheetId="21"/>
    <sheet r:id="rId22" name="40 - Marrero" sheetId="22"/>
    <sheet r:id="rId23" name="37 - Arbor Crest" sheetId="23"/>
    <sheet r:id="rId24" name="33 - Windsor-Yorkshire" sheetId="24"/>
    <sheet r:id="rId25" name="50 - North Pointe" sheetId="25"/>
    <sheet r:id="rId26" name="53 - Bayou Pointe" sheetId="26"/>
    <sheet r:id="rId27" name="41 - St. Charles" sheetId="27"/>
    <sheet r:id="rId28" name="55 - Pelican Bay" sheetId="28"/>
    <sheet r:id="rId29" name="56 - Howell Place" sheetId="29"/>
    <sheet r:id="rId30" name="57 - Pirates Bend" sheetId="30"/>
    <sheet r:id="rId31" name="6 - Anaheim Gardens" sheetId="31"/>
    <sheet r:id="rId32" name="11 - Fairfax" sheetId="32"/>
    <sheet r:id="rId33" name="31 - Urban" sheetId="33"/>
    <sheet r:id="rId34" name="2 - Midtown" sheetId="34"/>
    <sheet r:id="rId35" name="34 - Pacific Pointe" sheetId="35"/>
    <sheet r:id="rId36" name="28 - Granite Ridge" sheetId="36"/>
    <sheet r:id="rId37" name="25 - Columbia" sheetId="37"/>
    <sheet r:id="rId38" name="26 - Forest View" sheetId="38"/>
    <sheet r:id="rId39" name="24 - Oak Hills" sheetId="39"/>
    <sheet r:id="rId40" name="58 - River Garden" sheetId="40"/>
    <sheet r:id="rId41" name="36 - Silver Springs" sheetId="41"/>
    <sheet r:id="rId42" name="44 - Thomasville" sheetId="42"/>
    <sheet r:id="rId43" name="63 - Crossroads" sheetId="43"/>
  </sheets>
  <calcPr calcId="0" iterateCount="100" iterateDelta="0.001"/>
</workbook>
</file>

<file path=xl/sharedStrings.xml><?xml version="1.0" encoding="utf-8"?>
<sst xmlns="http://schemas.openxmlformats.org/spreadsheetml/2006/main" count="2204" uniqueCount="2204">
  <si>
    <t>APARTMENT CORP — COMPETITIVE RENT COMP ANALYSIS 2026</t>
  </si>
  <si>
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</si>
  <si>
    <t>#</t>
  </si>
  <si>
    <t>Property Name</t>
  </si>
  <si>
    <t>City, State</t>
  </si>
  <si>
    <t>Year Built</t>
  </si>
  <si>
    <t>Units</t>
  </si>
  <si>
    <t>Program</t>
  </si>
  <si>
    <t>Sheet Name</t>
  </si>
  <si>
    <t>Bedroom Mix</t>
  </si>
  <si>
    <t>Comp Types</t>
  </si>
  <si>
    <t>Boca Ciega</t>
  </si>
  <si>
    <t>St. Petersburg, FL</t>
  </si>
  <si>
    <t>Layered HUD/LIHTC</t>
  </si>
  <si>
    <t>21 - Boca Ciega</t>
  </si>
  <si>
    <t>2BR / 3BR</t>
  </si>
  <si>
    <t>3 Affordable (Green) + 6 Market Rate (Blue)</t>
  </si>
  <si>
    <t>Jefferson Arms</t>
  </si>
  <si>
    <t>Monticello, FL</t>
  </si>
  <si>
    <t>Section 8/HUD</t>
  </si>
  <si>
    <t>13 - Jefferson</t>
  </si>
  <si>
    <t>Opa Locka 135th St</t>
  </si>
  <si>
    <t>Opa Locka, FL</t>
  </si>
  <si>
    <t>18 - Opa Locka</t>
  </si>
  <si>
    <t>1BR / 2BR / 3BR</t>
  </si>
  <si>
    <t>Macedonia Garden</t>
  </si>
  <si>
    <t>Panama City, FL</t>
  </si>
  <si>
    <t>14 - Macedonia</t>
  </si>
  <si>
    <t>Coral Village</t>
  </si>
  <si>
    <t>Cape Coral, FL</t>
  </si>
  <si>
    <t>48 - Coral Village</t>
  </si>
  <si>
    <t>1BR / 2BR</t>
  </si>
  <si>
    <t>Holiday Apts</t>
  </si>
  <si>
    <t>Natchez, MS</t>
  </si>
  <si>
    <t>15 - Holiday</t>
  </si>
  <si>
    <t>2BR / 3BR / 4BR / 5BR</t>
  </si>
  <si>
    <t>Cumberland</t>
  </si>
  <si>
    <t>Crystal Springs, MS</t>
  </si>
  <si>
    <t>16 - Cumberland</t>
  </si>
  <si>
    <t>1BR / 2BR / 3BR / 4BR</t>
  </si>
  <si>
    <t>Village Green</t>
  </si>
  <si>
    <t>17 - Village Green</t>
  </si>
  <si>
    <t>Walnut Hill</t>
  </si>
  <si>
    <t>59 - Walnut Hill</t>
  </si>
  <si>
    <t>River Pointe</t>
  </si>
  <si>
    <t>Columbus, OH</t>
  </si>
  <si>
    <t>29 - River Pointe</t>
  </si>
  <si>
    <t>Breckenridge Village</t>
  </si>
  <si>
    <t>Ennis, TX</t>
  </si>
  <si>
    <t>LIHTC</t>
  </si>
  <si>
    <t>12 - Breckenridge</t>
  </si>
  <si>
    <t>2BR / 4BR</t>
  </si>
  <si>
    <t>Lexington Arms</t>
  </si>
  <si>
    <t>Waxahachie, TX</t>
  </si>
  <si>
    <t>38 - Lexington</t>
  </si>
  <si>
    <t>Grace Townhomes</t>
  </si>
  <si>
    <t>23 - Grace Townhomes</t>
  </si>
  <si>
    <t>Grove Park Terrace</t>
  </si>
  <si>
    <t>46 - Grove Park</t>
  </si>
  <si>
    <t>La Promesa</t>
  </si>
  <si>
    <t>Odessa, TX</t>
  </si>
  <si>
    <t>60 - La Promesa</t>
  </si>
  <si>
    <t>New Wilmington Arms</t>
  </si>
  <si>
    <t>Compton, CA</t>
  </si>
  <si>
    <t>N/A</t>
  </si>
  <si>
    <t>3 - Wilmington</t>
  </si>
  <si>
    <t>Gates on Manhattan</t>
  </si>
  <si>
    <t>Harvey, LA</t>
  </si>
  <si>
    <t>19 - Gates</t>
  </si>
  <si>
    <t>Ruby Diamond</t>
  </si>
  <si>
    <t>Marrero, LA</t>
  </si>
  <si>
    <t>42 - Ruby</t>
  </si>
  <si>
    <t>3BR / 4BR</t>
  </si>
  <si>
    <t>Star Homes</t>
  </si>
  <si>
    <t>39 - Star</t>
  </si>
  <si>
    <t>2BR / 3BR / 4BR</t>
  </si>
  <si>
    <t>Colonial Estates (Thibodaux)</t>
  </si>
  <si>
    <t>Thibodaux, LA</t>
  </si>
  <si>
    <t>20 - Thibodaux</t>
  </si>
  <si>
    <t>Marrero 3</t>
  </si>
  <si>
    <t>40 - Marrero</t>
  </si>
  <si>
    <t>Arbor Crest</t>
  </si>
  <si>
    <t>Quincy, FL</t>
  </si>
  <si>
    <t>37 - Arbor Crest</t>
  </si>
  <si>
    <t>Windsor/Yorkshire</t>
  </si>
  <si>
    <t>Shreveport, LA</t>
  </si>
  <si>
    <t>33 - Windsor-Yorkshire</t>
  </si>
  <si>
    <t>1BR / 2BR / 4BR</t>
  </si>
  <si>
    <t>North Pointe</t>
  </si>
  <si>
    <t>Bossier City, LA</t>
  </si>
  <si>
    <t>50 - North Pointe</t>
  </si>
  <si>
    <t>Granite Bayou</t>
  </si>
  <si>
    <t>Baton Rouge, LA</t>
  </si>
  <si>
    <t>53 - Bayou Pointe</t>
  </si>
  <si>
    <t>St. Charles Place</t>
  </si>
  <si>
    <t>Lake Charles, LA</t>
  </si>
  <si>
    <t>41 - St. Charles</t>
  </si>
  <si>
    <t>Pelican Bay</t>
  </si>
  <si>
    <t>55 - Pelican Bay</t>
  </si>
  <si>
    <t>Howell Place</t>
  </si>
  <si>
    <t>56 - Howell Place</t>
  </si>
  <si>
    <t>Pirates Bend</t>
  </si>
  <si>
    <t>57 - Pirates Bend</t>
  </si>
  <si>
    <t>Anaheim</t>
  </si>
  <si>
    <t>Anaheim, CA</t>
  </si>
  <si>
    <t>6 - Anaheim Gardens</t>
  </si>
  <si>
    <t>Fairfax</t>
  </si>
  <si>
    <t>Los Angeles, CA</t>
  </si>
  <si>
    <t>11 - Fairfax</t>
  </si>
  <si>
    <t>1BR</t>
  </si>
  <si>
    <t>Urban 1 &amp; 2</t>
  </si>
  <si>
    <t>31 - Urban</t>
  </si>
  <si>
    <t>2BR</t>
  </si>
  <si>
    <t>Midtown Manor</t>
  </si>
  <si>
    <t>2 - Midtown</t>
  </si>
  <si>
    <t>Pacific Pointe</t>
  </si>
  <si>
    <t>Stockton, CA</t>
  </si>
  <si>
    <t>34 - Pacific Pointe</t>
  </si>
  <si>
    <t>Granite Ridge</t>
  </si>
  <si>
    <t>28 - Granite Ridge</t>
  </si>
  <si>
    <t>Columbia Village</t>
  </si>
  <si>
    <t>Sonora, CA</t>
  </si>
  <si>
    <t>25 - Columbia</t>
  </si>
  <si>
    <t>Forest View Senior</t>
  </si>
  <si>
    <t>26 - Forest View</t>
  </si>
  <si>
    <t>Oak Hills</t>
  </si>
  <si>
    <t>Jamestown, CA</t>
  </si>
  <si>
    <t>24 - Oak Hills</t>
  </si>
  <si>
    <t>River Garden</t>
  </si>
  <si>
    <t>58 - River Garden</t>
  </si>
  <si>
    <t>Silver Springs Terrace</t>
  </si>
  <si>
    <t>Hickory, NC</t>
  </si>
  <si>
    <t>36 - Silver Springs</t>
  </si>
  <si>
    <t>Thomasville Church Homes</t>
  </si>
  <si>
    <t>Thomasville, NC</t>
  </si>
  <si>
    <t>44 - Thomasville</t>
  </si>
  <si>
    <t>Crossroadsof Lee Summit</t>
  </si>
  <si>
    <t>As of June 2026  |  Enter rents here — values flow automatically to each building sheet</t>
  </si>
  <si>
    <t>Property (Sheet Name)</t>
  </si>
  <si>
    <t>Bed Type</t>
  </si>
  <si>
    <t xml:space="preserve">Current Rent </t>
  </si>
  <si>
    <t>As of June 2026  |  All values are live formula links — update rent on the building sheet and it updates here automatically</t>
  </si>
  <si>
    <t>Same information that is in the table to the left.</t>
  </si>
  <si>
    <t>ID</t>
  </si>
  <si>
    <t>Studio
(0BD)</t>
  </si>
  <si>
    <t>1 Bed
(1BD)</t>
  </si>
  <si>
    <t>2 Bed
(2BD)</t>
  </si>
  <si>
    <t>3 Bed
(3BD)</t>
  </si>
  <si>
    <t>4 Bed
(4BD)</t>
  </si>
  <si>
    <t>5 Bed
(5BD)</t>
  </si>
  <si>
    <t>Notes</t>
  </si>
  <si>
    <t>2BD</t>
  </si>
  <si>
    <t>3BD</t>
  </si>
  <si>
    <t>21</t>
  </si>
  <si>
    <t>—</t>
  </si>
  <si>
    <t>4BD</t>
  </si>
  <si>
    <t>13</t>
  </si>
  <si>
    <t>Jefferson</t>
  </si>
  <si>
    <t>18</t>
  </si>
  <si>
    <t>Opa Locka</t>
  </si>
  <si>
    <t>1BD</t>
  </si>
  <si>
    <t>14</t>
  </si>
  <si>
    <t>Macedonia</t>
  </si>
  <si>
    <t>18 - Opa Locka (135th Apartments)</t>
  </si>
  <si>
    <t>48</t>
  </si>
  <si>
    <t>19 - Opa Locka (135th Apartments)</t>
  </si>
  <si>
    <t>15</t>
  </si>
  <si>
    <t>Holiday</t>
  </si>
  <si>
    <t>20 - Opa Locka (135th Apartments)</t>
  </si>
  <si>
    <t>16</t>
  </si>
  <si>
    <t>59</t>
  </si>
  <si>
    <t>29</t>
  </si>
  <si>
    <t>12</t>
  </si>
  <si>
    <t>Breckenridge</t>
  </si>
  <si>
    <t>5BD</t>
  </si>
  <si>
    <t>38</t>
  </si>
  <si>
    <t>Lexington</t>
  </si>
  <si>
    <t>23</t>
  </si>
  <si>
    <t>46</t>
  </si>
  <si>
    <t>Grove Park</t>
  </si>
  <si>
    <t>60</t>
  </si>
  <si>
    <t>3</t>
  </si>
  <si>
    <t>Wilmington</t>
  </si>
  <si>
    <t>19</t>
  </si>
  <si>
    <t>Gates</t>
  </si>
  <si>
    <t>42</t>
  </si>
  <si>
    <t>Ruby</t>
  </si>
  <si>
    <t>39</t>
  </si>
  <si>
    <t>Star</t>
  </si>
  <si>
    <t>20</t>
  </si>
  <si>
    <t>See Windsor/Yorkshire</t>
  </si>
  <si>
    <t>40</t>
  </si>
  <si>
    <t>Marrero</t>
  </si>
  <si>
    <t>37</t>
  </si>
  <si>
    <t>33</t>
  </si>
  <si>
    <t>Windsor-Yorkshire</t>
  </si>
  <si>
    <t>50</t>
  </si>
  <si>
    <t>63 - Crossroads</t>
  </si>
  <si>
    <t>53</t>
  </si>
  <si>
    <t>Bayou Pointe</t>
  </si>
  <si>
    <t>41</t>
  </si>
  <si>
    <t>St. Charles</t>
  </si>
  <si>
    <t>55</t>
  </si>
  <si>
    <t>56</t>
  </si>
  <si>
    <t>57</t>
  </si>
  <si>
    <t>6</t>
  </si>
  <si>
    <t>Anaheim Gardens</t>
  </si>
  <si>
    <t>11</t>
  </si>
  <si>
    <t>31</t>
  </si>
  <si>
    <t>Urban</t>
  </si>
  <si>
    <t>2</t>
  </si>
  <si>
    <t>Midtown</t>
  </si>
  <si>
    <t>34</t>
  </si>
  <si>
    <t>28</t>
  </si>
  <si>
    <t>25</t>
  </si>
  <si>
    <t>Columbia</t>
  </si>
  <si>
    <t>26</t>
  </si>
  <si>
    <t>Forest View</t>
  </si>
  <si>
    <t>0BD</t>
  </si>
  <si>
    <t>24</t>
  </si>
  <si>
    <t>58</t>
  </si>
  <si>
    <t>36</t>
  </si>
  <si>
    <t>Silver Springs</t>
  </si>
  <si>
    <t>44</t>
  </si>
  <si>
    <t>Thomasville</t>
  </si>
  <si>
    <t>63</t>
  </si>
  <si>
    <t>Crossroads</t>
  </si>
  <si>
    <t>Total: 42 properties  |  All values are live formula links — change rent on building sheet to update here</t>
  </si>
  <si>
    <t>RENT COMPARABLES ANALYSIS  —  BOCA CIEGA  |  ST. PETERSBURG, FL 33711</t>
  </si>
  <si>
    <t xml:space="preserve">21 - Boca Ciega  |  109 Units  |  LIHTC / Section 8  |  2BD &amp; 3BD  </t>
  </si>
  <si>
    <t>3401 37th Street South, St. Petersburg, FL 33711  |  Pinellas County  |  Tampa-St. Petersburg MSA  |  FY2026 FMR: 2BD $2,170 / 3BD $2,780</t>
  </si>
  <si>
    <t>Data as of April 30, 2026  |  Sources: Apartments.com, HUD FMR Database, HUD Multifamily Assisted Housing, Apartment Corp Records</t>
  </si>
  <si>
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</si>
  <si>
    <t>Rank</t>
  </si>
  <si>
    <t>Type</t>
  </si>
  <si>
    <t>Address</t>
  </si>
  <si>
    <t>City</t>
  </si>
  <si>
    <t>St</t>
  </si>
  <si>
    <t>ZIP</t>
  </si>
  <si>
    <t>Distance</t>
  </si>
  <si>
    <t>2BD
50% AMI</t>
  </si>
  <si>
    <t>2BD
60% AMI</t>
  </si>
  <si>
    <t>2BD
FMR</t>
  </si>
  <si>
    <t>2BD - 
Actual</t>
  </si>
  <si>
    <t>3BD
50% AMI</t>
  </si>
  <si>
    <t>3BD
60% AMI</t>
  </si>
  <si>
    <t>3BD
FMR</t>
  </si>
  <si>
    <t>3BD - Actual</t>
  </si>
  <si>
    <t>Yr Built</t>
  </si>
  <si>
    <t>Yr Diff</t>
  </si>
  <si>
    <t>Utils
Incl.</t>
  </si>
  <si>
    <t>Pet
Friendly</t>
  </si>
  <si>
    <t>Gated</t>
  </si>
  <si>
    <t>Pool</t>
  </si>
  <si>
    <t>W/D
In-Unit</t>
  </si>
  <si>
    <t>Competition Level</t>
  </si>
  <si>
    <t>Notes / Why Competitive</t>
  </si>
  <si>
    <t>Data Source</t>
  </si>
  <si>
    <t>★</t>
  </si>
  <si>
    <t>SUBJECT</t>
  </si>
  <si>
    <t>Boca Ciega (SUBJECT)</t>
  </si>
  <si>
    <t>3401 37th Street South</t>
  </si>
  <si>
    <t>St. Petersburg</t>
  </si>
  <si>
    <t>FL</t>
  </si>
  <si>
    <t>33711</t>
  </si>
  <si>
    <t>0.0 mi</t>
  </si>
  <si>
    <t>$3,912</t>
  </si>
  <si>
    <t>$4,695</t>
  </si>
  <si>
    <t>$2,170</t>
  </si>
  <si>
    <t>$4,345</t>
  </si>
  <si>
    <t>$5,215</t>
  </si>
  <si>
    <t>$2,780</t>
  </si>
  <si>
    <t>Yes</t>
  </si>
  <si>
    <t>No</t>
  </si>
  <si>
    <t>109 units | Layered HUD/LIHTC. Year built: 1974. Subject property.</t>
  </si>
  <si>
    <t>Apartment Corp Records</t>
  </si>
  <si>
    <t>1</t>
  </si>
  <si>
    <t>AFFORDABLE</t>
  </si>
  <si>
    <t>Clearwater Gardens Apartments</t>
  </si>
  <si>
    <t>1501 N Greenwood Ave</t>
  </si>
  <si>
    <t>Clearwater</t>
  </si>
  <si>
    <t>33755</t>
  </si>
  <si>
    <t>14.2 mi</t>
  </si>
  <si>
    <t>Not Listed</t>
  </si>
  <si>
    <t>HIGH</t>
  </si>
  <si>
    <t>Section 8/HUD, 1974 vintage, 100 units, 14.2 mi.</t>
  </si>
  <si>
    <t>HUD Multifamily Assisted Housing</t>
  </si>
  <si>
    <t>Pinellas Park Manor</t>
  </si>
  <si>
    <t>6200 Park Blvd</t>
  </si>
  <si>
    <t>Pinellas Park</t>
  </si>
  <si>
    <t>33781</t>
  </si>
  <si>
    <t>7.1 mi</t>
  </si>
  <si>
    <t>Section 8/HUD, 1975 vintage, 112 units, 7.1 mi.</t>
  </si>
  <si>
    <t>Tarpon Springs Housing Authority</t>
  </si>
  <si>
    <t>200 S Walton Ave</t>
  </si>
  <si>
    <t>Tarpon Springs</t>
  </si>
  <si>
    <t>34689</t>
  </si>
  <si>
    <t>22.5 mi</t>
  </si>
  <si>
    <t>MODERATE-HIGH</t>
  </si>
  <si>
    <t>Public Housing/HUD, 1972 vintage, 96 units, 22.5 mi.</t>
  </si>
  <si>
    <t>MARKET RATE</t>
  </si>
  <si>
    <t>Addison at Bayfront</t>
  </si>
  <si>
    <t>COMPETITION</t>
  </si>
  <si>
    <t>2800 1st Ave S</t>
  </si>
  <si>
    <t>33712</t>
  </si>
  <si>
    <t>1.2 mi</t>
  </si>
  <si>
    <t>No income restrictions, 2020 vintage, 266 units, 1.2 mi. 2BD $2,446 / 3BD $2,947.</t>
  </si>
  <si>
    <t>apartments.com/addison-at-bayfront-saint-petersburg-fl/</t>
  </si>
  <si>
    <t>Marina Walk at One Waterfront</t>
  </si>
  <si>
    <t>101 1st Ave S</t>
  </si>
  <si>
    <t>33701</t>
  </si>
  <si>
    <t>2.8 mi</t>
  </si>
  <si>
    <t>No income restrictions, 2023 vintage, 163 units, 2.8 mi. 2BD $2,600.</t>
  </si>
  <si>
    <t>apartments.com/marina-walk-at-one-waterfront-saint-petersburg-fl/</t>
  </si>
  <si>
    <t>Flagler Pointe</t>
  </si>
  <si>
    <t>3001 Gandy Blvd N</t>
  </si>
  <si>
    <t>33702</t>
  </si>
  <si>
    <t>1.9 mi</t>
  </si>
  <si>
    <t>No income restrictions, 1974 vintage, 1.9 mi. 2BD $1,890 / 3BD $2,150.</t>
  </si>
  <si>
    <t>apartments.com/flagler-pointe-apartments-saint-petersburg-fl/</t>
  </si>
  <si>
    <t>4</t>
  </si>
  <si>
    <t>Sur Club</t>
  </si>
  <si>
    <t>3301 32nd Ave S</t>
  </si>
  <si>
    <t>1.5 mi</t>
  </si>
  <si>
    <t>No income restrictions, 2021 vintage, 296 units, 1.5 mi. 2BD $2,250.</t>
  </si>
  <si>
    <t>apartments.com/sur-club-saint-petersburg-fl/</t>
  </si>
  <si>
    <t>5</t>
  </si>
  <si>
    <t>Lake Maggiore</t>
  </si>
  <si>
    <t>825 32nd Ave S</t>
  </si>
  <si>
    <t>33705</t>
  </si>
  <si>
    <t>2.1 mi</t>
  </si>
  <si>
    <t>No income restrictions, 2023 vintage, 330 units, 2.1 mi. 2BD $2,520 / 3BD $3,840.</t>
  </si>
  <si>
    <t>apartments.com/lake-maggiore-saint-petersburg-fl/</t>
  </si>
  <si>
    <t>The Courtney at Bay Pines</t>
  </si>
  <si>
    <t>4652 Miramar Dr</t>
  </si>
  <si>
    <t>33708</t>
  </si>
  <si>
    <t>5.2 mi</t>
  </si>
  <si>
    <t>No income restrictions, 2013 vintage, 312 units, 5.2 mi. 2BD $2,310 / 3BD $2,755.</t>
  </si>
  <si>
    <t>apartments.com/the-courtney-at-bay-pines-saint-petersburg-fl/</t>
  </si>
  <si>
    <t>BENCHMARK</t>
  </si>
  <si>
    <t>FY2026 FMR — Tampa-St. Petersburg MSA</t>
  </si>
  <si>
    <t>HUD FMR for Tampa-St. Petersburg MSA, FY2026. 40th percentile of gross rents.</t>
  </si>
  <si>
    <t>HUD FMR Database (huduser.gov)</t>
  </si>
  <si>
    <t>Metro Market Avg — St. Petersburg (Apr 2026)</t>
  </si>
  <si>
    <t>$2,336</t>
  </si>
  <si>
    <t>$2,923</t>
  </si>
  <si>
    <t>Live Market Average from 6 market-rate comps, Apr 30, 2026. 2BD avg $2,336 / 3BD avg $2,923.</t>
  </si>
  <si>
    <t>Apartments.com live data, Apr 30, 2026</t>
  </si>
  <si>
    <t>COLOR KEY:  GREEN = Subject Property  |  TEAL = Affordable/Income-Restricted Comps  |  BLUE = Market Rate Comps  |  ORANGE = Actual Advertised Rent  |  YELLOW = Market Average Benchmark</t>
  </si>
  <si>
    <t>CURRENT RENT vs. MARKET AVERAGE</t>
  </si>
  <si>
    <t>Market Average = Avg of Actual Advertised Rents from 6 Market-Rate Comps (Apartments.com)</t>
  </si>
  <si>
    <t>Current Rents</t>
  </si>
  <si>
    <t>Market Avg</t>
  </si>
  <si>
    <t>Difference</t>
  </si>
  <si>
    <t>LOOK INTO INCREASING THE RENT!</t>
  </si>
  <si>
    <t>RENT COMPARABLES ANALYSIS  —  JEFFERSON ARMS  |  MONTICELLO, FL 32344</t>
  </si>
  <si>
    <t xml:space="preserve">13 - Jefferson  |  60 Units  |  LIHTC / Section 8  |  2BD &amp; 3BD  </t>
  </si>
  <si>
    <t>1001 W Washington St, Monticello, FL 32344  |  Jefferson County</t>
  </si>
  <si>
    <t>Data as of June 16, 2026  |  Sources: Apartments.com, HUD FMR Database, Apartment Corp Records</t>
  </si>
  <si>
    <t>COLUMN GUIDE — Income-restricted comps show AMI-based maximum rents (50%/60% AMI) alongside FMR. Market-rate comps show N/A for AMI columns. Actual = advertised/in-place rent. Competition Level: HIGH = direct competition; MODERATE-HIGH = partial overlap.</t>
  </si>
  <si>
    <t>2BD -
Actual</t>
  </si>
  <si>
    <t>3BD -
Actual</t>
  </si>
  <si>
    <t>Jefferson (SUBJECT)</t>
  </si>
  <si>
    <t>1001 W Washington St</t>
  </si>
  <si>
    <t>Monticello</t>
  </si>
  <si>
    <t>32344</t>
  </si>
  <si>
    <t>$2,420</t>
  </si>
  <si>
    <t>$2,904</t>
  </si>
  <si>
    <t>$1,210</t>
  </si>
  <si>
    <t>$2,797</t>
  </si>
  <si>
    <t>$3,357</t>
  </si>
  <si>
    <t>$1,540</t>
  </si>
  <si>
    <t>1971</t>
  </si>
  <si>
    <t>60 units | LIHTC/Section 8. Year built: 1971. Subject property.</t>
  </si>
  <si>
    <t>Monticello Manor</t>
  </si>
  <si>
    <t>500 S Jefferson St</t>
  </si>
  <si>
    <t>0.5 mi</t>
  </si>
  <si>
    <t>1972</t>
  </si>
  <si>
    <t>Section 8/HUD, 1972 vintage, 40 units, 0.5 mi.</t>
  </si>
  <si>
    <t>Waukeenah Manor</t>
  </si>
  <si>
    <t>US-19, Waukeenah</t>
  </si>
  <si>
    <t>Waukeenah</t>
  </si>
  <si>
    <t>8.0 mi</t>
  </si>
  <si>
    <t>1974</t>
  </si>
  <si>
    <t>Section 8/HUD, 1974 vintage, 24 units, 8.0 mi.</t>
  </si>
  <si>
    <t>Greenville Manor</t>
  </si>
  <si>
    <t>Hwy 221, Greenville</t>
  </si>
  <si>
    <t>Greenville</t>
  </si>
  <si>
    <t>32331</t>
  </si>
  <si>
    <t>15.0 mi</t>
  </si>
  <si>
    <t>1975</t>
  </si>
  <si>
    <t>Section 8/HUD, 1975 vintage, 20 units, 15.0 mi.</t>
  </si>
  <si>
    <t>Magnolia Terrace</t>
  </si>
  <si>
    <t>1200 N Jefferson St</t>
  </si>
  <si>
    <t>0.3 mi</t>
  </si>
  <si>
    <t>1985</t>
  </si>
  <si>
    <t>No income restrictions, 1985 vintage, 48 units, 0.3 mi. 2BD avg $1,250/mo.</t>
  </si>
  <si>
    <t>apartments.com/magnolia-terrace-monticello-fl/</t>
  </si>
  <si>
    <t>Jefferson Commons</t>
  </si>
  <si>
    <t>450 E Pearl St</t>
  </si>
  <si>
    <t>1978</t>
  </si>
  <si>
    <t>7</t>
  </si>
  <si>
    <t>No income restrictions, 1978 vintage, 36 units, 0.5 mi. 2BD avg $1,195/mo.</t>
  </si>
  <si>
    <t>apartments.com/jefferson-commons-monticello-fl/</t>
  </si>
  <si>
    <t>Monticello Village Apts</t>
  </si>
  <si>
    <t>300 S Cherry St</t>
  </si>
  <si>
    <t>0.4 mi</t>
  </si>
  <si>
    <t>1970</t>
  </si>
  <si>
    <t>No income restrictions, 1970 vintage, 24 units, 0.4 mi. 2BD avg $1,100/mo.</t>
  </si>
  <si>
    <t>apartments.com/monticello-village-fl/</t>
  </si>
  <si>
    <t>Tallahassee Crossing</t>
  </si>
  <si>
    <t>4200 Apalachee Pkwy</t>
  </si>
  <si>
    <t>Tallahassee</t>
  </si>
  <si>
    <t>32311</t>
  </si>
  <si>
    <t>26.0 mi</t>
  </si>
  <si>
    <t>312</t>
  </si>
  <si>
    <t>2005</t>
  </si>
  <si>
    <t>No income restrictions, 2005 vintage, 312 units, 26.0 mi. 2BD avg $1,399/mo.</t>
  </si>
  <si>
    <t>apartments.com/tallahassee-crossing-fl/</t>
  </si>
  <si>
    <t>Arbor Station Apartments</t>
  </si>
  <si>
    <t>4105 Arbor Hill Ln</t>
  </si>
  <si>
    <t>32312</t>
  </si>
  <si>
    <t>28.0 mi</t>
  </si>
  <si>
    <t>252</t>
  </si>
  <si>
    <t>1990</t>
  </si>
  <si>
    <t>No income restrictions, 1990 vintage, 252 units, 28.0 mi. 2BD avg $1,539/mo.</t>
  </si>
  <si>
    <t>apartments.com/arbor-station-apartments-tallahassee-fl/</t>
  </si>
  <si>
    <t>Capital Place at Southwood</t>
  </si>
  <si>
    <t>2300 Bluff Oak Way</t>
  </si>
  <si>
    <t>30.0 mi</t>
  </si>
  <si>
    <t>288</t>
  </si>
  <si>
    <t>2013</t>
  </si>
  <si>
    <t>No income restrictions, 2013 vintage, 288 units, 30.0 mi. 3BD avg $1,675/mo.</t>
  </si>
  <si>
    <t>apartments.com/capital-place-at-southwood-tallahassee-fl/</t>
  </si>
  <si>
    <t>FY2026 FMR — Jefferson County, FL</t>
  </si>
  <si>
    <t>HUD FMR for Jefferson County, FL, FY2026. 40th percentile rent.</t>
  </si>
  <si>
    <t>Metro Market Avg — Monticello/Tallahassee (Apr 2026)</t>
  </si>
  <si>
    <t>$1,380</t>
  </si>
  <si>
    <t>$1,507</t>
  </si>
  <si>
    <t>Live Market Average from 6 market-rate comps, Apr 30, 2026. 2BD avg $1,380; 3BD avg $1,507.</t>
  </si>
  <si>
    <t>COLOR KEY:  GREEN = Subject Property  |  TEAL = Affordable/Income-Restricted Comp  |  BLUE = Market-Rate Comp  |  LIGHT BLUE = FMR Benchmark  |  YELLOW = Market Average  |  ORANGE = Actual Rent</t>
  </si>
  <si>
    <t>RENT COMPARABLES ANALYSIS  —  OPA LOCKA 135TH ST  |  OPA LOCKA, FL 33054</t>
  </si>
  <si>
    <t>18 - Opa Locka  |  65 Units  |  LIHTC / Section 8  |  1BD, 2BD &amp; 3BD</t>
  </si>
  <si>
    <t>2860 NW 135th Street, Opa Locka, FL 33054  |  Miami-Dade County</t>
  </si>
  <si>
    <t>1BD
50% AMI</t>
  </si>
  <si>
    <t>1BD
60% AMI</t>
  </si>
  <si>
    <t>1BD
FMR</t>
  </si>
  <si>
    <t>1BD -
Actual</t>
  </si>
  <si>
    <t>Opa Locka 135th St (SUBJECT)</t>
  </si>
  <si>
    <t>2860 NW 135th Street</t>
  </si>
  <si>
    <t>33054</t>
  </si>
  <si>
    <t>$3,872</t>
  </si>
  <si>
    <t>$4,647</t>
  </si>
  <si>
    <t>$1,736</t>
  </si>
  <si>
    <t>$4,645</t>
  </si>
  <si>
    <t>$5,575</t>
  </si>
  <si>
    <t>$2,376</t>
  </si>
  <si>
    <t>$5,162</t>
  </si>
  <si>
    <t>$6,195</t>
  </si>
  <si>
    <t>$3,044</t>
  </si>
  <si>
    <t>65</t>
  </si>
  <si>
    <t>1968</t>
  </si>
  <si>
    <t>0</t>
  </si>
  <si>
    <t>65 units | LIHTC/Section 8. Year built: 1968. Subject property.</t>
  </si>
  <si>
    <t>Liberty City Manor</t>
  </si>
  <si>
    <t>6200 NW 7th Ave</t>
  </si>
  <si>
    <t>Miami</t>
  </si>
  <si>
    <t>33150</t>
  </si>
  <si>
    <t>8.5 mi</t>
  </si>
  <si>
    <t>64</t>
  </si>
  <si>
    <t>Section 8/HUD, 1968 vintage, 64 units, 8.5 mi. Income-restricted.</t>
  </si>
  <si>
    <t>Hialeah Gardens Apartments</t>
  </si>
  <si>
    <t>1200 W 68th St</t>
  </si>
  <si>
    <t>Hialeah</t>
  </si>
  <si>
    <t>33012</t>
  </si>
  <si>
    <t>72</t>
  </si>
  <si>
    <t>Section 8/HUD, 1970 vintage, 72 units, 5.2 mi. Income-restricted.</t>
  </si>
  <si>
    <t>Carol City Manor</t>
  </si>
  <si>
    <t>18800 NW 27th Ave</t>
  </si>
  <si>
    <t>Miami Gardens</t>
  </si>
  <si>
    <t>33056</t>
  </si>
  <si>
    <t>4.1 mi</t>
  </si>
  <si>
    <t>1967</t>
  </si>
  <si>
    <t>Section 8/HUD, 1967 vintage, 60 units, 4.1 mi. Income-restricted.</t>
  </si>
  <si>
    <t>North Miami HA - Arch Creek Apts</t>
  </si>
  <si>
    <t>1800 NE 135th St</t>
  </si>
  <si>
    <t>North Miami</t>
  </si>
  <si>
    <t>33161</t>
  </si>
  <si>
    <t>6.8 mi</t>
  </si>
  <si>
    <t>68</t>
  </si>
  <si>
    <t>1969</t>
  </si>
  <si>
    <t>Public Housing/HUD, 1969 vintage, 68 units, 6.8 mi. Income-restricted.</t>
  </si>
  <si>
    <t>Sherbondy Villas</t>
  </si>
  <si>
    <t>200 S Perviz Ave</t>
  </si>
  <si>
    <t>32</t>
  </si>
  <si>
    <t>No income restrictions, 1967 vintage, 32 units, 1.2 mi. 1BD avg $1,400/mo.</t>
  </si>
  <si>
    <t>apartments.com/sherbondy-villas-opa-locka-fl/</t>
  </si>
  <si>
    <t>Wellspring Apartments</t>
  </si>
  <si>
    <t>14701 NW 27th Ave</t>
  </si>
  <si>
    <t>1.8 mi</t>
  </si>
  <si>
    <t>2024</t>
  </si>
  <si>
    <t>No income restrictions, 2024 vintage, 1.8 mi. 1BD avg $1,989; 2BD avg $2,440/mo.</t>
  </si>
  <si>
    <t>apartments.com/wellspring-apartments-opa-locka-fl/</t>
  </si>
  <si>
    <t>Individual Units — 33054 (avg)</t>
  </si>
  <si>
    <t>Various, Opa Locka, FL 33054</t>
  </si>
  <si>
    <t>&lt; 3 mi</t>
  </si>
  <si>
    <t>Various</t>
  </si>
  <si>
    <t>Varies</t>
  </si>
  <si>
    <t>Individual units listed on Zillow/Apartments.com in 33054 zip. Avg asking rents.</t>
  </si>
  <si>
    <t>Zillow/Apartments.com — 33054 zip, Apr 2026</t>
  </si>
  <si>
    <t>Oak Enclave</t>
  </si>
  <si>
    <t>2301 NW 167th St</t>
  </si>
  <si>
    <t>3.1 mi</t>
  </si>
  <si>
    <t>No income restrictions, 3.1 mi. 1BD avg $2,000; 2BD avg $2,240; 3BD avg $2,670/mo.</t>
  </si>
  <si>
    <t>apartments.com/oak-enclave-miami-gardens-fl/</t>
  </si>
  <si>
    <t>Emerald Bay</t>
  </si>
  <si>
    <t>8570 W 40th Ave</t>
  </si>
  <si>
    <t>33018</t>
  </si>
  <si>
    <t>6.0 mi</t>
  </si>
  <si>
    <t>2020</t>
  </si>
  <si>
    <t>52</t>
  </si>
  <si>
    <t>No income restrictions, 2020 vintage, 6.0 mi. 1BD avg $1,900; 2BD avg $2,200/mo.</t>
  </si>
  <si>
    <t>apartments.com/emerald-bay-hialeah-fl/</t>
  </si>
  <si>
    <t>The Oasis at Opa Locka</t>
  </si>
  <si>
    <t>13400 NW 22nd Ave</t>
  </si>
  <si>
    <t>2.5 mi</t>
  </si>
  <si>
    <t>2018</t>
  </si>
  <si>
    <t>No income restrictions, 2018 vintage, 2.5 mi. 1BD avg $1,750; 2BD avg $2,100; 3BD avg $2,500/mo.</t>
  </si>
  <si>
    <t>apartments.com/the-oasis-at-opa-locka-fl/</t>
  </si>
  <si>
    <t>FY2026 FMR — Miami-Dade County</t>
  </si>
  <si>
    <t>HUD FMR for Miami-Dade County, FL, FY2026. 40th percentile rent.</t>
  </si>
  <si>
    <t>Metro Market Avg — Opa Locka/Miami (Apr 2026)</t>
  </si>
  <si>
    <t>$1,723</t>
  </si>
  <si>
    <t>$2,148</t>
  </si>
  <si>
    <t>$2,589</t>
  </si>
  <si>
    <t>Live Market Average from 6 market-rate comps, Apr 30, 2026. 1BD avg $1,723; 2BD avg $2,148; 3BD avg $2,589.</t>
  </si>
  <si>
    <t>RENT COMPARABLES ANALYSIS  —  MACEDONIA  |  PANAMA CITY, FL 32405</t>
  </si>
  <si>
    <t xml:space="preserve">14 - Macedonia  |  100 Units  |  LIHTC / Section 8  |  2BD &amp; 3BD  </t>
  </si>
  <si>
    <t>3101 E 15th St, Panama City, FL 32405  |  Bay County  |  Panama City MSA</t>
  </si>
  <si>
    <t>Data as of April 30, 2026  |  Sources: Apartments.com, HUD FMR Database, Apartment Corp Records</t>
  </si>
  <si>
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</si>
  <si>
    <t>Macedonia (SUBJECT)</t>
  </si>
  <si>
    <t>3101 E 15th St</t>
  </si>
  <si>
    <t>Panama City</t>
  </si>
  <si>
    <t>32405</t>
  </si>
  <si>
    <t>$3,529</t>
  </si>
  <si>
    <t>$4,235</t>
  </si>
  <si>
    <t>$1,426</t>
  </si>
  <si>
    <t>$3,920</t>
  </si>
  <si>
    <t>$4,705</t>
  </si>
  <si>
    <t>$1,818</t>
  </si>
  <si>
    <t>100</t>
  </si>
  <si>
    <t>100 units | LIHTC/Section 8. Year built: 1969. Subject property.</t>
  </si>
  <si>
    <t>Bay County Housing Authority</t>
  </si>
  <si>
    <t>2300 E 11th St</t>
  </si>
  <si>
    <t>32401</t>
  </si>
  <si>
    <t>3.2 mi</t>
  </si>
  <si>
    <t>Public Housing/HUD, 1969 vintage, 100 units, 3.2 mi. Income-restricted.</t>
  </si>
  <si>
    <t>Pensacola HA - Attucks Court</t>
  </si>
  <si>
    <t>600 N Hayne St</t>
  </si>
  <si>
    <t>Pensacola</t>
  </si>
  <si>
    <t>32501</t>
  </si>
  <si>
    <t>95.0 mi</t>
  </si>
  <si>
    <t>96</t>
  </si>
  <si>
    <t>LOW-MODERATE</t>
  </si>
  <si>
    <t>Public Housing/HUD, 1970 vintage, 96 units, 95.0 mi.</t>
  </si>
  <si>
    <t>Pensacola Housing Authority</t>
  </si>
  <si>
    <t>Tallahassee HA - Bond Homes</t>
  </si>
  <si>
    <t>1400 S Bronough St</t>
  </si>
  <si>
    <t>32301</t>
  </si>
  <si>
    <t>100.0 mi</t>
  </si>
  <si>
    <t>104</t>
  </si>
  <si>
    <t>Public Housing/HUD, 1968 vintage, 104 units, 100.0 mi.</t>
  </si>
  <si>
    <t>Tallahassee Housing Authority</t>
  </si>
  <si>
    <t>Panama City Beach Housing Authority</t>
  </si>
  <si>
    <t>800 Thomas Dr</t>
  </si>
  <si>
    <t>Panama City Beach</t>
  </si>
  <si>
    <t>32408</t>
  </si>
  <si>
    <t>88</t>
  </si>
  <si>
    <t>Section 8/HUD, 1970 vintage, 88 units, 8.5 mi.</t>
  </si>
  <si>
    <t>Arbor Crossing at Mill Bayou</t>
  </si>
  <si>
    <t>198 Mill Bayou Blvd</t>
  </si>
  <si>
    <t>32404</t>
  </si>
  <si>
    <t>No income restrictions, 2024 vintage, 3.2 mi. 2BD $1,559 / 3BD $1,799.</t>
  </si>
  <si>
    <t>apartments.com/arbor-crossing-at-mill-bayou-panama-city-fl/</t>
  </si>
  <si>
    <t>The Kelly at 23rd Luxury Apts</t>
  </si>
  <si>
    <t>2002 Wilson Ave</t>
  </si>
  <si>
    <t>2025</t>
  </si>
  <si>
    <t>No income restrictions, 2025 vintage, 0.5 mi. 2BD $1,839 / 3BD $1,850.</t>
  </si>
  <si>
    <t>apartments.com/the-kelly-at-23rd-panama-city-fl/</t>
  </si>
  <si>
    <t>Residences at SweetBay</t>
  </si>
  <si>
    <t>3100 Sweetbay Ave</t>
  </si>
  <si>
    <t>1.1 mi</t>
  </si>
  <si>
    <t>2022</t>
  </si>
  <si>
    <t>No income restrictions, 2022 vintage, 1.1 mi. 2BD $1,558 / 3BD $2,015.</t>
  </si>
  <si>
    <t>apartments.com/residences-at-sweetbay-panama-city-fl/</t>
  </si>
  <si>
    <t>Exchange at North Bay</t>
  </si>
  <si>
    <t>3625 Frankford Ave</t>
  </si>
  <si>
    <t>0.8 mi</t>
  </si>
  <si>
    <t>No income restrictions, 2022 vintage, 0.8 mi. 2BD $1,529 / 3BD $1,786.</t>
  </si>
  <si>
    <t>apartments.com/exchange-at-north-bay-panama-city-fl/</t>
  </si>
  <si>
    <t>Eagles Landing Luxury Apts</t>
  </si>
  <si>
    <t>2870 Harrison Ave</t>
  </si>
  <si>
    <t>1993</t>
  </si>
  <si>
    <t>No income restrictions, 1993 vintage, 1.5 mi. 2BD $1,509 / 3BD $1,770.</t>
  </si>
  <si>
    <t>apartments.com/eagles-landing-luxury-apts-panama-city-fl/</t>
  </si>
  <si>
    <t>The Enclave</t>
  </si>
  <si>
    <t>2950 Harrison Ave</t>
  </si>
  <si>
    <t>1.4 mi</t>
  </si>
  <si>
    <t>No income restrictions, 1993 vintage, 1.4 mi. 2BD $1,525 / 3BD $1,700.</t>
  </si>
  <si>
    <t>apartments.com/the-enclave-panama-city-fl/</t>
  </si>
  <si>
    <t>FY2026 FMR — Bay County, FL</t>
  </si>
  <si>
    <t>HUD FMR for Bay County (Panama City MSA), FL, FY2026. 40th percentile rent.</t>
  </si>
  <si>
    <t>Metro Market Avg — Panama City (Apr 2026)</t>
  </si>
  <si>
    <t>$1,586</t>
  </si>
  <si>
    <t>$1,820</t>
  </si>
  <si>
    <t>Live Market Average from 6 comps, Apr 30, 2026. 2BD avg $1,586 / 3BD avg $1,820.</t>
  </si>
  <si>
    <t>RENT COMPARABLES ANALYSIS  —  CORAL VILLAGE  |  CAPE CORAL, FL 33990</t>
  </si>
  <si>
    <t>48 - Coral Village  |  72 Units  |  Section 8 / HUD  |  1BD &amp; 2BD</t>
  </si>
  <si>
    <t>Cape Coral, FL 33990  |  Lee County  |  Cape Coral-Fort Myers MSA</t>
  </si>
  <si>
    <t>Coral Village (SUBJECT)</t>
  </si>
  <si>
    <t>Cape Coral</t>
  </si>
  <si>
    <t>33990</t>
  </si>
  <si>
    <t>$3,193</t>
  </si>
  <si>
    <t>$3,832</t>
  </si>
  <si>
    <t>$1,371</t>
  </si>
  <si>
    <t>$3,829</t>
  </si>
  <si>
    <t>$4,595</t>
  </si>
  <si>
    <t>$1,876</t>
  </si>
  <si>
    <t>1999</t>
  </si>
  <si>
    <t>72 units | Section 8/HUD. Year built: 1999. Subject property.</t>
  </si>
  <si>
    <t>Brittany II</t>
  </si>
  <si>
    <t>4050 Winkler Ave Ext</t>
  </si>
  <si>
    <t>Fort Myers</t>
  </si>
  <si>
    <t>33916</t>
  </si>
  <si>
    <t>112</t>
  </si>
  <si>
    <t>2000</t>
  </si>
  <si>
    <t>LIHTC, 2000 vintage, 112 units, 8.0 mi. Income-restricted.</t>
  </si>
  <si>
    <t>HUD LIHTC Database</t>
  </si>
  <si>
    <t>Brittany</t>
  </si>
  <si>
    <t>4054 Winkler Ave</t>
  </si>
  <si>
    <t>7.9 mi</t>
  </si>
  <si>
    <t>208</t>
  </si>
  <si>
    <t>LIHTC, 1999 vintage, 208 units, 7.9 mi. Income-restricted.</t>
  </si>
  <si>
    <t>Crossings at Cape Coral</t>
  </si>
  <si>
    <t>1150 Hancock Crk Blvd</t>
  </si>
  <si>
    <t>33909</t>
  </si>
  <si>
    <t>7.7 mi</t>
  </si>
  <si>
    <t>168</t>
  </si>
  <si>
    <t>LIHTC, 2000 vintage, 168 units, 7.7 mi. Income-restricted.</t>
  </si>
  <si>
    <t>Westchase</t>
  </si>
  <si>
    <t>3810 Metro Pkwy</t>
  </si>
  <si>
    <t>352</t>
  </si>
  <si>
    <t>LIHTC, 1999 vintage, 352 units, 6.8 mi. Income-restricted.</t>
  </si>
  <si>
    <t>Cape at Savona Point</t>
  </si>
  <si>
    <t>1730 Savona Point Cir</t>
  </si>
  <si>
    <t>33914</t>
  </si>
  <si>
    <t>2021</t>
  </si>
  <si>
    <t>22</t>
  </si>
  <si>
    <t>No income restrictions, 2021 vintage, 5.2 mi. 1BD $1,287 / 2BD $1,472.</t>
  </si>
  <si>
    <t>apartments.com/cape-at-savona-point-cape-coral-fl/</t>
  </si>
  <si>
    <t>The Palms at Cape Coral</t>
  </si>
  <si>
    <t>701 SW Pine Island Rd</t>
  </si>
  <si>
    <t>33991</t>
  </si>
  <si>
    <t>4.8 mi</t>
  </si>
  <si>
    <t>2023</t>
  </si>
  <si>
    <t>No income restrictions, 2023 vintage, 4.8 mi. 1BD $1,243 / 2BD $1,503.</t>
  </si>
  <si>
    <t>apartments.com/the-palms-at-cape-coral-fl/</t>
  </si>
  <si>
    <t>Oasis at Surfside</t>
  </si>
  <si>
    <t>2200 Oasis Palm Cir</t>
  </si>
  <si>
    <t>No income restrictions, 2022 vintage, 4.1 mi. 1BD $1,389 / 2BD $1,549.</t>
  </si>
  <si>
    <t>apartments.com/oasis-at-surfside-cape-coral-fl/</t>
  </si>
  <si>
    <t>Springs at Coral Shores</t>
  </si>
  <si>
    <t>606 SW 29th Ave</t>
  </si>
  <si>
    <t>3.9 mi</t>
  </si>
  <si>
    <t>No income restrictions, 2020 vintage, 3.9 mi. 1BD $1,327 / 2BD $1,480.</t>
  </si>
  <si>
    <t>apartments.com/springs-at-coral-shores-cape-coral-fl/</t>
  </si>
  <si>
    <t>Coralina Apartments</t>
  </si>
  <si>
    <t>3305 Grant Cove Cir</t>
  </si>
  <si>
    <t>4.5 mi</t>
  </si>
  <si>
    <t>No income restrictions, 2022 vintage, 4.5 mi. 1BD $1,360 / 2BD $1,694.</t>
  </si>
  <si>
    <t>apartments.com/coralina-apartments-cape-coral-fl/</t>
  </si>
  <si>
    <t>Apts at Isles of Porto Vista</t>
  </si>
  <si>
    <t>3936 Pomodoro Cir</t>
  </si>
  <si>
    <t>7.3 mi</t>
  </si>
  <si>
    <t>No income restrictions, 2023 vintage, 7.3 mi. 1BD $1,424 / 2BD $1,499.</t>
  </si>
  <si>
    <t>apartments.com/isles-of-porto-vista-cape-coral-fl/</t>
  </si>
  <si>
    <t>FY2026 FMR — Cape Coral-Fort Myers MSA</t>
  </si>
  <si>
    <t>HUD FMR for Cape Coral-Fort Myers MSA, FY2026. 40th percentile rent.</t>
  </si>
  <si>
    <t>Metro Market Avg — Cape Coral (Apr 2026)</t>
  </si>
  <si>
    <t>$1,338</t>
  </si>
  <si>
    <t>$1,533</t>
  </si>
  <si>
    <t>Live Market Average from 6 comps, Apr 30, 2026. 1BD avg $1,338 / 2BD avg $1,533.</t>
  </si>
  <si>
    <t/>
  </si>
  <si>
    <t>RENT COMPARABLES ANALYSIS  —  HOLIDAY APTS  |  NATCHEZ, MS 39120</t>
  </si>
  <si>
    <t>15 - Holiday  |  115 Units  |  Section 8 / HUD  |  2BD, 3BD, 4BD &amp; 5BD</t>
  </si>
  <si>
    <t>601 Old Washington Road, Natchez, MS 39120  |  Adams County  |  FY2026 HUD FMR Area: Adams County, MS</t>
  </si>
  <si>
    <t>4BD
50% AMI</t>
  </si>
  <si>
    <t>4BD
60% AMI</t>
  </si>
  <si>
    <t>4BD
FMR</t>
  </si>
  <si>
    <t>4BD -
Actual</t>
  </si>
  <si>
    <t>5BD
50% AMI</t>
  </si>
  <si>
    <t>5BD
60% AMI</t>
  </si>
  <si>
    <t>5BD
FMR</t>
  </si>
  <si>
    <t>Holiday Apts (SUBJECT)</t>
  </si>
  <si>
    <t>601 Old Washington Road</t>
  </si>
  <si>
    <t>Natchez</t>
  </si>
  <si>
    <t>MS</t>
  </si>
  <si>
    <t>39120</t>
  </si>
  <si>
    <t>$2,591</t>
  </si>
  <si>
    <t>$3,110</t>
  </si>
  <si>
    <t>$820</t>
  </si>
  <si>
    <t>$2,879</t>
  </si>
  <si>
    <t>$3,455</t>
  </si>
  <si>
    <t>$1,040</t>
  </si>
  <si>
    <t>$3,112</t>
  </si>
  <si>
    <t>$3,735</t>
  </si>
  <si>
    <t>$1,202</t>
  </si>
  <si>
    <t>$3,341</t>
  </si>
  <si>
    <t>$4,010</t>
  </si>
  <si>
    <t>$1,382</t>
  </si>
  <si>
    <t>115</t>
  </si>
  <si>
    <t>1951</t>
  </si>
  <si>
    <t>115 units | Section 8/HUD. Year built: 1951. Subject property.</t>
  </si>
  <si>
    <t>Natchez HA - Sadie V. Thompson Homes</t>
  </si>
  <si>
    <t>200 Sadie Thompson Dr</t>
  </si>
  <si>
    <t>1952</t>
  </si>
  <si>
    <t>Public Housing/HUD, 1952 vintage, 100 units, 1.5 mi. Income-restricted.</t>
  </si>
  <si>
    <t>Natchez Housing Authority</t>
  </si>
  <si>
    <t>Vicksburg HA - Ida B. Wells Homes</t>
  </si>
  <si>
    <t>1 Ida B Wells Dr</t>
  </si>
  <si>
    <t>Vicksburg</t>
  </si>
  <si>
    <t>39180</t>
  </si>
  <si>
    <t>72.0 mi</t>
  </si>
  <si>
    <t>150</t>
  </si>
  <si>
    <t>1955</t>
  </si>
  <si>
    <t>Public Housing/HUD, 1955 vintage, 150 units, 72.0 mi.</t>
  </si>
  <si>
    <t>Vicksburg Housing Authority</t>
  </si>
  <si>
    <t>Laurel HA - Queensburg Homes</t>
  </si>
  <si>
    <t>100 Queensburg Dr</t>
  </si>
  <si>
    <t>Laurel</t>
  </si>
  <si>
    <t>39440</t>
  </si>
  <si>
    <t>145.0 mi</t>
  </si>
  <si>
    <t>1950</t>
  </si>
  <si>
    <t>Public Housing/HUD, 1950 vintage, 100 units, 145.0 mi.</t>
  </si>
  <si>
    <t>Laurel Housing Authority</t>
  </si>
  <si>
    <t>Natchez HA - Belleview Homes</t>
  </si>
  <si>
    <t>400 Belleview Ave</t>
  </si>
  <si>
    <t>120</t>
  </si>
  <si>
    <t>1953</t>
  </si>
  <si>
    <t>Public Housing/HUD, 1953 vintage, 120 units, 1.8 mi. Income-restricted.</t>
  </si>
  <si>
    <t>Camelot Apartments</t>
  </si>
  <si>
    <t>156 Jefferson Davis Blvd</t>
  </si>
  <si>
    <t>No income restrictions, 1975 vintage, 1.2 mi. 2BD avg $850/mo.</t>
  </si>
  <si>
    <t>Apartments.com / Zillow</t>
  </si>
  <si>
    <t>Bienville Apartments</t>
  </si>
  <si>
    <t>500 N Commerce St</t>
  </si>
  <si>
    <t>No income restrictions, 1970 vintage, 0.8 mi. 2BD avg $815/mo.</t>
  </si>
  <si>
    <t>Riverbreeze Manor</t>
  </si>
  <si>
    <t>144 N Shields Ln</t>
  </si>
  <si>
    <t>1980</t>
  </si>
  <si>
    <t>No income restrictions, 1980 vintage, 1.5 mi. 2BD avg $750; 3BD avg $850/mo.</t>
  </si>
  <si>
    <t>Covington II</t>
  </si>
  <si>
    <t>22 T Waring Bennett Jr Rd</t>
  </si>
  <si>
    <t>No income restrictions, 1985 vintage, 2.1 mi. 2BD avg $730/mo.</t>
  </si>
  <si>
    <t>2116 Second St (House)</t>
  </si>
  <si>
    <t>2116 Second St</t>
  </si>
  <si>
    <t>0.9 mi</t>
  </si>
  <si>
    <t>1960</t>
  </si>
  <si>
    <t>9</t>
  </si>
  <si>
    <t>Individual rental house, 1960 vintage, 0.9 mi. 3BD avg $1,150/mo.</t>
  </si>
  <si>
    <t>Zillow</t>
  </si>
  <si>
    <t>214 Margaret Ave (House)</t>
  </si>
  <si>
    <t>214 Margaret Ave</t>
  </si>
  <si>
    <t>1.3 mi</t>
  </si>
  <si>
    <t>1965</t>
  </si>
  <si>
    <t>Individual rental house, 1965 vintage, 1.3 mi. 3BD avg $1,895/mo.</t>
  </si>
  <si>
    <t>FY2026 FMR — Adams County, MS</t>
  </si>
  <si>
    <t>HUD FMR for Adams County, MS, FY2026. 40th percentile rent.</t>
  </si>
  <si>
    <t>Metro Market Avg — Natchez (Apr 2026)</t>
  </si>
  <si>
    <t>$786</t>
  </si>
  <si>
    <t>$1,298</t>
  </si>
  <si>
    <t>Live Market Average from available comps, Apr 30, 2026. 2BD avg $786 / 3BD avg $1,298.</t>
  </si>
  <si>
    <t>RENT COMPARABLES ANALYSIS  —  CUMBERLAND  |  CRYSTAL SPRINGS, MS 39059</t>
  </si>
  <si>
    <t>16 - Cumberland  |  68 Units  |  Section 8 / HUD  |  1BD, 2BD, 3BD &amp; 4BD</t>
  </si>
  <si>
    <t>100 Cumberland Drive, Crystal Springs, MS 39059  |  Copiah County  |  FY2026 FMR: 1BD $642 / 2BD $880 / 3BD $1,100 / 4BD $1,272</t>
  </si>
  <si>
    <t>Cumberland (SUBJECT)</t>
  </si>
  <si>
    <t>100 Cumberland Drive</t>
  </si>
  <si>
    <t>Crystal Springs</t>
  </si>
  <si>
    <t>39059</t>
  </si>
  <si>
    <t>$2,160</t>
  </si>
  <si>
    <t>$2,592</t>
  </si>
  <si>
    <t>$642</t>
  </si>
  <si>
    <t>$880</t>
  </si>
  <si>
    <t>$1,100</t>
  </si>
  <si>
    <t>$1,272</t>
  </si>
  <si>
    <t>68 units | Section 8/HUD. Year built: 1985. Subject property.</t>
  </si>
  <si>
    <t>Indian Creek Phase II</t>
  </si>
  <si>
    <t>150 Hwy 469 N</t>
  </si>
  <si>
    <t>Florence</t>
  </si>
  <si>
    <t>39073</t>
  </si>
  <si>
    <t>18.4 mi</t>
  </si>
  <si>
    <t>LIHTC, 1987 vintage, 32 units, 18.4 mi.</t>
  </si>
  <si>
    <t>Towncreek Apts</t>
  </si>
  <si>
    <t>Red Dog Rd</t>
  </si>
  <si>
    <t>Carthage</t>
  </si>
  <si>
    <t>LIHTC, 1988 vintage, 52 units.</t>
  </si>
  <si>
    <t>Bloom Street Apts</t>
  </si>
  <si>
    <t>515 Bloom St</t>
  </si>
  <si>
    <t>Jackson</t>
  </si>
  <si>
    <t>39202</t>
  </si>
  <si>
    <t>24.2 mi</t>
  </si>
  <si>
    <t>LIHTC, 1987 vintage, 24 units, 24.2 mi.</t>
  </si>
  <si>
    <t>Sandstone Apts</t>
  </si>
  <si>
    <t>607 Wallace Dr</t>
  </si>
  <si>
    <t>Edwards</t>
  </si>
  <si>
    <t>39066</t>
  </si>
  <si>
    <t>28.2 mi</t>
  </si>
  <si>
    <t>LIHTC, 1987 vintage, 24 units, 28.2 mi.</t>
  </si>
  <si>
    <t>Highland Hills</t>
  </si>
  <si>
    <t>20 N Hill Pky</t>
  </si>
  <si>
    <t>39206</t>
  </si>
  <si>
    <t>28 mi</t>
  </si>
  <si>
    <t>No income restrictions, 28 mi. 2BD $815 / 3BD $975.</t>
  </si>
  <si>
    <t>Apartments.com verified, Apr 2026</t>
  </si>
  <si>
    <t>The Pines at Autumn Woods</t>
  </si>
  <si>
    <t>4901 McWillie Cir</t>
  </si>
  <si>
    <t>29 mi</t>
  </si>
  <si>
    <t>No income restrictions, 29 mi. 2BD $1,100.</t>
  </si>
  <si>
    <t>The Pines at 55</t>
  </si>
  <si>
    <t>3875 S I-55</t>
  </si>
  <si>
    <t>39212</t>
  </si>
  <si>
    <t>31 mi</t>
  </si>
  <si>
    <t>No income restrictions, 31 mi. 2BD $1,100.</t>
  </si>
  <si>
    <t>Pear Orchard Apartments</t>
  </si>
  <si>
    <t>580 Pear Orchard Rd</t>
  </si>
  <si>
    <t>Ridgeland</t>
  </si>
  <si>
    <t>39157</t>
  </si>
  <si>
    <t>35 mi</t>
  </si>
  <si>
    <t>No income restrictions, 35 mi. 2BD $1,183 / 3BD $1,697.</t>
  </si>
  <si>
    <t>Northtown Apartments</t>
  </si>
  <si>
    <t>50 Northtown Dr</t>
  </si>
  <si>
    <t>39211</t>
  </si>
  <si>
    <t>30 mi</t>
  </si>
  <si>
    <t>No income restrictions, 30 mi. 2BD $1,002.</t>
  </si>
  <si>
    <t>Royal Oak Apartments</t>
  </si>
  <si>
    <t>110 Pine Knoll Dr</t>
  </si>
  <si>
    <t>36 mi</t>
  </si>
  <si>
    <t>No income restrictions, 36 mi. 2BD $1,045 / 3BD $1,450.</t>
  </si>
  <si>
    <t>FY2026 FMR — Copiah County, MS</t>
  </si>
  <si>
    <t>HUD FMR for Copiah County, MS, FY2026.</t>
  </si>
  <si>
    <t>Metro Market Avg — Crystal Springs/Jackson (Apr 2026)</t>
  </si>
  <si>
    <t>Live Market Average from 6 comps, Apr 30, 2026. 2BD avg $1,041 / 3BD avg $1,374.</t>
  </si>
  <si>
    <t>RENT COMPARABLES ANALYSIS  —  WALNUT HILL  |  NATCHEZ, MS 39120</t>
  </si>
  <si>
    <t>59 - Walnut Hill  |  168 Units  |  Section 8 / HUD  |  2BD &amp; 3BD</t>
  </si>
  <si>
    <t>Natchez, MS 39120  |  Adams County  |  FY2026 FMR: 2BD $820 / 3BD $1,040</t>
  </si>
  <si>
    <t>Walnut Hill (SUBJECT)</t>
  </si>
  <si>
    <t>168 units | Section 8/HUD. Year built: 1975. Subject property.</t>
  </si>
  <si>
    <t>Natchez HA - Duncan Park Homes</t>
  </si>
  <si>
    <t>400 Duncan Ave</t>
  </si>
  <si>
    <t>Public Housing/HUD, 1975 vintage, 160 units, 1.5 mi.</t>
  </si>
  <si>
    <t>Vicksburg HA - Parkway Village</t>
  </si>
  <si>
    <t>300 Parkway Blvd</t>
  </si>
  <si>
    <t>Section 8/HUD, 1976 vintage, 150 units, 72.0 mi.</t>
  </si>
  <si>
    <t>Hattiesburg HA - Eureka Homes</t>
  </si>
  <si>
    <t>200 Eureka St</t>
  </si>
  <si>
    <t>Hattiesburg</t>
  </si>
  <si>
    <t>39401</t>
  </si>
  <si>
    <t>Public Housing/HUD, 1974 vintage, 172 units, 145.0 mi.</t>
  </si>
  <si>
    <t>Hattiesburg Housing Authority</t>
  </si>
  <si>
    <t>Natchez Terrace Apartments</t>
  </si>
  <si>
    <t>600 Seargent Prentiss Dr</t>
  </si>
  <si>
    <t>Section 8/HUD, 1977 vintage, 156 units, 2.1 mi.</t>
  </si>
  <si>
    <t>No income restrictions, 1.1 mi. 3BD $850.</t>
  </si>
  <si>
    <t>No income restrictions, 1.5 mi. 3BD $815.</t>
  </si>
  <si>
    <t>No income restrictions, 1.8 mi. 3BD $730.</t>
  </si>
  <si>
    <t>No income restrictions, 2.1 mi. 3BD $850.</t>
  </si>
  <si>
    <t>Individual Unit — 1008 N Union St</t>
  </si>
  <si>
    <t>1008 N Union St</t>
  </si>
  <si>
    <t>Single-family rental, 1.3 mi. 3BD $1,289.</t>
  </si>
  <si>
    <t>Individual Unit — 2116 Second St</t>
  </si>
  <si>
    <t>1.0 mi</t>
  </si>
  <si>
    <t>Single-family rental, 1.0 mi. 3BD $1,150.</t>
  </si>
  <si>
    <t>HUD FMR for Adams County, MS, FY2026.</t>
  </si>
  <si>
    <t>Live Market Average from 6 comps, Apr 30, 2026. 3BD avg $786 (limited 2BD data available).</t>
  </si>
  <si>
    <t>RENT COMPARABLES ANALYSIS  —  RIVER POINTE  |  COLUMBUS, OH 43228</t>
  </si>
  <si>
    <t>29 - River Pointe  |  160 Units  |  Section 8 / HUD  |  1BD &amp; 2BD</t>
  </si>
  <si>
    <t>777 Avonia Drive, Columbus, OH 43228  |  Franklin County  |  Columbus OH HMFA  |  FY2026 FMR: 1BD $1,044 / 2BD $1,430</t>
  </si>
  <si>
    <t>Data as of April 30, 2026  |  Sources: Apartments.com, RentCafe, HUD FMR Database, HUD LIHTC Database, Apartment Corp Records</t>
  </si>
  <si>
    <t>River Pointe (SUBJECT)</t>
  </si>
  <si>
    <t>777 Avonia Drive</t>
  </si>
  <si>
    <t>Columbus</t>
  </si>
  <si>
    <t>OH</t>
  </si>
  <si>
    <t>43228</t>
  </si>
  <si>
    <t>Income-Based</t>
  </si>
  <si>
    <t>$1,044</t>
  </si>
  <si>
    <t>$1,430</t>
  </si>
  <si>
    <t>Partial</t>
  </si>
  <si>
    <t>160 units | Section 8/HUD. Year built: 1996. Subject property.</t>
  </si>
  <si>
    <t>Abbey Church Village</t>
  </si>
  <si>
    <t>2914 Bishops Retreat Pl</t>
  </si>
  <si>
    <t>Dublin</t>
  </si>
  <si>
    <t>43017</t>
  </si>
  <si>
    <t>9.5 mi</t>
  </si>
  <si>
    <t>LIHTC, 1996 vintage, 160 units, 9.5 mi. Income-restricted.</t>
  </si>
  <si>
    <t>Winchester Lakes Apts</t>
  </si>
  <si>
    <t>6621 Kodiak Dr</t>
  </si>
  <si>
    <t>Canal Winchester</t>
  </si>
  <si>
    <t>43110</t>
  </si>
  <si>
    <t>11.5 mi</t>
  </si>
  <si>
    <t>LIHTC, 1996 vintage, 150 units, 11.5 mi. Income-restricted.</t>
  </si>
  <si>
    <t>Fourth Street YWCA Renovation</t>
  </si>
  <si>
    <t>65 S Fourth St</t>
  </si>
  <si>
    <t>43215</t>
  </si>
  <si>
    <t>0.1 mi</t>
  </si>
  <si>
    <t>LIHTC, 1996 vintage, 102 units, 0.1 mi. Income-restricted.</t>
  </si>
  <si>
    <t>Strattford Lakes</t>
  </si>
  <si>
    <t>3555 Ashton Cross</t>
  </si>
  <si>
    <t>10.0 mi</t>
  </si>
  <si>
    <t>LIHTC, 1996 vintage, 124 units, 10.0 mi. Income-restricted.</t>
  </si>
  <si>
    <t>Raccoon Creek Apartments</t>
  </si>
  <si>
    <t>3819 Plane Tree Dr W</t>
  </si>
  <si>
    <t>No income restrictions, 1994 vintage, 0.5 mi. 1BD $990.</t>
  </si>
  <si>
    <t>apartments.com/raccoon-creek-columbus-oh/</t>
  </si>
  <si>
    <t>The Reserve at Parkwick</t>
  </si>
  <si>
    <t>4711 Bay Run Dr</t>
  </si>
  <si>
    <t>No income restrictions, 1995 vintage, 1.5 mi. 1BD $990 / 2BD $1,175.</t>
  </si>
  <si>
    <t>apartments.com/reserve-at-parkwick-columbus-oh/</t>
  </si>
  <si>
    <t>Waterford Pointe</t>
  </si>
  <si>
    <t>5750 Feder Rd</t>
  </si>
  <si>
    <t>2.0 mi</t>
  </si>
  <si>
    <t>No income restrictions, 1996 vintage, 2.0 mi. 1BD $995 / 2BD $1,095.</t>
  </si>
  <si>
    <t>apartments.com/waterford-pointe-columbus-oh/</t>
  </si>
  <si>
    <t>Newbridge Commons</t>
  </si>
  <si>
    <t>4551 Durrow Dr</t>
  </si>
  <si>
    <t>No income restrictions, 1998 vintage, 1.5 mi. 1BD $917 / 2BD $1,109.</t>
  </si>
  <si>
    <t>apartments.com/newbridge-commons-columbus-oh/</t>
  </si>
  <si>
    <t>Hartford Village Commons</t>
  </si>
  <si>
    <t>1040 Hartford Village Blvd</t>
  </si>
  <si>
    <t>No income restrictions, 1997 vintage, 2.0 mi. 1BD $925 / 2BD $1,025.</t>
  </si>
  <si>
    <t>apartments.com/hartford-village-commons-columbus-oh/</t>
  </si>
  <si>
    <t>Bolton Estates</t>
  </si>
  <si>
    <t>5400 Lindberg Blvd</t>
  </si>
  <si>
    <t>No income restrictions, 1993 vintage, 2.5 mi. 1BD $895 / 2BD $1,030.</t>
  </si>
  <si>
    <t>apartments.com/bolton-estates-columbus-oh/</t>
  </si>
  <si>
    <t>FY2026 FMR — Columbus, OH HMFA</t>
  </si>
  <si>
    <t>HUD FMR for Columbus, OH HMFA, FY2026.</t>
  </si>
  <si>
    <t>Metro Market Avg — Columbus West (Apr 2026)</t>
  </si>
  <si>
    <t>Live Market Average from 6 comps, Apr 30, 2026. 1BD avg $952 / 2BD avg $1,087.</t>
  </si>
  <si>
    <t>RENT COMPARABLES ANALYSIS  —  BRECKENRIDGE VILLAGE  |  ENNIS, TX 75119</t>
  </si>
  <si>
    <t>12 - Breckenridge  |  66 Units  |  LIHTC  |  2BD &amp; 4BD</t>
  </si>
  <si>
    <t>2001 N Floyd St, Ennis, TX 75119  |  Ellis County  |  FY2026 FMR: 2BD $1,931 / 4BD $2,810</t>
  </si>
  <si>
    <t>Data as of June 2026  |  Sources: Apartments.com, HUD FMR Database, HUD LIHTC Database, Apartment Corp Records</t>
  </si>
  <si>
    <t>Breckenridge Village (SUBJECT)</t>
  </si>
  <si>
    <t>2001 N Floyd St</t>
  </si>
  <si>
    <t>Ennis</t>
  </si>
  <si>
    <t>TX</t>
  </si>
  <si>
    <t>75119</t>
  </si>
  <si>
    <t>$4,400</t>
  </si>
  <si>
    <t>$5,280</t>
  </si>
  <si>
    <t>$1,931</t>
  </si>
  <si>
    <t>$5,279</t>
  </si>
  <si>
    <t>$6,335</t>
  </si>
  <si>
    <t>$2,810</t>
  </si>
  <si>
    <t>66 units | LIHTC property. Year built: 1997. Subject property for market context.</t>
  </si>
  <si>
    <t>2001A Floyd St</t>
  </si>
  <si>
    <t>Affordable Comp #1: LIHTC property, 1997 vintage (0 yr diff), 66 units, 1.2 mi from subject. Same income-eligible renter pool.</t>
  </si>
  <si>
    <t>HUD LIHTC Database (huduser.gov)</t>
  </si>
  <si>
    <t>418 Lexington Dr</t>
  </si>
  <si>
    <t>Waxahachie</t>
  </si>
  <si>
    <t>75165</t>
  </si>
  <si>
    <t>12.0 mi</t>
  </si>
  <si>
    <t>Affordable Comp #2: LIHTC property, 1997 vintage (0 yr diff), 61 units, 12.0 mi from subject. Same income-eligible renter pool.</t>
  </si>
  <si>
    <t>Creekside Terrace Apts</t>
  </si>
  <si>
    <t>1000 E Burnett St</t>
  </si>
  <si>
    <t>0.7 mi</t>
  </si>
  <si>
    <t>Affordable Comp #3: LIHTC property, 1998 vintage (1 yr diff), 80 units, 0.7 mi from subject. Same income-eligible renter pool.</t>
  </si>
  <si>
    <t>Sherwood Arms Apts</t>
  </si>
  <si>
    <t>213 N Val Verde Cir</t>
  </si>
  <si>
    <t>Keene</t>
  </si>
  <si>
    <t>76059</t>
  </si>
  <si>
    <t>41.4 mi</t>
  </si>
  <si>
    <t>MODERATE</t>
  </si>
  <si>
    <t>Affordable Comp #4: LIHTC property, 1997 vintage (0 yr diff), 56 units, 41.4 mi from subject. Same income-eligible renter pool.</t>
  </si>
  <si>
    <t>1212 Grace Cir</t>
  </si>
  <si>
    <t>Market Rate Comp #1: No income restrictions, 2005 vintage, Ennis TX 75119. 2BD $1,430 (2BD only — no 4BD market rate units available in this market)</t>
  </si>
  <si>
    <t>Apartments.com verified, May 2026</t>
  </si>
  <si>
    <t>Silverton Village</t>
  </si>
  <si>
    <t>3700 Fm-85</t>
  </si>
  <si>
    <t>Market Rate Comp #2: No income restrictions, 2010 vintage, Ennis TX 75119. 2BD $1,497 (2BD only — no 4BD market rate units available in this market)</t>
  </si>
  <si>
    <t>https://www.rentcafe.com/apartments-for-rent/us/tx/waxahachie/</t>
  </si>
  <si>
    <t>The Willows</t>
  </si>
  <si>
    <t>2300 Yorkstown Dr</t>
  </si>
  <si>
    <t>Market Rate Comp #3: No income restrictions, 2008 vintage, Ennis TX 75119. 2BD $1,424 (2BD only — no 4BD market rate units available in this market)</t>
  </si>
  <si>
    <t>https://www.rentcafe.com/apartments-for-rent/us/tx/corsicana/</t>
  </si>
  <si>
    <t>Spyglass of Ennis</t>
  </si>
  <si>
    <t>1803 W Ennis Ave</t>
  </si>
  <si>
    <t>Market Rate Comp #4: No income restrictions, 2012 vintage, Ennis TX 75119. 2BD $1,559 (2BD only — no 4BD market rate units available in this market)</t>
  </si>
  <si>
    <t>https://www.rentcafe.com/apartments-for-rent/us/tx/mansfield/</t>
  </si>
  <si>
    <t>Townhouse Apartments</t>
  </si>
  <si>
    <t>1001 Biloxi Dr</t>
  </si>
  <si>
    <t>Market Rate Comp #5: No income restrictions, 2000 vintage, Ennis TX 75119. 2BD $1,505 (2BD only — no 4BD market rate units available in this market)</t>
  </si>
  <si>
    <t>Emerald Garden Apartments</t>
  </si>
  <si>
    <t>901 N I-45</t>
  </si>
  <si>
    <t>Market Rate Comp #6: No income restrictions, 2003 vintage, Ennis TX 75119. 2BD $1,328 (2BD only — no 4BD market rate units available in this market)</t>
  </si>
  <si>
    <t>FY2026 FMR — Ellis County, TX (Dallas-Fort Worth MSA)</t>
  </si>
  <si>
    <t>HUD FMR for Ellis County, TX (Dallas-Fort Worth MSA), FY2026.</t>
  </si>
  <si>
    <t>Metro Market Avg — Ennis, TX (May 2026)</t>
  </si>
  <si>
    <t>Live Market Average from 6 comps, May 2026. 2BD avg $1,457 (2BD only — limited 4BD market rate data).</t>
  </si>
  <si>
    <t>RENT COMPARABLES ANALYSIS  —  LEXINGTON ARMS  |  WAXAHACHIE, TX 75165</t>
  </si>
  <si>
    <t>38 - Lexington  |  ? Units  |  Section 8 / HUD  |  2BD &amp; 3BD</t>
  </si>
  <si>
    <t>418 Lexington Dr, Waxahachie, TX 75165  |  FY2026 FMR: 2BD $1,931 / 4BD $2,810</t>
  </si>
  <si>
    <t>Data as of June 2026  |  Sources: Apartments.com, CoStar, RentCafe, HUD LIHTC Database, HUD FMR Database, Apartment Corp Records</t>
  </si>
  <si>
    <t>COLUMN GUIDE — Income-restricted comps show AMI-based maximum allowable rents at 50% and 60% AMI thresholds. Market-rate comps show advertised asking rents. FMR = HUD Fair Market Rent. Actual = Current advertised rent.</t>
  </si>
  <si>
    <t>Lexington Arms (SUBJECT)</t>
  </si>
  <si>
    <t>61</t>
  </si>
  <si>
    <t>1997</t>
  </si>
  <si>
    <t>61 units | LIHTC property. Year built: 1997. Subject property for market context.</t>
  </si>
  <si>
    <t>12.8 mi</t>
  </si>
  <si>
    <t>66</t>
  </si>
  <si>
    <t>Affordable Comp #1: LIHTC property, 1997 vintage (0 yr diff), 66 units, 12.8 mi from subject. Same income-eligible renter pool.</t>
  </si>
  <si>
    <t>28.1 mi</t>
  </si>
  <si>
    <t>Affordable Comp #2: LIHTC property, 1997 vintage (0 yr diff), 56 units, 28.1 mi from subject. Same income-eligible renter pool.</t>
  </si>
  <si>
    <t>14.3 mi</t>
  </si>
  <si>
    <t>$1,270</t>
  </si>
  <si>
    <t>$1,650</t>
  </si>
  <si>
    <t>80</t>
  </si>
  <si>
    <t>1998</t>
  </si>
  <si>
    <t>Affordable Comp #3: LIHTC property, 1998 vintage (1 yr diff), 80 units, 14.3 mi from subject. Same income-eligible renter pool.</t>
  </si>
  <si>
    <t>Hillcrest House</t>
  </si>
  <si>
    <t>834 N Marsalis Ave</t>
  </si>
  <si>
    <t>Dallas</t>
  </si>
  <si>
    <t>75203</t>
  </si>
  <si>
    <t>25.7 mi</t>
  </si>
  <si>
    <t>1996</t>
  </si>
  <si>
    <t>Affordable Comp #4: LIHTC property, 1996 vintage (1 yr diff), 64 units, 25.7 mi from subject. Same income-eligible renter pool.</t>
  </si>
  <si>
    <t>Bridgepoint</t>
  </si>
  <si>
    <t>2200 Brown St</t>
  </si>
  <si>
    <t>N/A (Market Rate)</t>
  </si>
  <si>
    <t>Market Rate Comp #1: No income restrictions, 2015 vintage, Waxahachie TX 75165. 2BD $1,247 (2BD only — no 4BD market rate units available in this market)</t>
  </si>
  <si>
    <t>Market Rate Comp #1: No income restrictions, 1997 vintage (0 yr diff), N/A units, N/A from subject. Shows market-rate rents vs. affordable housing discount.</t>
  </si>
  <si>
    <t>HUD FY2026 FMR - Ellis County, TX (limited market rate listings in Waxahachie)</t>
  </si>
  <si>
    <t>Oxford at Crossroads Centre</t>
  </si>
  <si>
    <t>411 Alliance Blvd</t>
  </si>
  <si>
    <t>Market Rate Comp #2: No income restrictions, 2018 vintage, Waxahachie TX 75165. 2BD $1,525 (2BD only — no 4BD market rate units available in this market)</t>
  </si>
  <si>
    <t>Market Rate Comp #2: No income restrictions, 1999 vintage (2 yr diff), 66 units, 12.0 mi from subject. Shows market-rate rents vs. affordable housing discount.</t>
  </si>
  <si>
    <t>https://www.rentcafe.com/apartments-for-rent/us/tx/ennis/</t>
  </si>
  <si>
    <t>Emory on Grand</t>
  </si>
  <si>
    <t>1831 John Arden Dr</t>
  </si>
  <si>
    <t>Market Rate Comp #3: No income restrictions, 2016 vintage, Waxahachie TX 75165. 2BD $1,395 (2BD only — no 4BD market rate units available in this market)</t>
  </si>
  <si>
    <t>Market Rate Comp #3: No income restrictions, 2000 vintage (3 yr diff), 80 units, 15.0 mi from subject. Shows market-rate rents vs. affordable housing discount.</t>
  </si>
  <si>
    <t>https://www.rentcafe.com/apartments-for-rent/us/tx/midlothian/</t>
  </si>
  <si>
    <t>Blue Lake Villas</t>
  </si>
  <si>
    <t>155 Lakeside Dr</t>
  </si>
  <si>
    <t>2.2 mi</t>
  </si>
  <si>
    <t>Market Rate Comp #4: No income restrictions, 2012 vintage, Waxahachie TX 75165. 2BD $1,349 (2BD only — no 4BD market rate units available in this market)</t>
  </si>
  <si>
    <t>Market Rate Comp #4: No income restrictions, 1998 vintage (1 yr diff), 72 units, 10.0 mi from subject. Shows market-rate rents vs. affordable housing discount.</t>
  </si>
  <si>
    <t>https://www.rentcafe.com/apartments-for-rent/us/tx/red-oak/</t>
  </si>
  <si>
    <t>FY2026 FMR — Waxahachie, TX</t>
  </si>
  <si>
    <t>HUD Fair Market Rent for Waxahachie, TX metro area, FY2026.</t>
  </si>
  <si>
    <t>Metro Market Avg — Waxahachie, TX (Apartments.com, Jun 2026)</t>
  </si>
  <si>
    <t>Average of 4 market-rate comps. Apartments.com verified, Jun 2026.</t>
  </si>
  <si>
    <t>Apartments.com + Market Estimate</t>
  </si>
  <si>
    <t>COLOR KEY:  GREEN = Subject Property  |  TEAL = Affordable/Income-Restricted Comp  |  BLUE = Market-Rate Comp  |  YELLOW = Market Average / Benchmark  |  ORANGE = Actual Market Rent</t>
  </si>
  <si>
    <t>Market Average = Avg of Actual Advertised Rents from 4 Market-Rate Comps (Apartments.com verified)</t>
  </si>
  <si>
    <t>RENT COMPARABLES ANALYSIS  —  GRACE TOWNHOMES  |  ENNIS, TX 75119</t>
  </si>
  <si>
    <t>23 - Grace Townhomes  |  ? Units  |  Section 8 / HUD  |  2BD &amp; 3BD</t>
  </si>
  <si>
    <t>1212 Grace Circle, Ennis, TX 75119  |  FY2026 FMR: 1BD $1,411 / 2BD $1,931 / 3BD $2,431</t>
  </si>
  <si>
    <t>Grace Townhomes (SUBJECT)</t>
  </si>
  <si>
    <t>1212 Grace Circle</t>
  </si>
  <si>
    <t>$3,668</t>
  </si>
  <si>
    <t>$4,402</t>
  </si>
  <si>
    <t>$1,411</t>
  </si>
  <si>
    <t>$4,887</t>
  </si>
  <si>
    <t>$5,865</t>
  </si>
  <si>
    <t>$2,431</t>
  </si>
  <si>
    <t>2001</t>
  </si>
  <si>
    <t>112 units | LIHTC property. Year built: 2001. Subject property for market context.</t>
  </si>
  <si>
    <t>Villas Of Hickory Estates</t>
  </si>
  <si>
    <t>3211 Hickory Tree Rd</t>
  </si>
  <si>
    <t>Balch Springs</t>
  </si>
  <si>
    <t>75180</t>
  </si>
  <si>
    <t>27.4 mi</t>
  </si>
  <si>
    <t>128</t>
  </si>
  <si>
    <t>Affordable Comp #1: LIHTC property, 2001 vintage (0 yr diff), 128 units, 27.4 mi from subject. Same income-eligible renter pool.</t>
  </si>
  <si>
    <t>Ryans Crossing (Pemberton Place)</t>
  </si>
  <si>
    <t>1509 Mlk Jr Blvd</t>
  </si>
  <si>
    <t>Marshall</t>
  </si>
  <si>
    <t>$867</t>
  </si>
  <si>
    <t>$1,101</t>
  </si>
  <si>
    <t>$1,221</t>
  </si>
  <si>
    <t>2002</t>
  </si>
  <si>
    <t>Affordable Comp #2: LIHTC property, 2002 vintage (1 yr diff), 112 units, N/A from subject. Same income-eligible renter pool.</t>
  </si>
  <si>
    <t>May Road Apts</t>
  </si>
  <si>
    <t>1488 May Cir</t>
  </si>
  <si>
    <t>Seagoville</t>
  </si>
  <si>
    <t>81</t>
  </si>
  <si>
    <t>Affordable Comp #3: LIHTC property, 2001 vintage (0 yr diff), 81 units, N/A from subject. Same income-eligible renter pool.</t>
  </si>
  <si>
    <t>$1,150</t>
  </si>
  <si>
    <t>$1,450</t>
  </si>
  <si>
    <t>Affordable Comp #4: LIHTC property, 1998 vintage (3 yr diff), 80 units, 0.7 mi from subject. Same income-eligible renter pool.</t>
  </si>
  <si>
    <t>2003</t>
  </si>
  <si>
    <t>Market Rate Comp #1: No income restrictions, 2003 vintage (2 yr diff), 100 units, 1.8 mi from subject. Shows market-rate rents vs. affordable housing discount.</t>
  </si>
  <si>
    <t>https://www.rentcafe.com/apartments-for-rent/us/tx/ennis/ryans-crossing/</t>
  </si>
  <si>
    <t>Market Rate Comp #2: No income restrictions, 2000 vintage (1 yr diff), 88 units, 12.5 mi from subject. Shows market-rate rents vs. affordable housing discount.</t>
  </si>
  <si>
    <t>Market Rate Comp #3: No income restrictions, 1999 vintage (2 yr diff), 72 units, 28.0 mi from subject. Shows market-rate rents vs. affordable housing discount.</t>
  </si>
  <si>
    <t>Market Rate Comp #4: No income restrictions, 2002 vintage (1 yr diff), 80 units, 18.0 mi from subject. Shows market-rate rents vs. affordable housing discount.</t>
  </si>
  <si>
    <t>FY2026 FMR — Ennis, TX</t>
  </si>
  <si>
    <t>HUD Fair Market Rent for Ennis, TX metro area, FY2026.</t>
  </si>
  <si>
    <t>Metro Market Avg — Ennis, TX (Apartments.com, Jun 2026)</t>
  </si>
  <si>
    <t>RENT COMPARABLES ANALYSIS  —  GROVE PARK TERRACE  |  WAXAHACHIE, TX 75165</t>
  </si>
  <si>
    <t>46 - Grove Park  |  ? Units  |  Section 8 / HUD  |  2BD &amp; 3BD</t>
  </si>
  <si>
    <t>400 Peters St, Waxahachie, TX 75165  |  FY2026 FMR: 1BD $1,411 / 2BD $1,931 / 3BD $2,431</t>
  </si>
  <si>
    <t>Grove Park Terrace (SUBJECT)</t>
  </si>
  <si>
    <t>400 Peters St</t>
  </si>
  <si>
    <t>60 units | Layered HUD/LIHTC property. Year built: 1998. Subject property for market context.</t>
  </si>
  <si>
    <t>1.6 mi</t>
  </si>
  <si>
    <t>Affordable Comp #1: LIHTC property, 1997 vintage (1 yr diff), 61 units, 1.6 mi from subject. Same income-eligible renter pool.</t>
  </si>
  <si>
    <t>Affordable Comp #2: LIHTC property, 1998 vintage (0 yr diff), 80 units, 14.3 mi from subject. Same income-eligible renter pool.</t>
  </si>
  <si>
    <t>Affordable Comp #3: LIHTC property, 1997 vintage (1 yr diff), 66 units, 12.8 mi from subject. Same income-eligible renter pool.</t>
  </si>
  <si>
    <t>Treymore North Apts</t>
  </si>
  <si>
    <t>4144 Office Pkwy</t>
  </si>
  <si>
    <t>75204</t>
  </si>
  <si>
    <t>29.1 mi</t>
  </si>
  <si>
    <t>70</t>
  </si>
  <si>
    <t>Affordable Comp #4: LIHTC property, 1998 vintage (0 yr diff), 70 units, 29.1 mi from subject. Same income-eligible renter pool.</t>
  </si>
  <si>
    <t>Place at North Grove</t>
  </si>
  <si>
    <t>600 E North Grove Blvd</t>
  </si>
  <si>
    <t>Market Rate Comp #1: No income restrictions, 1998 vintage (0 yr diff), N/A units, N/A from subject. Shows market-rate rents vs. affordable housing discount.</t>
  </si>
  <si>
    <t>HUD FY2026 FMR - Ellis County, TX</t>
  </si>
  <si>
    <t>The Village at Waxahachie</t>
  </si>
  <si>
    <t>131 Village Pky</t>
  </si>
  <si>
    <t>Market Rate Comp #2: No income restrictions, 1997 vintage (1 yr diff), 80 units, 12.0 mi from subject. Shows market-rate rents vs. affordable housing discount.</t>
  </si>
  <si>
    <t>Market Rate Comp #3: No income restrictions, 2000 vintage (2 yr diff), 72 units, 15.0 mi from subject. Shows market-rate rents vs. affordable housing discount.</t>
  </si>
  <si>
    <t>The Hamilton at Garden Valley</t>
  </si>
  <si>
    <t>880 Garden Valley Pky</t>
  </si>
  <si>
    <t>Market Rate Comp #4: No income restrictions, 1997 vintage (1 yr diff), 64 units, 12.0 mi from subject. Shows market-rate rents vs. affordable housing discount.</t>
  </si>
  <si>
    <t>RENT COMPARABLES ANALYSIS  —  LA PROMESA  |  ODESSA, TX 79762</t>
  </si>
  <si>
    <t>60 - La Promesa  |  ? Units  |  Section 8 / HUD  |  2BD &amp; 3BD</t>
  </si>
  <si>
    <t>Odessa, Odessa, TX 79762  |  FY2026 FMR: 2BD $1,254 / 3BD $1,573</t>
  </si>
  <si>
    <t>La Promesa (SUBJECT)</t>
  </si>
  <si>
    <t>Odessa</t>
  </si>
  <si>
    <t>79762</t>
  </si>
  <si>
    <t>$1,254</t>
  </si>
  <si>
    <t>$1,573</t>
  </si>
  <si>
    <t>136</t>
  </si>
  <si>
    <t>136 units | Layered HUD/LIHTC property. Year built: 1978. Subject property for market context.</t>
  </si>
  <si>
    <t>Orange Grove Apts</t>
  </si>
  <si>
    <t>Rr 1</t>
  </si>
  <si>
    <t>Newton</t>
  </si>
  <si>
    <t>75966</t>
  </si>
  <si>
    <t>1987</t>
  </si>
  <si>
    <t>Affordable Comp #2: LIHTC property, 1987 vintage (9 yr diff), 24 units, N/A from subject. Same income-eligible renter pool.</t>
  </si>
  <si>
    <t>Victoria Housing</t>
  </si>
  <si>
    <t>2817 Yanez Ave</t>
  </si>
  <si>
    <t>Mission</t>
  </si>
  <si>
    <t>Affordable Comp #3: LIHTC property, 1987 vintage (9 yr diff), 1 units, N/A from subject. Same income-eligible renter pool.</t>
  </si>
  <si>
    <t>Springhill Apts</t>
  </si>
  <si>
    <t>4830 Ray Bon Dr</t>
  </si>
  <si>
    <t>San Antonio</t>
  </si>
  <si>
    <t>78218</t>
  </si>
  <si>
    <t>287.1 mi</t>
  </si>
  <si>
    <t>132</t>
  </si>
  <si>
    <t>LOW</t>
  </si>
  <si>
    <t>Affordable Comp #4: LIHTC property, 1987 vintage (9 yr diff), 132 units, 287.1 mi from subject. Same income-eligible renter pool.</t>
  </si>
  <si>
    <t>Madison Square</t>
  </si>
  <si>
    <t>2201 Rocky Lane Rd</t>
  </si>
  <si>
    <t>Market Rate Comp #1: No income restrictions, 1978 vintage (0 yr diff), N/A units, N/A from subject. Shows market-rate rents vs. affordable housing discount.</t>
  </si>
  <si>
    <t>HUD FY2026 FMR - Ector County, TX (limited market rate listings for 1968-1988 vintage)</t>
  </si>
  <si>
    <t>Alara</t>
  </si>
  <si>
    <t>6501 Eastridge Rd</t>
  </si>
  <si>
    <t>3.5 mi</t>
  </si>
  <si>
    <t>Market Rate Comp #2: No income restrictions, 1975 vintage (3 yr diff), N/A units, N/A from subject. Shows market-rate rents vs. affordable housing discount.</t>
  </si>
  <si>
    <t>HUD FY2026 FMR - Ector County, TX</t>
  </si>
  <si>
    <t>Westwinds Village</t>
  </si>
  <si>
    <t>4900 E University Blvd</t>
  </si>
  <si>
    <t>Market Rate Comp #3: No income restrictions, 1980 vintage (2 yr diff), N/A units, N/A from subject. Shows market-rate rents vs. affordable housing discount.</t>
  </si>
  <si>
    <t>Marvin Gardens Apartments</t>
  </si>
  <si>
    <t>4307 Wendover Ave</t>
  </si>
  <si>
    <t>Market Rate Comp #4: No income restrictions, 1980 vintage (2 yr diff), N/A units, N/A from subject. Shows market-rate rents vs. affordable housing discount.</t>
  </si>
  <si>
    <t>FY2026 FMR — Odessa, TX</t>
  </si>
  <si>
    <t>HUD Fair Market Rent for Odessa, TX metro area, FY2026.</t>
  </si>
  <si>
    <t>Metro Market Avg — Odessa, TX (Apartments.com, Jun 2026)</t>
  </si>
  <si>
    <t>RENT COMPARABLES ANALYSIS  —  NEW WILMINGTON ARMS  |  COMPTON, CA 90220</t>
  </si>
  <si>
    <t>3 - Wilmington  |  ? Units  |  Section 8 / HUD  |  2BD &amp; 3BD</t>
  </si>
  <si>
    <t>700 W. Laurel Avenue, Compton, CA 90220  |  FY2026 FMR: 1BD $1,736 / 2BD $2,376 / 3BD $3,044 / 4BD $3,520</t>
  </si>
  <si>
    <t>New Wilmington Arms (SUBJECT)</t>
  </si>
  <si>
    <t>700 W. Laurel Avenue</t>
  </si>
  <si>
    <t>Compton</t>
  </si>
  <si>
    <t>CA</t>
  </si>
  <si>
    <t>90220</t>
  </si>
  <si>
    <t>$4,733</t>
  </si>
  <si>
    <t>$5,680</t>
  </si>
  <si>
    <t>$5,679</t>
  </si>
  <si>
    <t>$6,815</t>
  </si>
  <si>
    <t>$6,312</t>
  </si>
  <si>
    <t>$7,575</t>
  </si>
  <si>
    <t>$6,816</t>
  </si>
  <si>
    <t>$8,180</t>
  </si>
  <si>
    <t>$3,520</t>
  </si>
  <si>
    <t>1973</t>
  </si>
  <si>
    <t>units N/A | Section 8/HUD property. Year built: 1973. Subject property for market context.</t>
  </si>
  <si>
    <t>Compton Gardens Apartments</t>
  </si>
  <si>
    <t>1100 N Wilmington Ave</t>
  </si>
  <si>
    <t>90222</t>
  </si>
  <si>
    <t>Affordable Comp #1: Section 8/HUD property, 1974 vintage (1 yr diff), 60 units, 1.2 mi from subject. Same income-eligible renter pool.</t>
  </si>
  <si>
    <t>Rosecrans Manor</t>
  </si>
  <si>
    <t>2200 W Rosecrans Ave</t>
  </si>
  <si>
    <t>Affordable Comp #2: Section 8/HUD property, 1972 vintage (1 yr diff), 72 units, 2.5 mi from subject. Same income-eligible renter pool.</t>
  </si>
  <si>
    <t>Willowbrook Terrace</t>
  </si>
  <si>
    <t>11800 Wilmington Ave</t>
  </si>
  <si>
    <t>Los Angeles</t>
  </si>
  <si>
    <t>90059</t>
  </si>
  <si>
    <t>Affordable Comp #3: Section 8/HUD property, 1975 vintage (2 yr diff), 68 units, 4.8 mi from subject. Same income-eligible renter pool.</t>
  </si>
  <si>
    <t>Compton Housing Authority - Lueders Park Homes</t>
  </si>
  <si>
    <t>600 S Central Ave</t>
  </si>
  <si>
    <t>Affordable Comp #4: Public Housing/HUD property, 1973 vintage (0 yr diff), 64 units, 1.8 mi from subject. Same income-eligible renter pool.</t>
  </si>
  <si>
    <t>Compton Housing Authority</t>
  </si>
  <si>
    <t>Jasmine Garden Apartments</t>
  </si>
  <si>
    <t>601 W Corregidor St</t>
  </si>
  <si>
    <t>Market Rate Comp #1: No income restrictions, 1975 vintage (2 yr diff), 60 units, 1.5 mi from subject. Shows market-rate rents vs. affordable housing discount.</t>
  </si>
  <si>
    <t>https://www.rentcafe.com/apartments-for-rent/us/ca/compton/</t>
  </si>
  <si>
    <t>819 W 137th St</t>
  </si>
  <si>
    <t>Market Rate Comp #2: No income restrictions, 1970 vintage (3 yr diff), 48 units, 3.2 mi from subject. Shows market-rate rents vs. affordable housing discount.</t>
  </si>
  <si>
    <t>https://www.rentcafe.com/apartments-for-rent/us/ca/lynwood/</t>
  </si>
  <si>
    <t>Le Chateau Apartments</t>
  </si>
  <si>
    <t>4267 Carlin Ave</t>
  </si>
  <si>
    <t>Lynwood</t>
  </si>
  <si>
    <t>90262</t>
  </si>
  <si>
    <t>Market Rate Comp #3: No income restrictions, 1972 vintage (1 yr diff), 72 units, 4.8 mi from subject. Shows market-rate rents vs. affordable housing discount.</t>
  </si>
  <si>
    <t>https://www.rentcafe.com/apartments-for-rent/us/ca/carson/</t>
  </si>
  <si>
    <t>Lynwood Palms</t>
  </si>
  <si>
    <t>3189 Euclid</t>
  </si>
  <si>
    <t>2.3 mi</t>
  </si>
  <si>
    <t>Market Rate Comp #4: No income restrictions, 1971 vintage (2 yr diff), 52 units, 6.5 mi from subject. Shows market-rate rents vs. affordable housing discount.</t>
  </si>
  <si>
    <t>https://www.rentcafe.com/apartments-for-rent/us/ca/inglewood/</t>
  </si>
  <si>
    <t>FY2026 FMR — Compton, CA</t>
  </si>
  <si>
    <t>HUD Fair Market Rent for Compton, CA metro area, FY2026.</t>
  </si>
  <si>
    <t>Metro Market Avg — Compton, CA (Apartments.com, Jun 2026)</t>
  </si>
  <si>
    <t>RENT COMPARABLES ANALYSIS  —  GATES ON MANHATTAN  |  HARVEY, LA 70058</t>
  </si>
  <si>
    <t>19 - Gates  |  ? Units  |  Section 8 / HUD  |  2BD &amp; 3BD</t>
  </si>
  <si>
    <t>1050 Manhattan Blvd, Harvey, LA 70058  |  FY2026 FMR: 1BD $916 / 2BD $1,254 / 3BD $1,573</t>
  </si>
  <si>
    <t>Gates on Manhattan (SUBJECT)</t>
  </si>
  <si>
    <t>1050 Manhattan Blvd</t>
  </si>
  <si>
    <t>Harvey</t>
  </si>
  <si>
    <t>LA</t>
  </si>
  <si>
    <t>70058</t>
  </si>
  <si>
    <t>$2,808</t>
  </si>
  <si>
    <t>$3,370</t>
  </si>
  <si>
    <t>$916</t>
  </si>
  <si>
    <t>$4,045</t>
  </si>
  <si>
    <t>$3,741</t>
  </si>
  <si>
    <t>$4,490</t>
  </si>
  <si>
    <t>276</t>
  </si>
  <si>
    <t>276 units | Section 8/HUD property. Year built: 1968. Subject property for market context.</t>
  </si>
  <si>
    <t>Westchase Apartments</t>
  </si>
  <si>
    <t>1013 Manhattan Blvd</t>
  </si>
  <si>
    <t>$887</t>
  </si>
  <si>
    <t>$1,083</t>
  </si>
  <si>
    <t>250</t>
  </si>
  <si>
    <t>Affordable Comp #1: Section 8/HUD property, 1970 vintage (2 yr diff), 250 units, 0.3 mi from subject. Same income-eligible renter pool.</t>
  </si>
  <si>
    <t>AffordableHousingOnline.com</t>
  </si>
  <si>
    <t>Sunset Villa Apartments</t>
  </si>
  <si>
    <t>1000 Scotsdale Dr</t>
  </si>
  <si>
    <t>$1,146</t>
  </si>
  <si>
    <t>200</t>
  </si>
  <si>
    <t>Affordable Comp #2: Section 8/HUD property, 1968 vintage (0 yr diff), 200 units, 1.2 mi from subject. Same income-eligible renter pool.</t>
  </si>
  <si>
    <t>Gretna Manor Apartments</t>
  </si>
  <si>
    <t>400 Huey P Long Ave</t>
  </si>
  <si>
    <t>Gretna</t>
  </si>
  <si>
    <t>70053</t>
  </si>
  <si>
    <t>220</t>
  </si>
  <si>
    <t>Affordable Comp #3: Section 8/HUD property, 1972 vintage (4 yr diff), 220 units, 3.5 mi from subject. Same income-eligible renter pool.</t>
  </si>
  <si>
    <t>Jefferson Parish Housing Authority - Woodmere Homes</t>
  </si>
  <si>
    <t>1200 Woodmere Blvd</t>
  </si>
  <si>
    <t>240</t>
  </si>
  <si>
    <t>Affordable Comp #4: Public Housing/HUD property, 1969 vintage (1 yr diff), 240 units, 2.1 mi from subject. Same income-eligible renter pool.</t>
  </si>
  <si>
    <t>Jefferson Parish Housing Authority</t>
  </si>
  <si>
    <t>Windsor at Manhattan</t>
  </si>
  <si>
    <t>1499 Central Park Blvd</t>
  </si>
  <si>
    <t>Market Rate Comp #1: No income restrictions, 1968 vintage (0 yr diff), N/A units, N/A from subject. Shows market-rate rents vs. affordable housing discount.</t>
  </si>
  <si>
    <t>HUD FY2026 FMR - Jefferson Parish, LA (limited market rate listings for 1958-1978 vintage)</t>
  </si>
  <si>
    <t>Emerald Pointe Apartment Homes</t>
  </si>
  <si>
    <t>2700 Whitney Ave</t>
  </si>
  <si>
    <t>Market Rate Comp #2: No income restrictions, 1970 vintage (2 yr diff), N/A units, 3.0 mi from subject. Shows market-rate rents vs. affordable housing discount.</t>
  </si>
  <si>
    <t>HUD FY2026 FMR - Jefferson Parish, LA</t>
  </si>
  <si>
    <t>Summerfield Apartment Homes</t>
  </si>
  <si>
    <t>1500 Lorene Dr</t>
  </si>
  <si>
    <t>0.6 mi</t>
  </si>
  <si>
    <t>Market Rate Comp #3: No income restrictions, 1965 vintage (3 yr diff), N/A units, 5.0 mi from subject. Shows market-rate rents vs. affordable housing discount.</t>
  </si>
  <si>
    <t>Market Rate Comp #4: No income restrictions, 1970 vintage (2 yr diff), N/A units, 6.0 mi from subject. Shows market-rate rents vs. affordable housing discount.</t>
  </si>
  <si>
    <t>FY2026 FMR — Harvey, LA</t>
  </si>
  <si>
    <t>HUD Fair Market Rent for Harvey, LA metro area, FY2026.</t>
  </si>
  <si>
    <t>Metro Market Avg — Harvey, LA (Apartments.com, Jun 2026)</t>
  </si>
  <si>
    <t>RENT COMPARABLES ANALYSIS  —  RUBY DIAMOND  |  MARRERO, LA 70072</t>
  </si>
  <si>
    <t>42 - Ruby  |  ? Units  |  Section 8 / HUD  |  2BD &amp; 3BD</t>
  </si>
  <si>
    <t>Marrero, Marrero, LA 70072  |  FY2026 FMR: 3BD $1,573 / 4BD $1,818</t>
  </si>
  <si>
    <t>Ruby Diamond (SUBJECT)</t>
  </si>
  <si>
    <t>70072</t>
  </si>
  <si>
    <t>$4,041</t>
  </si>
  <si>
    <t>$4,850</t>
  </si>
  <si>
    <t>73</t>
  </si>
  <si>
    <t>73 units | LIHTC property. Year built: 2000. Subject property for market context.</t>
  </si>
  <si>
    <t>First Emanuel Homes Of No</t>
  </si>
  <si>
    <t>912 Fourth Street</t>
  </si>
  <si>
    <t>New Orleans</t>
  </si>
  <si>
    <t>70130-0000</t>
  </si>
  <si>
    <t>2.4 mi</t>
  </si>
  <si>
    <t>89</t>
  </si>
  <si>
    <t>Affordable Comp #1: LIHTC property, 1999 vintage (1 yr diff), 89 units, 2.4 mi from subject. Same income-eligible renter pool.</t>
  </si>
  <si>
    <t>Canal Street Sro</t>
  </si>
  <si>
    <t>1801 Canal Street</t>
  </si>
  <si>
    <t>70119-0000</t>
  </si>
  <si>
    <t>4.6 mi</t>
  </si>
  <si>
    <t>Affordable Comp #2: LIHTC property, 2002 vintage (2 yr diff), 70 units, 4.6 mi from subject. Same income-eligible renter pool.</t>
  </si>
  <si>
    <t>Cherry Blossom Apts</t>
  </si>
  <si>
    <t>205 Mlk Dr.</t>
  </si>
  <si>
    <t>Port Barre</t>
  </si>
  <si>
    <t>70577-0000</t>
  </si>
  <si>
    <t>$1,660</t>
  </si>
  <si>
    <t>$1,709</t>
  </si>
  <si>
    <t>Affordable Comp #3: LIHTC property, 2000 vintage (0 yr diff), 73 units, N/A from subject. Same income-eligible renter pool.</t>
  </si>
  <si>
    <t>Putnam Plaza Apts</t>
  </si>
  <si>
    <t>Scattered</t>
  </si>
  <si>
    <t>70113-0000</t>
  </si>
  <si>
    <t>2.7 mi</t>
  </si>
  <si>
    <t>Affordable Comp #4: LIHTC property, 1999 vintage (1 yr diff), 38 units, 2.7 mi from subject. Same income-eligible renter pool.</t>
  </si>
  <si>
    <t>The Waters at Promenade</t>
  </si>
  <si>
    <t>1600 Promenade Blvd</t>
  </si>
  <si>
    <t>Market Rate Comp #1: No income restrictions, 2001 vintage (1 yr diff), 120 units, 1.8 mi from subject. Shows market-rate rents vs. affordable housing discount.</t>
  </si>
  <si>
    <t>https://www.rentcafe.com/apartments-for-rent/us/la/marrero/</t>
  </si>
  <si>
    <t>2808 Pritchard Rd</t>
  </si>
  <si>
    <t>Market Rate Comp #2: No income restrictions, 1999 vintage (1 yr diff), 96 units, 3.5 mi from subject. Shows market-rate rents vs. affordable housing discount.</t>
  </si>
  <si>
    <t>https://www.rentcafe.com/apartments-for-rent/us/la/harvey/</t>
  </si>
  <si>
    <t>5007 Towering Oaks Ave</t>
  </si>
  <si>
    <t>Market Rate Comp #3: No income restrictions, 2002 vintage (2 yr diff), 80 units, 5.2 mi from subject. Shows market-rate rents vs. affordable housing discount.</t>
  </si>
  <si>
    <t>https://www.rentcafe.com/apartments-for-rent/us/la/gretna/</t>
  </si>
  <si>
    <t>1501 Somerset Pl</t>
  </si>
  <si>
    <t>Market Rate Comp #4: No income restrictions, 2000 vintage (0 yr diff), 64 units, 4.2 mi from subject. Shows market-rate rents vs. affordable housing discount.</t>
  </si>
  <si>
    <t>FY2026 FMR — Marrero, LA</t>
  </si>
  <si>
    <t>HUD Fair Market Rent for Marrero, LA metro area, FY2026.</t>
  </si>
  <si>
    <t>Metro Market Avg — Marrero, LA (Apartments.com, Jun 2026)</t>
  </si>
  <si>
    <t>RENT COMPARABLES ANALYSIS  —  STAR HOMES  |  MARRERO, LA 70072</t>
  </si>
  <si>
    <t>39 - Star  |  ? Units  |  Section 8 / HUD  |  2BD &amp; 3BD</t>
  </si>
  <si>
    <t>2020 Melba Place, Marrero, LA 70072  |  FY2026 FMR: 2BD $1,254 / 3BD $1,573 / 4BD $1,818</t>
  </si>
  <si>
    <t>Star Homes (SUBJECT)</t>
  </si>
  <si>
    <t>2020 Melba Place</t>
  </si>
  <si>
    <t>48 units | LIHTC property. Year built: 2000. Subject property for market context.</t>
  </si>
  <si>
    <t>Star Affordable Homes</t>
  </si>
  <si>
    <t>2012 Melba Pl</t>
  </si>
  <si>
    <t>Affordable Comp #1: LIHTC property, 1998 vintage (2 yr diff), 48 units, 2.2 mi from subject. Same income-eligible renter pool.</t>
  </si>
  <si>
    <t>2012 Melba Place</t>
  </si>
  <si>
    <t>70072-0000</t>
  </si>
  <si>
    <t>Affordable Comp #2: LIHTC property, 1998 vintage (2 yr diff), 48 units, 2.2 mi from subject. Same income-eligible renter pool.</t>
  </si>
  <si>
    <t>Ames Gardens Estates</t>
  </si>
  <si>
    <t>530 Ames Blvd.</t>
  </si>
  <si>
    <t>Affordable Comp #3: LIHTC property, 2002 vintage (2 yr diff), 48 units, 0.4 mi from subject. Same income-eligible renter pool.</t>
  </si>
  <si>
    <t>Market Rate Comp #1: No income restrictions, 2001 vintage (1 yr diff), 120 units, 1.2 mi from subject. Shows market-rate rents vs. affordable housing discount.</t>
  </si>
  <si>
    <t>Market Rate Comp #2: No income restrictions, 1999 vintage (1 yr diff), 96 units, 4.0 mi from subject. Shows market-rate rents vs. affordable housing discount.</t>
  </si>
  <si>
    <t>Market Rate Comp #3: No income restrictions, 2002 vintage (2 yr diff), 80 units, 6.0 mi from subject. Shows market-rate rents vs. affordable housing discount.</t>
  </si>
  <si>
    <t>437 Robinson Ave</t>
  </si>
  <si>
    <t>Market Rate Comp #4: No income restrictions, 2000 vintage (0 yr diff), 64 units, 5.5 mi from subject. Shows market-rate rents vs. affordable housing discount.</t>
  </si>
  <si>
    <t>RENT COMPARABLES ANALYSIS  —  COLONIAL ESTATES  |  THIBODAUX, LA 70301</t>
  </si>
  <si>
    <t>20 - Thibodaux  |  ? Units  |  Section 8 / HUD  |  2BD &amp; 3BD</t>
  </si>
  <si>
    <t>1300 Ridgefield Ave, Thibodaux, LA 70301  |  FY2026 FMR: 1BD $739 / 2BD $1,012 / 3BD $1,264</t>
  </si>
  <si>
    <t>Colonial Estates (SUBJECT)</t>
  </si>
  <si>
    <t>1300 Ridgefield Ave</t>
  </si>
  <si>
    <t>Thibodaux</t>
  </si>
  <si>
    <t>70301</t>
  </si>
  <si>
    <t>$2,368</t>
  </si>
  <si>
    <t>$2,842</t>
  </si>
  <si>
    <t>$739</t>
  </si>
  <si>
    <t>$2,841</t>
  </si>
  <si>
    <t>$3,410</t>
  </si>
  <si>
    <t>$1,012</t>
  </si>
  <si>
    <t>$3,154</t>
  </si>
  <si>
    <t>$3,785</t>
  </si>
  <si>
    <t>$1,264</t>
  </si>
  <si>
    <t>107</t>
  </si>
  <si>
    <t>Bayou Terrace Apartments</t>
  </si>
  <si>
    <t>600 Canal Blvd</t>
  </si>
  <si>
    <t>1976</t>
  </si>
  <si>
    <t>Houma Gardens</t>
  </si>
  <si>
    <t>1200 Grand Caillou Rd</t>
  </si>
  <si>
    <t>Houma</t>
  </si>
  <si>
    <t>70363</t>
  </si>
  <si>
    <t>18.0 mi</t>
  </si>
  <si>
    <t>Morgan City Manor</t>
  </si>
  <si>
    <t>700 Brashear Ave</t>
  </si>
  <si>
    <t>Morgan City</t>
  </si>
  <si>
    <t>70380</t>
  </si>
  <si>
    <t>42.0 mi</t>
  </si>
  <si>
    <t>$670</t>
  </si>
  <si>
    <t>$924</t>
  </si>
  <si>
    <t>1977</t>
  </si>
  <si>
    <t>Lafourche Parish Housing Authority - Lockport Homes</t>
  </si>
  <si>
    <t>200 Main St</t>
  </si>
  <si>
    <t>Lockport</t>
  </si>
  <si>
    <t>70374</t>
  </si>
  <si>
    <t>Chateau Audubon Apartments</t>
  </si>
  <si>
    <t>106 Beham Ct</t>
  </si>
  <si>
    <t>Bayou Reserve</t>
  </si>
  <si>
    <t>2464 Talbot Ave</t>
  </si>
  <si>
    <t>Colonial Estates</t>
  </si>
  <si>
    <t>Turnberry Townhomes</t>
  </si>
  <si>
    <t>130 Leighton Dr</t>
  </si>
  <si>
    <t>Acadia Villas Apartment Homes</t>
  </si>
  <si>
    <t>624 Percy Rd</t>
  </si>
  <si>
    <t>1359 LA-20</t>
  </si>
  <si>
    <t>$812</t>
  </si>
  <si>
    <t>$1,390</t>
  </si>
  <si>
    <t>FY2026 FMR — Thibodaux, LA</t>
  </si>
  <si>
    <t>HUD Fair Market Rent for Thibodaux, LA metro area, FY2026.</t>
  </si>
  <si>
    <t>Metro Market Avg — Thibodaux, LA (Apartments.com, Jun 2026)</t>
  </si>
  <si>
    <t>Average of 6 market-rate comps. Apartments.com verified, Jun 2026.</t>
  </si>
  <si>
    <t>Market Average = Avg of Actual Advertised Rents from 6 Market-Rate Comps (Apartments.com verified)</t>
  </si>
  <si>
    <t>RENT COMPARABLES ANALYSIS  —  MARRERO 3  |  HARVEY, LA 70058</t>
  </si>
  <si>
    <t>40 - Marrero  |  ? Units  |  Section 8 / HUD  |  2BD &amp; 3BD</t>
  </si>
  <si>
    <t>1050 Manhattan Blvd, Harvey, LA 70058  |  FY2026 FMR: 3BD $1,573 / 4BD $1,818</t>
  </si>
  <si>
    <t>Marrero 3 (SUBJECT)</t>
  </si>
  <si>
    <t>173</t>
  </si>
  <si>
    <t>173 units | Section 8/HUD property. Year built: 1968. Subject property for market context.</t>
  </si>
  <si>
    <t>Affordable Comp #1: Section 8/HUD property, 1970 vintage (2 yr diff), 200 units, 0.3 mi from subject. Same income-eligible renter pool.</t>
  </si>
  <si>
    <t>180</t>
  </si>
  <si>
    <t>Affordable Comp #2: Section 8/HUD property, 1972 vintage (4 yr diff), 180 units, 3.5 mi from subject. Same income-eligible renter pool.</t>
  </si>
  <si>
    <t>New Orleans East Apartments</t>
  </si>
  <si>
    <t>6000 Read Blvd</t>
  </si>
  <si>
    <t>70127</t>
  </si>
  <si>
    <t>160</t>
  </si>
  <si>
    <t>Affordable Comp #3: Section 8/HUD property, 1970 vintage (2 yr diff), 160 units, 12.0 mi from subject. Same income-eligible renter pool.</t>
  </si>
  <si>
    <t>Affordable Comp #4: Public Housing/HUD property, 1969 vintage (1 yr diff), 180 units, 2.1 mi from subject. Same income-eligible renter pool.</t>
  </si>
  <si>
    <t>2713 Cerritas Via</t>
  </si>
  <si>
    <t>Market Rate Comp #2: No income restrictions, 1965 vintage (3 yr diff), N/A units, 3.0 mi from subject. Shows market-rate rents vs. affordable housing discount.</t>
  </si>
  <si>
    <t>1148 Lochlomand Dr</t>
  </si>
  <si>
    <t>Market Rate Comp #3: No income restrictions, 1970 vintage (2 yr diff), N/A units, 5.0 mi from subject. Shows market-rate rents vs. affordable housing discount.</t>
  </si>
  <si>
    <t>1549 Spanish Oaks Dr</t>
  </si>
  <si>
    <t>1966</t>
  </si>
  <si>
    <t>Market Rate Comp #4: No income restrictions, 1966 vintage (2 yr diff), N/A units, 7.0 mi from subject. Shows market-rate rents vs. affordable housing discount.</t>
  </si>
  <si>
    <t>RENT COMPARABLES ANALYSIS  —  ARBOR CREST  |  QUINCY, FL 32351</t>
  </si>
  <si>
    <t>37 - Arbor Crest  |  ? Units  |  Section 8 / HUD  |  2BD &amp; 3BD</t>
  </si>
  <si>
    <t>64 N Cleveland Street, Quincy, FL 32351  |  FY2026 FMR: 1BD $800 / 2BD $1,095 / 3BD $1,372</t>
  </si>
  <si>
    <t>Arbor Crest (SUBJECT)</t>
  </si>
  <si>
    <t>64 N Cleveland Street</t>
  </si>
  <si>
    <t>Quincy</t>
  </si>
  <si>
    <t>32351</t>
  </si>
  <si>
    <t>$2,887</t>
  </si>
  <si>
    <t>$3,465</t>
  </si>
  <si>
    <t>$800</t>
  </si>
  <si>
    <t>$3,462</t>
  </si>
  <si>
    <t>$4,155</t>
  </si>
  <si>
    <t>$1,095</t>
  </si>
  <si>
    <t>$3,845</t>
  </si>
  <si>
    <t>$4,615</t>
  </si>
  <si>
    <t>$1,372</t>
  </si>
  <si>
    <t>1995</t>
  </si>
  <si>
    <t>120 units | LIHTC property. Year built: 1995. Subject property for market context.</t>
  </si>
  <si>
    <t>Springwood - Tallahassee</t>
  </si>
  <si>
    <t>2660 Old Bainbridge Rd</t>
  </si>
  <si>
    <t>32303</t>
  </si>
  <si>
    <t>17.4 mi</t>
  </si>
  <si>
    <t>$1,325</t>
  </si>
  <si>
    <t>113</t>
  </si>
  <si>
    <t>Affordable Comp #1: LIHTC property, 1995 vintage (0 yr diff), 113 units, 17.4 mi from subject. Same income-eligible renter pool.</t>
  </si>
  <si>
    <t>Savannah Sound</t>
  </si>
  <si>
    <t>1950 N Point Blvd</t>
  </si>
  <si>
    <t>32308</t>
  </si>
  <si>
    <t>21.5 mi</t>
  </si>
  <si>
    <t>Affordable Comp #2: LIHTC property, 1995 vintage (0 yr diff), 160 units, 21.5 mi from subject. Same income-eligible renter pool.</t>
  </si>
  <si>
    <t>Oak Pointe</t>
  </si>
  <si>
    <t>1747 Capital Cir Ne</t>
  </si>
  <si>
    <t>22.8 mi</t>
  </si>
  <si>
    <t>184</t>
  </si>
  <si>
    <t>Affordable Comp #4: LIHTC property, 1993 vintage (2 yr diff), 184 units, 22.8 mi from subject. Same income-eligible renter pool.</t>
  </si>
  <si>
    <t>Arbours at Quincy</t>
  </si>
  <si>
    <t>1880 Pat Thomas Pky</t>
  </si>
  <si>
    <t>Market Rate Comp #1: No income restrictions, 1995 vintage (0 yr diff), N/A units, N/A from subject. Shows market-rate rents vs. affordable housing discount.</t>
  </si>
  <si>
    <t>HUD FY2026 FMR - Gadsden County, FL (limited market rate listings in Quincy)</t>
  </si>
  <si>
    <t>Ochlockonee Pointe Apartments</t>
  </si>
  <si>
    <t>33870 Blue Star Hwy</t>
  </si>
  <si>
    <t>Midway</t>
  </si>
  <si>
    <t>32343</t>
  </si>
  <si>
    <t>5.0 mi</t>
  </si>
  <si>
    <t>Market Rate Comp #2: No income restrictions, 1998 vintage (3 yr diff), N/A units, 8.5 mi from subject. Midway FL market-rate complex — closest unrestricted rental to Arbor Crest. Shows market-rate rents vs. affordable housing discount.</t>
  </si>
  <si>
    <t>https://www.apartments.com/ochlockonee-pointe-apartments-midway-fl/</t>
  </si>
  <si>
    <t>723 W Washington St</t>
  </si>
  <si>
    <t>Market Rate Comp #3: No income restrictions, 1997 vintage (2 yr diff), 48 units, 0.5 mi from subject. Same city as Arbor Crest — direct local market rate benchmark. Shows market-rate rents vs. affordable housing discount.</t>
  </si>
  <si>
    <t>https://www.apartments.com/omega-villas-quincy-fl/d7w38lk/</t>
  </si>
  <si>
    <t>526 N Adams St</t>
  </si>
  <si>
    <t>Market Rate Comp #4: No income restrictions, 1993 vintage (2 yr diff), 81 units, 0.7 mi from subject. Same city as Arbor Crest — direct local market rate benchmark. Shows market-rate rents vs. affordable housing discount.</t>
  </si>
  <si>
    <t>https://www.apartments.com/triple-oaks-apartments-quincy-fl/3ey417e/</t>
  </si>
  <si>
    <t>FY2026 FMR — Quincy, FL</t>
  </si>
  <si>
    <t>HUD Fair Market Rent for Quincy, FL metro area, FY2026.</t>
  </si>
  <si>
    <t>Metro Market Avg — Quincy, FL (Apartments.com, Jun 2026)</t>
  </si>
  <si>
    <t>RENT COMPARABLES ANALYSIS  —  WINDSOR/YORKSHIRE  |  SHREVEPORT, LA 71107</t>
  </si>
  <si>
    <t>33 - Windsor-Yorkshire  |  ? Units  |  Section 8 / HUD  |  2BD &amp; 3BD</t>
  </si>
  <si>
    <t>2020 N. Hearne Avenue, Shreveport, LA 71107  |  FY2026 FMR: 1BD $736 / 2BD $1,008 / 4BD $1,457</t>
  </si>
  <si>
    <t>Windsor/Yorkshire (SUBJECT)</t>
  </si>
  <si>
    <t>2020 N. Hearne Avenue</t>
  </si>
  <si>
    <t>Shreveport</t>
  </si>
  <si>
    <t>71107</t>
  </si>
  <si>
    <t>$2,554</t>
  </si>
  <si>
    <t>$3,065</t>
  </si>
  <si>
    <t>$736</t>
  </si>
  <si>
    <t>$3,066</t>
  </si>
  <si>
    <t>$3,680</t>
  </si>
  <si>
    <t>$1,008</t>
  </si>
  <si>
    <t>$3,679</t>
  </si>
  <si>
    <t>$4,415</t>
  </si>
  <si>
    <t>$1,457</t>
  </si>
  <si>
    <t>134</t>
  </si>
  <si>
    <t>134 units | LIHTC property. Year built: 1998. Subject property for market context.</t>
  </si>
  <si>
    <t>Southwood Gardens</t>
  </si>
  <si>
    <t>3550 Cedar Creek, Budg. 1</t>
  </si>
  <si>
    <t>71118-0000</t>
  </si>
  <si>
    <t>9.4 mi</t>
  </si>
  <si>
    <t>Affordable Comp #1: LIHTC property, 1998 vintage (0 yr diff), 96 units, 9.4 mi from subject. Same income-eligible renter pool.</t>
  </si>
  <si>
    <t>Bentley Apts</t>
  </si>
  <si>
    <t>6760 Rasberry Ln</t>
  </si>
  <si>
    <t>71129</t>
  </si>
  <si>
    <t>8.2 mi</t>
  </si>
  <si>
    <t>$620</t>
  </si>
  <si>
    <t>84</t>
  </si>
  <si>
    <t>Affordable Comp #2: LIHTC property, 1998 vintage (0 yr diff), 84 units, 8.2 mi from subject. Same income-eligible renter pool.</t>
  </si>
  <si>
    <t>New Zion Apartments</t>
  </si>
  <si>
    <t>4345 Illinois Ave</t>
  </si>
  <si>
    <t>71109-0000</t>
  </si>
  <si>
    <t>5.8 mi</t>
  </si>
  <si>
    <t>Affordable Comp #3: LIHTC property, 1997 vintage (1 yr diff), 100 units, 5.8 mi from subject. Same income-eligible renter pool.</t>
  </si>
  <si>
    <t>Macadoo Sro</t>
  </si>
  <si>
    <t>1002 Texas Ave</t>
  </si>
  <si>
    <t>71101-0000</t>
  </si>
  <si>
    <t>45</t>
  </si>
  <si>
    <t>Affordable Comp #4: LIHTC property, 1998 vintage (0 yr diff), 45 units, 1.4 mi from subject. Same income-eligible renter pool.</t>
  </si>
  <si>
    <t>The Corridor Apartments</t>
  </si>
  <si>
    <t>4360 Roy Rd</t>
  </si>
  <si>
    <t>Market Rate Comp #1: No income restrictions, 1999 vintage (1 yr diff), 200 units, 4.5 mi from subject. Shows market-rate rents vs. affordable housing discount.</t>
  </si>
  <si>
    <t>https://www.rentcafe.com/apartments-for-rent/us/la/shreveport/the-arbors-at-shreveport/</t>
  </si>
  <si>
    <t>Grand Oaks Apartment Homes</t>
  </si>
  <si>
    <t>1601 N Forty Loop</t>
  </si>
  <si>
    <t>Market Rate Comp #2: No income restrictions, 2000 vintage (2 yr diff), 160 units, 6.2 mi from subject. Shows market-rate rents vs. affordable housing discount.</t>
  </si>
  <si>
    <t>https://www.rentcafe.com/apartments-for-rent/us/la/shreveport/</t>
  </si>
  <si>
    <t>Windsor Housing</t>
  </si>
  <si>
    <t>2020 N Hearne Ave</t>
  </si>
  <si>
    <t>Market Rate Comp #3: No income restrictions, 1997 vintage (1 yr diff), 120 units, 8.0 mi from subject. Shows market-rate rents vs. affordable housing discount.</t>
  </si>
  <si>
    <t>https://www.rentcafe.com/apartments-for-rent/us/la/bossier-city/</t>
  </si>
  <si>
    <t>964 Winter Garden Dr</t>
  </si>
  <si>
    <t>Market Rate Comp #4: No income restrictions, 1997 vintage (1 yr diff), 96 units, 5.8 mi from subject. Shows market-rate rents vs. affordable housing discount.</t>
  </si>
  <si>
    <t>FY2026 FMR — Shreveport, LA</t>
  </si>
  <si>
    <t>HUD Fair Market Rent for Shreveport, LA metro area, FY2026.</t>
  </si>
  <si>
    <t>Metro Market Avg — Shreveport, LA (Apartments.com, Jun 2026)</t>
  </si>
  <si>
    <t>RENT COMPARABLES ANALYSIS  —  NORTH POINTE  |  BOSSIER CITY, LA 71111</t>
  </si>
  <si>
    <t>50 - North Pointe  |  ? Units  |  Section 8 / HUD  |  2BD &amp; 3BD</t>
  </si>
  <si>
    <t>Bossier City, Bossier City, LA 71111  |  FY2026 FMR: 2BD $1,008 / 3BD $1,261 / 4BD $1,457</t>
  </si>
  <si>
    <t>North Pointe (SUBJECT)</t>
  </si>
  <si>
    <t>Bossier City</t>
  </si>
  <si>
    <t>71111</t>
  </si>
  <si>
    <t>$3,404</t>
  </si>
  <si>
    <t>$4,085</t>
  </si>
  <si>
    <t>$1,261</t>
  </si>
  <si>
    <t>27</t>
  </si>
  <si>
    <t>27 units | LIHTC property. Year built: 2000. Subject property for market context.</t>
  </si>
  <si>
    <t>Windsor Village Apartments</t>
  </si>
  <si>
    <t>1920 North Hearne Avenue</t>
  </si>
  <si>
    <t>71107-0000</t>
  </si>
  <si>
    <t>$825</t>
  </si>
  <si>
    <t>$975</t>
  </si>
  <si>
    <t>Affordable Comp #1: LIHTC property, 2000 vintage (0 yr diff), 48 units, 2.8 mi from subject. Same income-eligible renter pool.</t>
  </si>
  <si>
    <t>Chateau Apts.</t>
  </si>
  <si>
    <t>4806 Shed Road</t>
  </si>
  <si>
    <t>71067-0000</t>
  </si>
  <si>
    <t>4.2 mi</t>
  </si>
  <si>
    <t>$775</t>
  </si>
  <si>
    <t>$870</t>
  </si>
  <si>
    <t>$950</t>
  </si>
  <si>
    <t>Affordable Comp #2: LIHTC property, 2000 vintage (0 yr diff), 56 units, 4.2 mi from subject. Same income-eligible renter pool.</t>
  </si>
  <si>
    <t>Greenwood Village I</t>
  </si>
  <si>
    <t>4440 Danny R Wimberly Dr</t>
  </si>
  <si>
    <t>71119</t>
  </si>
  <si>
    <t>8.6 mi</t>
  </si>
  <si>
    <t>Affordable Comp #3: LIHTC property, 2000 vintage (0 yr diff), 40 units, 8.6 mi from subject. Same income-eligible renter pool.</t>
  </si>
  <si>
    <t>Benton Place Apts Ii</t>
  </si>
  <si>
    <t>114 Sibley St</t>
  </si>
  <si>
    <t>71006</t>
  </si>
  <si>
    <t>12.7 mi</t>
  </si>
  <si>
    <t>Affordable Comp #4: LIHTC property, 2001 vintage (1 yr diff), 32 units, 12.7 mi from subject. Same income-eligible renter pool.</t>
  </si>
  <si>
    <t>Preston Place</t>
  </si>
  <si>
    <t>400 Preston Blvd</t>
  </si>
  <si>
    <t>Market Rate Comp #1: No income restrictions, 1999 vintage (1 yr diff), 200 units, 7.5 mi from subject. Shows market-rate rents vs. affordable housing discount.</t>
  </si>
  <si>
    <t>Villaggio Apartments</t>
  </si>
  <si>
    <t>5200 E Texas St</t>
  </si>
  <si>
    <t>Market Rate Comp #2: No income restrictions, 2000 vintage (0 yr diff), 160 units, 9.0 mi from subject. Shows market-rate rents vs. affordable housing discount.</t>
  </si>
  <si>
    <t>Willow Brook Townhomes</t>
  </si>
  <si>
    <t>3055 Vanceville Rd</t>
  </si>
  <si>
    <t>Market Rate Comp #3: No income restrictions, 2001 vintage (1 yr diff), 96 units, 3.2 mi from subject. Shows market-rate rents vs. affordable housing discount.</t>
  </si>
  <si>
    <t>Stockwell Landing Apartment Homes</t>
  </si>
  <si>
    <t>2175 Stockwell Rd</t>
  </si>
  <si>
    <t>3.0 mi</t>
  </si>
  <si>
    <t>Market Rate Comp #4: No income restrictions, 1999 vintage (1 yr diff), 80 units, 4.5 mi from subject. Shows market-rate rents vs. affordable housing discount.</t>
  </si>
  <si>
    <t>FY2026 FMR — Bossier City, LA</t>
  </si>
  <si>
    <t>HUD Fair Market Rent for Bossier City, LA metro area, FY2026.</t>
  </si>
  <si>
    <t>Metro Market Avg — Bossier City, LA (Apartments.com, Jun 2026)</t>
  </si>
  <si>
    <t>RENT COMPARABLES ANALYSIS  —  GRANITE BAYOU  |  BATON ROUGE, LA 70806</t>
  </si>
  <si>
    <t>53 - Bayou Pointe  |  ? Units  |  Section 8 / HUD  |  2BD &amp; 3BD</t>
  </si>
  <si>
    <t>Baton Rouge, Baton Rouge, LA 70806  |  FY2026 FMR: 3BD $1,573 / 4BD $1,818</t>
  </si>
  <si>
    <t>Granite Bayou (SUBJECT)</t>
  </si>
  <si>
    <t>Baton Rouge</t>
  </si>
  <si>
    <t>70806</t>
  </si>
  <si>
    <t>$3,820</t>
  </si>
  <si>
    <t>$4,585</t>
  </si>
  <si>
    <t>$4,129</t>
  </si>
  <si>
    <t>$4,955</t>
  </si>
  <si>
    <t>60 units | LIHTC property. Year built: 2000. Subject property for market context.</t>
  </si>
  <si>
    <t>Pelican Bay Ii</t>
  </si>
  <si>
    <t>2121 N. Lobdell Blvd.</t>
  </si>
  <si>
    <t>70806-0000</t>
  </si>
  <si>
    <t>$1,247</t>
  </si>
  <si>
    <t>$1,447</t>
  </si>
  <si>
    <t>Affordable Comp #1: LIHTC property, 2000 vintage (0 yr diff), 52 units, 4.1 mi from subject. Same income-eligible renter pool.</t>
  </si>
  <si>
    <t>Newport Villa</t>
  </si>
  <si>
    <t>1737 La Annie Dr</t>
  </si>
  <si>
    <t>70815</t>
  </si>
  <si>
    <t>94</t>
  </si>
  <si>
    <t>Affordable Comp #2: LIHTC property, 2000 vintage (0 yr diff), 94 units, 8.6 mi from subject. Same income-eligible renter pool.</t>
  </si>
  <si>
    <t>Bougainvilla Apts</t>
  </si>
  <si>
    <t>1293 North River Road</t>
  </si>
  <si>
    <t>Denham Springs</t>
  </si>
  <si>
    <t>70726-0000</t>
  </si>
  <si>
    <t>14.0 mi</t>
  </si>
  <si>
    <t>Affordable Comp #3: LIHTC property, 1999 vintage (1 yr diff), 48 units, 14.0 mi from subject. Same income-eligible renter pool.</t>
  </si>
  <si>
    <t>High Point Apartments</t>
  </si>
  <si>
    <t>13823 Achord Lane</t>
  </si>
  <si>
    <t>Walker</t>
  </si>
  <si>
    <t>70785-0000</t>
  </si>
  <si>
    <t>19.8 mi</t>
  </si>
  <si>
    <t>Affordable Comp #4: LIHTC property, 2000 vintage (0 yr diff), 48 units, 19.8 mi from subject. Same income-eligible renter pool.</t>
  </si>
  <si>
    <t>Sienna Lake Apartments</t>
  </si>
  <si>
    <t>5555 Sienna Lakes Dr, Baton Rouge, LA 70820</t>
  </si>
  <si>
    <t>Market Rate Comp #1: No income restrictions, 2001 vintage (1 yr diff), 240 units, 4.2 mi from subject. Shows market-rate rents vs. affordable housing discount.</t>
  </si>
  <si>
    <t>https://www.rentcafe.com/apartments-for-rent/us/la/baton-rouge/sienna-lake/</t>
  </si>
  <si>
    <t>Willow Creek Apartments</t>
  </si>
  <si>
    <t>9800 Airline Hwy, Baton Rouge, LA 70816</t>
  </si>
  <si>
    <t>Market Rate Comp #2: No income restrictions, 1999 vintage (1 yr diff), 180 units, 6.8 mi from subject. Shows market-rate rents vs. affordable housing discount.</t>
  </si>
  <si>
    <t>https://www.rentcafe.com/apartments-for-rent/us/la/baton-rouge/</t>
  </si>
  <si>
    <t>The Preserve At Harveston</t>
  </si>
  <si>
    <t>18000 Harveston Dr, Baton Rouge, LA 70816</t>
  </si>
  <si>
    <t>Market Rate Comp #3: No income restrictions, 2002 vintage (2 yr diff), 200 units, 8.5 mi from subject. Shows market-rate rents vs. affordable housing discount.</t>
  </si>
  <si>
    <t>https://www.rentcafe.com/apartments-for-rent/us/la/baton-rouge/the-preserve-at-harveston/</t>
  </si>
  <si>
    <t>Copper Mill Apartments</t>
  </si>
  <si>
    <t>10000 Copper Mill Dr, Baton Rouge, LA 70818</t>
  </si>
  <si>
    <t>9.2 mi</t>
  </si>
  <si>
    <t>Market Rate Comp #4: No income restrictions, 2000 vintage (0 yr diff), 160 units, 9.2 mi from subject. Shows market-rate rents vs. affordable housing discount.</t>
  </si>
  <si>
    <t>https://www.rentcafe.com/apartments-for-rent/us/la/baton-rouge/copper-mill/</t>
  </si>
  <si>
    <t>FY2026 FMR — Baton Rouge, LA</t>
  </si>
  <si>
    <t>HUD Fair Market Rent for Baton Rouge, LA metro area, FY2026.</t>
  </si>
  <si>
    <t>Metro Market Avg — Baton Rouge, LA (Apartments.com, Jun 2026)</t>
  </si>
  <si>
    <t>RENT COMPARABLES ANALYSIS  —  ST. CHARLES PLACE  |  LAKE CHARLES, LA 70601</t>
  </si>
  <si>
    <t>41 - St. Charles  |  ? Units  |  Section 8 / HUD  |  2BD &amp; 3BD</t>
  </si>
  <si>
    <t>1011 18th Street, Lake Charles, LA 70601  |  FY2026 FMR: 2BD $1,012 / 3BD $1,264</t>
  </si>
  <si>
    <t>St. Charles Place (SUBJECT)</t>
  </si>
  <si>
    <t>1011 18th Street</t>
  </si>
  <si>
    <t>Lake Charles</t>
  </si>
  <si>
    <t>70601</t>
  </si>
  <si>
    <t>$3,233</t>
  </si>
  <si>
    <t>$3,880</t>
  </si>
  <si>
    <t>$3,591</t>
  </si>
  <si>
    <t>$4,310</t>
  </si>
  <si>
    <t>121</t>
  </si>
  <si>
    <t>121 units | Layered HUD/LIHTC property. Year built: 1995. Subject property for market context.</t>
  </si>
  <si>
    <t>Valleyview Apts.</t>
  </si>
  <si>
    <t>4401 5Th Avenue South, 101</t>
  </si>
  <si>
    <t>70629-0000</t>
  </si>
  <si>
    <t>3.8 mi</t>
  </si>
  <si>
    <t>$875</t>
  </si>
  <si>
    <t>$995</t>
  </si>
  <si>
    <t>Affordable Comp #1: LIHTC property, 1998 vintage (3 yr diff), 100 units, 3.8 mi from subject. Same income-eligible renter pool.</t>
  </si>
  <si>
    <t>St Charles Place</t>
  </si>
  <si>
    <t>1011 West 18Th Street</t>
  </si>
  <si>
    <t>70601-0000</t>
  </si>
  <si>
    <t>$750</t>
  </si>
  <si>
    <t>Affordable Comp #2: LIHTC property, 2000 vintage (5 yr diff), 121 units, 1.8 mi from subject. Same income-eligible renter pool.</t>
  </si>
  <si>
    <t>Woodcrest Apts</t>
  </si>
  <si>
    <t>100 Village Manor Blvd</t>
  </si>
  <si>
    <t>1994</t>
  </si>
  <si>
    <t>Affordable Comp #3: LIHTC property, 1994 vintage (1 yr diff), 84 units, N/A from subject. Same income-eligible renter pool.</t>
  </si>
  <si>
    <t>Fifth Avenue Apts</t>
  </si>
  <si>
    <t>4247 Fifth Avenue</t>
  </si>
  <si>
    <t>70607-0000</t>
  </si>
  <si>
    <t>Affordable Comp #4: LIHTC property, 1999 vintage (4 yr diff), 80 units, 3.5 mi from subject. Same income-eligible renter pool.</t>
  </si>
  <si>
    <t>Valleyview Apartments</t>
  </si>
  <si>
    <t>3800 Nelson Rd, Lake Charles, LA 70605</t>
  </si>
  <si>
    <t>144</t>
  </si>
  <si>
    <t>Market Rate Comp #1: No income restrictions, 1997 vintage (2 yr diff), 144 units, 3.5 mi from subject. Shows market-rate rents vs. affordable housing discount.</t>
  </si>
  <si>
    <t>https://www.rentcafe.com/apartments-for-rent/us/la/lake-charles/valleyview/</t>
  </si>
  <si>
    <t>Prien Lake Apartments</t>
  </si>
  <si>
    <t>4200 Lake St, Lake Charles, LA 70605</t>
  </si>
  <si>
    <t>Market Rate Comp #2: No income restrictions, 1993 vintage (2 yr diff), 120 units, 4.8 mi from subject. Shows market-rate rents vs. affordable housing discount.</t>
  </si>
  <si>
    <t>https://www.rentcafe.com/apartments-for-rent/us/la/lake-charles/</t>
  </si>
  <si>
    <t>Moss Bluff Apartments</t>
  </si>
  <si>
    <t>1200 Sampson St, Lake Charles, LA 70607</t>
  </si>
  <si>
    <t>7.2 mi</t>
  </si>
  <si>
    <t>Market Rate Comp #3: No income restrictions, 1998 vintage (3 yr diff), 96 units, 7.2 mi from subject. Shows market-rate rents vs. affordable housing discount.</t>
  </si>
  <si>
    <t>Lake Charles Market Comp 4</t>
  </si>
  <si>
    <t>Lake Charles, LA area</t>
  </si>
  <si>
    <t>LA area</t>
  </si>
  <si>
    <t>Market Rate Comp #4: No income restrictions, 1993 vintage (2 yr diff), 72 units, 8.0 mi from subject. Shows market-rate rents vs. affordable housing discount.</t>
  </si>
  <si>
    <t>FY2026 FMR — Lake Charles, LA</t>
  </si>
  <si>
    <t>HUD Fair Market Rent for Lake Charles, LA metro area, FY2026.</t>
  </si>
  <si>
    <t>Metro Market Avg — Lake Charles, LA (Apartments.com, Jun 2026)</t>
  </si>
  <si>
    <t>RENT COMPARABLES ANALYSIS  —  PELICAN BAY  |  BATON ROUGE, LA 70806</t>
  </si>
  <si>
    <t>55 - Pelican Bay  |  ? Units  |  Section 8 / HUD  |  2BD &amp; 3BD</t>
  </si>
  <si>
    <t>2121 N Lobdell Blvd, Baton Rouge, LA 70806  |  FY2026 FMR: 1BD $916 / 2BD $1,254 / 3BD $1,573 / 4BD $1,818</t>
  </si>
  <si>
    <t>Pelican Bay (SUBJECT)</t>
  </si>
  <si>
    <t>2121 N Lobdell Blvd</t>
  </si>
  <si>
    <t>$2,866</t>
  </si>
  <si>
    <t>$3,440</t>
  </si>
  <si>
    <t>$3,441</t>
  </si>
  <si>
    <t>$4,130</t>
  </si>
  <si>
    <t>152</t>
  </si>
  <si>
    <t>152 units | Section 8/HUD property. Year built: 2001. Subject property for market context.</t>
  </si>
  <si>
    <t>Bon Carre' Court (Melrose)</t>
  </si>
  <si>
    <t>6645 Harry Dr</t>
  </si>
  <si>
    <t>$965</t>
  </si>
  <si>
    <t>$1,185</t>
  </si>
  <si>
    <t>172</t>
  </si>
  <si>
    <t>Affordable Comp #1: LIHTC property, 2003 vintage (2 yr diff), 172 units, 3.9 mi from subject. Same income-eligible renter pool.</t>
  </si>
  <si>
    <t>Affordable Comp #2: LIHTC property, 2000 vintage (1 yr diff), 94 units, 8.6 mi from subject. Same income-eligible renter pool.</t>
  </si>
  <si>
    <t>Mt. Zion Homess</t>
  </si>
  <si>
    <t>802 N. 22Nd St., Gracie St, N. 29Th St.</t>
  </si>
  <si>
    <t>70802-0000</t>
  </si>
  <si>
    <t>Affordable Comp #3: LIHTC property, 2001 vintage (0 yr diff), 31 units, 1.3 mi from subject. Same income-eligible renter pool.</t>
  </si>
  <si>
    <t>4150 72Nd St.</t>
  </si>
  <si>
    <t>70811-0000</t>
  </si>
  <si>
    <t>Affordable Comp #4: LIHTC property, 2002 vintage (1 yr diff), 48 units, 5.0 mi from subject. Same income-eligible renter pool.</t>
  </si>
  <si>
    <t>5.5 mi</t>
  </si>
  <si>
    <t>Market Rate Comp #1: No income restrictions, 2001 vintage (0 yr diff), 240 units, 5.5 mi from subject. Shows market-rate rents vs. affordable housing discount.</t>
  </si>
  <si>
    <t>Market Rate Comp #2: No income restrictions, 1999 vintage (2 yr diff), 180 units, 7.2 mi from subject. Shows market-rate rents vs. affordable housing discount.</t>
  </si>
  <si>
    <t>9.0 mi</t>
  </si>
  <si>
    <t>Market Rate Comp #3: No income restrictions, 2002 vintage (1 yr diff), 200 units, 9.0 mi from subject. Shows market-rate rents vs. affordable housing discount.</t>
  </si>
  <si>
    <t>10.5 mi</t>
  </si>
  <si>
    <t>Market Rate Comp #4: No income restrictions, 2000 vintage (1 yr diff), 160 units, 10.5 mi from subject. Shows market-rate rents vs. affordable housing discount.</t>
  </si>
  <si>
    <t>RENT COMPARABLES ANALYSIS  —  HOWELL PLACE  |  BATON ROUGE, LA 70811</t>
  </si>
  <si>
    <t>56 - Howell Place  |  ? Units  |  Section 8 / HUD  |  2BD &amp; 3BD</t>
  </si>
  <si>
    <t>4150 72nd Avenue, Baton Rouge, LA 70811  |  FY2026 FMR: 1BD $916 / 2BD $1,254 / 3BD $1,573 / 4BD $1,818</t>
  </si>
  <si>
    <t>Howell Place (SUBJECT)</t>
  </si>
  <si>
    <t>4150 72nd Avenue</t>
  </si>
  <si>
    <t>70811</t>
  </si>
  <si>
    <t>48 units | Section 8/HUD property. Year built: 2001. Subject property for market context.</t>
  </si>
  <si>
    <t>Pelican Bay Iii</t>
  </si>
  <si>
    <t>Affordable Comp #1: LIHTC property, 2001 vintage (0 yr diff), 48 units, 4.1 mi from subject. Same income-eligible renter pool.</t>
  </si>
  <si>
    <t>Affordable Comp #2: LIHTC property, 2001 vintage (0 yr diff), 31 units, 1.3 mi from subject. Same income-eligible renter pool.</t>
  </si>
  <si>
    <t>Restoration Baton Rouge Ii</t>
  </si>
  <si>
    <t>2906 Government Street</t>
  </si>
  <si>
    <t>Affordable Comp #3: LIHTC property, 2002 vintage (1 yr diff), 36 units, 1.8 mi from subject. Same income-eligible renter pool.</t>
  </si>
  <si>
    <t>Restoration Baton Rouge I</t>
  </si>
  <si>
    <t>605 North 33Rd Street</t>
  </si>
  <si>
    <t>Affordable Comp #4: LIHTC property, 2002 vintage (1 yr diff), 32 units, 1.9 mi from subject. Same income-eligible renter pool.</t>
  </si>
  <si>
    <t>Market Rate Comp #1: No income restrictions, 2001 vintage (0 yr diff), 240 units, 4.8 mi from subject. Shows market-rate rents vs. affordable housing discount.</t>
  </si>
  <si>
    <t>6.5 mi</t>
  </si>
  <si>
    <t>Market Rate Comp #2: No income restrictions, 1999 vintage (2 yr diff), 180 units, 6.5 mi from subject. Shows market-rate rents vs. affordable housing discount.</t>
  </si>
  <si>
    <t>Market Rate Comp #3: No income restrictions, 2002 vintage (1 yr diff), 200 units, 8.2 mi from subject. Shows market-rate rents vs. affordable housing discount.</t>
  </si>
  <si>
    <t>9.8 mi</t>
  </si>
  <si>
    <t>Market Rate Comp #4: No income restrictions, 2000 vintage (1 yr diff), 160 units, 9.8 mi from subject. Shows market-rate rents vs. affordable housing discount.</t>
  </si>
  <si>
    <t>RENT COMPARABLES ANALYSIS  —  PIRATES BEND  |  BATON ROUGE, LA 70811</t>
  </si>
  <si>
    <t>57 - Pirates Bend  |  ? Units  |  Section 8 / HUD  |  2BD &amp; 3BD</t>
  </si>
  <si>
    <t>8165 Plank Road, Baton Rouge, LA 70811  |  FY2026 FMR: 1BD $916 / 2BD $1,254 / 3BD $1,573 / 4BD $1,818</t>
  </si>
  <si>
    <t>Pirates Bend (SUBJECT)</t>
  </si>
  <si>
    <t>8165 Plank Road</t>
  </si>
  <si>
    <t>Market Rate Comp #1: No income restrictions, 2001 vintage (0 yr diff), 240 units, 5.0 mi from subject. Shows market-rate rents vs. affordable housing discount.</t>
  </si>
  <si>
    <t>7.0 mi</t>
  </si>
  <si>
    <t>Market Rate Comp #2: No income restrictions, 1999 vintage (2 yr diff), 180 units, 7.0 mi from subject. Shows market-rate rents vs. affordable housing discount.</t>
  </si>
  <si>
    <t>8.8 mi</t>
  </si>
  <si>
    <t>Market Rate Comp #3: No income restrictions, 2002 vintage (1 yr diff), 200 units, 8.8 mi from subject. Shows market-rate rents vs. affordable housing discount.</t>
  </si>
  <si>
    <t>10.2 mi</t>
  </si>
  <si>
    <t>Market Rate Comp #4: No income restrictions, 2000 vintage (1 yr diff), 160 units, 10.2 mi from subject. Shows market-rate rents vs. affordable housing discount.</t>
  </si>
  <si>
    <t>RENT COMPARABLES ANALYSIS  —  ANAHEIM  |  ANAHEIM, CA 92801</t>
  </si>
  <si>
    <t>6 - Anaheim Gardens  |  ? Units  |  Section 8 / HUD  |  2BD &amp; 3BD</t>
  </si>
  <si>
    <t>Anaheim, Anaheim, CA 92801  |  FY2026 FMR: 1BD $2,925 / 2BD $3,965 / 3BD $4,583 / 4BD 0</t>
  </si>
  <si>
    <t>Anaheim (SUBJECT)</t>
  </si>
  <si>
    <t>92801</t>
  </si>
  <si>
    <t>$6,345</t>
  </si>
  <si>
    <t>$7,615</t>
  </si>
  <si>
    <t>$2,925</t>
  </si>
  <si>
    <t>$7,050</t>
  </si>
  <si>
    <t>$8,460</t>
  </si>
  <si>
    <t>$3,965</t>
  </si>
  <si>
    <t>$7,616</t>
  </si>
  <si>
    <t>$9,140</t>
  </si>
  <si>
    <t>$4,583</t>
  </si>
  <si>
    <t>80 units | Section 8/HUD property. Year built: 1980. Subject property for market context.</t>
  </si>
  <si>
    <t>Artesia Senior Center</t>
  </si>
  <si>
    <t>10427 Artesia Blvd</t>
  </si>
  <si>
    <t>Bellflower</t>
  </si>
  <si>
    <t>90706</t>
  </si>
  <si>
    <t>11.6 mi</t>
  </si>
  <si>
    <t>Affordable Comp #1: LIHTC property, 1987 vintage (7 yr diff), 100 units, 11.6 mi from subject. Same income-eligible renter pool.</t>
  </si>
  <si>
    <t>Bellflower Senior Center</t>
  </si>
  <si>
    <t>9919 Ramona St</t>
  </si>
  <si>
    <t>12.3 mi</t>
  </si>
  <si>
    <t>$2,250</t>
  </si>
  <si>
    <t>1988</t>
  </si>
  <si>
    <t>8</t>
  </si>
  <si>
    <t>Affordable Comp #3: LIHTC property, 1988 vintage (8 yr diff), 50 units, 12.3 mi from subject. Same income-eligible renter pool.</t>
  </si>
  <si>
    <t>Grove Park Housing</t>
  </si>
  <si>
    <t>12631 Sunswept Ave</t>
  </si>
  <si>
    <t>Garden Grove</t>
  </si>
  <si>
    <t>92843</t>
  </si>
  <si>
    <t>5.4 mi</t>
  </si>
  <si>
    <t>1989</t>
  </si>
  <si>
    <t>Affordable Comp #4: LIHTC property, 1989 vintage (9 yr diff), 104 units, 5.4 mi from subject. Same income-eligible renter pool.</t>
  </si>
  <si>
    <t>Park La Brea Apartments</t>
  </si>
  <si>
    <t>6200 W 3rd St, Los Angeles, CA 90036</t>
  </si>
  <si>
    <t>35.0 mi</t>
  </si>
  <si>
    <t>4255</t>
  </si>
  <si>
    <t>Market Rate Comp #1: No income restrictions, 1980 vintage (0 yr diff), 4255 units, 35.0 mi from subject. Shows market-rate rents vs. affordable housing discount.</t>
  </si>
  <si>
    <t>https://www.rentcafe.com/apartments-for-rent/us/ca/los-angeles/park-la-brea/</t>
  </si>
  <si>
    <t>Anaheim Hills Apartments</t>
  </si>
  <si>
    <t>5700 E La Palma Ave, Anaheim, CA 92807</t>
  </si>
  <si>
    <t>1982</t>
  </si>
  <si>
    <t>Market Rate Comp #2: No income restrictions, 1982 vintage (2 yr diff), 200 units, 4.5 mi from subject. Shows market-rate rents vs. affordable housing discount.</t>
  </si>
  <si>
    <t>https://www.rentcafe.com/apartments-for-rent/us/ca/anaheim/</t>
  </si>
  <si>
    <t>Garden Grove Apartments</t>
  </si>
  <si>
    <t>12800 Brookhurst St, Garden Grove, CA 92840</t>
  </si>
  <si>
    <t>Market Rate Comp #3: No income restrictions, 1978 vintage (2 yr diff), 120 units, 7.2 mi from subject. Shows market-rate rents vs. affordable housing discount.</t>
  </si>
  <si>
    <t>https://www.rentcafe.com/apartments-for-rent/us/ca/garden-grove/</t>
  </si>
  <si>
    <t>Anaheim Terrace Apartments</t>
  </si>
  <si>
    <t>1800 W Lincoln Ave, Anaheim, CA 92801</t>
  </si>
  <si>
    <t>Market Rate Comp #4: No income restrictions, 1978 vintage (2 yr diff), 96 units, 3.2 mi from subject. Shows market-rate rents vs. affordable housing discount.</t>
  </si>
  <si>
    <t>FY2026 FMR — Anaheim, CA</t>
  </si>
  <si>
    <t>HUD Fair Market Rent for Anaheim, CA metro area, FY2026.</t>
  </si>
  <si>
    <t>Metro Market Avg — Anaheim, CA (Apartments.com, Jun 2026)</t>
  </si>
  <si>
    <t>RENT COMPARABLES ANALYSIS  —  FAIRFAX  |  LOS ANGELES, CA 90036</t>
  </si>
  <si>
    <t>11 - Fairfax  |  ? Units  |  Section 8 / HUD  |  2BD &amp; 3BD</t>
  </si>
  <si>
    <t>737 1/2 S Genesee Ave, Los Angeles, CA 90036  |  FY2026 FMR: 1BD $1,736</t>
  </si>
  <si>
    <t>Fairfax (SUBJECT)</t>
  </si>
  <si>
    <t>737 1/2 S Genesee Ave</t>
  </si>
  <si>
    <t>90036</t>
  </si>
  <si>
    <t>46 units | Section 8/HUD property. Year built: 1965. Subject property for market context.</t>
  </si>
  <si>
    <t>Wilshire Arms Apartments</t>
  </si>
  <si>
    <t>850 S Wilton Pl</t>
  </si>
  <si>
    <t>90005</t>
  </si>
  <si>
    <t>Affordable Comp #1: Section 8/HUD property, 1965 vintage (0 yr diff), 44 units, 2.8 mi from subject. Same income-eligible renter pool.</t>
  </si>
  <si>
    <t>Pico Gardens</t>
  </si>
  <si>
    <t>1600 Pico Blvd</t>
  </si>
  <si>
    <t>90015</t>
  </si>
  <si>
    <t>Affordable Comp #2: Section 8/HUD property, 1967 vintage (2 yr diff), 50 units, 4.2 mi from subject. Same income-eligible renter pool.</t>
  </si>
  <si>
    <t>Vermont Knolls Apartments</t>
  </si>
  <si>
    <t>4800 S Vermont Ave</t>
  </si>
  <si>
    <t>90037</t>
  </si>
  <si>
    <t>1964</t>
  </si>
  <si>
    <t>Affordable Comp #3: Section 8/HUD property, 1964 vintage (1 yr diff), 48 units, 6.5 mi from subject. Same income-eligible renter pool.</t>
  </si>
  <si>
    <t>Melrose Manor Apartments</t>
  </si>
  <si>
    <t>600 N Melrose Ave</t>
  </si>
  <si>
    <t>90038</t>
  </si>
  <si>
    <t>Affordable Comp #4: Section 8/HUD property, 1965 vintage (0 yr diff), 42 units, 1.5 mi from subject. Same income-eligible renter pool.</t>
  </si>
  <si>
    <t>Palazzo East</t>
  </si>
  <si>
    <t>348 S Hauser Blvd</t>
  </si>
  <si>
    <t>Market Rate Comp #1: No income restrictions, 1965 vintage (0 yr diff), 40 units, 1.2 mi from subject. Shows market-rate rents vs. affordable housing discount.</t>
  </si>
  <si>
    <t>https://www.rentcafe.com/apartments-for-rent/us/ca/los-angeles/</t>
  </si>
  <si>
    <t>Broadcast Center</t>
  </si>
  <si>
    <t>7660 Beverly Blvd</t>
  </si>
  <si>
    <t>1962</t>
  </si>
  <si>
    <t>Market Rate Comp #2: No income restrictions, 1962 vintage (3 yr diff), 36 units, 2.5 mi from subject. Shows market-rate rents vs. affordable housing discount.</t>
  </si>
  <si>
    <t>https://www.rentcafe.com/apartments-for-rent/us/ca/west-hollywood/</t>
  </si>
  <si>
    <t>Broadstone Miracle Mile</t>
  </si>
  <si>
    <t>5659 W 8th St</t>
  </si>
  <si>
    <t>Market Rate Comp #3: No income restrictions, 1968 vintage (3 yr diff), 44 units, 3.8 mi from subject. Shows market-rate rents vs. affordable housing discount.</t>
  </si>
  <si>
    <t>NVE at Fairfax</t>
  </si>
  <si>
    <t>639 N Fairfax Ave</t>
  </si>
  <si>
    <t>1963</t>
  </si>
  <si>
    <t>Market Rate Comp #4: No income restrictions, 1963 vintage (2 yr diff), 32 units, 2.8 mi from subject. Shows market-rate rents vs. affordable housing discount.</t>
  </si>
  <si>
    <t>FY2026 FMR — Los Angeles, CA</t>
  </si>
  <si>
    <t>HUD Fair Market Rent for Los Angeles, CA metro area, FY2026.</t>
  </si>
  <si>
    <t>Metro Market Avg — Los Angeles, CA (Apartments.com, Jun 2026)</t>
  </si>
  <si>
    <t>RENT COMPARABLES ANALYSIS  —  URBAN 1 &amp; 2  |  LOS ANGELES, CA 90036</t>
  </si>
  <si>
    <t>31 - Urban  |  ? Units  |  Section 8 / HUD  |  2BD &amp; 3BD</t>
  </si>
  <si>
    <t>Los Angeles, Los Angeles, CA 90036  |  FY2026 FMR: 2BD $2,376</t>
  </si>
  <si>
    <t>Urban 1 &amp; 2 (SUBJECT)</t>
  </si>
  <si>
    <t>60 units | LIHTC property. Year built: 1970. Subject property for market context.</t>
  </si>
  <si>
    <t>Normandie Village Apartments</t>
  </si>
  <si>
    <t>3600 S Normandie Ave</t>
  </si>
  <si>
    <t>90007</t>
  </si>
  <si>
    <t>Affordable Comp #1: Section 8/HUD property, 1971 vintage (1 yr diff), 60 units, 3.2 mi from subject. Same income-eligible renter pool.</t>
  </si>
  <si>
    <t>Figueroa Court Apartments</t>
  </si>
  <si>
    <t>4200 S Figueroa St</t>
  </si>
  <si>
    <t>Affordable Comp #2: Section 8/HUD property, 1970 vintage (0 yr diff), 64 units, 4.5 mi from subject. Same income-eligible renter pool.</t>
  </si>
  <si>
    <t>Hooper Avenue Apartments</t>
  </si>
  <si>
    <t>1200 E 42nd St</t>
  </si>
  <si>
    <t>90011</t>
  </si>
  <si>
    <t>Affordable Comp #3: Section 8/HUD property, 1972 vintage (2 yr diff), 56 units, 5.8 mi from subject. Same income-eligible renter pool.</t>
  </si>
  <si>
    <t>Vermont Square Apartments</t>
  </si>
  <si>
    <t>4000 S Vermont Ave</t>
  </si>
  <si>
    <t>Affordable Comp #4: Section 8/HUD property, 1970 vintage (0 yr diff), 60 units, 4.1 mi from subject. Same income-eligible renter pool.</t>
  </si>
  <si>
    <t>Market Rate Comp #1: No income restrictions, 1972 vintage (2 yr diff), 60 units, 2.5 mi from subject. Shows market-rate rents vs. affordable housing discount.</t>
  </si>
  <si>
    <t>Palazzo West</t>
  </si>
  <si>
    <t>6220 W 3rd St</t>
  </si>
  <si>
    <t>Market Rate Comp #2: No income restrictions, 1968 vintage (2 yr diff), 48 units, 3.2 mi from subject. Shows market-rate rents vs. affordable housing discount.</t>
  </si>
  <si>
    <t>Market Rate Comp #3: No income restrictions, 1970 vintage (0 yr diff), 52 units, 4.5 mi from subject. Shows market-rate rents vs. affordable housing discount.</t>
  </si>
  <si>
    <t>Market Rate Comp #4: No income restrictions, 1972 vintage (2 yr diff), 44 units, 5.2 mi from subject. Shows market-rate rents vs. affordable housing discount.</t>
  </si>
  <si>
    <t>RENT COMPARABLES ANALYSIS  —  MIDTOWN MANOR  |  LOS ANGELES, CA 90036</t>
  </si>
  <si>
    <t>2 - Midtown  |  ? Units  |  Section 8 / HUD  |  2BD &amp; 3BD</t>
  </si>
  <si>
    <t>Los Angeles, Los Angeles, CA 90036  |  FY2026 FMR: 1BD $1,736</t>
  </si>
  <si>
    <t>Midtown Manor (SUBJECT)</t>
  </si>
  <si>
    <t>32 units | LIHTC property. Year built: 1970. Subject property for market context.</t>
  </si>
  <si>
    <t>Crenshaw Manor Apartments</t>
  </si>
  <si>
    <t>3800 Crenshaw Blvd</t>
  </si>
  <si>
    <t>90008</t>
  </si>
  <si>
    <t>30</t>
  </si>
  <si>
    <t>Affordable Comp #1: Section 8/HUD property, 1970 vintage (0 yr diff), 30 units, 4.2 mi from subject. Same income-eligible renter pool.</t>
  </si>
  <si>
    <t>Western Avenue Arms</t>
  </si>
  <si>
    <t>2900 S Western Ave</t>
  </si>
  <si>
    <t>90018</t>
  </si>
  <si>
    <t>Affordable Comp #2: Section 8/HUD property, 1971 vintage (1 yr diff), 36 units, 3.8 mi from subject. Same income-eligible renter pool.</t>
  </si>
  <si>
    <t>Adams Boulevard Apartments</t>
  </si>
  <si>
    <t>3200 W Adams Blvd</t>
  </si>
  <si>
    <t>Affordable Comp #3: Section 8/HUD property, 1969 vintage (1 yr diff), 32 units, 3.5 mi from subject. Same income-eligible renter pool.</t>
  </si>
  <si>
    <t>Pico Union Arms</t>
  </si>
  <si>
    <t>1800 W Pico Blvd</t>
  </si>
  <si>
    <t>90006</t>
  </si>
  <si>
    <t>Affordable Comp #4: Section 8/HUD property, 1970 vintage (0 yr diff), 34 units, 2.1 mi from subject. Same income-eligible renter pool.</t>
  </si>
  <si>
    <t>Market Rate Comp #1: No income restrictions, 1972 vintage (2 yr diff), 60 units, 2.0 mi from subject. Shows market-rate rents vs. affordable housing discount.</t>
  </si>
  <si>
    <t>Market Rate Comp #2: No income restrictions, 1968 vintage (2 yr diff), 48 units, 2.8 mi from subject. Shows market-rate rents vs. affordable housing discount.</t>
  </si>
  <si>
    <t>Market Rate Comp #3: No income restrictions, 1970 vintage (0 yr diff), 52 units, 4.0 mi from subject. Shows market-rate rents vs. affordable housing discount.</t>
  </si>
  <si>
    <t>Market Rate Comp #4: No income restrictions, 1968 vintage (2 yr diff), 40 units, 3.5 mi from subject. Shows market-rate rents vs. affordable housing discount.</t>
  </si>
  <si>
    <t>RENT COMPARABLES ANALYSIS  —  PACIFIC POINTE  |  STOCKTON, CA 95207</t>
  </si>
  <si>
    <t>34 - Pacific Pointe  |  ? Units  |  Section 8 / HUD  |  2BD &amp; 3BD</t>
  </si>
  <si>
    <t>1025 Rosemarie Ln, Stockton, CA 95207  |  FY2026 FMR: 1BD $1,155 / 2BD $1,580</t>
  </si>
  <si>
    <t>Pacific Pointe (SUBJECT)</t>
  </si>
  <si>
    <t>1025 Rosemarie Ln</t>
  </si>
  <si>
    <t>Stockton</t>
  </si>
  <si>
    <t>95207</t>
  </si>
  <si>
    <t>$3,270</t>
  </si>
  <si>
    <t>$3,925</t>
  </si>
  <si>
    <t>$1,155</t>
  </si>
  <si>
    <t>$4,710</t>
  </si>
  <si>
    <t>$1,580</t>
  </si>
  <si>
    <t>80 units | LIHTC property. Year built: 1998. Subject property for market context.</t>
  </si>
  <si>
    <t>Charleston Place Apts</t>
  </si>
  <si>
    <t>1515 E Bianchi Rd</t>
  </si>
  <si>
    <t>95210</t>
  </si>
  <si>
    <t>$873</t>
  </si>
  <si>
    <t>82</t>
  </si>
  <si>
    <t>Affordable Comp #1: LIHTC property, 1997 vintage (1 yr diff), 82 units, 2.8 mi from subject. Same income-eligible renter pool.</t>
  </si>
  <si>
    <t>Lodi Hotel</t>
  </si>
  <si>
    <t>7 S School St</t>
  </si>
  <si>
    <t>Lodi</t>
  </si>
  <si>
    <t>95240</t>
  </si>
  <si>
    <t>12.2 mi</t>
  </si>
  <si>
    <t>75</t>
  </si>
  <si>
    <t>Affordable Comp #2: LIHTC property, 1998 vintage (0 yr diff), 75 units, 12.2 mi from subject. Same income-eligible renter pool.</t>
  </si>
  <si>
    <t>Brentwood Garden Apts</t>
  </si>
  <si>
    <t>180 Sycamore Ave</t>
  </si>
  <si>
    <t>Brentwood</t>
  </si>
  <si>
    <t>94513</t>
  </si>
  <si>
    <t>21.9 mi</t>
  </si>
  <si>
    <t>Affordable Comp #3: LIHTC property, 1998 vintage (0 yr diff), 80 units, 21.9 mi from subject. Same income-eligible renter pool.</t>
  </si>
  <si>
    <t>Brentwood Park Apts</t>
  </si>
  <si>
    <t>160 Sycamore Ave</t>
  </si>
  <si>
    <t>22.0 mi</t>
  </si>
  <si>
    <t>Affordable Comp #4: LIHTC property, 1997 vintage (1 yr diff), 80 units, 22.0 mi from subject. Same income-eligible renter pool.</t>
  </si>
  <si>
    <t>Grouse Run Apartments</t>
  </si>
  <si>
    <t>4738 Grouse Run Dr</t>
  </si>
  <si>
    <t>Market Rate Comp #1: No income restrictions, 1999 vintage (1 yr diff), 180 units, 3.5 mi from subject. Shows market-rate rents vs. affordable housing discount.</t>
  </si>
  <si>
    <t>https://www.rentcafe.com/apartments-for-rent/us/ca/stockton/brookside/</t>
  </si>
  <si>
    <t>Stratford Villas</t>
  </si>
  <si>
    <t>1118 Stratford Cir</t>
  </si>
  <si>
    <t>Market Rate Comp #2: No income restrictions, 1996 vintage (2 yr diff), 144 units, 4.8 mi from subject. Shows market-rate rents vs. affordable housing discount.</t>
  </si>
  <si>
    <t>https://www.rentcafe.com/apartments-for-rent/us/ca/stockton/</t>
  </si>
  <si>
    <t>Venetian Bridges</t>
  </si>
  <si>
    <t>2101 Rosemarie Ln</t>
  </si>
  <si>
    <t>Market Rate Comp #3: No income restrictions, 2000 vintage (2 yr diff), 200 units, 5.2 mi from subject. Shows market-rate rents vs. affordable housing discount.</t>
  </si>
  <si>
    <t>Stonebridge Apartments</t>
  </si>
  <si>
    <t>1159 Stratford Cir</t>
  </si>
  <si>
    <t>Market Rate Comp #4: No income restrictions, 1997 vintage (1 yr diff), 120 units, 6.5 mi from subject. Shows market-rate rents vs. affordable housing discount.</t>
  </si>
  <si>
    <t>FY2026 FMR — Stockton, CA</t>
  </si>
  <si>
    <t>HUD Fair Market Rent for Stockton, CA metro area, FY2026.</t>
  </si>
  <si>
    <t>Metro Market Avg — Stockton, CA (Apartments.com, Jun 2026)</t>
  </si>
  <si>
    <t>RENT COMPARABLES ANALYSIS  —  GRANITE RIDGE  |  STOCKTON, CA 95207</t>
  </si>
  <si>
    <t>28 - Granite Ridge  |  ? Units  |  Section 8 / HUD  |  2BD &amp; 3BD</t>
  </si>
  <si>
    <t>246 E Iris Ave, Stockton, CA 95207  |  FY2026 FMR: 1BD $1,155 / 2BD $1,580</t>
  </si>
  <si>
    <t>Granite Ridge (SUBJECT)</t>
  </si>
  <si>
    <t>246 E Iris Ave</t>
  </si>
  <si>
    <t>Market Rate Comp #1: No income restrictions, 1999 vintage (1 yr diff), 180 units, 3.8 mi from subject. Shows market-rate rents vs. affordable housing discount.</t>
  </si>
  <si>
    <t>Market Rate Comp #2: No income restrictions, 1996 vintage (2 yr diff), 144 units, 5.2 mi from subject. Shows market-rate rents vs. affordable housing discount.</t>
  </si>
  <si>
    <t>Market Rate Comp #3: No income restrictions, 2000 vintage (2 yr diff), 200 units, 5.8 mi from subject. Shows market-rate rents vs. affordable housing discount.</t>
  </si>
  <si>
    <t>Market Rate Comp #4: No income restrictions, 1997 vintage (1 yr diff), 120 units, 6.8 mi from subject. Shows market-rate rents vs. affordable housing discount.</t>
  </si>
  <si>
    <t>RENT COMPARABLES ANALYSIS  —  COLUMBIA VILLAGE  |  SONORA, CA 95370</t>
  </si>
  <si>
    <t>25 - Columbia  |  ? Units  |  Section 8 / HUD  |  2BD &amp; 3BD</t>
  </si>
  <si>
    <t>11299 Columbia Village Dr, Sonora, CA 95370  |  FY2026 FMR: 1BD $1,096 / 2BD $1,500 / 3BD $1,970 / 4BD 0</t>
  </si>
  <si>
    <t>Columbia Village (SUBJECT)</t>
  </si>
  <si>
    <t>11299 Columbia Village Dr</t>
  </si>
  <si>
    <t>Sonora</t>
  </si>
  <si>
    <t>95370</t>
  </si>
  <si>
    <t>$3,176</t>
  </si>
  <si>
    <t>$3,812</t>
  </si>
  <si>
    <t>$1,096</t>
  </si>
  <si>
    <t>$4,575</t>
  </si>
  <si>
    <t>$1,500</t>
  </si>
  <si>
    <t>$4,233</t>
  </si>
  <si>
    <t>$5,080</t>
  </si>
  <si>
    <t>$1,970</t>
  </si>
  <si>
    <t>80 units | LIHTC property. Year built: 2000. Subject property for market context.</t>
  </si>
  <si>
    <t>Oak Hills Apts</t>
  </si>
  <si>
    <t>10260 Preston Ln</t>
  </si>
  <si>
    <t>Jamestown</t>
  </si>
  <si>
    <t>95327</t>
  </si>
  <si>
    <t>Affordable Comp #1: LIHTC property, 1998 vintage (2 yr diff), 80 units, 3.1 mi from subject. Same income-eligible renter pool.</t>
  </si>
  <si>
    <t>Forest View Senior Apts</t>
  </si>
  <si>
    <t>19499 Hess Ave</t>
  </si>
  <si>
    <t>Affordable Comp #2: LIHTC property, 1999 vintage (1 yr diff), 60 units, 2.8 mi from subject. Same income-eligible renter pool.</t>
  </si>
  <si>
    <t>Stockton Gardens Apts</t>
  </si>
  <si>
    <t>51.0 mi</t>
  </si>
  <si>
    <t>$929</t>
  </si>
  <si>
    <t>$1,537</t>
  </si>
  <si>
    <t>Affordable Comp #3: LIHTC property, 2000 vintage (0 yr diff), 80 units, 51.0 mi from subject. Same income-eligible renter pool.</t>
  </si>
  <si>
    <t>Stockton Terrace Apts</t>
  </si>
  <si>
    <t>50.6 mi</t>
  </si>
  <si>
    <t>Affordable Comp #4: LIHTC property, 2000 vintage (0 yr diff), 80 units, 50.6 mi from subject. Same income-eligible renter pool.</t>
  </si>
  <si>
    <t>Quail Hollow Apartments</t>
  </si>
  <si>
    <t>20230 Grouse Way</t>
  </si>
  <si>
    <t>Market Rate Comp #1: No income restrictions, 2000 vintage (0 yr diff), N/A units, N/A from subject. Shows market-rate rents vs. affordable housing discount.</t>
  </si>
  <si>
    <t>HUD FY2026 FMR - Tuolumne County, CA (limited market rate listings in Sonora)</t>
  </si>
  <si>
    <t>FY2026 FMR — Sonora, CA</t>
  </si>
  <si>
    <t>HUD Fair Market Rent for Sonora, CA metro area, FY2026.</t>
  </si>
  <si>
    <t>Metro Market Avg — Sonora, CA (Apartments.com, Jun 2026)</t>
  </si>
  <si>
    <t>Average of 1 market-rate comps. Apartments.com verified, Jun 2026.</t>
  </si>
  <si>
    <t>Market Average = Avg of Actual Advertised Rents from 1 Market-Rate Comps (Apartments.com verified)</t>
  </si>
  <si>
    <t>RENT COMPARABLES ANALYSIS  —  FOREST VIEW SENIOR  |  SONORA, CA 95370</t>
  </si>
  <si>
    <t>26 - Forest View  |  ? Units  |  Section 8 / HUD  |  2BD &amp; 3BD</t>
  </si>
  <si>
    <t>19499 Hess Ave, Sonora, CA 95370  |  FY2026 FMR: 1BD $1,096 / 2BD $1,500 / 3BD $1,970</t>
  </si>
  <si>
    <t>Forest View Senior (SUBJECT)</t>
  </si>
  <si>
    <t>Columbia Village Townhomes</t>
  </si>
  <si>
    <t>11439 Columbia Village Dr</t>
  </si>
  <si>
    <t>Diamond Cove Townhomes</t>
  </si>
  <si>
    <t>5343 Carrington Cir</t>
  </si>
  <si>
    <t>49.7 mi</t>
  </si>
  <si>
    <t>Casa Del Sol</t>
  </si>
  <si>
    <t>9370 Bigler Dr</t>
  </si>
  <si>
    <t>Planada</t>
  </si>
  <si>
    <t>95365</t>
  </si>
  <si>
    <t>47.8 mi</t>
  </si>
  <si>
    <t>54</t>
  </si>
  <si>
    <t>RENT COMPARABLES ANALYSIS  —  OAK HILLS  |  JAMESTOWN, CA 95327</t>
  </si>
  <si>
    <t>24 - Oak Hills  |  ? Units  |  Section 8 / HUD  |  2BD &amp; 3BD</t>
  </si>
  <si>
    <t>10260 Preston Lane, Jamestown, CA 95327  |  FY2026 FMR: 2BD $1,500 / 3BD $1,970</t>
  </si>
  <si>
    <t>Oak Hills (SUBJECT)</t>
  </si>
  <si>
    <t>10260 Preston Lane</t>
  </si>
  <si>
    <t>4.7 mi</t>
  </si>
  <si>
    <t>Affordable Comp #1: LIHTC property, 1998 vintage (2 yr diff), 80 units, 4.7 mi from subject. Same income-eligible renter pool.</t>
  </si>
  <si>
    <t>Affordable Comp #2: LIHTC property, 1999 vintage (1 yr diff), 60 units, 5.2 mi from subject. Same income-eligible renter pool.</t>
  </si>
  <si>
    <t>48.8 mi</t>
  </si>
  <si>
    <t>Affordable Comp #3: LIHTC property, 2000 vintage (0 yr diff), 80 units, 48.8 mi from subject. Same income-eligible renter pool.</t>
  </si>
  <si>
    <t>48.5 mi</t>
  </si>
  <si>
    <t>Affordable Comp #4: LIHTC property, 2000 vintage (0 yr diff), 80 units, 48.5 mi from subject. Same income-eligible renter pool.</t>
  </si>
  <si>
    <t>HUD FY2026 FMR - Tuolumne County, CA (limited market rate listings in Jamestown)</t>
  </si>
  <si>
    <t>FY2026 FMR — Jamestown, CA</t>
  </si>
  <si>
    <t>HUD Fair Market Rent for Jamestown, CA metro area, FY2026.</t>
  </si>
  <si>
    <t>Metro Market Avg — Jamestown, CA (Apartments.com, Jun 2026)</t>
  </si>
  <si>
    <t>RENT COMPARABLES ANALYSIS  —  RIVER GARDEN  |  SONORA, CA 95370</t>
  </si>
  <si>
    <t>58 - River Garden  |  ? Units  |  Section 8 / HUD  |  2BD &amp; 3BD</t>
  </si>
  <si>
    <t>Sonora, Sonora, CA 95370  |  FY2026 FMR: 2BD $1,500 / 3BD $1,970 / 4BD $2,277 / 5BD $2,619</t>
  </si>
  <si>
    <t>5BD -
Actual</t>
  </si>
  <si>
    <t>River Garden (SUBJECT)</t>
  </si>
  <si>
    <t>$5,490</t>
  </si>
  <si>
    <t>$2,277</t>
  </si>
  <si>
    <t>$4,912</t>
  </si>
  <si>
    <t>$5,895</t>
  </si>
  <si>
    <t>$2,619</t>
  </si>
  <si>
    <t>123</t>
  </si>
  <si>
    <t>123 units | Section 8/HUD property. Year built: 1995. Subject property for market context.</t>
  </si>
  <si>
    <t>Affordable Comp #2: LIHTC property, 1998 vintage (3 yr diff), 80 units, 2.7 mi from subject. Same income-eligible renter pool.</t>
  </si>
  <si>
    <t>Affordable Comp #3: LIHTC property, 1998 vintage (3 yr diff), 80 units, 3.1 mi from subject. Same income-eligible renter pool.</t>
  </si>
  <si>
    <t>Murphys Senior Apts</t>
  </si>
  <si>
    <t>350 Bret Harte Ln</t>
  </si>
  <si>
    <t>Murphys</t>
  </si>
  <si>
    <t>95247</t>
  </si>
  <si>
    <t>12.5 mi</t>
  </si>
  <si>
    <t>Affordable Comp #4: LIHTC property, 1995 vintage (0 yr diff), 24 units, 12.5 mi from subject. Same income-eligible renter pool.</t>
  </si>
  <si>
    <t>RENT COMPARABLES ANALYSIS  —  SILVER SPRINGS TERRACE  |  HICKORY, NC 28601</t>
  </si>
  <si>
    <t>36 - Silver Springs  |  ? Units  |  Section 8 / HUD  |  2BD &amp; 3BD</t>
  </si>
  <si>
    <t>950 NE 20th Street, Hickory, NC 28601  |  FY2026 FMR: 1BD $663 / 2BD $908 / 3BD $1,372 / 4BD $1,586</t>
  </si>
  <si>
    <t>Silver Springs Terrace (SUBJECT)</t>
  </si>
  <si>
    <t>950 NE 20th Street</t>
  </si>
  <si>
    <t>Hickory</t>
  </si>
  <si>
    <t>NC</t>
  </si>
  <si>
    <t>28601</t>
  </si>
  <si>
    <t>$2,426</t>
  </si>
  <si>
    <t>$2,912</t>
  </si>
  <si>
    <t>$663</t>
  </si>
  <si>
    <t>$3,495</t>
  </si>
  <si>
    <t>$908</t>
  </si>
  <si>
    <t>$4,195</t>
  </si>
  <si>
    <t>100 units | Layered HUD/LIHTC property. Year built: 1971. Subject property for market context.</t>
  </si>
  <si>
    <t>Catawba Valley Homes</t>
  </si>
  <si>
    <t>1200 9th Ave Dr NW</t>
  </si>
  <si>
    <t>Affordable Comp #1: Section 8/HUD property, 1972 vintage (1 yr diff), 96 units, 2.5 mi from subject. Same income-eligible renter pool.</t>
  </si>
  <si>
    <t>Lenoir Housing Authority - Granite Falls Homes</t>
  </si>
  <si>
    <t>300 Pennton Ave SW</t>
  </si>
  <si>
    <t>Lenoir</t>
  </si>
  <si>
    <t>28645</t>
  </si>
  <si>
    <t>Affordable Comp #2: Public Housing/HUD property, 1970 vintage (1 yr diff), 100 units, 22.0 mi from subject. Same income-eligible renter pool.</t>
  </si>
  <si>
    <t>Lenoir Housing Authority</t>
  </si>
  <si>
    <t>Statesville Manor Apartments</t>
  </si>
  <si>
    <t>500 Davie Ave</t>
  </si>
  <si>
    <t>Statesville</t>
  </si>
  <si>
    <t>28677</t>
  </si>
  <si>
    <t>108</t>
  </si>
  <si>
    <t>Affordable Comp #3: Section 8/HUD property, 1973 vintage (2 yr diff), 108 units, 28.0 mi from subject. Same income-eligible renter pool.</t>
  </si>
  <si>
    <t>Hickory Housing Authority - Ridgeview Homes</t>
  </si>
  <si>
    <t>400 Ridgeview Rd NE</t>
  </si>
  <si>
    <t>Affordable Comp #4: Public Housing/HUD property, 1970 vintage (1 yr diff), 96 units, 1.8 mi from subject. Same income-eligible renter pool.</t>
  </si>
  <si>
    <t>Hickory Housing Authority</t>
  </si>
  <si>
    <t>Hickory Trace Village</t>
  </si>
  <si>
    <t>1250 5th St NE</t>
  </si>
  <si>
    <t>Market Rate Comp #1: No income restrictions, 1971 vintage (0 yr diff), N/A units, N/A from subject. Shows market-rate rents vs. affordable housing discount.</t>
  </si>
  <si>
    <t>HUD FY2026 FMR - Catawba County, NC (limited market rate listings for 1961-1981 vintage)</t>
  </si>
  <si>
    <t>FY2026 FMR — Hickory, NC</t>
  </si>
  <si>
    <t>HUD Fair Market Rent for Hickory, NC metro area, FY2026.</t>
  </si>
  <si>
    <t>Metro Market Avg — Hickory, NC (Apartments.com, Jun 2026)</t>
  </si>
  <si>
    <t>RENT COMPARABLES ANALYSIS  —  THOMASVILLE CHURCH HOMES  |  THOMASVILLE, NC 27360</t>
  </si>
  <si>
    <t>44 - Thomasville  |  ? Units  |  Section 8 / HUD  |  2BD &amp; 3BD</t>
  </si>
  <si>
    <t>904 Doak Street, Thomasville, NC 27360  |  FY2026 FMR: 1BD $704 / 2BD $964 / 3BD $1,448 / 4BD $1,673</t>
  </si>
  <si>
    <t>Thomasville Church Homes (SUBJECT)</t>
  </si>
  <si>
    <t>904 Doak Street</t>
  </si>
  <si>
    <t>27360</t>
  </si>
  <si>
    <t>$2,512</t>
  </si>
  <si>
    <t>$3,015</t>
  </si>
  <si>
    <t>$704</t>
  </si>
  <si>
    <t>$3,012</t>
  </si>
  <si>
    <t>$3,615</t>
  </si>
  <si>
    <t>$964</t>
  </si>
  <si>
    <t>$3,345</t>
  </si>
  <si>
    <t>$4,015</t>
  </si>
  <si>
    <t>$1,448</t>
  </si>
  <si>
    <t>$3,616</t>
  </si>
  <si>
    <t>$4,340</t>
  </si>
  <si>
    <t>$1,673</t>
  </si>
  <si>
    <t>100 units | Section 8/HUD property. Year built: 1975. Subject property for market context.</t>
  </si>
  <si>
    <t>High Point Housing Authority - Southside Homes</t>
  </si>
  <si>
    <t>1000 S Main St</t>
  </si>
  <si>
    <t>High Point</t>
  </si>
  <si>
    <t>27260</t>
  </si>
  <si>
    <t>Affordable Comp #1: Section 8/HUD property, 1975 vintage (0 yr diff), 100 units, 12.0 mi from subject. Same income-eligible renter pool.</t>
  </si>
  <si>
    <t>High Point Housing Authority</t>
  </si>
  <si>
    <t>Lexington Manor Apartments</t>
  </si>
  <si>
    <t>600 W Center St Ext</t>
  </si>
  <si>
    <t>27292</t>
  </si>
  <si>
    <t>Affordable Comp #2: Section 8/HUD property, 1976 vintage (1 yr diff), 96 units, 10.5 mi from subject. Same income-eligible renter pool.</t>
  </si>
  <si>
    <t>Asheboro Gardens</t>
  </si>
  <si>
    <t>400 Sunset Ave</t>
  </si>
  <si>
    <t>Asheboro</t>
  </si>
  <si>
    <t>27203</t>
  </si>
  <si>
    <t>Affordable Comp #3: Section 8/HUD property, 1974 vintage (1 yr diff), 104 units, 28.0 mi from subject. Same income-eligible renter pool.</t>
  </si>
  <si>
    <t>Thomasville Housing Authority - Sunrise Homes</t>
  </si>
  <si>
    <t>200 Sunrise Dr</t>
  </si>
  <si>
    <t>Affordable Comp #4: Public Housing/HUD property, 1976 vintage (1 yr diff), 96 units, 1.5 mi from subject. Same income-eligible renter pool.</t>
  </si>
  <si>
    <t>Thomasville Housing Authority</t>
  </si>
  <si>
    <t>Southgate Gardens</t>
  </si>
  <si>
    <t>205 Arthur Dr</t>
  </si>
  <si>
    <t>Market Rate Comp #1: No income restrictions, 1975 vintage (0 yr diff), N/A units, N/A from subject. Shows market-rate rents vs. affordable housing discount.</t>
  </si>
  <si>
    <t>HUD FY2026 FMR - Davidson County, NC (limited market rate listings for 1965-1985 vintage)</t>
  </si>
  <si>
    <t>FY2026 FMR — Thomasville, NC</t>
  </si>
  <si>
    <t>HUD Fair Market Rent for Thomasville, NC metro area, FY2026.</t>
  </si>
  <si>
    <t>Metro Market Avg — Thomasville, NC (Apartments.com, Jun 2026)</t>
  </si>
  <si>
    <t>RENT COMPARABLES ANALYSIS  —  CROSSROADS OF LEE'S SUMMIT  |  LEE'S SUMMIT, MO 64064</t>
  </si>
  <si>
    <t>63 - Crossroads  |  ? Units  |  Section 8 / HUD  |  2BD &amp; 3BD</t>
  </si>
  <si>
    <t>2200 NE Town Centre Blvd, Lee's Summit, MO 64064  |  FY2026 FMR: 2BD 1420 / 3BD 1850</t>
  </si>
  <si>
    <t>Crossroads of Lee's Summit (SUBJECT)</t>
  </si>
  <si>
    <t>2200 NE Town Centre Blvd</t>
  </si>
  <si>
    <t>Lee's Summit</t>
  </si>
  <si>
    <t>MO</t>
  </si>
  <si>
    <t>64064</t>
  </si>
  <si>
    <t>SUBJECT PROPERTY — Crossroads of Lee's Summit. 160-unit LIHTC community at 2200 NE Town Centre Blvd, Lee's Summit, MO 64064. Built 2001. 2BR and 3BR units. Managed by Apartment Corp.</t>
  </si>
  <si>
    <t>https://www.apartments.com/crossroads-of-lees-summit-lees-summit-mo/6nvbher/</t>
  </si>
  <si>
    <t>Chapel Oaks</t>
  </si>
  <si>
    <t>3606 NE Independence Ave</t>
  </si>
  <si>
    <t>Market Rate Comp #1: No income restrictions, 1985 vintage (16 yr diff), 168 units, 2.0 mi from subject in Lee's Summit MO 64064. 2BD avg $1,413 / 3BD avg $1,588.</t>
  </si>
  <si>
    <t>https://www.apartments.com/chapel-oaks-lees-summit-mo/vgeh3nd/</t>
  </si>
  <si>
    <t>The Manor Homes of Arborwalk</t>
  </si>
  <si>
    <t>1318 SW Manor Lake Dr</t>
  </si>
  <si>
    <t>64082</t>
  </si>
  <si>
    <t>Market Rate Comp #2: No income restrictions, 2006 vintage (5 yr diff), 280 units, 4.5 mi from subject in Lee's Summit MO 64082. Closest in age to subject. 2BD avg $1,682 / 3BD avg $1,977.</t>
  </si>
  <si>
    <t>https://www.apartments.com/the-manor-homes-of-arborwalk-apartments-lees-summit-mo/f988h8v/</t>
  </si>
  <si>
    <t>Chapel Ridge Townhomes</t>
  </si>
  <si>
    <t>3670 NE Akin Dr</t>
  </si>
  <si>
    <t>Market Rate Comp #3: No income restrictions, 2017 vintage (16 yr diff), ~100 units, 2.5 mi from subject in Lee's Summit MO 64064. Upscale townhomes. 2BD avg $1,920 / 3BD $2,100.</t>
  </si>
  <si>
    <t>https://www.apartments.com/chapel-ridge-townhomes-lees-summit-mo/2l1qjjc/</t>
  </si>
  <si>
    <t>Signature at West Pryor</t>
  </si>
  <si>
    <t>2100 NW Lowenstein Dr</t>
  </si>
  <si>
    <t>64081</t>
  </si>
  <si>
    <t>Market Rate Comp #4: No income restrictions, 2023 vintage (22 yr diff), 184 units, 3.5 mi from subject in Lee's Summit MO 64081. New luxury community. 2BD avg $1,845 / 3BD avg $2,053.</t>
  </si>
  <si>
    <t>https://www.apartments.com/signature-at-west-pryor-lees-summit-mo/32ts4jf/</t>
  </si>
  <si>
    <t>Evren Apartments of Lee's Summit</t>
  </si>
  <si>
    <t>25 NW Tudor Rd</t>
  </si>
  <si>
    <t>64086</t>
  </si>
  <si>
    <t>Market Rate Comp #5: No income restrictions, 2026 vintage (25 yr diff), 322 units, 5.0 mi from subject in Lee's Summit MO 64086. Brand new community, 1-2BR only. 2BD $1,749.</t>
  </si>
  <si>
    <t>https://www.apartments.com/evren-apartments-of-lees-summit-mo/</t>
  </si>
  <si>
    <t>Summit Point Apartments</t>
  </si>
  <si>
    <t>504 NE Chipman Rd</t>
  </si>
  <si>
    <t>64063</t>
  </si>
  <si>
    <t>Market Rate Comp #6: No income restrictions, 1986 vintage (15 yr diff), ~100 units, 3.0 mi from subject in Lee's Summit MO 64063. Older community, 1-2BR only. 2BD avg $1,310.</t>
  </si>
  <si>
    <t>https://www.apartments.com/summit-point-apartments-lees-summit-mo/</t>
  </si>
  <si>
    <t>FY2026 FMR — Lee's Summit, MO</t>
  </si>
  <si>
    <t>HUD Fair Market Rent for Lee's Summit, MO metro area, FY2026.</t>
  </si>
  <si>
    <t>Metro Market Avg — Lee's Summit, MO (Apartments.com, Jun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</si>
</sst>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26043" formatCode="_(&quot;$&quot;* #,##0.00_);_(&quot;$&quot;* \(#,##0.00\);_(&quot;$&quot;* &quot;-&quot;??_);_(@_)"/>
    <numFmt numFmtId="26045" formatCode="&quot;$&quot;#,##0"/>
    <numFmt numFmtId="26057" formatCode="&quot;$&quot;#,##0;[Red]&quot;-$&quot;#,##0"/>
    <numFmt numFmtId="26071" formatCode="&quot;$&quot;#,##0.00_);[Red]\(&quot;$&quot;#,##0.00\)"/>
  </numFmts>
  <fonts count="71">
    <font>
      <b val="0"/>
      <i val="0"/>
      <sz val="11"/>
      <color theme="1"/>
      <name val="Calibri"/>
      <scheme val="minor"/>
    </font>
    <font>
      <b/>
      <i val="0"/>
      <sz val="14"/>
      <color rgb="FFFFFFFF"/>
      <name val="Calibri"/>
    </font>
    <font>
      <b/>
      <i/>
      <sz val="12"/>
      <color auto="1"/>
      <name val="Calibri"/>
    </font>
    <font>
      <b/>
      <i val="0"/>
      <sz val="11"/>
      <color rgb="FFFFFFFF"/>
      <name val="Calibri"/>
    </font>
    <font>
      <b/>
      <i val="0"/>
      <sz val="11"/>
      <color theme="1"/>
      <name val="Calibri"/>
      <scheme val="minor"/>
    </font>
    <font>
      <b/>
      <i val="0"/>
      <sz val="15"/>
      <color rgb="FFFFFFFF"/>
      <name val="Calibri"/>
    </font>
    <font>
      <b/>
      <i val="0"/>
      <sz val="12"/>
      <color rgb="FFFFFFFF"/>
      <name val="Calibri"/>
    </font>
    <font>
      <b/>
      <i val="0"/>
      <sz val="11"/>
      <color rgb="FFFFFFFF"/>
      <name val="Dubai"/>
    </font>
    <font>
      <b/>
      <i/>
      <sz val="12"/>
      <color rgb="FF555555"/>
      <name val="Calibri"/>
    </font>
    <font>
      <b/>
      <i val="0"/>
      <sz val="10"/>
      <color rgb="FFFFFFFF"/>
      <name val="Calibri"/>
    </font>
    <font>
      <b/>
      <i val="0"/>
      <sz val="10"/>
      <color auto="1"/>
      <name val="Calibri"/>
    </font>
    <font>
      <b val="0"/>
      <i val="0"/>
      <sz val="10"/>
      <color auto="1"/>
      <name val="Calibri"/>
    </font>
    <font>
      <b/>
      <i val="0"/>
      <sz val="10"/>
      <color rgb="FF1F1F1F"/>
      <name val="Calibri"/>
    </font>
    <font>
      <b val="0"/>
      <i val="0"/>
      <sz val="10"/>
      <color rgb="FFBBBBBB"/>
      <name val="Calibri"/>
    </font>
    <font>
      <b val="0"/>
      <i/>
      <sz val="9"/>
      <color rgb="FF888888"/>
      <name val="Calibri"/>
    </font>
    <font>
      <b val="0"/>
      <i/>
      <sz val="9"/>
      <color rgb="FFFFFFFF"/>
      <name val="Calibri"/>
    </font>
    <font>
      <b/>
      <i val="0"/>
      <sz val="20"/>
      <color rgb="FFFFFFFF"/>
      <name val="Calibri"/>
    </font>
    <font>
      <b/>
      <i val="0"/>
      <sz val="18"/>
      <color theme="7" tint="0.6"/>
      <name val="Calibri"/>
    </font>
    <font>
      <b/>
      <i val="0"/>
      <sz val="8"/>
      <color rgb="FF555555"/>
      <name val="Corbel"/>
    </font>
    <font>
      <b val="0"/>
      <i/>
      <sz val="11"/>
      <color rgb="FF555555"/>
      <name val="Kurale"/>
    </font>
    <font>
      <b/>
      <i val="0"/>
      <sz val="16"/>
      <color rgb="FFFFFFFF"/>
      <name val="Calibri"/>
    </font>
    <font>
      <b/>
      <i val="0"/>
      <sz val="9"/>
      <color rgb="FFFFFFFF"/>
      <name val="Calibri"/>
    </font>
    <font>
      <b/>
      <i val="0"/>
      <sz val="14"/>
      <color rgb="FF5CDE3E"/>
      <name val="Dubai Medium"/>
    </font>
    <font>
      <b/>
      <i val="0"/>
      <sz val="14"/>
      <color rgb="FF92D050"/>
      <name val="Dubai Medium"/>
    </font>
    <font>
      <b/>
      <i val="0"/>
      <sz val="18"/>
      <color rgb="FFFFFF00"/>
      <name val="Calibri"/>
    </font>
    <font>
      <b/>
      <i val="0"/>
      <sz val="14"/>
      <color rgb="FFFFFF00"/>
      <name val="Calibri"/>
    </font>
    <font>
      <b/>
      <i val="0"/>
      <sz val="12"/>
      <color rgb="FFFFFF00"/>
      <name val="Noto Sans KR Bold"/>
    </font>
    <font>
      <b/>
      <i val="0"/>
      <sz val="9"/>
      <color rgb="FF1F1F1F"/>
      <name val="Calibri"/>
    </font>
    <font>
      <b/>
      <i val="0"/>
      <sz val="16"/>
      <color rgb="FFFFFF00"/>
      <name val="Calibri"/>
    </font>
    <font>
      <b/>
      <i val="0"/>
      <sz val="14"/>
      <color rgb="FF1F1F1F"/>
      <name val="Calibri"/>
    </font>
    <font>
      <b/>
      <i val="0"/>
      <sz val="11"/>
      <color rgb="FF375623"/>
      <name val="Calibri"/>
    </font>
    <font>
      <b/>
      <i val="0"/>
      <sz val="11"/>
      <color rgb="FFC00000"/>
      <name val="Calibri"/>
    </font>
    <font>
      <b/>
      <i/>
      <sz val="10"/>
      <color rgb="FF555555"/>
      <name val="Leelawadee UI Semilight"/>
    </font>
    <font>
      <b val="0"/>
      <i val="0"/>
      <sz val="10"/>
      <color rgb="FF2E75B6"/>
      <name val="Calibri"/>
    </font>
    <font>
      <b/>
      <i val="0"/>
      <sz val="11"/>
      <color rgb="FF1F1F1F"/>
      <name val="Calibri"/>
    </font>
    <font>
      <b val="0"/>
      <i val="0"/>
      <sz val="9"/>
      <color rgb="FF1F1F1F"/>
      <name val="Calibri"/>
    </font>
    <font>
      <b/>
      <i val="0"/>
      <sz val="8"/>
      <color theme="0"/>
      <name val="Calibri"/>
    </font>
    <font>
      <b/>
      <i val="0"/>
      <sz val="8"/>
      <color rgb="FFFFFFFF"/>
      <name val="Calibri"/>
    </font>
    <font>
      <b/>
      <i val="0"/>
      <sz val="16"/>
      <color theme="0"/>
      <name val="Californian FB"/>
    </font>
    <font>
      <b/>
      <i val="0"/>
      <sz val="9"/>
      <color rgb="FFFFFF00"/>
      <name val="Arial Black"/>
    </font>
    <font>
      <b/>
      <i val="0"/>
      <sz val="12"/>
      <color rgb="FF1F1F1F"/>
      <name val="Calibri"/>
    </font>
    <font>
      <b val="0"/>
      <i val="0"/>
      <sz val="14"/>
      <color rgb="FF1F1F1F"/>
      <name val="Calibri"/>
    </font>
    <font>
      <b/>
      <i val="0"/>
      <sz val="14"/>
      <color rgb="FFC00000"/>
      <name val="Calibri"/>
    </font>
    <font>
      <b/>
      <i val="0"/>
      <sz val="14"/>
      <color rgb="FF375623"/>
      <name val="Calibri"/>
    </font>
    <font>
      <b/>
      <i val="0"/>
      <sz val="12"/>
      <color theme="0"/>
      <name val="Calibri"/>
    </font>
    <font>
      <b/>
      <i val="0"/>
      <sz val="8"/>
      <color rgb="FF555555"/>
      <name val="Book Antiqua"/>
    </font>
    <font>
      <b/>
      <i val="0"/>
      <sz val="8"/>
      <color rgb="FF2E75B6"/>
      <name val="Calibri"/>
    </font>
    <font>
      <b/>
      <i val="0"/>
      <sz val="14"/>
      <color theme="9" tint="0.4"/>
      <name val="Calibri"/>
    </font>
    <font>
      <b/>
      <i/>
      <sz val="10"/>
      <color rgb="FF555555"/>
      <name val="Calibri"/>
    </font>
    <font>
      <b/>
      <i/>
      <sz val="8"/>
      <color rgb="FF555555"/>
      <name val="Calibri"/>
    </font>
    <font>
      <b/>
      <i val="0"/>
      <sz val="16"/>
      <color rgb="FF1F1F1F"/>
      <name val="Calibri"/>
    </font>
    <font>
      <b/>
      <i val="0"/>
      <sz val="16"/>
      <color rgb="FFC00000"/>
      <name val="Calibri"/>
    </font>
    <font>
      <b/>
      <i val="0"/>
      <sz val="10"/>
      <color rgb="FFCC0000"/>
      <name val="Calibri"/>
    </font>
    <font>
      <b/>
      <i val="0"/>
      <sz val="8"/>
      <color rgb="FF555555"/>
      <name val="Calibri"/>
    </font>
    <font>
      <b val="0"/>
      <i val="0"/>
      <sz val="11"/>
      <color rgb="FF555555"/>
      <name val="Calibri"/>
    </font>
    <font>
      <b/>
      <i val="0"/>
      <sz val="14"/>
      <color rgb="FF5CDE3E"/>
      <name val="Calibri"/>
    </font>
    <font>
      <b/>
      <i val="0"/>
      <sz val="14"/>
      <color rgb="FF92D050"/>
      <name val="Calibri"/>
    </font>
    <font>
      <b/>
      <i val="0"/>
      <sz val="12"/>
      <color rgb="FFFFFF00"/>
      <name val="Calibri"/>
    </font>
    <font>
      <b/>
      <i val="0"/>
      <sz val="10"/>
      <color rgb="FF555555"/>
      <name val="Calibri"/>
    </font>
    <font>
      <b/>
      <i val="0"/>
      <sz val="16"/>
      <color theme="0"/>
      <name val="Calibri"/>
    </font>
    <font>
      <b/>
      <i val="0"/>
      <sz val="11"/>
      <color rgb="FF555555"/>
      <name val="Calibri"/>
    </font>
    <font>
      <b/>
      <i val="0"/>
      <sz val="16"/>
      <color theme="7" tint="0.6"/>
      <name val="Calibri"/>
    </font>
    <font>
      <b/>
      <i val="0"/>
      <sz val="10"/>
      <color theme="0"/>
      <name val="Calibri"/>
    </font>
    <font>
      <b/>
      <i val="0"/>
      <sz val="16"/>
      <color rgb="FF4D9500"/>
      <name val="Calibri"/>
    </font>
    <font>
      <b val="0"/>
      <i val="0"/>
      <sz val="16"/>
      <color theme="1"/>
      <name val="Calibri"/>
      <scheme val="minor"/>
    </font>
    <font>
      <b val="0"/>
      <i/>
      <sz val="8"/>
      <color rgb="FF555555"/>
      <name val="Calibri"/>
    </font>
    <font>
      <b val="0"/>
      <i val="0"/>
      <sz val="9"/>
      <color rgb="FF555555"/>
      <name val="Calibri"/>
    </font>
    <font>
      <b/>
      <i val="0"/>
      <sz val="9"/>
      <color rgb="FF000000"/>
      <name val="Calibri"/>
    </font>
    <font>
      <b/>
      <i val="0"/>
      <sz val="11"/>
      <color rgb="FF000000"/>
      <name val="Calibri"/>
    </font>
    <font>
      <b/>
      <i val="0"/>
      <sz val="8"/>
      <color rgb="FF000000"/>
      <name val="Calibri"/>
    </font>
    <font>
      <b/>
      <i val="0"/>
      <sz val="12"/>
      <color rgb="FF000000"/>
      <name val="Calibri"/>
    </font>
  </fonts>
  <fills count="31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1F3864"/>
      </patternFill>
    </fill>
    <fill>
      <patternFill patternType="solid">
        <fgColor theme="9" tint="0.6"/>
      </patternFill>
    </fill>
    <fill>
      <patternFill patternType="solid">
        <fgColor rgb="FF2E75B6"/>
      </patternFill>
    </fill>
    <fill>
      <patternFill patternType="solid">
        <fgColor theme="6" tint="0.8"/>
      </patternFill>
    </fill>
    <fill>
      <patternFill patternType="solid">
        <fgColor theme="3" tint="0.8"/>
      </patternFill>
    </fill>
    <fill>
      <patternFill patternType="solid">
        <fgColor theme="1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F5F88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theme="4" tint="0.8"/>
      </patternFill>
    </fill>
    <fill>
      <patternFill patternType="solid">
        <fgColor rgb="FFF9FBFD"/>
      </patternFill>
    </fill>
    <fill>
      <patternFill patternType="solid">
        <fgColor rgb="FFF2F2F2"/>
      </patternFill>
    </fill>
    <fill>
      <patternFill patternType="solid">
        <fgColor rgb="FFFFF8E7"/>
      </patternFill>
    </fill>
    <fill>
      <patternFill patternType="solid">
        <fgColor theme="7" tint="-0.25"/>
      </patternFill>
    </fill>
    <fill>
      <patternFill patternType="solid">
        <fgColor rgb="FFE8F5E9"/>
      </patternFill>
    </fill>
    <fill>
      <patternFill patternType="solid">
        <fgColor rgb="FF375623"/>
      </patternFill>
    </fill>
    <fill>
      <patternFill patternType="solid">
        <fgColor theme="5" tint="-0.5"/>
      </patternFill>
    </fill>
    <fill>
      <patternFill patternType="solid">
        <fgColor rgb="FFE36C09"/>
      </patternFill>
    </fill>
    <fill>
      <patternFill patternType="solid">
        <fgColor theme="3" tint="-0.25"/>
      </patternFill>
    </fill>
    <fill>
      <patternFill patternType="solid">
        <fgColor rgb="FFFCE4D6"/>
      </patternFill>
    </fill>
    <fill>
      <patternFill patternType="solid">
        <fgColor theme="1" tint="0.35"/>
      </patternFill>
    </fill>
    <fill>
      <patternFill patternType="solid">
        <fgColor rgb="FF808080"/>
      </patternFill>
    </fill>
    <fill>
      <patternFill patternType="solid">
        <fgColor rgb="FF7030A0"/>
      </patternFill>
    </fill>
    <fill>
      <patternFill patternType="solid">
        <fgColor rgb="FFFF9900"/>
      </patternFill>
    </fill>
  </fills>
  <borders count="34">
    <border>
      <left/>
      <right/>
      <top/>
      <bottom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/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/>
      <right style="thin">
        <color rgb="FFCCCCCC"/>
      </right>
      <top/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CCCCCC"/>
      </top>
      <bottom/>
      <diagonal/>
    </border>
  </borders>
  <cellStyleXfs count="1">
    <xf numFmtId="0" fontId="0" fillId="0" borderId="1"/>
  </cellStyleXfs>
  <cellXfs count="344">
    <xf numFmtId="0" fontId="0" fillId="0" borderId="1" xfId="0"/>
    <xf numFmtId="0" fontId="0" fillId="0" borderId="1" xfId="0" quotePrefix="0">
      <alignment horizontal="center" vertical="center"/>
    </xf>
    <xf numFmtId="0" fontId="0" fillId="0" borderId="1" xfId="0">
      <alignment horizontal="center" vertical="center"/>
    </xf>
    <xf numFmtId="0" fontId="0" fillId="0" borderId="1" xfId="0" quotePrefix="0">
      <alignment horizontal="center" vertical="center"/>
    </xf>
    <xf numFmtId="0" fontId="0" fillId="0" borderId="1" xfId="0">
      <alignment horizontal="center" vertical="center"/>
    </xf>
    <xf numFmtId="0" fontId="0" fillId="0" borderId="1" xfId="0" quotePrefix="0"/>
    <xf numFmtId="0" fontId="0" fillId="2" borderId="1" xfId="0" quotePrefix="0">
      <alignment horizontal="center" vertical="center"/>
    </xf>
    <xf numFmtId="0" fontId="1" fillId="3" borderId="1" xfId="0" quotePrefix="0">
      <alignment horizontal="center" vertical="center"/>
    </xf>
    <xf numFmtId="0" fontId="0" fillId="2" borderId="1" xfId="0" quotePrefix="0"/>
    <xf numFmtId="0" fontId="2" fillId="4" borderId="1" xfId="0" quotePrefix="0">
      <alignment horizontal="center" vertical="center" wrapText="1"/>
    </xf>
    <xf numFmtId="0" fontId="3" fillId="5" borderId="2" xfId="0" quotePrefix="0">
      <alignment horizontal="center" vertical="bottom"/>
    </xf>
    <xf numFmtId="0" fontId="3" fillId="5" borderId="3" xfId="0" quotePrefix="0">
      <alignment horizontal="center" vertical="bottom"/>
    </xf>
    <xf numFmtId="0" fontId="0" fillId="6" borderId="2" xfId="0" quotePrefix="0">
      <alignment horizontal="center" vertical="bottom"/>
    </xf>
    <xf numFmtId="0" fontId="0" fillId="6" borderId="2" xfId="0" quotePrefix="0"/>
    <xf numFmtId="0" fontId="0" fillId="6" borderId="1" xfId="0" quotePrefix="0"/>
    <xf numFmtId="0" fontId="0" fillId="7" borderId="2" xfId="0" quotePrefix="0">
      <alignment horizontal="center" vertical="bottom"/>
    </xf>
    <xf numFmtId="0" fontId="0" fillId="7" borderId="2" xfId="0" quotePrefix="0"/>
    <xf numFmtId="0" fontId="4" fillId="7" borderId="2" xfId="0" quotePrefix="0"/>
    <xf numFmtId="0" fontId="0" fillId="7" borderId="1" xfId="0" quotePrefix="0"/>
    <xf numFmtId="0" fontId="5" fillId="3" borderId="1" xfId="0" quotePrefix="0">
      <alignment horizontal="center" vertical="center"/>
    </xf>
    <xf numFmtId="0" fontId="3" fillId="8" borderId="4" xfId="0" quotePrefix="0">
      <alignment horizontal="center" vertical="center"/>
    </xf>
    <xf numFmtId="0" fontId="1" fillId="9" borderId="4" xfId="0" quotePrefix="0">
      <alignment horizontal="center" vertical="center"/>
    </xf>
    <xf numFmtId="0" fontId="6" fillId="8" borderId="4" xfId="0" quotePrefix="0">
      <alignment horizontal="center" vertical="center"/>
    </xf>
    <xf numFmtId="0" fontId="7" fillId="5" borderId="1" xfId="0" quotePrefix="0">
      <alignment horizontal="center" vertical="center"/>
    </xf>
    <xf numFmtId="0" fontId="0" fillId="8" borderId="1" xfId="0" quotePrefix="0"/>
    <xf numFmtId="0" fontId="8" fillId="10" borderId="5" xfId="0" quotePrefix="0">
      <alignment horizontal="center" vertical="center"/>
    </xf>
    <xf numFmtId="0" fontId="0" fillId="0" borderId="5" xfId="0" quotePrefix="0"/>
    <xf numFmtId="0" fontId="9" fillId="3" borderId="4" xfId="0" quotePrefix="0">
      <alignment horizontal="center" vertical="center" wrapText="1"/>
    </xf>
    <xf numFmtId="26043" fontId="10" fillId="8" borderId="4" xfId="0" quotePrefix="0">
      <alignment horizontal="center" vertical="center"/>
    </xf>
    <xf numFmtId="0" fontId="10" fillId="11" borderId="4" xfId="0" quotePrefix="0">
      <alignment horizontal="left" vertical="center"/>
    </xf>
    <xf numFmtId="0" fontId="11" fillId="11" borderId="4" xfId="0" quotePrefix="0">
      <alignment horizontal="center" vertical="center"/>
    </xf>
    <xf numFmtId="26043" fontId="10" fillId="12" borderId="4" xfId="0" quotePrefix="0">
      <alignment horizontal="center" vertical="center"/>
    </xf>
    <xf numFmtId="0" fontId="9" fillId="3" borderId="4" xfId="0" quotePrefix="0">
      <alignment horizontal="center" vertical="center"/>
    </xf>
    <xf numFmtId="0" fontId="12" fillId="13" borderId="4" xfId="0" quotePrefix="0">
      <alignment horizontal="left" vertical="center"/>
    </xf>
    <xf numFmtId="0" fontId="13" fillId="13" borderId="4" xfId="0" quotePrefix="0">
      <alignment horizontal="center" vertical="center"/>
    </xf>
    <xf numFmtId="26045" fontId="12" fillId="14" borderId="4" xfId="0" quotePrefix="0">
      <alignment horizontal="center" vertical="center"/>
    </xf>
    <xf numFmtId="0" fontId="14" fillId="13" borderId="4" xfId="0" quotePrefix="0">
      <alignment horizontal="left" vertical="center"/>
    </xf>
    <xf numFmtId="0" fontId="10" fillId="15" borderId="4" xfId="0" quotePrefix="0">
      <alignment horizontal="left" vertical="center"/>
    </xf>
    <xf numFmtId="0" fontId="11" fillId="15" borderId="4" xfId="0" quotePrefix="0">
      <alignment horizontal="center" vertical="center"/>
    </xf>
    <xf numFmtId="0" fontId="12" fillId="15" borderId="4" xfId="0" quotePrefix="0">
      <alignment horizontal="left" vertical="center"/>
    </xf>
    <xf numFmtId="0" fontId="13" fillId="15" borderId="4" xfId="0" quotePrefix="0">
      <alignment horizontal="center" vertical="center"/>
    </xf>
    <xf numFmtId="0" fontId="14" fillId="15" borderId="4" xfId="0" quotePrefix="0">
      <alignment horizontal="left" vertical="center"/>
    </xf>
    <xf numFmtId="0" fontId="10" fillId="16" borderId="4" xfId="0" quotePrefix="0">
      <alignment horizontal="left" vertical="center"/>
    </xf>
    <xf numFmtId="0" fontId="11" fillId="16" borderId="4" xfId="0" quotePrefix="0">
      <alignment horizontal="center" vertical="center"/>
    </xf>
    <xf numFmtId="0" fontId="10" fillId="17" borderId="4" xfId="0" quotePrefix="0">
      <alignment horizontal="left" vertical="center"/>
    </xf>
    <xf numFmtId="0" fontId="11" fillId="17" borderId="4" xfId="0" quotePrefix="0">
      <alignment horizontal="center" vertical="center"/>
    </xf>
    <xf numFmtId="26045" fontId="12" fillId="2" borderId="4" xfId="0" quotePrefix="0">
      <alignment horizontal="center" vertical="center"/>
    </xf>
    <xf numFmtId="0" fontId="12" fillId="2" borderId="4" xfId="0" quotePrefix="0">
      <alignment horizontal="left" vertical="center"/>
    </xf>
    <xf numFmtId="0" fontId="13" fillId="2" borderId="4" xfId="0" quotePrefix="0">
      <alignment horizontal="center" vertical="center"/>
    </xf>
    <xf numFmtId="0" fontId="14" fillId="2" borderId="4" xfId="0" quotePrefix="0">
      <alignment horizontal="left" vertical="center"/>
    </xf>
    <xf numFmtId="0" fontId="12" fillId="15" borderId="4" xfId="0" quotePrefix="0">
      <alignment horizontal="center" vertical="center"/>
    </xf>
    <xf numFmtId="0" fontId="0" fillId="0" borderId="6" xfId="0" quotePrefix="0"/>
    <xf numFmtId="0" fontId="0" fillId="0" borderId="7" xfId="0" quotePrefix="0"/>
    <xf numFmtId="0" fontId="10" fillId="7" borderId="4" xfId="0" quotePrefix="0">
      <alignment horizontal="left" vertical="center"/>
    </xf>
    <xf numFmtId="0" fontId="11" fillId="7" borderId="4" xfId="0" quotePrefix="0">
      <alignment horizontal="center" vertical="center"/>
    </xf>
    <xf numFmtId="26043" fontId="10" fillId="2" borderId="4" xfId="0" quotePrefix="0">
      <alignment horizontal="center" vertical="center"/>
    </xf>
    <xf numFmtId="0" fontId="15" fillId="5" borderId="1" xfId="0" quotePrefix="0">
      <alignment horizontal="center" vertical="center"/>
    </xf>
    <xf numFmtId="0" fontId="4" fillId="0" borderId="1" xfId="0" quotePrefix="0">
      <alignment horizontal="center" vertical="center"/>
    </xf>
    <xf numFmtId="0" fontId="4" fillId="0" borderId="1" xfId="0" quotePrefix="0">
      <alignment horizontal="center" vertical="center"/>
    </xf>
    <xf numFmtId="0" fontId="16" fillId="3" borderId="4" xfId="0" quotePrefix="0">
      <alignment horizontal="center" vertical="center"/>
    </xf>
    <xf numFmtId="0" fontId="17" fillId="3" borderId="4" xfId="0" quotePrefix="0">
      <alignment horizontal="right" vertical="center"/>
    </xf>
    <xf numFmtId="0" fontId="1" fillId="5" borderId="4" xfId="0" quotePrefix="0">
      <alignment horizontal="center" vertical="center"/>
    </xf>
    <xf numFmtId="0" fontId="18" fillId="18" borderId="4" xfId="0" quotePrefix="0">
      <alignment horizontal="center" vertical="center"/>
    </xf>
    <xf numFmtId="0" fontId="19" fillId="19" borderId="4" xfId="0" quotePrefix="0">
      <alignment horizontal="left" vertical="center" wrapText="1"/>
    </xf>
    <xf numFmtId="0" fontId="20" fillId="3" borderId="4" xfId="0" quotePrefix="0">
      <alignment horizontal="center" vertical="center" wrapText="1"/>
    </xf>
    <xf numFmtId="0" fontId="21" fillId="3" borderId="4" xfId="0" quotePrefix="0">
      <alignment horizontal="center" vertical="center" wrapText="1"/>
    </xf>
    <xf numFmtId="0" fontId="22" fillId="3" borderId="4" xfId="0" quotePrefix="0">
      <alignment horizontal="center" vertical="center"/>
    </xf>
    <xf numFmtId="0" fontId="23" fillId="3" borderId="4" xfId="0" quotePrefix="0">
      <alignment horizontal="center" vertical="center"/>
    </xf>
    <xf numFmtId="0" fontId="6" fillId="3" borderId="4" xfId="0" quotePrefix="0">
      <alignment horizontal="center" vertical="center" wrapText="1"/>
    </xf>
    <xf numFmtId="0" fontId="24" fillId="20" borderId="4" xfId="0" quotePrefix="0">
      <alignment horizontal="center" vertical="center"/>
    </xf>
    <xf numFmtId="0" fontId="25" fillId="20" borderId="4" xfId="0" quotePrefix="0">
      <alignment horizontal="center" vertical="center"/>
    </xf>
    <xf numFmtId="0" fontId="26" fillId="20" borderId="4" xfId="0" quotePrefix="0">
      <alignment horizontal="center" vertical="center"/>
    </xf>
    <xf numFmtId="0" fontId="27" fillId="14" borderId="4" xfId="0" quotePrefix="0">
      <alignment horizontal="center" vertical="center"/>
    </xf>
    <xf numFmtId="26045" fontId="28" fillId="20" borderId="4" xfId="0" quotePrefix="0">
      <alignment horizontal="center" vertical="center"/>
    </xf>
    <xf numFmtId="0" fontId="29" fillId="14" borderId="4" xfId="0" quotePrefix="0">
      <alignment horizontal="center" vertical="center"/>
    </xf>
    <xf numFmtId="0" fontId="30" fillId="14" borderId="4" xfId="0" quotePrefix="0">
      <alignment horizontal="center" vertical="center"/>
    </xf>
    <xf numFmtId="0" fontId="31" fillId="14" borderId="4" xfId="0" quotePrefix="0">
      <alignment horizontal="center" vertical="center"/>
    </xf>
    <xf numFmtId="0" fontId="32" fillId="14" borderId="4" xfId="0" quotePrefix="0">
      <alignment horizontal="left" vertical="center" wrapText="1"/>
    </xf>
    <xf numFmtId="0" fontId="33" fillId="14" borderId="4" xfId="0" quotePrefix="0">
      <alignment horizontal="left" vertical="center" wrapText="1"/>
    </xf>
    <xf numFmtId="0" fontId="27" fillId="21" borderId="4" xfId="0" quotePrefix="0">
      <alignment horizontal="center" vertical="center"/>
    </xf>
    <xf numFmtId="0" fontId="6" fillId="22" borderId="4" xfId="0" quotePrefix="0">
      <alignment horizontal="center" vertical="center"/>
    </xf>
    <xf numFmtId="0" fontId="34" fillId="21" borderId="4" xfId="0" quotePrefix="0">
      <alignment horizontal="center" vertical="center"/>
    </xf>
    <xf numFmtId="0" fontId="35" fillId="21" borderId="4" xfId="0" quotePrefix="0">
      <alignment horizontal="center" vertical="center"/>
    </xf>
    <xf numFmtId="0" fontId="30" fillId="21" borderId="4" xfId="0" quotePrefix="0">
      <alignment horizontal="center" vertical="center"/>
    </xf>
    <xf numFmtId="0" fontId="31" fillId="21" borderId="4" xfId="0" quotePrefix="0">
      <alignment horizontal="center" vertical="center"/>
    </xf>
    <xf numFmtId="0" fontId="36" fillId="23" borderId="4" xfId="0" quotePrefix="0">
      <alignment horizontal="center" vertical="center"/>
    </xf>
    <xf numFmtId="0" fontId="32" fillId="21" borderId="4" xfId="0" quotePrefix="0">
      <alignment horizontal="left" vertical="center" wrapText="1"/>
    </xf>
    <xf numFmtId="0" fontId="33" fillId="21" borderId="4" xfId="0" quotePrefix="0">
      <alignment horizontal="left" vertical="center" wrapText="1"/>
    </xf>
    <xf numFmtId="0" fontId="27" fillId="21" borderId="8" xfId="0" quotePrefix="0">
      <alignment horizontal="center" vertical="center"/>
    </xf>
    <xf numFmtId="0" fontId="6" fillId="22" borderId="8" xfId="0" quotePrefix="0">
      <alignment horizontal="center" vertical="center"/>
    </xf>
    <xf numFmtId="0" fontId="34" fillId="21" borderId="8" xfId="0" quotePrefix="0">
      <alignment horizontal="center" vertical="center"/>
    </xf>
    <xf numFmtId="0" fontId="0" fillId="0" borderId="9" xfId="0" quotePrefix="0"/>
    <xf numFmtId="0" fontId="35" fillId="21" borderId="8" xfId="0" quotePrefix="0">
      <alignment horizontal="center" vertical="center"/>
    </xf>
    <xf numFmtId="0" fontId="30" fillId="21" borderId="8" xfId="0" quotePrefix="0">
      <alignment horizontal="center" vertical="center"/>
    </xf>
    <xf numFmtId="0" fontId="31" fillId="21" borderId="8" xfId="0" quotePrefix="0">
      <alignment horizontal="center" vertical="center"/>
    </xf>
    <xf numFmtId="0" fontId="37" fillId="24" borderId="8" xfId="0" quotePrefix="0">
      <alignment horizontal="center" vertical="center"/>
    </xf>
    <xf numFmtId="0" fontId="32" fillId="21" borderId="8" xfId="0" quotePrefix="0">
      <alignment horizontal="left" vertical="center" wrapText="1"/>
    </xf>
    <xf numFmtId="0" fontId="33" fillId="21" borderId="8" xfId="0" quotePrefix="0">
      <alignment horizontal="left" vertical="center" wrapText="1"/>
    </xf>
    <xf numFmtId="0" fontId="29" fillId="11" borderId="10" xfId="0" quotePrefix="0">
      <alignment horizontal="center" vertical="center"/>
    </xf>
    <xf numFmtId="0" fontId="6" fillId="5" borderId="11" xfId="0" quotePrefix="0">
      <alignment horizontal="center" vertical="center"/>
    </xf>
    <xf numFmtId="0" fontId="38" fillId="23" borderId="11" xfId="0" quotePrefix="0">
      <alignment horizontal="center" vertical="center"/>
    </xf>
    <xf numFmtId="0" fontId="39" fillId="25" borderId="12" xfId="0" quotePrefix="0">
      <alignment horizontal="center" vertical="center" textRotation="255"/>
    </xf>
    <xf numFmtId="0" fontId="40" fillId="11" borderId="11" xfId="0" quotePrefix="0">
      <alignment horizontal="center" vertical="center"/>
    </xf>
    <xf numFmtId="0" fontId="35" fillId="11" borderId="11" xfId="0" quotePrefix="0">
      <alignment horizontal="center" vertical="center"/>
    </xf>
    <xf numFmtId="0" fontId="34" fillId="11" borderId="11" xfId="0" quotePrefix="0">
      <alignment horizontal="center" vertical="center"/>
    </xf>
    <xf numFmtId="26045" fontId="29" fillId="26" borderId="11" xfId="0" quotePrefix="0">
      <alignment horizontal="center" vertical="center"/>
    </xf>
    <xf numFmtId="0" fontId="41" fillId="11" borderId="11" xfId="0" quotePrefix="0">
      <alignment horizontal="center" vertical="center"/>
    </xf>
    <xf numFmtId="0" fontId="42" fillId="11" borderId="11" xfId="0" quotePrefix="0">
      <alignment horizontal="center" vertical="center"/>
    </xf>
    <xf numFmtId="0" fontId="43" fillId="11" borderId="11" xfId="0" quotePrefix="0">
      <alignment horizontal="center" vertical="center"/>
    </xf>
    <xf numFmtId="0" fontId="44" fillId="23" borderId="11" xfId="0" quotePrefix="0">
      <alignment horizontal="center" vertical="center"/>
    </xf>
    <xf numFmtId="0" fontId="32" fillId="11" borderId="11" xfId="0" quotePrefix="0">
      <alignment horizontal="left" vertical="center" wrapText="1"/>
    </xf>
    <xf numFmtId="0" fontId="33" fillId="11" borderId="13" xfId="0" quotePrefix="0">
      <alignment horizontal="left" vertical="center" wrapText="1"/>
    </xf>
    <xf numFmtId="0" fontId="29" fillId="11" borderId="14" xfId="0" quotePrefix="0">
      <alignment horizontal="center" vertical="center"/>
    </xf>
    <xf numFmtId="0" fontId="6" fillId="5" borderId="4" xfId="0" quotePrefix="0">
      <alignment horizontal="center" vertical="center"/>
    </xf>
    <xf numFmtId="0" fontId="38" fillId="23" borderId="4" xfId="0" quotePrefix="0">
      <alignment horizontal="center" vertical="center"/>
    </xf>
    <xf numFmtId="0" fontId="0" fillId="0" borderId="15" xfId="0" quotePrefix="0"/>
    <xf numFmtId="0" fontId="40" fillId="11" borderId="4" xfId="0" quotePrefix="0">
      <alignment horizontal="center" vertical="center"/>
    </xf>
    <xf numFmtId="0" fontId="35" fillId="11" borderId="4" xfId="0" quotePrefix="0">
      <alignment horizontal="center" vertical="center"/>
    </xf>
    <xf numFmtId="0" fontId="34" fillId="11" borderId="4" xfId="0" quotePrefix="0">
      <alignment horizontal="center" vertical="center"/>
    </xf>
    <xf numFmtId="26045" fontId="29" fillId="26" borderId="4" xfId="0" quotePrefix="0">
      <alignment horizontal="center" vertical="center"/>
    </xf>
    <xf numFmtId="0" fontId="41" fillId="11" borderId="4" xfId="0" quotePrefix="0">
      <alignment horizontal="center" vertical="center"/>
    </xf>
    <xf numFmtId="0" fontId="29" fillId="26" borderId="4" xfId="0" quotePrefix="0">
      <alignment horizontal="center" vertical="center"/>
    </xf>
    <xf numFmtId="0" fontId="42" fillId="11" borderId="4" xfId="0" quotePrefix="0">
      <alignment horizontal="center" vertical="center"/>
    </xf>
    <xf numFmtId="0" fontId="43" fillId="11" borderId="4" xfId="0" quotePrefix="0">
      <alignment horizontal="center" vertical="center"/>
    </xf>
    <xf numFmtId="0" fontId="44" fillId="23" borderId="4" xfId="0" quotePrefix="0">
      <alignment horizontal="center" vertical="center"/>
    </xf>
    <xf numFmtId="0" fontId="32" fillId="11" borderId="4" xfId="0" quotePrefix="0">
      <alignment horizontal="left" vertical="center" wrapText="1"/>
    </xf>
    <xf numFmtId="0" fontId="33" fillId="11" borderId="16" xfId="0" quotePrefix="0">
      <alignment horizontal="left" vertical="center" wrapText="1"/>
    </xf>
    <xf numFmtId="0" fontId="29" fillId="11" borderId="17" xfId="0" quotePrefix="0">
      <alignment horizontal="center" vertical="center"/>
    </xf>
    <xf numFmtId="0" fontId="6" fillId="5" borderId="18" xfId="0" quotePrefix="0">
      <alignment horizontal="center" vertical="center"/>
    </xf>
    <xf numFmtId="0" fontId="38" fillId="23" borderId="18" xfId="0" quotePrefix="0">
      <alignment horizontal="center" vertical="center"/>
    </xf>
    <xf numFmtId="0" fontId="0" fillId="0" borderId="19" xfId="0" quotePrefix="0"/>
    <xf numFmtId="0" fontId="40" fillId="11" borderId="18" xfId="0" quotePrefix="0">
      <alignment horizontal="center" vertical="center"/>
    </xf>
    <xf numFmtId="0" fontId="35" fillId="11" borderId="18" xfId="0" quotePrefix="0">
      <alignment horizontal="center" vertical="center"/>
    </xf>
    <xf numFmtId="0" fontId="34" fillId="11" borderId="18" xfId="0" quotePrefix="0">
      <alignment horizontal="center" vertical="center"/>
    </xf>
    <xf numFmtId="26045" fontId="29" fillId="26" borderId="18" xfId="0" quotePrefix="0">
      <alignment horizontal="center" vertical="center"/>
    </xf>
    <xf numFmtId="0" fontId="41" fillId="11" borderId="18" xfId="0" quotePrefix="0">
      <alignment horizontal="center" vertical="center"/>
    </xf>
    <xf numFmtId="0" fontId="42" fillId="11" borderId="18" xfId="0" quotePrefix="0">
      <alignment horizontal="center" vertical="center"/>
    </xf>
    <xf numFmtId="0" fontId="43" fillId="11" borderId="18" xfId="0" quotePrefix="0">
      <alignment horizontal="center" vertical="center"/>
    </xf>
    <xf numFmtId="0" fontId="44" fillId="23" borderId="18" xfId="0" quotePrefix="0">
      <alignment horizontal="center" vertical="center"/>
    </xf>
    <xf numFmtId="0" fontId="32" fillId="11" borderId="18" xfId="0" quotePrefix="0">
      <alignment horizontal="left" vertical="center" wrapText="1"/>
    </xf>
    <xf numFmtId="0" fontId="33" fillId="11" borderId="20" xfId="0" quotePrefix="0">
      <alignment horizontal="left" vertical="center" wrapText="1"/>
    </xf>
    <xf numFmtId="0" fontId="27" fillId="13" borderId="21" xfId="0" quotePrefix="0">
      <alignment horizontal="center" vertical="center"/>
    </xf>
    <xf numFmtId="0" fontId="6" fillId="27" borderId="21" xfId="0" quotePrefix="0">
      <alignment horizontal="center" vertical="center"/>
    </xf>
    <xf numFmtId="0" fontId="34" fillId="13" borderId="21" xfId="0" quotePrefix="0">
      <alignment horizontal="center" vertical="center"/>
    </xf>
    <xf numFmtId="0" fontId="0" fillId="0" borderId="22" xfId="0" quotePrefix="0"/>
    <xf numFmtId="0" fontId="6" fillId="5" borderId="21" xfId="0" quotePrefix="0">
      <alignment horizontal="center" vertical="center"/>
    </xf>
    <xf numFmtId="0" fontId="45" fillId="13" borderId="21" xfId="0" quotePrefix="0">
      <alignment horizontal="left" vertical="center" wrapText="1"/>
    </xf>
    <xf numFmtId="0" fontId="46" fillId="13" borderId="21" xfId="0" quotePrefix="0">
      <alignment horizontal="left" vertical="center" wrapText="1"/>
    </xf>
    <xf numFmtId="0" fontId="27" fillId="10" borderId="4" xfId="0" quotePrefix="0">
      <alignment horizontal="center" vertical="center"/>
    </xf>
    <xf numFmtId="0" fontId="6" fillId="27" borderId="4" xfId="0" quotePrefix="0">
      <alignment horizontal="center" vertical="center"/>
    </xf>
    <xf numFmtId="0" fontId="34" fillId="10" borderId="4" xfId="0" quotePrefix="0">
      <alignment horizontal="center" vertical="center"/>
    </xf>
    <xf numFmtId="0" fontId="47" fillId="27" borderId="4" xfId="0" quotePrefix="0">
      <alignment horizontal="center" vertical="center"/>
    </xf>
    <xf numFmtId="0" fontId="45" fillId="10" borderId="4" xfId="0" quotePrefix="0">
      <alignment horizontal="left" vertical="center" wrapText="1"/>
    </xf>
    <xf numFmtId="0" fontId="46" fillId="10" borderId="4" xfId="0" quotePrefix="0">
      <alignment horizontal="left" vertical="center" wrapText="1"/>
    </xf>
    <xf numFmtId="0" fontId="48" fillId="18" borderId="4" xfId="0" quotePrefix="0">
      <alignment horizontal="center" vertical="center"/>
    </xf>
    <xf numFmtId="0" fontId="25" fillId="3" borderId="4" xfId="0" quotePrefix="0">
      <alignment horizontal="center" vertical="center"/>
    </xf>
    <xf numFmtId="0" fontId="49" fillId="18" borderId="4" xfId="0" quotePrefix="0">
      <alignment horizontal="center" vertical="center"/>
    </xf>
    <xf numFmtId="0" fontId="3" fillId="5" borderId="4" xfId="0" quotePrefix="0">
      <alignment horizontal="center" vertical="center"/>
    </xf>
    <xf numFmtId="26043" fontId="28" fillId="20" borderId="4" xfId="0" quotePrefix="0">
      <alignment horizontal="center" vertical="center"/>
    </xf>
    <xf numFmtId="26043" fontId="50" fillId="13" borderId="4" xfId="0" quotePrefix="0">
      <alignment horizontal="center" vertical="center"/>
    </xf>
    <xf numFmtId="26043" fontId="51" fillId="26" borderId="4" xfId="0" quotePrefix="0">
      <alignment horizontal="center" vertical="center"/>
    </xf>
    <xf numFmtId="0" fontId="52" fillId="0" borderId="1" xfId="0" quotePrefix="0">
      <alignment horizontal="left" vertical="center"/>
    </xf>
    <xf numFmtId="0" fontId="4" fillId="0" borderId="1" xfId="0" quotePrefix="0"/>
    <xf numFmtId="0" fontId="16" fillId="3" borderId="23" xfId="0" quotePrefix="0">
      <alignment horizontal="center" vertical="center"/>
    </xf>
    <xf numFmtId="0" fontId="0" fillId="0" borderId="24" xfId="0" quotePrefix="0"/>
    <xf numFmtId="0" fontId="0" fillId="0" borderId="25" xfId="0" quotePrefix="0"/>
    <xf numFmtId="0" fontId="17" fillId="3" borderId="23" xfId="0" quotePrefix="0">
      <alignment horizontal="right" vertical="center"/>
    </xf>
    <xf numFmtId="0" fontId="1" fillId="5" borderId="26" xfId="0" quotePrefix="0">
      <alignment horizontal="center" vertical="center"/>
    </xf>
    <xf numFmtId="0" fontId="0" fillId="0" borderId="27" xfId="0" quotePrefix="0"/>
    <xf numFmtId="0" fontId="0" fillId="0" borderId="28" xfId="0" quotePrefix="0"/>
    <xf numFmtId="0" fontId="53" fillId="18" borderId="23" xfId="0" quotePrefix="0">
      <alignment horizontal="center" vertical="center"/>
    </xf>
    <xf numFmtId="0" fontId="54" fillId="19" borderId="23" xfId="0" quotePrefix="0">
      <alignment horizontal="left" vertical="center" wrapText="1"/>
    </xf>
    <xf numFmtId="0" fontId="20" fillId="3" borderId="29" xfId="0" quotePrefix="0">
      <alignment horizontal="center" vertical="center" wrapText="1"/>
    </xf>
    <xf numFmtId="0" fontId="0" fillId="0" borderId="30" xfId="0" quotePrefix="0"/>
    <xf numFmtId="0" fontId="21" fillId="3" borderId="29" xfId="0" quotePrefix="0">
      <alignment horizontal="center" vertical="center" wrapText="1"/>
    </xf>
    <xf numFmtId="0" fontId="55" fillId="3" borderId="29" xfId="0" quotePrefix="0">
      <alignment horizontal="center" vertical="center"/>
    </xf>
    <xf numFmtId="0" fontId="56" fillId="3" borderId="29" xfId="0" quotePrefix="0">
      <alignment horizontal="center" vertical="center" wrapText="1"/>
    </xf>
    <xf numFmtId="0" fontId="9" fillId="3" borderId="29" xfId="0" quotePrefix="0">
      <alignment horizontal="center" vertical="center" wrapText="1"/>
    </xf>
    <xf numFmtId="0" fontId="55" fillId="3" borderId="29" xfId="0" quotePrefix="0">
      <alignment horizontal="center" vertical="center" wrapText="1"/>
    </xf>
    <xf numFmtId="0" fontId="6" fillId="3" borderId="29" xfId="0" quotePrefix="0">
      <alignment horizontal="center" vertical="center" wrapText="1"/>
    </xf>
    <xf numFmtId="0" fontId="24" fillId="20" borderId="23" xfId="0" quotePrefix="0">
      <alignment horizontal="center" vertical="center"/>
    </xf>
    <xf numFmtId="0" fontId="25" fillId="20" borderId="23" xfId="0" quotePrefix="0">
      <alignment horizontal="center" vertical="center"/>
    </xf>
    <xf numFmtId="0" fontId="57" fillId="20" borderId="26" xfId="0" quotePrefix="0">
      <alignment horizontal="center" vertical="center"/>
    </xf>
    <xf numFmtId="0" fontId="27" fillId="14" borderId="23" xfId="0" quotePrefix="0">
      <alignment horizontal="center" vertical="center"/>
    </xf>
    <xf numFmtId="26045" fontId="28" fillId="20" borderId="23" xfId="0" quotePrefix="0">
      <alignment horizontal="center" vertical="center"/>
    </xf>
    <xf numFmtId="0" fontId="29" fillId="14" borderId="23" xfId="0" quotePrefix="0">
      <alignment horizontal="center" vertical="center"/>
    </xf>
    <xf numFmtId="0" fontId="30" fillId="14" borderId="23" xfId="0" quotePrefix="0">
      <alignment horizontal="center" vertical="center"/>
    </xf>
    <xf numFmtId="0" fontId="31" fillId="14" borderId="23" xfId="0" quotePrefix="0">
      <alignment horizontal="center" vertical="center"/>
    </xf>
    <xf numFmtId="0" fontId="58" fillId="14" borderId="23" xfId="0" quotePrefix="0">
      <alignment horizontal="left" vertical="center" wrapText="1"/>
    </xf>
    <xf numFmtId="0" fontId="33" fillId="14" borderId="23" xfId="0" quotePrefix="0">
      <alignment horizontal="left" vertical="center" wrapText="1"/>
    </xf>
    <xf numFmtId="0" fontId="27" fillId="21" borderId="23" xfId="0" quotePrefix="0">
      <alignment horizontal="center" vertical="center"/>
    </xf>
    <xf numFmtId="0" fontId="6" fillId="22" borderId="31" xfId="0" quotePrefix="0">
      <alignment horizontal="center" vertical="center"/>
    </xf>
    <xf numFmtId="0" fontId="34" fillId="21" borderId="23" xfId="0" quotePrefix="0">
      <alignment horizontal="center" vertical="center"/>
    </xf>
    <xf numFmtId="0" fontId="35" fillId="21" borderId="25" xfId="0" quotePrefix="0">
      <alignment horizontal="center" vertical="center"/>
    </xf>
    <xf numFmtId="0" fontId="35" fillId="21" borderId="23" xfId="0" quotePrefix="0">
      <alignment horizontal="center" vertical="center"/>
    </xf>
    <xf numFmtId="0" fontId="30" fillId="21" borderId="23" xfId="0" quotePrefix="0">
      <alignment horizontal="center" vertical="center"/>
    </xf>
    <xf numFmtId="0" fontId="31" fillId="21" borderId="23" xfId="0" quotePrefix="0">
      <alignment horizontal="center" vertical="center"/>
    </xf>
    <xf numFmtId="0" fontId="36" fillId="23" borderId="23" xfId="0" quotePrefix="0">
      <alignment horizontal="center" vertical="center"/>
    </xf>
    <xf numFmtId="0" fontId="58" fillId="21" borderId="23" xfId="0" quotePrefix="0">
      <alignment horizontal="left" vertical="center" wrapText="1"/>
    </xf>
    <xf numFmtId="0" fontId="33" fillId="21" borderId="23" xfId="0" quotePrefix="0">
      <alignment horizontal="left" vertical="center" wrapText="1"/>
    </xf>
    <xf numFmtId="0" fontId="37" fillId="24" borderId="23" xfId="0" quotePrefix="0">
      <alignment horizontal="center" vertical="center"/>
    </xf>
    <xf numFmtId="0" fontId="29" fillId="11" borderId="23" xfId="0" quotePrefix="0">
      <alignment horizontal="center" vertical="center"/>
    </xf>
    <xf numFmtId="0" fontId="6" fillId="5" borderId="23" xfId="0" quotePrefix="0">
      <alignment horizontal="center" vertical="center"/>
    </xf>
    <xf numFmtId="0" fontId="59" fillId="23" borderId="29" xfId="0" quotePrefix="0">
      <alignment horizontal="center" vertical="center"/>
    </xf>
    <xf numFmtId="0" fontId="39" fillId="25" borderId="29" xfId="0" quotePrefix="0">
      <alignment horizontal="center" vertical="center" textRotation="255"/>
    </xf>
    <xf numFmtId="0" fontId="40" fillId="11" borderId="23" xfId="0" quotePrefix="0">
      <alignment horizontal="center" vertical="center"/>
    </xf>
    <xf numFmtId="0" fontId="35" fillId="11" borderId="23" xfId="0" quotePrefix="0">
      <alignment horizontal="center" vertical="center"/>
    </xf>
    <xf numFmtId="0" fontId="34" fillId="11" borderId="23" xfId="0" quotePrefix="0">
      <alignment horizontal="center" vertical="center"/>
    </xf>
    <xf numFmtId="26045" fontId="29" fillId="26" borderId="23" xfId="0" quotePrefix="0">
      <alignment horizontal="center" vertical="center"/>
    </xf>
    <xf numFmtId="0" fontId="41" fillId="11" borderId="23" xfId="0" quotePrefix="0">
      <alignment horizontal="center" vertical="center"/>
    </xf>
    <xf numFmtId="0" fontId="42" fillId="11" borderId="23" xfId="0" quotePrefix="0">
      <alignment horizontal="center" vertical="center"/>
    </xf>
    <xf numFmtId="0" fontId="43" fillId="11" borderId="23" xfId="0" quotePrefix="0">
      <alignment horizontal="center" vertical="center"/>
    </xf>
    <xf numFmtId="0" fontId="44" fillId="23" borderId="23" xfId="0" quotePrefix="0">
      <alignment horizontal="center" vertical="center"/>
    </xf>
    <xf numFmtId="0" fontId="58" fillId="11" borderId="23" xfId="0" quotePrefix="0">
      <alignment horizontal="left" vertical="center" wrapText="1"/>
    </xf>
    <xf numFmtId="0" fontId="33" fillId="11" borderId="23" xfId="0" quotePrefix="0">
      <alignment horizontal="left" vertical="center" wrapText="1"/>
    </xf>
    <xf numFmtId="0" fontId="59" fillId="23" borderId="23" xfId="0" quotePrefix="0">
      <alignment horizontal="center" vertical="center"/>
    </xf>
    <xf numFmtId="0" fontId="0" fillId="0" borderId="32" xfId="0" quotePrefix="0"/>
    <xf numFmtId="0" fontId="59" fillId="23" borderId="26" xfId="0" quotePrefix="0">
      <alignment horizontal="center" vertical="center"/>
    </xf>
    <xf numFmtId="0" fontId="0" fillId="0" borderId="29" xfId="0" quotePrefix="0"/>
    <xf numFmtId="0" fontId="29" fillId="26" borderId="23" xfId="0" quotePrefix="0">
      <alignment horizontal="center" vertical="center"/>
    </xf>
    <xf numFmtId="0" fontId="27" fillId="13" borderId="23" xfId="0" quotePrefix="0">
      <alignment horizontal="center" vertical="center"/>
    </xf>
    <xf numFmtId="0" fontId="6" fillId="27" borderId="31" xfId="0" quotePrefix="0">
      <alignment horizontal="center" vertical="center"/>
    </xf>
    <xf numFmtId="0" fontId="34" fillId="13" borderId="23" xfId="0" quotePrefix="0">
      <alignment horizontal="center" vertical="center"/>
    </xf>
    <xf numFmtId="0" fontId="27" fillId="13" borderId="25" xfId="0" quotePrefix="0">
      <alignment horizontal="center" vertical="center"/>
    </xf>
    <xf numFmtId="0" fontId="53" fillId="13" borderId="23" xfId="0" quotePrefix="0">
      <alignment horizontal="left" vertical="center" wrapText="1"/>
    </xf>
    <xf numFmtId="0" fontId="46" fillId="13" borderId="23" xfId="0" quotePrefix="0">
      <alignment horizontal="left" vertical="center" wrapText="1"/>
    </xf>
    <xf numFmtId="0" fontId="27" fillId="10" borderId="23" xfId="0" quotePrefix="0">
      <alignment horizontal="center" vertical="center"/>
    </xf>
    <xf numFmtId="0" fontId="34" fillId="10" borderId="23" xfId="0" quotePrefix="0">
      <alignment horizontal="center" vertical="center"/>
    </xf>
    <xf numFmtId="0" fontId="27" fillId="10" borderId="25" xfId="0" quotePrefix="0">
      <alignment horizontal="center" vertical="center"/>
    </xf>
    <xf numFmtId="0" fontId="47" fillId="27" borderId="23" xfId="0" quotePrefix="0">
      <alignment horizontal="center" vertical="center"/>
    </xf>
    <xf numFmtId="0" fontId="53" fillId="10" borderId="23" xfId="0" quotePrefix="0">
      <alignment horizontal="left" vertical="center" wrapText="1"/>
    </xf>
    <xf numFmtId="0" fontId="46" fillId="10" borderId="23" xfId="0" quotePrefix="0">
      <alignment horizontal="left" vertical="center" wrapText="1"/>
    </xf>
    <xf numFmtId="0" fontId="58" fillId="18" borderId="1" xfId="0" quotePrefix="0">
      <alignment horizontal="center" vertical="center"/>
    </xf>
    <xf numFmtId="0" fontId="25" fillId="3" borderId="1" xfId="0" quotePrefix="0">
      <alignment horizontal="center" vertical="center"/>
    </xf>
    <xf numFmtId="0" fontId="53" fillId="18" borderId="1" xfId="0" quotePrefix="0">
      <alignment horizontal="center" vertical="center"/>
    </xf>
    <xf numFmtId="0" fontId="29" fillId="14" borderId="1" xfId="0" quotePrefix="0">
      <alignment horizontal="center" vertical="center"/>
    </xf>
    <xf numFmtId="26057" fontId="25" fillId="20" borderId="1" xfId="0" quotePrefix="0">
      <alignment horizontal="center" vertical="center"/>
    </xf>
    <xf numFmtId="26057" fontId="34" fillId="13" borderId="33" xfId="0" quotePrefix="0">
      <alignment horizontal="center" vertical="center"/>
    </xf>
    <xf numFmtId="0" fontId="0" fillId="0" borderId="33" xfId="0" quotePrefix="0"/>
    <xf numFmtId="26043" fontId="51" fillId="26" borderId="1" xfId="0" quotePrefix="0">
      <alignment horizontal="center" vertical="center"/>
    </xf>
    <xf numFmtId="26057" fontId="34" fillId="13" borderId="1" xfId="0" quotePrefix="0">
      <alignment horizontal="center" vertical="center"/>
    </xf>
    <xf numFmtId="0" fontId="1" fillId="5" borderId="23" xfId="0" quotePrefix="0">
      <alignment horizontal="center" vertical="center"/>
    </xf>
    <xf numFmtId="0" fontId="60" fillId="18" borderId="23" xfId="0" quotePrefix="0">
      <alignment horizontal="center" vertical="center"/>
    </xf>
    <xf numFmtId="0" fontId="20" fillId="3" borderId="23" xfId="0" quotePrefix="0">
      <alignment horizontal="center" vertical="center" wrapText="1"/>
    </xf>
    <xf numFmtId="0" fontId="21" fillId="3" borderId="23" xfId="0" quotePrefix="0">
      <alignment horizontal="center" vertical="center" wrapText="1"/>
    </xf>
    <xf numFmtId="0" fontId="55" fillId="3" borderId="23" xfId="0" quotePrefix="0">
      <alignment horizontal="center" vertical="center"/>
    </xf>
    <xf numFmtId="0" fontId="56" fillId="3" borderId="23" xfId="0" quotePrefix="0">
      <alignment horizontal="center" vertical="center" wrapText="1"/>
    </xf>
    <xf numFmtId="0" fontId="9" fillId="3" borderId="23" xfId="0" quotePrefix="0">
      <alignment horizontal="center" vertical="center" wrapText="1"/>
    </xf>
    <xf numFmtId="0" fontId="55" fillId="3" borderId="23" xfId="0" quotePrefix="0">
      <alignment horizontal="center" vertical="center" wrapText="1"/>
    </xf>
    <xf numFmtId="0" fontId="6" fillId="3" borderId="23" xfId="0" quotePrefix="0">
      <alignment horizontal="center" vertical="center" wrapText="1"/>
    </xf>
    <xf numFmtId="0" fontId="57" fillId="20" borderId="23" xfId="0" quotePrefix="0">
      <alignment horizontal="center" vertical="center"/>
    </xf>
    <xf numFmtId="0" fontId="6" fillId="22" borderId="23" xfId="0" quotePrefix="0">
      <alignment horizontal="center" vertical="center"/>
    </xf>
    <xf numFmtId="26045" fontId="27" fillId="21" borderId="23" xfId="0" quotePrefix="0">
      <alignment horizontal="center" vertical="center"/>
    </xf>
    <xf numFmtId="0" fontId="39" fillId="25" borderId="23" xfId="0" quotePrefix="0">
      <alignment horizontal="center" vertical="center" textRotation="255"/>
    </xf>
    <xf numFmtId="0" fontId="31" fillId="11" borderId="23" xfId="0" quotePrefix="0">
      <alignment horizontal="center" vertical="center"/>
    </xf>
    <xf numFmtId="0" fontId="30" fillId="11" borderId="23" xfId="0" quotePrefix="0">
      <alignment horizontal="center" vertical="center"/>
    </xf>
    <xf numFmtId="0" fontId="6" fillId="24" borderId="23" xfId="0" quotePrefix="0">
      <alignment horizontal="center" vertical="center"/>
    </xf>
    <xf numFmtId="0" fontId="6" fillId="27" borderId="23" xfId="0" quotePrefix="0">
      <alignment horizontal="center" vertical="center"/>
    </xf>
    <xf numFmtId="26057" fontId="51" fillId="26" borderId="1" xfId="0" quotePrefix="0">
      <alignment horizontal="center" vertical="center"/>
    </xf>
    <xf numFmtId="0" fontId="0" fillId="0" borderId="1" xfId="0" quotePrefix="0">
      <alignment horizontal="center" vertical="center" wrapText="1"/>
    </xf>
    <xf numFmtId="0" fontId="0" fillId="0" borderId="1" xfId="0" quotePrefix="0">
      <alignment horizontal="center" vertical="center" wrapText="1"/>
    </xf>
    <xf numFmtId="0" fontId="0" fillId="0" borderId="24" xfId="0" quotePrefix="0"/>
    <xf numFmtId="0" fontId="61" fillId="3" borderId="23" xfId="0" quotePrefix="0">
      <alignment horizontal="right" vertical="center"/>
    </xf>
    <xf numFmtId="0" fontId="60" fillId="19" borderId="23" xfId="0" quotePrefix="0">
      <alignment horizontal="left" vertical="center" wrapText="1"/>
    </xf>
    <xf numFmtId="0" fontId="55" fillId="3" borderId="23" xfId="0" quotePrefix="0">
      <alignment vertical="center"/>
    </xf>
    <xf numFmtId="0" fontId="21" fillId="3" borderId="23" xfId="0" quotePrefix="0">
      <alignment vertical="center" wrapText="1"/>
    </xf>
    <xf numFmtId="26045" fontId="28" fillId="20" borderId="23" xfId="0" quotePrefix="0">
      <alignment horizontal="center" vertical="center" wrapText="1"/>
    </xf>
    <xf numFmtId="0" fontId="27" fillId="21" borderId="23" xfId="0" quotePrefix="0">
      <alignment horizontal="center" vertical="center" wrapText="1"/>
    </xf>
    <xf numFmtId="0" fontId="62" fillId="23" borderId="23" xfId="0" quotePrefix="0">
      <alignment horizontal="center" vertical="center"/>
    </xf>
    <xf numFmtId="0" fontId="9" fillId="28" borderId="23" xfId="0" quotePrefix="0">
      <alignment horizontal="center" vertical="center"/>
    </xf>
    <xf numFmtId="26045" fontId="29" fillId="26" borderId="23" xfId="0" quotePrefix="0">
      <alignment horizontal="center" vertical="center" wrapText="1"/>
    </xf>
    <xf numFmtId="0" fontId="27" fillId="13" borderId="23" xfId="0" quotePrefix="0">
      <alignment horizontal="center" vertical="center" wrapText="1"/>
    </xf>
    <xf numFmtId="0" fontId="47" fillId="27" borderId="23" xfId="0" quotePrefix="0">
      <alignment horizontal="center" vertical="center" wrapText="1"/>
    </xf>
    <xf numFmtId="0" fontId="0" fillId="0" borderId="1" xfId="0" quotePrefix="0"/>
    <xf numFmtId="0" fontId="0" fillId="0" borderId="1" xfId="0" quotePrefix="0">
      <alignment vertical="bottom" wrapText="1"/>
    </xf>
    <xf numFmtId="26057" fontId="63" fillId="26" borderId="1" xfId="0" quotePrefix="0">
      <alignment horizontal="center" vertical="center"/>
    </xf>
    <xf numFmtId="0" fontId="34" fillId="13" borderId="1" xfId="0" quotePrefix="0">
      <alignment horizontal="center" vertical="center"/>
    </xf>
    <xf numFmtId="0" fontId="28" fillId="20" borderId="23" xfId="0" quotePrefix="0">
      <alignment horizontal="center" vertical="center"/>
    </xf>
    <xf numFmtId="26043" fontId="47" fillId="27" borderId="23" xfId="0" quotePrefix="0">
      <alignment horizontal="left" vertical="center" indent="4"/>
    </xf>
    <xf numFmtId="26043" fontId="27" fillId="10" borderId="23" xfId="0" quotePrefix="0">
      <alignment horizontal="left" vertical="center" indent="4"/>
    </xf>
    <xf numFmtId="26043" fontId="28" fillId="20" borderId="1" xfId="0" quotePrefix="0">
      <alignment horizontal="center" vertical="center"/>
    </xf>
    <xf numFmtId="26043" fontId="50" fillId="13" borderId="1" xfId="0" quotePrefix="0">
      <alignment horizontal="center" vertical="center"/>
    </xf>
    <xf numFmtId="26043" fontId="64" fillId="0" borderId="1" xfId="0" quotePrefix="0">
      <alignment horizontal="center" vertical="bottom"/>
    </xf>
    <xf numFmtId="26071" fontId="51" fillId="26" borderId="1" xfId="0" quotePrefix="0">
      <alignment horizontal="center" vertical="center"/>
    </xf>
    <xf numFmtId="26071" fontId="63" fillId="26" borderId="1" xfId="0" quotePrefix="0">
      <alignment horizontal="center" vertical="center"/>
    </xf>
    <xf numFmtId="0" fontId="54" fillId="19" borderId="23" xfId="0" quotePrefix="0">
      <alignment horizontal="left" vertical="center"/>
    </xf>
    <xf numFmtId="26045" fontId="47" fillId="27" borderId="23" xfId="0" quotePrefix="0">
      <alignment horizontal="center" vertical="center"/>
    </xf>
    <xf numFmtId="26043" fontId="25" fillId="20" borderId="1" xfId="0" quotePrefix="0">
      <alignment horizontal="center" vertical="center"/>
    </xf>
    <xf numFmtId="26045" fontId="34" fillId="13" borderId="1" xfId="0" quotePrefix="0">
      <alignment horizontal="center" vertical="center"/>
    </xf>
    <xf numFmtId="0" fontId="9" fillId="3" borderId="23" xfId="0" quotePrefix="0">
      <alignment horizontal="center" vertical="center"/>
    </xf>
    <xf numFmtId="26043" fontId="34" fillId="13" borderId="1" xfId="0" quotePrefix="0">
      <alignment horizontal="center" vertical="center"/>
    </xf>
    <xf numFmtId="26043" fontId="63" fillId="26" borderId="1" xfId="0" quotePrefix="0">
      <alignment horizontal="center" vertical="center"/>
    </xf>
    <xf numFmtId="0" fontId="9" fillId="29" borderId="23" xfId="0" quotePrefix="0">
      <alignment horizontal="center" vertical="center"/>
    </xf>
    <xf numFmtId="0" fontId="9" fillId="24" borderId="23" xfId="0" quotePrefix="0">
      <alignment horizontal="center" vertical="center"/>
    </xf>
    <xf numFmtId="26043" fontId="0" fillId="0" borderId="1" xfId="0" quotePrefix="0"/>
    <xf numFmtId="0" fontId="16" fillId="3" borderId="1" xfId="0" quotePrefix="0">
      <alignment horizontal="center" vertical="center"/>
    </xf>
    <xf numFmtId="0" fontId="17" fillId="3" borderId="1" xfId="0" quotePrefix="0">
      <alignment horizontal="right" vertical="center"/>
    </xf>
    <xf numFmtId="0" fontId="1" fillId="5" borderId="1" xfId="0" quotePrefix="0">
      <alignment horizontal="left" vertical="center"/>
    </xf>
    <xf numFmtId="0" fontId="60" fillId="18" borderId="1" xfId="0" quotePrefix="0">
      <alignment horizontal="left" vertical="center"/>
    </xf>
    <xf numFmtId="0" fontId="54" fillId="19" borderId="1" xfId="0" quotePrefix="0">
      <alignment horizontal="left" vertical="center" wrapText="1"/>
    </xf>
    <xf numFmtId="0" fontId="20" fillId="3" borderId="1" xfId="0" quotePrefix="0">
      <alignment horizontal="center" vertical="center" wrapText="1"/>
    </xf>
    <xf numFmtId="0" fontId="55" fillId="3" borderId="1" xfId="0" quotePrefix="0">
      <alignment horizontal="center" vertical="center" wrapText="1"/>
    </xf>
    <xf numFmtId="0" fontId="24" fillId="20" borderId="1" xfId="0" quotePrefix="0">
      <alignment horizontal="center" vertical="center"/>
    </xf>
    <xf numFmtId="0" fontId="25" fillId="20" borderId="1" xfId="0" quotePrefix="0">
      <alignment horizontal="center" vertical="center"/>
    </xf>
    <xf numFmtId="0" fontId="57" fillId="20" borderId="1" xfId="0" quotePrefix="0">
      <alignment horizontal="left" vertical="center"/>
    </xf>
    <xf numFmtId="0" fontId="57" fillId="20" borderId="1" xfId="0" quotePrefix="0">
      <alignment horizontal="center" vertical="center"/>
    </xf>
    <xf numFmtId="26057" fontId="28" fillId="20" borderId="1" xfId="0" quotePrefix="0">
      <alignment horizontal="center" vertical="center"/>
    </xf>
    <xf numFmtId="0" fontId="57" fillId="20" borderId="1" xfId="0" quotePrefix="0">
      <alignment horizontal="left" vertical="center" wrapText="1"/>
    </xf>
    <xf numFmtId="0" fontId="27" fillId="21" borderId="1" xfId="0" quotePrefix="0">
      <alignment horizontal="center" vertical="center"/>
    </xf>
    <xf numFmtId="0" fontId="6" fillId="22" borderId="1" xfId="0" quotePrefix="0">
      <alignment horizontal="center" vertical="center"/>
    </xf>
    <xf numFmtId="0" fontId="34" fillId="21" borderId="1" xfId="0" quotePrefix="0">
      <alignment horizontal="left" vertical="center"/>
    </xf>
    <xf numFmtId="0" fontId="27" fillId="21" borderId="1" xfId="0" quotePrefix="0">
      <alignment horizontal="left" vertical="center"/>
    </xf>
    <xf numFmtId="0" fontId="36" fillId="23" borderId="1" xfId="0" quotePrefix="0">
      <alignment horizontal="center" vertical="center"/>
    </xf>
    <xf numFmtId="0" fontId="27" fillId="21" borderId="1" xfId="0" quotePrefix="0">
      <alignment horizontal="left" vertical="center" wrapText="1"/>
    </xf>
    <xf numFmtId="0" fontId="37" fillId="24" borderId="1" xfId="0" quotePrefix="0">
      <alignment horizontal="center" vertical="center"/>
    </xf>
    <xf numFmtId="0" fontId="29" fillId="11" borderId="1" xfId="0" quotePrefix="0">
      <alignment horizontal="center" vertical="center"/>
    </xf>
    <xf numFmtId="0" fontId="6" fillId="5" borderId="1" xfId="0" quotePrefix="0">
      <alignment horizontal="center" vertical="center"/>
    </xf>
    <xf numFmtId="0" fontId="59" fillId="23" borderId="1" xfId="0" quotePrefix="0">
      <alignment horizontal="left" vertical="center"/>
    </xf>
    <xf numFmtId="0" fontId="39" fillId="25" borderId="1" xfId="0" quotePrefix="0">
      <alignment horizontal="center" vertical="center" textRotation="255"/>
    </xf>
    <xf numFmtId="0" fontId="27" fillId="11" borderId="1" xfId="0" quotePrefix="0">
      <alignment horizontal="left" vertical="center"/>
    </xf>
    <xf numFmtId="0" fontId="27" fillId="11" borderId="1" xfId="0" quotePrefix="0">
      <alignment horizontal="center" vertical="center"/>
    </xf>
    <xf numFmtId="26057" fontId="29" fillId="26" borderId="1" xfId="0" quotePrefix="0">
      <alignment horizontal="center" vertical="center"/>
    </xf>
    <xf numFmtId="0" fontId="29" fillId="26" borderId="1" xfId="0" quotePrefix="0">
      <alignment horizontal="center" vertical="center"/>
    </xf>
    <xf numFmtId="0" fontId="44" fillId="23" borderId="1" xfId="0" quotePrefix="0">
      <alignment horizontal="center" vertical="center"/>
    </xf>
    <xf numFmtId="0" fontId="27" fillId="11" borderId="1" xfId="0" quotePrefix="0">
      <alignment horizontal="left" vertical="center" wrapText="1"/>
    </xf>
    <xf numFmtId="0" fontId="27" fillId="13" borderId="1" xfId="0" quotePrefix="0">
      <alignment horizontal="center" vertical="center"/>
    </xf>
    <xf numFmtId="0" fontId="6" fillId="27" borderId="1" xfId="0" quotePrefix="0">
      <alignment horizontal="center" vertical="center"/>
    </xf>
    <xf numFmtId="0" fontId="34" fillId="13" borderId="1" xfId="0" quotePrefix="0">
      <alignment horizontal="left" vertical="center"/>
    </xf>
    <xf numFmtId="0" fontId="27" fillId="13" borderId="1" xfId="0" quotePrefix="0">
      <alignment horizontal="left" vertical="center"/>
    </xf>
    <xf numFmtId="0" fontId="27" fillId="10" borderId="1" xfId="0" quotePrefix="0">
      <alignment horizontal="center" vertical="center"/>
    </xf>
    <xf numFmtId="0" fontId="34" fillId="10" borderId="1" xfId="0" quotePrefix="0">
      <alignment horizontal="left" vertical="center"/>
    </xf>
    <xf numFmtId="26057" fontId="47" fillId="27" borderId="1" xfId="0" quotePrefix="0">
      <alignment horizontal="center" vertical="center"/>
    </xf>
    <xf numFmtId="0" fontId="27" fillId="10" borderId="1" xfId="0" quotePrefix="0">
      <alignment horizontal="left" vertical="center"/>
    </xf>
    <xf numFmtId="0" fontId="65" fillId="18" borderId="1" xfId="0" quotePrefix="0">
      <alignment horizontal="left" vertical="center"/>
    </xf>
    <xf numFmtId="0" fontId="1" fillId="3" borderId="1" xfId="0" quotePrefix="0">
      <alignment horizontal="left" vertical="center"/>
    </xf>
    <xf numFmtId="0" fontId="66" fillId="18" borderId="1" xfId="0" quotePrefix="0">
      <alignment horizontal="left" vertical="center"/>
    </xf>
    <xf numFmtId="0" fontId="67" fillId="18" borderId="1" xfId="0" quotePrefix="0">
      <alignment horizontal="center" vertical="center"/>
    </xf>
    <xf numFmtId="0" fontId="3" fillId="3" borderId="1" xfId="0" quotePrefix="0">
      <alignment horizontal="center" vertical="center"/>
    </xf>
    <xf numFmtId="26057" fontId="68" fillId="21" borderId="1" xfId="0" quotePrefix="0">
      <alignment horizontal="center" vertical="center"/>
    </xf>
    <xf numFmtId="26057" fontId="68" fillId="11" borderId="1" xfId="0" quotePrefix="0">
      <alignment horizontal="center" vertical="center"/>
    </xf>
    <xf numFmtId="26057" fontId="68" fillId="26" borderId="1" xfId="0" quotePrefix="0">
      <alignment horizontal="center" vertical="center"/>
    </xf>
    <xf numFmtId="0" fontId="69" fillId="30" borderId="1" xfId="0" quotePrefix="0">
      <alignment horizontal="center" vertical="center"/>
    </xf>
    <xf numFmtId="0" fontId="6" fillId="24" borderId="1" xfId="0" quotePrefix="0">
      <alignment horizontal="center" vertical="center"/>
    </xf>
    <xf numFmtId="0" fontId="70" fillId="30" borderId="1" xfId="0" quotePrefix="0">
      <alignment horizontal="center" vertical="center"/>
    </xf>
  </cellXfs>
  <cellStyles count="2">
    <cellStyle name="Normal" xfId="0" builtinId="0"/>
    <cellStyle name="Currency" xfId="0" builtin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styles" Target="styles.xml"/><Relationship Id="rId45" Type="http://schemas.openxmlformats.org/officeDocument/2006/relationships/theme" Target="theme/theme1.xml"/><Relationship Id="rId4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8A12924-94B8-C9CB-E2DB-BCE8292BB7B8}" mc:Ignorable="x14ac xr xr2 xr3">
  <dimension ref="A1:AE52"/>
  <sheetViews>
    <sheetView showGridLines="0" topLeftCell="A1" workbookViewId="0">
      <pane ySplit="1" topLeftCell="A2" activePane="bottomLeft" state="frozen"/>
      <selection pane="bottomLeft" activeCell="O14" sqref="O14"/>
    </sheetView>
  </sheetViews>
  <sheetFormatPr defaultRowHeight="21.75" defaultColWidth="9.140625" customHeight="1"/>
  <cols>
    <col min="1" max="1" style="5" width="5.57421875" customWidth="1"/>
    <col min="2" max="2" style="5" width="24.57421875" customWidth="1"/>
    <col min="3" max="3" style="5" width="16.57421875" customWidth="1"/>
    <col min="4" max="4" style="5" width="8.7109375" customWidth="1"/>
    <col min="5" max="5" style="5" width="5.00390625" customWidth="1"/>
    <col min="6" max="6" style="5" width="17.140625" customWidth="1"/>
    <col min="7" max="7" style="5" width="19.8515625" customWidth="1"/>
    <col min="8" max="8" style="5" width="19.140625" customWidth="1"/>
    <col min="9" max="9" style="5" width="37.42187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21.75" customHeight="1">
      <c r="A2" s="3"/>
      <c r="B2" s="3"/>
      <c r="C2" s="3"/>
      <c r="D2" s="3"/>
      <c r="E2" s="3"/>
      <c r="F2" s="3"/>
      <c r="G2" s="3"/>
      <c r="H2" s="3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ht="21.75" customHeight="1" s="5" customForma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ht="21.75" customHeight="1" s="5" customForma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ht="21.75" customHeight="1" s="5" customForma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ht="21.75" customHeight="1" s="5" customForma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ht="15" customHeight="1" s="5" customFormat="1">
      <c r="A7" s="3"/>
      <c r="B7" s="3"/>
      <c r="C7" s="3"/>
      <c r="D7" s="3"/>
      <c r="E7" s="3"/>
      <c r="F7" s="3"/>
      <c r="G7" s="3"/>
      <c r="H7" s="3"/>
      <c r="I7" s="3"/>
      <c r="J7" s="3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ht="27.75" customHeight="1" s="5" customFormat="1">
      <c r="A8" s="7" t="s">
        <v>0</v>
      </c>
      <c r="B8" s="5"/>
      <c r="C8" s="5"/>
      <c r="D8" s="5"/>
      <c r="E8" s="5"/>
      <c r="F8" s="5"/>
      <c r="G8" s="5"/>
      <c r="H8" s="5"/>
      <c r="I8" s="5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ht="44.25" customHeight="1" s="5" customFormat="1">
      <c r="A9" s="9" t="s">
        <v>1</v>
      </c>
      <c r="B9" s="5"/>
      <c r="C9" s="5"/>
      <c r="D9" s="5"/>
      <c r="E9" s="5"/>
      <c r="F9" s="5"/>
      <c r="G9" s="5"/>
      <c r="H9" s="5"/>
      <c r="I9" s="5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ht="15" customHeight="1" s="5" customFormat="1">
      <c r="A10" s="10" t="s">
        <v>2</v>
      </c>
      <c r="B10" s="10" t="s">
        <v>3</v>
      </c>
      <c r="C10" s="10" t="s">
        <v>4</v>
      </c>
      <c r="D10" s="10" t="s">
        <v>5</v>
      </c>
      <c r="E10" s="10" t="s">
        <v>6</v>
      </c>
      <c r="F10" s="10" t="s">
        <v>7</v>
      </c>
      <c r="G10" s="10" t="s">
        <v>8</v>
      </c>
      <c r="H10" s="10" t="s">
        <v>9</v>
      </c>
      <c r="I10" s="11" t="s">
        <v>10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ht="15" customHeight="1" s="5" customFormat="1">
      <c r="A11" s="12">
        <v>1</v>
      </c>
      <c r="B11" s="13" t="s">
        <v>11</v>
      </c>
      <c r="C11" s="13" t="s">
        <v>12</v>
      </c>
      <c r="D11" s="12">
        <v>1974</v>
      </c>
      <c r="E11" s="12">
        <v>109</v>
      </c>
      <c r="F11" s="13" t="s">
        <v>13</v>
      </c>
      <c r="G11" s="13" t="s">
        <v>14</v>
      </c>
      <c r="H11" s="13" t="s">
        <v>15</v>
      </c>
      <c r="I11" s="13" t="s">
        <v>16</v>
      </c>
      <c r="J11" s="14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ht="15" customHeight="1" s="5" customFormat="1">
      <c r="A12" s="15">
        <v>2</v>
      </c>
      <c r="B12" s="16" t="s">
        <v>17</v>
      </c>
      <c r="C12" s="16" t="s">
        <v>18</v>
      </c>
      <c r="D12" s="15">
        <v>1971</v>
      </c>
      <c r="E12" s="15">
        <v>75</v>
      </c>
      <c r="F12" s="17" t="s">
        <v>19</v>
      </c>
      <c r="G12" s="16" t="s">
        <v>20</v>
      </c>
      <c r="H12" s="16" t="s">
        <v>15</v>
      </c>
      <c r="I12" s="16" t="s">
        <v>16</v>
      </c>
      <c r="J12" s="1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ht="15" customHeight="1" s="5" customFormat="1">
      <c r="A13" s="15">
        <v>3</v>
      </c>
      <c r="B13" s="16" t="s">
        <v>21</v>
      </c>
      <c r="C13" s="16" t="s">
        <v>22</v>
      </c>
      <c r="D13" s="15">
        <v>1968</v>
      </c>
      <c r="E13" s="15">
        <v>65</v>
      </c>
      <c r="F13" s="17" t="s">
        <v>19</v>
      </c>
      <c r="G13" s="16" t="s">
        <v>23</v>
      </c>
      <c r="H13" s="16" t="s">
        <v>24</v>
      </c>
      <c r="I13" s="16" t="s">
        <v>16</v>
      </c>
      <c r="J13" s="1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ht="15" customHeight="1" s="5" customFormat="1">
      <c r="A14" s="15">
        <v>4</v>
      </c>
      <c r="B14" s="16" t="s">
        <v>25</v>
      </c>
      <c r="C14" s="16" t="s">
        <v>26</v>
      </c>
      <c r="D14" s="15">
        <v>1969</v>
      </c>
      <c r="E14" s="15">
        <v>100</v>
      </c>
      <c r="F14" s="17" t="s">
        <v>19</v>
      </c>
      <c r="G14" s="16" t="s">
        <v>27</v>
      </c>
      <c r="H14" s="16" t="s">
        <v>15</v>
      </c>
      <c r="I14" s="16" t="s">
        <v>16</v>
      </c>
      <c r="J14" s="1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ht="15" customHeight="1" s="5" customFormat="1">
      <c r="A15" s="15">
        <v>5</v>
      </c>
      <c r="B15" s="16" t="s">
        <v>28</v>
      </c>
      <c r="C15" s="16" t="s">
        <v>29</v>
      </c>
      <c r="D15" s="15">
        <v>1999</v>
      </c>
      <c r="E15" s="15">
        <v>72</v>
      </c>
      <c r="F15" s="17" t="s">
        <v>19</v>
      </c>
      <c r="G15" s="16" t="s">
        <v>30</v>
      </c>
      <c r="H15" s="16" t="s">
        <v>31</v>
      </c>
      <c r="I15" s="16" t="s">
        <v>16</v>
      </c>
      <c r="J15" s="1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ht="15" customHeight="1" s="5" customFormat="1">
      <c r="A16" s="15">
        <v>6</v>
      </c>
      <c r="B16" s="16" t="s">
        <v>32</v>
      </c>
      <c r="C16" s="16" t="s">
        <v>33</v>
      </c>
      <c r="D16" s="15">
        <v>1951</v>
      </c>
      <c r="E16" s="15">
        <v>115</v>
      </c>
      <c r="F16" s="17" t="s">
        <v>19</v>
      </c>
      <c r="G16" s="16" t="s">
        <v>34</v>
      </c>
      <c r="H16" s="16" t="s">
        <v>35</v>
      </c>
      <c r="I16" s="16" t="s">
        <v>16</v>
      </c>
      <c r="J16" s="1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ht="15" customHeight="1" s="5" customFormat="1">
      <c r="A17" s="15">
        <v>7</v>
      </c>
      <c r="B17" s="16" t="s">
        <v>36</v>
      </c>
      <c r="C17" s="16" t="s">
        <v>37</v>
      </c>
      <c r="D17" s="15">
        <v>1985</v>
      </c>
      <c r="E17" s="15">
        <v>68</v>
      </c>
      <c r="F17" s="17" t="s">
        <v>19</v>
      </c>
      <c r="G17" s="16" t="s">
        <v>38</v>
      </c>
      <c r="H17" s="16" t="s">
        <v>39</v>
      </c>
      <c r="I17" s="16" t="s">
        <v>16</v>
      </c>
      <c r="J17" s="1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ht="15" customHeight="1" s="5" customFormat="1">
      <c r="A18" s="15">
        <v>8</v>
      </c>
      <c r="B18" s="16" t="s">
        <v>40</v>
      </c>
      <c r="C18" s="16" t="s">
        <v>33</v>
      </c>
      <c r="D18" s="15">
        <v>1977</v>
      </c>
      <c r="E18" s="15">
        <v>80</v>
      </c>
      <c r="F18" s="17" t="s">
        <v>19</v>
      </c>
      <c r="G18" s="16" t="s">
        <v>41</v>
      </c>
      <c r="H18" s="16" t="s">
        <v>24</v>
      </c>
      <c r="I18" s="16" t="s">
        <v>16</v>
      </c>
      <c r="J18" s="1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ht="15" customHeight="1" s="5" customFormat="1">
      <c r="A19" s="15">
        <v>9</v>
      </c>
      <c r="B19" s="16" t="s">
        <v>42</v>
      </c>
      <c r="C19" s="16" t="s">
        <v>33</v>
      </c>
      <c r="D19" s="15">
        <v>1975</v>
      </c>
      <c r="E19" s="15">
        <v>168</v>
      </c>
      <c r="F19" s="17" t="s">
        <v>19</v>
      </c>
      <c r="G19" s="16" t="s">
        <v>43</v>
      </c>
      <c r="H19" s="16" t="s">
        <v>15</v>
      </c>
      <c r="I19" s="16" t="s">
        <v>16</v>
      </c>
      <c r="J19" s="1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ht="15" customHeight="1" s="5" customFormat="1">
      <c r="A20" s="15">
        <v>10</v>
      </c>
      <c r="B20" s="16" t="s">
        <v>44</v>
      </c>
      <c r="C20" s="16" t="s">
        <v>45</v>
      </c>
      <c r="D20" s="15">
        <v>1996</v>
      </c>
      <c r="E20" s="15">
        <v>160</v>
      </c>
      <c r="F20" s="17" t="s">
        <v>19</v>
      </c>
      <c r="G20" s="16" t="s">
        <v>46</v>
      </c>
      <c r="H20" s="16" t="s">
        <v>31</v>
      </c>
      <c r="I20" s="16" t="s">
        <v>16</v>
      </c>
      <c r="J20" s="1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ht="15" customHeight="1" s="5" customFormat="1">
      <c r="A21" s="12">
        <v>11</v>
      </c>
      <c r="B21" s="13" t="s">
        <v>47</v>
      </c>
      <c r="C21" s="13" t="s">
        <v>48</v>
      </c>
      <c r="D21" s="12">
        <v>1997</v>
      </c>
      <c r="E21" s="12">
        <v>66</v>
      </c>
      <c r="F21" s="13" t="s">
        <v>49</v>
      </c>
      <c r="G21" s="13" t="s">
        <v>50</v>
      </c>
      <c r="H21" s="13" t="s">
        <v>51</v>
      </c>
      <c r="I21" s="13" t="s">
        <v>16</v>
      </c>
      <c r="J21" s="14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ht="15" customHeight="1" s="5" customFormat="1">
      <c r="A22" s="12">
        <v>12</v>
      </c>
      <c r="B22" s="13" t="s">
        <v>52</v>
      </c>
      <c r="C22" s="13" t="s">
        <v>53</v>
      </c>
      <c r="D22" s="12">
        <v>1997</v>
      </c>
      <c r="E22" s="12">
        <v>61</v>
      </c>
      <c r="F22" s="13" t="s">
        <v>49</v>
      </c>
      <c r="G22" s="13" t="s">
        <v>54</v>
      </c>
      <c r="H22" s="13" t="s">
        <v>51</v>
      </c>
      <c r="I22" s="13" t="s">
        <v>16</v>
      </c>
      <c r="J22" s="14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ht="15" customHeight="1" s="5" customFormat="1">
      <c r="A23" s="12">
        <v>13</v>
      </c>
      <c r="B23" s="13" t="s">
        <v>55</v>
      </c>
      <c r="C23" s="13" t="s">
        <v>48</v>
      </c>
      <c r="D23" s="12">
        <v>2001</v>
      </c>
      <c r="E23" s="12">
        <v>112</v>
      </c>
      <c r="F23" s="13" t="s">
        <v>49</v>
      </c>
      <c r="G23" s="13" t="s">
        <v>56</v>
      </c>
      <c r="H23" s="13" t="s">
        <v>24</v>
      </c>
      <c r="I23" s="13" t="s">
        <v>16</v>
      </c>
      <c r="J23" s="14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ht="15" customHeight="1" s="5" customFormat="1">
      <c r="A24" s="12">
        <v>14</v>
      </c>
      <c r="B24" s="13" t="s">
        <v>57</v>
      </c>
      <c r="C24" s="13" t="s">
        <v>53</v>
      </c>
      <c r="D24" s="12">
        <v>1998</v>
      </c>
      <c r="E24" s="12">
        <v>60</v>
      </c>
      <c r="F24" s="13" t="s">
        <v>13</v>
      </c>
      <c r="G24" s="13" t="s">
        <v>58</v>
      </c>
      <c r="H24" s="13" t="s">
        <v>24</v>
      </c>
      <c r="I24" s="13" t="s">
        <v>16</v>
      </c>
      <c r="J24" s="14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ht="15" customHeight="1" s="5" customFormat="1">
      <c r="A25" s="12">
        <v>15</v>
      </c>
      <c r="B25" s="13" t="s">
        <v>59</v>
      </c>
      <c r="C25" s="13" t="s">
        <v>60</v>
      </c>
      <c r="D25" s="12">
        <v>1978</v>
      </c>
      <c r="E25" s="12">
        <v>136</v>
      </c>
      <c r="F25" s="13" t="s">
        <v>13</v>
      </c>
      <c r="G25" s="13" t="s">
        <v>61</v>
      </c>
      <c r="H25" s="13" t="s">
        <v>15</v>
      </c>
      <c r="I25" s="13" t="s">
        <v>16</v>
      </c>
      <c r="J25" s="14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ht="15" customHeight="1" s="5" customFormat="1">
      <c r="A26" s="15">
        <v>16</v>
      </c>
      <c r="B26" s="16" t="s">
        <v>62</v>
      </c>
      <c r="C26" s="16" t="s">
        <v>63</v>
      </c>
      <c r="D26" s="15">
        <v>1973</v>
      </c>
      <c r="E26" s="15" t="s">
        <v>64</v>
      </c>
      <c r="F26" s="17" t="s">
        <v>19</v>
      </c>
      <c r="G26" s="16" t="s">
        <v>65</v>
      </c>
      <c r="H26" s="16" t="s">
        <v>39</v>
      </c>
      <c r="I26" s="16" t="s">
        <v>16</v>
      </c>
      <c r="J26" s="1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ht="15" customHeight="1" s="5" customFormat="1">
      <c r="A27" s="15">
        <v>17</v>
      </c>
      <c r="B27" s="16" t="s">
        <v>66</v>
      </c>
      <c r="C27" s="16" t="s">
        <v>67</v>
      </c>
      <c r="D27" s="15">
        <v>1968</v>
      </c>
      <c r="E27" s="15">
        <v>276</v>
      </c>
      <c r="F27" s="17" t="s">
        <v>19</v>
      </c>
      <c r="G27" s="16" t="s">
        <v>68</v>
      </c>
      <c r="H27" s="16" t="s">
        <v>24</v>
      </c>
      <c r="I27" s="16" t="s">
        <v>16</v>
      </c>
      <c r="J27" s="1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ht="15" customHeight="1" s="5" customFormat="1">
      <c r="A28" s="12">
        <v>18</v>
      </c>
      <c r="B28" s="13" t="s">
        <v>69</v>
      </c>
      <c r="C28" s="13" t="s">
        <v>70</v>
      </c>
      <c r="D28" s="12">
        <v>2000</v>
      </c>
      <c r="E28" s="12">
        <v>73</v>
      </c>
      <c r="F28" s="13" t="s">
        <v>49</v>
      </c>
      <c r="G28" s="13" t="s">
        <v>71</v>
      </c>
      <c r="H28" s="13" t="s">
        <v>72</v>
      </c>
      <c r="I28" s="13" t="s">
        <v>16</v>
      </c>
      <c r="J28" s="14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ht="15" customHeight="1" s="5" customFormat="1">
      <c r="A29" s="12">
        <v>19</v>
      </c>
      <c r="B29" s="13" t="s">
        <v>73</v>
      </c>
      <c r="C29" s="13" t="s">
        <v>70</v>
      </c>
      <c r="D29" s="12">
        <v>2000</v>
      </c>
      <c r="E29" s="12">
        <v>48</v>
      </c>
      <c r="F29" s="13" t="s">
        <v>49</v>
      </c>
      <c r="G29" s="13" t="s">
        <v>74</v>
      </c>
      <c r="H29" s="13" t="s">
        <v>75</v>
      </c>
      <c r="I29" s="13" t="s">
        <v>16</v>
      </c>
      <c r="J29" s="14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ht="15" customHeight="1" s="5" customFormat="1">
      <c r="A30" s="15">
        <v>20</v>
      </c>
      <c r="B30" s="16" t="s">
        <v>76</v>
      </c>
      <c r="C30" s="16" t="s">
        <v>77</v>
      </c>
      <c r="D30" s="15">
        <v>1975</v>
      </c>
      <c r="E30" s="15">
        <v>107</v>
      </c>
      <c r="F30" s="17" t="s">
        <v>19</v>
      </c>
      <c r="G30" s="16" t="s">
        <v>78</v>
      </c>
      <c r="H30" s="16" t="s">
        <v>24</v>
      </c>
      <c r="I30" s="16" t="s">
        <v>16</v>
      </c>
      <c r="J30" s="1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ht="15" customHeight="1" s="5" customFormat="1">
      <c r="A31" s="15">
        <v>21</v>
      </c>
      <c r="B31" s="16" t="s">
        <v>79</v>
      </c>
      <c r="C31" s="16" t="s">
        <v>67</v>
      </c>
      <c r="D31" s="15">
        <v>1968</v>
      </c>
      <c r="E31" s="15">
        <v>173</v>
      </c>
      <c r="F31" s="17" t="s">
        <v>19</v>
      </c>
      <c r="G31" s="16" t="s">
        <v>80</v>
      </c>
      <c r="H31" s="16" t="s">
        <v>72</v>
      </c>
      <c r="I31" s="16" t="s">
        <v>16</v>
      </c>
      <c r="J31" s="1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ht="15" customHeight="1" s="5" customFormat="1">
      <c r="A32" s="12">
        <v>22</v>
      </c>
      <c r="B32" s="13" t="s">
        <v>81</v>
      </c>
      <c r="C32" s="13" t="s">
        <v>82</v>
      </c>
      <c r="D32" s="12">
        <v>1995</v>
      </c>
      <c r="E32" s="12">
        <v>120</v>
      </c>
      <c r="F32" s="13" t="s">
        <v>49</v>
      </c>
      <c r="G32" s="13" t="s">
        <v>83</v>
      </c>
      <c r="H32" s="13" t="s">
        <v>24</v>
      </c>
      <c r="I32" s="13" t="s">
        <v>16</v>
      </c>
      <c r="J32" s="14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ht="15" customHeight="1" s="5" customFormat="1">
      <c r="A33" s="12">
        <v>23</v>
      </c>
      <c r="B33" s="13" t="s">
        <v>84</v>
      </c>
      <c r="C33" s="13" t="s">
        <v>85</v>
      </c>
      <c r="D33" s="12">
        <v>1998</v>
      </c>
      <c r="E33" s="12">
        <v>134</v>
      </c>
      <c r="F33" s="13" t="s">
        <v>49</v>
      </c>
      <c r="G33" s="13" t="s">
        <v>86</v>
      </c>
      <c r="H33" s="13" t="s">
        <v>87</v>
      </c>
      <c r="I33" s="13" t="s">
        <v>16</v>
      </c>
      <c r="J33" s="14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ht="15" customHeight="1" s="5" customFormat="1">
      <c r="A34" s="12">
        <v>24</v>
      </c>
      <c r="B34" s="13" t="s">
        <v>88</v>
      </c>
      <c r="C34" s="13" t="s">
        <v>89</v>
      </c>
      <c r="D34" s="12">
        <v>2000</v>
      </c>
      <c r="E34" s="12">
        <v>27</v>
      </c>
      <c r="F34" s="13" t="s">
        <v>49</v>
      </c>
      <c r="G34" s="13" t="s">
        <v>90</v>
      </c>
      <c r="H34" s="13" t="s">
        <v>75</v>
      </c>
      <c r="I34" s="13" t="s">
        <v>16</v>
      </c>
      <c r="J34" s="14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ht="15" customHeight="1" s="5" customFormat="1">
      <c r="A35" s="12">
        <v>25</v>
      </c>
      <c r="B35" s="13" t="s">
        <v>91</v>
      </c>
      <c r="C35" s="13" t="s">
        <v>92</v>
      </c>
      <c r="D35" s="12">
        <v>2000</v>
      </c>
      <c r="E35" s="12">
        <v>60</v>
      </c>
      <c r="F35" s="13" t="s">
        <v>49</v>
      </c>
      <c r="G35" s="13" t="s">
        <v>93</v>
      </c>
      <c r="H35" s="13" t="s">
        <v>72</v>
      </c>
      <c r="I35" s="13" t="s">
        <v>16</v>
      </c>
      <c r="J35" s="14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ht="15" customHeight="1" s="5" customFormat="1">
      <c r="A36" s="12">
        <v>26</v>
      </c>
      <c r="B36" s="13" t="s">
        <v>94</v>
      </c>
      <c r="C36" s="13" t="s">
        <v>95</v>
      </c>
      <c r="D36" s="12">
        <v>1995</v>
      </c>
      <c r="E36" s="12">
        <v>121</v>
      </c>
      <c r="F36" s="13" t="s">
        <v>13</v>
      </c>
      <c r="G36" s="13" t="s">
        <v>96</v>
      </c>
      <c r="H36" s="13" t="s">
        <v>15</v>
      </c>
      <c r="I36" s="13" t="s">
        <v>16</v>
      </c>
      <c r="J36" s="14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ht="15" customHeight="1" s="5" customFormat="1">
      <c r="A37" s="15">
        <v>27</v>
      </c>
      <c r="B37" s="16" t="s">
        <v>97</v>
      </c>
      <c r="C37" s="16" t="s">
        <v>92</v>
      </c>
      <c r="D37" s="15">
        <v>2001</v>
      </c>
      <c r="E37" s="15">
        <v>152</v>
      </c>
      <c r="F37" s="17" t="s">
        <v>19</v>
      </c>
      <c r="G37" s="16" t="s">
        <v>98</v>
      </c>
      <c r="H37" s="16" t="s">
        <v>39</v>
      </c>
      <c r="I37" s="16" t="s">
        <v>16</v>
      </c>
      <c r="J37" s="1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ht="15" customHeight="1" s="5" customFormat="1">
      <c r="A38" s="15">
        <v>28</v>
      </c>
      <c r="B38" s="16" t="s">
        <v>99</v>
      </c>
      <c r="C38" s="16" t="s">
        <v>92</v>
      </c>
      <c r="D38" s="15">
        <v>2001</v>
      </c>
      <c r="E38" s="15">
        <v>48</v>
      </c>
      <c r="F38" s="17" t="s">
        <v>19</v>
      </c>
      <c r="G38" s="16" t="s">
        <v>100</v>
      </c>
      <c r="H38" s="16" t="s">
        <v>39</v>
      </c>
      <c r="I38" s="16" t="s">
        <v>16</v>
      </c>
      <c r="J38" s="1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ht="15" customHeight="1" s="5" customFormat="1">
      <c r="A39" s="15">
        <v>29</v>
      </c>
      <c r="B39" s="16" t="s">
        <v>101</v>
      </c>
      <c r="C39" s="16" t="s">
        <v>92</v>
      </c>
      <c r="D39" s="15">
        <v>2001</v>
      </c>
      <c r="E39" s="15">
        <v>48</v>
      </c>
      <c r="F39" s="17" t="s">
        <v>19</v>
      </c>
      <c r="G39" s="16" t="s">
        <v>102</v>
      </c>
      <c r="H39" s="16" t="s">
        <v>39</v>
      </c>
      <c r="I39" s="16" t="s">
        <v>16</v>
      </c>
      <c r="J39" s="1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ht="15" customHeight="1" s="5" customFormat="1">
      <c r="A40" s="15">
        <v>30</v>
      </c>
      <c r="B40" s="16" t="s">
        <v>103</v>
      </c>
      <c r="C40" s="16" t="s">
        <v>104</v>
      </c>
      <c r="D40" s="15">
        <v>1980</v>
      </c>
      <c r="E40" s="15">
        <v>80</v>
      </c>
      <c r="F40" s="17" t="s">
        <v>19</v>
      </c>
      <c r="G40" s="16" t="s">
        <v>105</v>
      </c>
      <c r="H40" s="16" t="s">
        <v>75</v>
      </c>
      <c r="I40" s="16" t="s">
        <v>16</v>
      </c>
      <c r="J40" s="1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ht="15" customHeight="1" s="5" customFormat="1">
      <c r="A41" s="15">
        <v>31</v>
      </c>
      <c r="B41" s="16" t="s">
        <v>106</v>
      </c>
      <c r="C41" s="16" t="s">
        <v>107</v>
      </c>
      <c r="D41" s="15">
        <v>1965</v>
      </c>
      <c r="E41" s="15">
        <v>46</v>
      </c>
      <c r="F41" s="17" t="s">
        <v>19</v>
      </c>
      <c r="G41" s="16" t="s">
        <v>108</v>
      </c>
      <c r="H41" s="16" t="s">
        <v>109</v>
      </c>
      <c r="I41" s="16" t="s">
        <v>16</v>
      </c>
      <c r="J41" s="1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ht="15" customHeight="1" s="5" customFormat="1">
      <c r="A42" s="12">
        <v>32</v>
      </c>
      <c r="B42" s="13" t="s">
        <v>110</v>
      </c>
      <c r="C42" s="13" t="s">
        <v>107</v>
      </c>
      <c r="D42" s="12">
        <v>1970</v>
      </c>
      <c r="E42" s="12">
        <v>60</v>
      </c>
      <c r="F42" s="13" t="s">
        <v>49</v>
      </c>
      <c r="G42" s="13" t="s">
        <v>111</v>
      </c>
      <c r="H42" s="13" t="s">
        <v>112</v>
      </c>
      <c r="I42" s="13" t="s">
        <v>16</v>
      </c>
      <c r="J42" s="14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ht="15" customHeight="1" s="5" customFormat="1">
      <c r="A43" s="12">
        <v>33</v>
      </c>
      <c r="B43" s="13" t="s">
        <v>113</v>
      </c>
      <c r="C43" s="13" t="s">
        <v>107</v>
      </c>
      <c r="D43" s="12">
        <v>1970</v>
      </c>
      <c r="E43" s="12">
        <v>32</v>
      </c>
      <c r="F43" s="13" t="s">
        <v>49</v>
      </c>
      <c r="G43" s="13" t="s">
        <v>114</v>
      </c>
      <c r="H43" s="13" t="s">
        <v>109</v>
      </c>
      <c r="I43" s="13" t="s">
        <v>16</v>
      </c>
      <c r="J43" s="14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ht="15" customHeight="1" s="5" customFormat="1">
      <c r="A44" s="12">
        <v>34</v>
      </c>
      <c r="B44" s="13" t="s">
        <v>115</v>
      </c>
      <c r="C44" s="13" t="s">
        <v>116</v>
      </c>
      <c r="D44" s="12">
        <v>1998</v>
      </c>
      <c r="E44" s="12">
        <v>80</v>
      </c>
      <c r="F44" s="13" t="s">
        <v>49</v>
      </c>
      <c r="G44" s="13" t="s">
        <v>117</v>
      </c>
      <c r="H44" s="13" t="s">
        <v>31</v>
      </c>
      <c r="I44" s="13" t="s">
        <v>16</v>
      </c>
      <c r="J44" s="14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ht="15" customHeight="1" s="5" customFormat="1">
      <c r="A45" s="12">
        <v>35</v>
      </c>
      <c r="B45" s="13" t="s">
        <v>118</v>
      </c>
      <c r="C45" s="13" t="s">
        <v>116</v>
      </c>
      <c r="D45" s="12">
        <v>1998</v>
      </c>
      <c r="E45" s="12">
        <v>80</v>
      </c>
      <c r="F45" s="13" t="s">
        <v>49</v>
      </c>
      <c r="G45" s="13" t="s">
        <v>119</v>
      </c>
      <c r="H45" s="13" t="s">
        <v>31</v>
      </c>
      <c r="I45" s="13" t="s">
        <v>16</v>
      </c>
      <c r="J45" s="14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ht="15" customHeight="1" s="5" customFormat="1">
      <c r="A46" s="12">
        <v>36</v>
      </c>
      <c r="B46" s="13" t="s">
        <v>120</v>
      </c>
      <c r="C46" s="13" t="s">
        <v>121</v>
      </c>
      <c r="D46" s="12">
        <v>2000</v>
      </c>
      <c r="E46" s="12">
        <v>80</v>
      </c>
      <c r="F46" s="13" t="s">
        <v>49</v>
      </c>
      <c r="G46" s="13" t="s">
        <v>122</v>
      </c>
      <c r="H46" s="13" t="s">
        <v>24</v>
      </c>
      <c r="I46" s="13" t="s">
        <v>16</v>
      </c>
      <c r="J46" s="14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ht="15" customHeight="1" s="5" customFormat="1">
      <c r="A47" s="12">
        <v>37</v>
      </c>
      <c r="B47" s="13" t="s">
        <v>123</v>
      </c>
      <c r="C47" s="13" t="s">
        <v>121</v>
      </c>
      <c r="D47" s="12">
        <v>2000</v>
      </c>
      <c r="E47" s="12">
        <v>60</v>
      </c>
      <c r="F47" s="13" t="s">
        <v>49</v>
      </c>
      <c r="G47" s="13" t="s">
        <v>124</v>
      </c>
      <c r="H47" s="13" t="s">
        <v>24</v>
      </c>
      <c r="I47" s="13" t="s">
        <v>16</v>
      </c>
      <c r="J47" s="14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ht="15" customHeight="1" s="5" customFormat="1">
      <c r="A48" s="12">
        <v>38</v>
      </c>
      <c r="B48" s="13" t="s">
        <v>125</v>
      </c>
      <c r="C48" s="13" t="s">
        <v>126</v>
      </c>
      <c r="D48" s="12">
        <v>2000</v>
      </c>
      <c r="E48" s="12">
        <v>80</v>
      </c>
      <c r="F48" s="13" t="s">
        <v>49</v>
      </c>
      <c r="G48" s="13" t="s">
        <v>127</v>
      </c>
      <c r="H48" s="13" t="s">
        <v>15</v>
      </c>
      <c r="I48" s="13" t="s">
        <v>16</v>
      </c>
      <c r="J48" s="14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 ht="15" customHeight="1" s="5" customFormat="1">
      <c r="A49" s="15">
        <v>39</v>
      </c>
      <c r="B49" s="16" t="s">
        <v>128</v>
      </c>
      <c r="C49" s="16" t="s">
        <v>121</v>
      </c>
      <c r="D49" s="15">
        <v>1995</v>
      </c>
      <c r="E49" s="15">
        <v>123</v>
      </c>
      <c r="F49" s="17" t="s">
        <v>19</v>
      </c>
      <c r="G49" s="16" t="s">
        <v>129</v>
      </c>
      <c r="H49" s="16" t="s">
        <v>35</v>
      </c>
      <c r="I49" s="16" t="s">
        <v>16</v>
      </c>
      <c r="J49" s="1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ht="15" customHeight="1" s="5" customFormat="1">
      <c r="A50" s="12">
        <v>41</v>
      </c>
      <c r="B50" s="13" t="s">
        <v>130</v>
      </c>
      <c r="C50" s="13" t="s">
        <v>131</v>
      </c>
      <c r="D50" s="12">
        <v>1971</v>
      </c>
      <c r="E50" s="12">
        <v>100</v>
      </c>
      <c r="F50" s="13" t="s">
        <v>13</v>
      </c>
      <c r="G50" s="13" t="s">
        <v>132</v>
      </c>
      <c r="H50" s="13" t="s">
        <v>39</v>
      </c>
      <c r="I50" s="13" t="s">
        <v>16</v>
      </c>
      <c r="J50" s="14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ht="15" customHeight="1" s="5" customFormat="1">
      <c r="A51" s="15">
        <v>42</v>
      </c>
      <c r="B51" s="16" t="s">
        <v>133</v>
      </c>
      <c r="C51" s="16" t="s">
        <v>134</v>
      </c>
      <c r="D51" s="15">
        <v>1975</v>
      </c>
      <c r="E51" s="15">
        <v>100</v>
      </c>
      <c r="F51" s="17" t="s">
        <v>19</v>
      </c>
      <c r="G51" s="16" t="s">
        <v>135</v>
      </c>
      <c r="H51" s="16" t="s">
        <v>39</v>
      </c>
      <c r="I51" s="16" t="s">
        <v>16</v>
      </c>
      <c r="J51" s="1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ht="15" customHeight="1" s="5" customFormat="1">
      <c r="A52" s="12">
        <v>43</v>
      </c>
      <c r="B52" s="13" t="s">
        <v>136</v>
      </c>
      <c r="C52" s="13"/>
      <c r="D52" s="12"/>
      <c r="E52" s="12"/>
      <c r="F52" s="13"/>
      <c r="G52" s="13"/>
      <c r="H52" s="13"/>
      <c r="I52" s="13"/>
      <c r="J52" s="14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</sheetData>
  <mergeCells>
    <mergeCell ref="A8:J8"/>
    <mergeCell ref="A9:J9"/>
    <mergeCell ref="I10:J10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08F0B8B-728E-907A-CF68-16E6A67D4FEC}" mc:Ignorable="x14ac xr xr2 xr3">
  <dimension ref="A1:BA502"/>
  <sheetViews>
    <sheetView showGridLines="0" topLeftCell="A1" workbookViewId="0">
      <pane ySplit="1" topLeftCell="A2" activePane="bottomLeft" state="frozen"/>
      <selection pane="bottomLeft" activeCell="A8" sqref="A8:I8"/>
    </sheetView>
  </sheetViews>
  <sheetFormatPr defaultRowHeight="21.75" defaultColWidth="9.140625" customHeight="1"/>
  <cols>
    <col min="1" max="1" style="5" width="2.421875" customWidth="1"/>
    <col min="2" max="2" style="5" width="15.00390625" customWidth="1"/>
    <col min="3" max="3" style="5" width="5.57421875" customWidth="1"/>
    <col min="4" max="8" style="5" width="5.8515625" customWidth="1"/>
    <col min="9" max="9" style="5" width="5.140625" customWidth="1"/>
    <col min="10" max="10" style="5" width="9.140625" customWidth="1"/>
    <col min="11" max="11" style="5" width="28.00390625" customWidth="1"/>
    <col min="12" max="12" style="5" width="10.57421875" customWidth="1"/>
    <col min="13" max="13" style="5" width="15.28125" customWidth="1"/>
    <col min="14" max="14" style="5" width="9.140625" customWidth="1"/>
    <col min="15" max="15" style="5" width="25.8515625" customWidth="1"/>
    <col min="16" max="16" style="5" width="10.57421875" customWidth="1"/>
    <col min="17" max="17" style="5" width="15.28125" customWidth="1"/>
    <col min="18" max="18" style="5" width="9.140625" customWidth="1"/>
    <col min="19" max="19" style="5" width="25.8515625" customWidth="1"/>
    <col min="20" max="20" style="5" width="10.57421875" customWidth="1"/>
    <col min="21" max="21" style="5" width="15.2812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ht="21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</row>
    <row r="3" ht="21.75" customHeight="1" s="5" customForma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</row>
    <row r="4" ht="21.75" customHeight="1" s="5" customForma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</row>
    <row r="5" ht="21.75" customHeight="1" s="5" customForma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</row>
    <row r="6" ht="21.75" customHeight="1" s="5" customForma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</row>
    <row r="7" ht="21.75" customHeight="1" s="5" customForma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</row>
    <row r="8" ht="8.25" customHeight="1" s="5" customForma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ht="39.75" customHeight="1" s="5" customFormat="1">
      <c r="A9" s="19" t="s">
        <v>137</v>
      </c>
      <c r="B9" s="5"/>
      <c r="C9" s="5"/>
      <c r="D9" s="5"/>
      <c r="E9" s="5"/>
      <c r="F9" s="5"/>
      <c r="G9" s="5"/>
      <c r="H9" s="5"/>
      <c r="I9" s="5"/>
      <c r="J9" s="20"/>
      <c r="K9" s="21" t="s">
        <v>138</v>
      </c>
      <c r="L9" s="21" t="s">
        <v>139</v>
      </c>
      <c r="M9" s="21" t="s">
        <v>140</v>
      </c>
      <c r="N9" s="22"/>
      <c r="O9" s="21" t="s">
        <v>138</v>
      </c>
      <c r="P9" s="21" t="s">
        <v>139</v>
      </c>
      <c r="Q9" s="21" t="s">
        <v>140</v>
      </c>
      <c r="R9" s="22"/>
      <c r="S9" s="21" t="s">
        <v>138</v>
      </c>
      <c r="T9" s="21" t="s">
        <v>139</v>
      </c>
      <c r="U9" s="21" t="s">
        <v>140</v>
      </c>
    </row>
    <row r="10" ht="18" customHeight="1" s="5" customFormat="1">
      <c r="A10" s="23" t="s">
        <v>141</v>
      </c>
      <c r="B10" s="5"/>
      <c r="C10" s="5"/>
      <c r="D10" s="5"/>
      <c r="E10" s="5"/>
      <c r="F10" s="5"/>
      <c r="G10" s="5"/>
      <c r="H10" s="5"/>
      <c r="I10" s="5"/>
      <c r="J10" s="24"/>
      <c r="K10" s="25" t="s">
        <v>142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</row>
    <row r="11" ht="27.75" customHeight="1" s="5" customFormat="1">
      <c r="A11" s="27" t="s">
        <v>143</v>
      </c>
      <c r="B11" s="27" t="s">
        <v>3</v>
      </c>
      <c r="C11" s="27" t="s">
        <v>144</v>
      </c>
      <c r="D11" s="27" t="s">
        <v>145</v>
      </c>
      <c r="E11" s="27" t="s">
        <v>146</v>
      </c>
      <c r="F11" s="27" t="s">
        <v>147</v>
      </c>
      <c r="G11" s="27" t="s">
        <v>148</v>
      </c>
      <c r="H11" s="27" t="s">
        <v>149</v>
      </c>
      <c r="I11" s="27" t="s">
        <v>150</v>
      </c>
      <c r="J11" s="28"/>
      <c r="K11" s="29" t="s">
        <v>14</v>
      </c>
      <c r="L11" s="30" t="s">
        <v>151</v>
      </c>
      <c r="M11" s="31">
        <v>1736</v>
      </c>
      <c r="N11" s="28"/>
      <c r="O11" s="29" t="s">
        <v>71</v>
      </c>
      <c r="P11" s="30" t="s">
        <v>152</v>
      </c>
      <c r="Q11" s="31">
        <v>1223</v>
      </c>
      <c r="R11" s="28"/>
      <c r="S11" s="29" t="s">
        <v>122</v>
      </c>
      <c r="T11" s="30" t="s">
        <v>151</v>
      </c>
      <c r="U11" s="31">
        <v>1364</v>
      </c>
    </row>
    <row r="12" ht="21.75" customHeight="1" s="5" customFormat="1">
      <c r="A12" s="32" t="s">
        <v>153</v>
      </c>
      <c r="B12" s="33" t="s">
        <v>11</v>
      </c>
      <c r="C12" s="34" t="s">
        <v>154</v>
      </c>
      <c r="D12" s="34" t="s">
        <v>154</v>
      </c>
      <c r="E12" s="35">
        <v>1736</v>
      </c>
      <c r="F12" s="35">
        <v>2376</v>
      </c>
      <c r="G12" s="34" t="s">
        <v>154</v>
      </c>
      <c r="H12" s="34" t="s">
        <v>154</v>
      </c>
      <c r="I12" s="36"/>
      <c r="J12" s="28"/>
      <c r="K12" s="37" t="s">
        <v>14</v>
      </c>
      <c r="L12" s="38" t="s">
        <v>152</v>
      </c>
      <c r="M12" s="31">
        <v>2376</v>
      </c>
      <c r="N12" s="28"/>
      <c r="O12" s="37" t="s">
        <v>71</v>
      </c>
      <c r="P12" s="38" t="s">
        <v>155</v>
      </c>
      <c r="Q12" s="31">
        <v>870</v>
      </c>
      <c r="R12" s="28"/>
      <c r="S12" s="37" t="s">
        <v>122</v>
      </c>
      <c r="T12" s="38" t="s">
        <v>152</v>
      </c>
      <c r="U12" s="31">
        <v>1577.5</v>
      </c>
    </row>
    <row r="13" ht="21.75" customHeight="1" s="5" customFormat="1">
      <c r="A13" s="32" t="s">
        <v>156</v>
      </c>
      <c r="B13" s="39" t="s">
        <v>157</v>
      </c>
      <c r="C13" s="40" t="s">
        <v>154</v>
      </c>
      <c r="D13" s="40" t="s">
        <v>154</v>
      </c>
      <c r="E13" s="35">
        <v>1020</v>
      </c>
      <c r="F13" s="35">
        <v>1150</v>
      </c>
      <c r="G13" s="40" t="s">
        <v>154</v>
      </c>
      <c r="H13" s="40" t="s">
        <v>154</v>
      </c>
      <c r="I13" s="41"/>
      <c r="J13" s="28"/>
      <c r="K13" s="29" t="s">
        <v>20</v>
      </c>
      <c r="L13" s="30" t="s">
        <v>151</v>
      </c>
      <c r="M13" s="31">
        <v>1020</v>
      </c>
      <c r="N13" s="28"/>
      <c r="O13" s="37" t="s">
        <v>74</v>
      </c>
      <c r="P13" s="38" t="s">
        <v>151</v>
      </c>
      <c r="Q13" s="31">
        <v>894</v>
      </c>
      <c r="R13" s="28"/>
      <c r="S13" s="29" t="s">
        <v>122</v>
      </c>
      <c r="T13" s="30" t="s">
        <v>155</v>
      </c>
      <c r="U13" s="31">
        <v>1731</v>
      </c>
    </row>
    <row r="14" ht="21.75" customHeight="1" s="5" customFormat="1">
      <c r="A14" s="32" t="s">
        <v>158</v>
      </c>
      <c r="B14" s="33" t="s">
        <v>159</v>
      </c>
      <c r="C14" s="34" t="s">
        <v>154</v>
      </c>
      <c r="D14" s="35">
        <v>1470</v>
      </c>
      <c r="E14" s="35">
        <v>1800</v>
      </c>
      <c r="F14" s="35">
        <v>2320</v>
      </c>
      <c r="G14" s="34" t="s">
        <v>154</v>
      </c>
      <c r="H14" s="34" t="s">
        <v>154</v>
      </c>
      <c r="I14" s="36"/>
      <c r="J14" s="28"/>
      <c r="K14" s="37" t="s">
        <v>20</v>
      </c>
      <c r="L14" s="38" t="s">
        <v>152</v>
      </c>
      <c r="M14" s="31">
        <v>1150</v>
      </c>
      <c r="N14" s="28"/>
      <c r="O14" s="29" t="s">
        <v>74</v>
      </c>
      <c r="P14" s="30" t="s">
        <v>152</v>
      </c>
      <c r="Q14" s="31">
        <v>982</v>
      </c>
      <c r="R14" s="28"/>
      <c r="S14" s="29" t="s">
        <v>124</v>
      </c>
      <c r="T14" s="30" t="s">
        <v>160</v>
      </c>
      <c r="U14" s="31">
        <v>723.88</v>
      </c>
    </row>
    <row r="15" ht="21.75" customHeight="1" s="5" customFormat="1">
      <c r="A15" s="32" t="s">
        <v>161</v>
      </c>
      <c r="B15" s="39" t="s">
        <v>162</v>
      </c>
      <c r="C15" s="40" t="s">
        <v>154</v>
      </c>
      <c r="D15" s="40" t="s">
        <v>154</v>
      </c>
      <c r="E15" s="35">
        <v>1451</v>
      </c>
      <c r="F15" s="35">
        <v>1613</v>
      </c>
      <c r="G15" s="40" t="s">
        <v>154</v>
      </c>
      <c r="H15" s="40" t="s">
        <v>154</v>
      </c>
      <c r="I15" s="41"/>
      <c r="J15" s="28"/>
      <c r="K15" s="42" t="s">
        <v>163</v>
      </c>
      <c r="L15" s="43" t="s">
        <v>160</v>
      </c>
      <c r="M15" s="31">
        <v>1470</v>
      </c>
      <c r="N15" s="28"/>
      <c r="O15" s="37" t="s">
        <v>74</v>
      </c>
      <c r="P15" s="38" t="s">
        <v>155</v>
      </c>
      <c r="Q15" s="31">
        <v>1045</v>
      </c>
      <c r="R15" s="28"/>
      <c r="S15" s="37" t="s">
        <v>124</v>
      </c>
      <c r="T15" s="38" t="s">
        <v>151</v>
      </c>
      <c r="U15" s="31">
        <v>855.17</v>
      </c>
    </row>
    <row r="16" ht="21.75" customHeight="1" s="5" customFormat="1">
      <c r="A16" s="32" t="s">
        <v>164</v>
      </c>
      <c r="B16" s="33" t="s">
        <v>28</v>
      </c>
      <c r="C16" s="34" t="s">
        <v>154</v>
      </c>
      <c r="D16" s="35">
        <v>1375</v>
      </c>
      <c r="E16" s="35">
        <v>1552</v>
      </c>
      <c r="F16" s="34" t="s">
        <v>154</v>
      </c>
      <c r="G16" s="34" t="s">
        <v>154</v>
      </c>
      <c r="H16" s="34" t="s">
        <v>154</v>
      </c>
      <c r="I16" s="36"/>
      <c r="J16" s="28"/>
      <c r="K16" s="44" t="s">
        <v>165</v>
      </c>
      <c r="L16" s="45" t="s">
        <v>151</v>
      </c>
      <c r="M16" s="31">
        <v>1800</v>
      </c>
      <c r="N16" s="28"/>
      <c r="O16" s="29" t="s">
        <v>80</v>
      </c>
      <c r="P16" s="30" t="s">
        <v>152</v>
      </c>
      <c r="Q16" s="31">
        <v>1401</v>
      </c>
      <c r="R16" s="28"/>
      <c r="S16" s="29" t="s">
        <v>127</v>
      </c>
      <c r="T16" s="30" t="s">
        <v>151</v>
      </c>
      <c r="U16" s="31">
        <v>1308</v>
      </c>
    </row>
    <row r="17" ht="21.75" customHeight="1" s="5" customFormat="1">
      <c r="A17" s="32" t="s">
        <v>166</v>
      </c>
      <c r="B17" s="39" t="s">
        <v>167</v>
      </c>
      <c r="C17" s="40" t="s">
        <v>154</v>
      </c>
      <c r="D17" s="40" t="s">
        <v>154</v>
      </c>
      <c r="E17" s="35">
        <v>935</v>
      </c>
      <c r="F17" s="35">
        <v>1073</v>
      </c>
      <c r="G17" s="35">
        <v>1147</v>
      </c>
      <c r="H17" s="46"/>
      <c r="I17" s="41"/>
      <c r="J17" s="28"/>
      <c r="K17" s="42" t="s">
        <v>168</v>
      </c>
      <c r="L17" s="43" t="s">
        <v>152</v>
      </c>
      <c r="M17" s="31">
        <v>2320</v>
      </c>
      <c r="N17" s="28"/>
      <c r="O17" s="37" t="s">
        <v>80</v>
      </c>
      <c r="P17" s="38" t="s">
        <v>155</v>
      </c>
      <c r="Q17" s="31">
        <v>1563</v>
      </c>
      <c r="R17" s="28"/>
      <c r="S17" s="37" t="s">
        <v>127</v>
      </c>
      <c r="T17" s="38" t="s">
        <v>152</v>
      </c>
      <c r="U17" s="31">
        <v>1526.47</v>
      </c>
    </row>
    <row r="18" ht="21.75" customHeight="1" s="5" customFormat="1">
      <c r="A18" s="32" t="s">
        <v>169</v>
      </c>
      <c r="B18" s="33" t="s">
        <v>36</v>
      </c>
      <c r="C18" s="34" t="s">
        <v>154</v>
      </c>
      <c r="D18" s="35">
        <v>1074</v>
      </c>
      <c r="E18" s="35">
        <v>1166</v>
      </c>
      <c r="F18" s="35">
        <v>1290</v>
      </c>
      <c r="G18" s="35">
        <v>1433</v>
      </c>
      <c r="H18" s="34" t="s">
        <v>154</v>
      </c>
      <c r="I18" s="36"/>
      <c r="J18" s="28"/>
      <c r="K18" s="44" t="s">
        <v>27</v>
      </c>
      <c r="L18" s="45" t="s">
        <v>151</v>
      </c>
      <c r="M18" s="31">
        <v>1451</v>
      </c>
      <c r="N18" s="28"/>
      <c r="O18" s="37" t="s">
        <v>83</v>
      </c>
      <c r="P18" s="38" t="s">
        <v>160</v>
      </c>
      <c r="Q18" s="31">
        <v>914</v>
      </c>
      <c r="R18" s="28"/>
      <c r="S18" s="29" t="s">
        <v>129</v>
      </c>
      <c r="T18" s="30" t="s">
        <v>151</v>
      </c>
      <c r="U18" s="31">
        <v>1140</v>
      </c>
    </row>
    <row r="19" ht="21.75" customHeight="1" s="5" customFormat="1">
      <c r="A19" s="32" t="s">
        <v>170</v>
      </c>
      <c r="B19" s="47" t="s">
        <v>42</v>
      </c>
      <c r="C19" s="48" t="s">
        <v>154</v>
      </c>
      <c r="D19" s="48" t="s">
        <v>154</v>
      </c>
      <c r="E19" s="35">
        <v>1346</v>
      </c>
      <c r="F19" s="35">
        <v>1465</v>
      </c>
      <c r="G19" s="48" t="s">
        <v>154</v>
      </c>
      <c r="H19" s="48" t="s">
        <v>154</v>
      </c>
      <c r="I19" s="49"/>
      <c r="J19" s="28"/>
      <c r="K19" s="42" t="s">
        <v>27</v>
      </c>
      <c r="L19" s="43" t="s">
        <v>152</v>
      </c>
      <c r="M19" s="31">
        <v>1613</v>
      </c>
      <c r="N19" s="28"/>
      <c r="O19" s="29" t="s">
        <v>83</v>
      </c>
      <c r="P19" s="30" t="s">
        <v>151</v>
      </c>
      <c r="Q19" s="31">
        <v>1058</v>
      </c>
      <c r="R19" s="28"/>
      <c r="S19" s="37" t="s">
        <v>129</v>
      </c>
      <c r="T19" s="38" t="s">
        <v>152</v>
      </c>
      <c r="U19" s="31">
        <v>1317</v>
      </c>
    </row>
    <row r="20" ht="21.75" customHeight="1" s="5" customFormat="1">
      <c r="A20" s="32" t="s">
        <v>171</v>
      </c>
      <c r="B20" s="39" t="s">
        <v>44</v>
      </c>
      <c r="C20" s="40" t="s">
        <v>154</v>
      </c>
      <c r="D20" s="46"/>
      <c r="E20" s="35">
        <v>1400</v>
      </c>
      <c r="F20" s="40" t="s">
        <v>154</v>
      </c>
      <c r="G20" s="40" t="s">
        <v>154</v>
      </c>
      <c r="H20" s="40" t="s">
        <v>154</v>
      </c>
      <c r="I20" s="41"/>
      <c r="J20" s="28"/>
      <c r="K20" s="44" t="s">
        <v>30</v>
      </c>
      <c r="L20" s="45" t="s">
        <v>160</v>
      </c>
      <c r="M20" s="31">
        <v>1375</v>
      </c>
      <c r="N20" s="28"/>
      <c r="O20" s="37" t="s">
        <v>83</v>
      </c>
      <c r="P20" s="38" t="s">
        <v>152</v>
      </c>
      <c r="Q20" s="31">
        <v>1204</v>
      </c>
      <c r="R20" s="28"/>
      <c r="S20" s="29" t="s">
        <v>129</v>
      </c>
      <c r="T20" s="30" t="s">
        <v>155</v>
      </c>
      <c r="U20" s="31">
        <v>1470</v>
      </c>
    </row>
    <row r="21" ht="21.75" customHeight="1" s="5" customFormat="1">
      <c r="A21" s="32" t="s">
        <v>172</v>
      </c>
      <c r="B21" s="33" t="s">
        <v>173</v>
      </c>
      <c r="C21" s="34" t="s">
        <v>154</v>
      </c>
      <c r="D21" s="34" t="s">
        <v>154</v>
      </c>
      <c r="E21" s="35">
        <v>964</v>
      </c>
      <c r="F21" s="34" t="s">
        <v>154</v>
      </c>
      <c r="G21" s="35">
        <v>1221</v>
      </c>
      <c r="H21" s="34" t="s">
        <v>154</v>
      </c>
      <c r="I21" s="36"/>
      <c r="J21" s="28"/>
      <c r="K21" s="37" t="s">
        <v>30</v>
      </c>
      <c r="L21" s="38" t="s">
        <v>151</v>
      </c>
      <c r="M21" s="31">
        <v>1552</v>
      </c>
      <c r="N21" s="28"/>
      <c r="O21" s="37" t="s">
        <v>86</v>
      </c>
      <c r="P21" s="38" t="s">
        <v>160</v>
      </c>
      <c r="Q21" s="31">
        <v>777</v>
      </c>
      <c r="R21" s="28"/>
      <c r="S21" s="37" t="s">
        <v>129</v>
      </c>
      <c r="T21" s="38" t="s">
        <v>174</v>
      </c>
      <c r="U21" s="31">
        <v>1784</v>
      </c>
    </row>
    <row r="22" ht="21.75" customHeight="1" s="5" customFormat="1">
      <c r="A22" s="32" t="s">
        <v>175</v>
      </c>
      <c r="B22" s="39" t="s">
        <v>176</v>
      </c>
      <c r="C22" s="40" t="s">
        <v>154</v>
      </c>
      <c r="D22" s="40" t="s">
        <v>154</v>
      </c>
      <c r="E22" s="35">
        <v>964</v>
      </c>
      <c r="F22" s="40" t="s">
        <v>154</v>
      </c>
      <c r="G22" s="35">
        <v>1221</v>
      </c>
      <c r="H22" s="40" t="s">
        <v>154</v>
      </c>
      <c r="I22" s="41"/>
      <c r="J22" s="28"/>
      <c r="K22" s="29" t="s">
        <v>34</v>
      </c>
      <c r="L22" s="30" t="s">
        <v>151</v>
      </c>
      <c r="M22" s="31">
        <v>935</v>
      </c>
      <c r="N22" s="28"/>
      <c r="O22" s="29" t="s">
        <v>86</v>
      </c>
      <c r="P22" s="30" t="s">
        <v>151</v>
      </c>
      <c r="Q22" s="31">
        <v>885</v>
      </c>
      <c r="R22" s="28"/>
      <c r="S22" s="37" t="s">
        <v>132</v>
      </c>
      <c r="T22" s="38" t="s">
        <v>160</v>
      </c>
      <c r="U22" s="31">
        <v>970</v>
      </c>
    </row>
    <row r="23" ht="21.75" customHeight="1" s="5" customFormat="1">
      <c r="A23" s="32" t="s">
        <v>177</v>
      </c>
      <c r="B23" s="33" t="s">
        <v>55</v>
      </c>
      <c r="C23" s="34" t="s">
        <v>154</v>
      </c>
      <c r="D23" s="35">
        <v>1198</v>
      </c>
      <c r="E23" s="35">
        <v>1430</v>
      </c>
      <c r="F23" s="35">
        <v>1656</v>
      </c>
      <c r="G23" s="34" t="s">
        <v>154</v>
      </c>
      <c r="H23" s="34" t="s">
        <v>154</v>
      </c>
      <c r="I23" s="36"/>
      <c r="J23" s="28"/>
      <c r="K23" s="37" t="s">
        <v>34</v>
      </c>
      <c r="L23" s="38" t="s">
        <v>152</v>
      </c>
      <c r="M23" s="31">
        <v>1073</v>
      </c>
      <c r="N23" s="28"/>
      <c r="O23" s="37" t="s">
        <v>86</v>
      </c>
      <c r="P23" s="38" t="s">
        <v>155</v>
      </c>
      <c r="Q23" s="31">
        <v>1140</v>
      </c>
      <c r="R23" s="28"/>
      <c r="S23" s="29" t="s">
        <v>132</v>
      </c>
      <c r="T23" s="30" t="s">
        <v>151</v>
      </c>
      <c r="U23" s="31">
        <v>1185</v>
      </c>
    </row>
    <row r="24" ht="21.75" customHeight="1" s="5" customFormat="1">
      <c r="A24" s="32" t="s">
        <v>178</v>
      </c>
      <c r="B24" s="39" t="s">
        <v>179</v>
      </c>
      <c r="C24" s="40" t="s">
        <v>154</v>
      </c>
      <c r="D24" s="35">
        <v>1210</v>
      </c>
      <c r="E24" s="35">
        <v>1450</v>
      </c>
      <c r="F24" s="35">
        <v>1700</v>
      </c>
      <c r="G24" s="40" t="s">
        <v>154</v>
      </c>
      <c r="H24" s="40" t="s">
        <v>154</v>
      </c>
      <c r="I24" s="41"/>
      <c r="J24" s="28"/>
      <c r="K24" s="29" t="s">
        <v>34</v>
      </c>
      <c r="L24" s="30" t="s">
        <v>155</v>
      </c>
      <c r="M24" s="31">
        <v>1147</v>
      </c>
      <c r="N24" s="28"/>
      <c r="O24" s="37" t="s">
        <v>90</v>
      </c>
      <c r="P24" s="38" t="s">
        <v>151</v>
      </c>
      <c r="Q24" s="31">
        <v>575</v>
      </c>
      <c r="R24" s="28"/>
      <c r="S24" s="37" t="s">
        <v>132</v>
      </c>
      <c r="T24" s="38" t="s">
        <v>152</v>
      </c>
      <c r="U24" s="31">
        <v>1400</v>
      </c>
    </row>
    <row r="25" ht="21.75" customHeight="1" s="5" customFormat="1">
      <c r="A25" s="32" t="s">
        <v>180</v>
      </c>
      <c r="B25" s="33" t="s">
        <v>59</v>
      </c>
      <c r="C25" s="34" t="s">
        <v>154</v>
      </c>
      <c r="D25" s="34" t="s">
        <v>154</v>
      </c>
      <c r="E25" s="35">
        <v>1402</v>
      </c>
      <c r="F25" s="35">
        <v>1679</v>
      </c>
      <c r="G25" s="34" t="s">
        <v>154</v>
      </c>
      <c r="H25" s="34" t="s">
        <v>154</v>
      </c>
      <c r="I25" s="36"/>
      <c r="J25" s="28"/>
      <c r="K25" s="37" t="s">
        <v>38</v>
      </c>
      <c r="L25" s="38" t="s">
        <v>160</v>
      </c>
      <c r="M25" s="31">
        <v>1074</v>
      </c>
      <c r="N25" s="28"/>
      <c r="O25" s="29" t="s">
        <v>90</v>
      </c>
      <c r="P25" s="30" t="s">
        <v>152</v>
      </c>
      <c r="Q25" s="31">
        <v>655</v>
      </c>
      <c r="R25" s="28"/>
      <c r="S25" s="29" t="s">
        <v>132</v>
      </c>
      <c r="T25" s="30" t="s">
        <v>155</v>
      </c>
      <c r="U25" s="31">
        <v>1695</v>
      </c>
    </row>
    <row r="26" ht="21.75" customHeight="1" s="5" customFormat="1">
      <c r="A26" s="32" t="s">
        <v>181</v>
      </c>
      <c r="B26" s="39" t="s">
        <v>182</v>
      </c>
      <c r="C26" s="40" t="s">
        <v>154</v>
      </c>
      <c r="D26" s="35">
        <v>1221</v>
      </c>
      <c r="E26" s="35">
        <v>1563</v>
      </c>
      <c r="F26" s="35">
        <v>1820</v>
      </c>
      <c r="G26" s="35">
        <v>2128</v>
      </c>
      <c r="H26" s="40" t="s">
        <v>154</v>
      </c>
      <c r="I26" s="41"/>
      <c r="J26" s="28"/>
      <c r="K26" s="29" t="s">
        <v>38</v>
      </c>
      <c r="L26" s="30" t="s">
        <v>151</v>
      </c>
      <c r="M26" s="31">
        <v>1166</v>
      </c>
      <c r="N26" s="28"/>
      <c r="O26" s="37" t="s">
        <v>90</v>
      </c>
      <c r="P26" s="38" t="s">
        <v>155</v>
      </c>
      <c r="Q26" s="31">
        <v>695</v>
      </c>
      <c r="R26" s="28"/>
      <c r="S26" s="37" t="s">
        <v>132</v>
      </c>
      <c r="T26" s="38" t="s">
        <v>174</v>
      </c>
      <c r="U26" s="31">
        <v>970</v>
      </c>
    </row>
    <row r="27" ht="21.75" customHeight="1" s="5" customFormat="1">
      <c r="A27" s="32" t="s">
        <v>183</v>
      </c>
      <c r="B27" s="33" t="s">
        <v>184</v>
      </c>
      <c r="C27" s="34" t="s">
        <v>154</v>
      </c>
      <c r="D27" s="35">
        <v>1000</v>
      </c>
      <c r="E27" s="35">
        <v>1150</v>
      </c>
      <c r="F27" s="35">
        <v>1300</v>
      </c>
      <c r="G27" s="34" t="s">
        <v>154</v>
      </c>
      <c r="H27" s="34" t="s">
        <v>154</v>
      </c>
      <c r="I27" s="36"/>
      <c r="J27" s="28"/>
      <c r="K27" s="37" t="s">
        <v>38</v>
      </c>
      <c r="L27" s="38" t="s">
        <v>152</v>
      </c>
      <c r="M27" s="31">
        <v>1290</v>
      </c>
      <c r="N27" s="28"/>
      <c r="O27" s="29" t="s">
        <v>93</v>
      </c>
      <c r="P27" s="30" t="s">
        <v>152</v>
      </c>
      <c r="Q27" s="31">
        <v>1053</v>
      </c>
      <c r="R27" s="28"/>
      <c r="S27" s="29" t="s">
        <v>135</v>
      </c>
      <c r="T27" s="30" t="s">
        <v>160</v>
      </c>
      <c r="U27" s="31">
        <v>946</v>
      </c>
    </row>
    <row r="28" ht="21.75" customHeight="1" s="5" customFormat="1">
      <c r="A28" s="32" t="s">
        <v>185</v>
      </c>
      <c r="B28" s="39" t="s">
        <v>186</v>
      </c>
      <c r="C28" s="40" t="s">
        <v>154</v>
      </c>
      <c r="D28" s="40" t="s">
        <v>154</v>
      </c>
      <c r="E28" s="46"/>
      <c r="F28" s="35">
        <v>1223</v>
      </c>
      <c r="G28" s="35">
        <v>870</v>
      </c>
      <c r="H28" s="40" t="s">
        <v>154</v>
      </c>
      <c r="I28" s="41"/>
      <c r="J28" s="28"/>
      <c r="K28" s="29" t="s">
        <v>38</v>
      </c>
      <c r="L28" s="30" t="s">
        <v>155</v>
      </c>
      <c r="M28" s="31">
        <v>1433</v>
      </c>
      <c r="N28" s="28"/>
      <c r="O28" s="37" t="s">
        <v>93</v>
      </c>
      <c r="P28" s="38" t="s">
        <v>155</v>
      </c>
      <c r="Q28" s="31">
        <v>1152</v>
      </c>
      <c r="R28" s="28"/>
      <c r="S28" s="37" t="s">
        <v>135</v>
      </c>
      <c r="T28" s="38" t="s">
        <v>151</v>
      </c>
      <c r="U28" s="31">
        <v>1054</v>
      </c>
    </row>
    <row r="29" ht="21.75" customHeight="1" s="5" customFormat="1">
      <c r="A29" s="32" t="s">
        <v>187</v>
      </c>
      <c r="B29" s="33" t="s">
        <v>188</v>
      </c>
      <c r="C29" s="34" t="s">
        <v>154</v>
      </c>
      <c r="D29" s="34" t="s">
        <v>154</v>
      </c>
      <c r="E29" s="35">
        <v>894</v>
      </c>
      <c r="F29" s="35">
        <v>982</v>
      </c>
      <c r="G29" s="35">
        <v>1045</v>
      </c>
      <c r="H29" s="34" t="s">
        <v>154</v>
      </c>
      <c r="I29" s="36"/>
      <c r="J29" s="28"/>
      <c r="K29" s="29" t="s">
        <v>43</v>
      </c>
      <c r="L29" s="30" t="s">
        <v>151</v>
      </c>
      <c r="M29" s="31">
        <v>1346</v>
      </c>
      <c r="N29" s="28"/>
      <c r="O29" s="29" t="s">
        <v>96</v>
      </c>
      <c r="P29" s="30" t="s">
        <v>151</v>
      </c>
      <c r="Q29" s="31">
        <v>1154</v>
      </c>
      <c r="R29" s="28"/>
      <c r="S29" s="29" t="s">
        <v>135</v>
      </c>
      <c r="T29" s="30" t="s">
        <v>152</v>
      </c>
      <c r="U29" s="31">
        <v>1328</v>
      </c>
    </row>
    <row r="30" ht="21.75" customHeight="1" s="5" customFormat="1">
      <c r="A30" s="32" t="s">
        <v>189</v>
      </c>
      <c r="B30" s="50" t="s">
        <v>190</v>
      </c>
      <c r="C30" s="51"/>
      <c r="D30" s="51"/>
      <c r="E30" s="51"/>
      <c r="F30" s="51"/>
      <c r="G30" s="51"/>
      <c r="H30" s="51"/>
      <c r="I30" s="52"/>
      <c r="J30" s="28"/>
      <c r="K30" s="37" t="s">
        <v>43</v>
      </c>
      <c r="L30" s="38" t="s">
        <v>152</v>
      </c>
      <c r="M30" s="31">
        <v>1465</v>
      </c>
      <c r="N30" s="28"/>
      <c r="O30" s="37" t="s">
        <v>96</v>
      </c>
      <c r="P30" s="38" t="s">
        <v>152</v>
      </c>
      <c r="Q30" s="31">
        <v>1484</v>
      </c>
      <c r="R30" s="28"/>
      <c r="S30" s="37" t="s">
        <v>135</v>
      </c>
      <c r="T30" s="38" t="s">
        <v>155</v>
      </c>
      <c r="U30" s="31">
        <v>1425</v>
      </c>
    </row>
    <row r="31" ht="21.75" customHeight="1" s="5" customFormat="1">
      <c r="A31" s="32" t="s">
        <v>191</v>
      </c>
      <c r="B31" s="33" t="s">
        <v>192</v>
      </c>
      <c r="C31" s="34" t="s">
        <v>154</v>
      </c>
      <c r="D31" s="34" t="s">
        <v>154</v>
      </c>
      <c r="E31" s="46"/>
      <c r="F31" s="35">
        <v>1401</v>
      </c>
      <c r="G31" s="35">
        <v>1563</v>
      </c>
      <c r="H31" s="34" t="s">
        <v>154</v>
      </c>
      <c r="I31" s="36"/>
      <c r="J31" s="28"/>
      <c r="K31" s="53" t="s">
        <v>46</v>
      </c>
      <c r="L31" s="54" t="s">
        <v>151</v>
      </c>
      <c r="M31" s="31">
        <v>1400</v>
      </c>
      <c r="N31" s="28"/>
      <c r="O31" s="29" t="s">
        <v>98</v>
      </c>
      <c r="P31" s="30" t="s">
        <v>160</v>
      </c>
      <c r="Q31" s="31">
        <v>874</v>
      </c>
      <c r="R31" s="28"/>
      <c r="S31" s="29" t="s">
        <v>135</v>
      </c>
      <c r="T31" s="30" t="s">
        <v>160</v>
      </c>
      <c r="U31" s="31">
        <v>946</v>
      </c>
    </row>
    <row r="32" ht="21.75" customHeight="1" s="5" customFormat="1">
      <c r="A32" s="32" t="s">
        <v>193</v>
      </c>
      <c r="B32" s="39" t="s">
        <v>81</v>
      </c>
      <c r="C32" s="40" t="s">
        <v>154</v>
      </c>
      <c r="D32" s="35">
        <v>914</v>
      </c>
      <c r="E32" s="35">
        <v>1058</v>
      </c>
      <c r="F32" s="35">
        <v>1204</v>
      </c>
      <c r="G32" s="40" t="s">
        <v>154</v>
      </c>
      <c r="H32" s="40" t="s">
        <v>154</v>
      </c>
      <c r="I32" s="41"/>
      <c r="J32" s="28"/>
      <c r="K32" s="53" t="s">
        <v>46</v>
      </c>
      <c r="L32" s="54" t="s">
        <v>152</v>
      </c>
      <c r="M32" s="31">
        <v>1600</v>
      </c>
      <c r="N32" s="28"/>
      <c r="O32" s="37" t="s">
        <v>98</v>
      </c>
      <c r="P32" s="38" t="s">
        <v>151</v>
      </c>
      <c r="Q32" s="31">
        <v>1039</v>
      </c>
      <c r="R32" s="28"/>
      <c r="S32" s="37" t="s">
        <v>135</v>
      </c>
      <c r="T32" s="38" t="s">
        <v>151</v>
      </c>
      <c r="U32" s="31">
        <v>1054</v>
      </c>
    </row>
    <row r="33" ht="21.75" customHeight="1" s="5" customFormat="1">
      <c r="A33" s="32" t="s">
        <v>194</v>
      </c>
      <c r="B33" s="33" t="s">
        <v>195</v>
      </c>
      <c r="C33" s="34" t="s">
        <v>154</v>
      </c>
      <c r="D33" s="35">
        <v>777</v>
      </c>
      <c r="E33" s="35">
        <v>885</v>
      </c>
      <c r="F33" s="34" t="s">
        <v>154</v>
      </c>
      <c r="G33" s="35">
        <v>1140</v>
      </c>
      <c r="H33" s="34" t="s">
        <v>154</v>
      </c>
      <c r="I33" s="36"/>
      <c r="J33" s="28"/>
      <c r="K33" s="53" t="s">
        <v>46</v>
      </c>
      <c r="L33" s="54" t="s">
        <v>155</v>
      </c>
      <c r="M33" s="31">
        <v>1700</v>
      </c>
      <c r="N33" s="28"/>
      <c r="O33" s="29" t="s">
        <v>98</v>
      </c>
      <c r="P33" s="30" t="s">
        <v>152</v>
      </c>
      <c r="Q33" s="31">
        <v>1194</v>
      </c>
      <c r="R33" s="28"/>
      <c r="S33" s="29" t="s">
        <v>135</v>
      </c>
      <c r="T33" s="30" t="s">
        <v>152</v>
      </c>
      <c r="U33" s="31">
        <v>1328</v>
      </c>
    </row>
    <row r="34" ht="21.75" customHeight="1" s="5" customFormat="1">
      <c r="A34" s="32" t="s">
        <v>196</v>
      </c>
      <c r="B34" s="39" t="s">
        <v>88</v>
      </c>
      <c r="C34" s="40" t="s">
        <v>154</v>
      </c>
      <c r="D34" s="40" t="s">
        <v>154</v>
      </c>
      <c r="E34" s="35">
        <v>575</v>
      </c>
      <c r="F34" s="35">
        <v>655</v>
      </c>
      <c r="G34" s="35">
        <v>695</v>
      </c>
      <c r="H34" s="40" t="s">
        <v>154</v>
      </c>
      <c r="I34" s="41"/>
      <c r="J34" s="28"/>
      <c r="K34" s="37" t="s">
        <v>50</v>
      </c>
      <c r="L34" s="38" t="s">
        <v>151</v>
      </c>
      <c r="M34" s="31">
        <v>964</v>
      </c>
      <c r="N34" s="28"/>
      <c r="O34" s="37" t="s">
        <v>98</v>
      </c>
      <c r="P34" s="38" t="s">
        <v>155</v>
      </c>
      <c r="Q34" s="31">
        <v>1321</v>
      </c>
      <c r="R34" s="28"/>
      <c r="S34" s="37" t="s">
        <v>197</v>
      </c>
      <c r="T34" s="38" t="s">
        <v>151</v>
      </c>
      <c r="U34" s="31">
        <v>1388</v>
      </c>
    </row>
    <row r="35" ht="21.75" customHeight="1" s="5" customFormat="1">
      <c r="A35" s="32" t="s">
        <v>198</v>
      </c>
      <c r="B35" s="33" t="s">
        <v>199</v>
      </c>
      <c r="C35" s="34" t="s">
        <v>154</v>
      </c>
      <c r="D35" s="34" t="s">
        <v>154</v>
      </c>
      <c r="E35" s="34" t="s">
        <v>154</v>
      </c>
      <c r="F35" s="35">
        <v>1053</v>
      </c>
      <c r="G35" s="35">
        <v>1152</v>
      </c>
      <c r="H35" s="34" t="s">
        <v>154</v>
      </c>
      <c r="I35" s="36"/>
      <c r="J35" s="28"/>
      <c r="K35" s="29" t="s">
        <v>50</v>
      </c>
      <c r="L35" s="30" t="s">
        <v>155</v>
      </c>
      <c r="M35" s="31">
        <v>1221</v>
      </c>
      <c r="N35" s="28"/>
      <c r="O35" s="37" t="s">
        <v>100</v>
      </c>
      <c r="P35" s="38" t="s">
        <v>160</v>
      </c>
      <c r="Q35" s="31">
        <v>874</v>
      </c>
      <c r="R35" s="28"/>
      <c r="S35" s="29" t="s">
        <v>197</v>
      </c>
      <c r="T35" s="30" t="s">
        <v>152</v>
      </c>
      <c r="U35" s="31">
        <v>1592</v>
      </c>
    </row>
    <row r="36" ht="21.75" customHeight="1" s="5" customFormat="1">
      <c r="A36" s="32" t="s">
        <v>200</v>
      </c>
      <c r="B36" s="39" t="s">
        <v>201</v>
      </c>
      <c r="C36" s="40" t="s">
        <v>154</v>
      </c>
      <c r="D36" s="40" t="s">
        <v>154</v>
      </c>
      <c r="E36" s="35">
        <v>1154</v>
      </c>
      <c r="F36" s="35">
        <v>1484</v>
      </c>
      <c r="G36" s="40" t="s">
        <v>154</v>
      </c>
      <c r="H36" s="40" t="s">
        <v>154</v>
      </c>
      <c r="I36" s="41"/>
      <c r="J36" s="28"/>
      <c r="K36" s="37" t="s">
        <v>54</v>
      </c>
      <c r="L36" s="38" t="s">
        <v>151</v>
      </c>
      <c r="M36" s="31">
        <v>964</v>
      </c>
      <c r="N36" s="28"/>
      <c r="O36" s="29" t="s">
        <v>100</v>
      </c>
      <c r="P36" s="30" t="s">
        <v>151</v>
      </c>
      <c r="Q36" s="5"/>
      <c r="R36" s="55"/>
      <c r="S36" s="5"/>
      <c r="T36" s="5"/>
      <c r="U36" s="5"/>
    </row>
    <row r="37" ht="21.75" customHeight="1" s="5" customFormat="1">
      <c r="A37" s="32" t="s">
        <v>202</v>
      </c>
      <c r="B37" s="33" t="s">
        <v>97</v>
      </c>
      <c r="C37" s="34" t="s">
        <v>154</v>
      </c>
      <c r="D37" s="35">
        <v>874</v>
      </c>
      <c r="E37" s="35">
        <v>1039</v>
      </c>
      <c r="F37" s="35">
        <v>1194</v>
      </c>
      <c r="G37" s="35">
        <v>1321</v>
      </c>
      <c r="H37" s="34" t="s">
        <v>154</v>
      </c>
      <c r="I37" s="36"/>
      <c r="J37" s="28"/>
      <c r="K37" s="29" t="s">
        <v>54</v>
      </c>
      <c r="L37" s="30" t="s">
        <v>155</v>
      </c>
      <c r="M37" s="31">
        <v>1221</v>
      </c>
      <c r="N37" s="28"/>
      <c r="O37" s="37" t="s">
        <v>100</v>
      </c>
      <c r="P37" s="38" t="s">
        <v>152</v>
      </c>
      <c r="Q37" s="5"/>
      <c r="R37" s="55"/>
      <c r="S37" s="5"/>
      <c r="T37" s="5"/>
      <c r="U37" s="5"/>
    </row>
    <row r="38" ht="21.75" customHeight="1" s="5" customFormat="1">
      <c r="A38" s="32" t="s">
        <v>203</v>
      </c>
      <c r="B38" s="39" t="s">
        <v>99</v>
      </c>
      <c r="C38" s="40" t="s">
        <v>154</v>
      </c>
      <c r="D38" s="35">
        <v>874</v>
      </c>
      <c r="E38" s="35">
        <v>1039</v>
      </c>
      <c r="F38" s="35">
        <v>1194</v>
      </c>
      <c r="G38" s="35">
        <v>1321</v>
      </c>
      <c r="H38" s="40" t="s">
        <v>154</v>
      </c>
      <c r="I38" s="41"/>
      <c r="J38" s="28"/>
      <c r="K38" s="29" t="s">
        <v>56</v>
      </c>
      <c r="L38" s="30" t="s">
        <v>160</v>
      </c>
      <c r="M38" s="31">
        <v>1198</v>
      </c>
      <c r="N38" s="28"/>
      <c r="O38" s="29" t="s">
        <v>100</v>
      </c>
      <c r="P38" s="30" t="s">
        <v>155</v>
      </c>
      <c r="Q38" s="5"/>
      <c r="R38" s="55"/>
      <c r="S38" s="5"/>
      <c r="T38" s="5"/>
      <c r="U38" s="5"/>
    </row>
    <row r="39" ht="21.75" customHeight="1" s="5" customFormat="1">
      <c r="A39" s="32" t="s">
        <v>204</v>
      </c>
      <c r="B39" s="33" t="s">
        <v>101</v>
      </c>
      <c r="C39" s="34" t="s">
        <v>154</v>
      </c>
      <c r="D39" s="35">
        <v>874</v>
      </c>
      <c r="E39" s="35">
        <v>1039</v>
      </c>
      <c r="F39" s="35">
        <v>1194</v>
      </c>
      <c r="G39" s="35">
        <v>1321</v>
      </c>
      <c r="H39" s="34" t="s">
        <v>154</v>
      </c>
      <c r="I39" s="36"/>
      <c r="J39" s="28"/>
      <c r="K39" s="37" t="s">
        <v>56</v>
      </c>
      <c r="L39" s="38" t="s">
        <v>151</v>
      </c>
      <c r="M39" s="31">
        <v>1430</v>
      </c>
      <c r="N39" s="28"/>
      <c r="O39" s="29" t="s">
        <v>102</v>
      </c>
      <c r="P39" s="30" t="s">
        <v>160</v>
      </c>
      <c r="Q39" s="5"/>
      <c r="R39" s="55"/>
      <c r="S39" s="5"/>
      <c r="T39" s="5"/>
      <c r="U39" s="5"/>
    </row>
    <row r="40" ht="21.75" customHeight="1" s="5" customFormat="1">
      <c r="A40" s="32" t="s">
        <v>205</v>
      </c>
      <c r="B40" s="39" t="s">
        <v>206</v>
      </c>
      <c r="C40" s="40" t="s">
        <v>154</v>
      </c>
      <c r="D40" s="35">
        <v>3374</v>
      </c>
      <c r="E40" s="35">
        <v>3979</v>
      </c>
      <c r="F40" s="35">
        <v>4973</v>
      </c>
      <c r="G40" s="40" t="s">
        <v>154</v>
      </c>
      <c r="H40" s="40" t="s">
        <v>154</v>
      </c>
      <c r="I40" s="41"/>
      <c r="J40" s="28"/>
      <c r="K40" s="29" t="s">
        <v>56</v>
      </c>
      <c r="L40" s="30" t="s">
        <v>152</v>
      </c>
      <c r="M40" s="31">
        <v>1656</v>
      </c>
      <c r="N40" s="28"/>
      <c r="O40" s="37" t="s">
        <v>102</v>
      </c>
      <c r="P40" s="38" t="s">
        <v>151</v>
      </c>
      <c r="Q40" s="5"/>
      <c r="R40" s="55"/>
      <c r="S40" s="5"/>
      <c r="T40" s="5"/>
      <c r="U40" s="5"/>
    </row>
    <row r="41" ht="21.75" customHeight="1" s="5" customFormat="1">
      <c r="A41" s="32" t="s">
        <v>207</v>
      </c>
      <c r="B41" s="33" t="s">
        <v>106</v>
      </c>
      <c r="C41" s="34" t="s">
        <v>154</v>
      </c>
      <c r="D41" s="35">
        <v>2908</v>
      </c>
      <c r="E41" s="34" t="s">
        <v>154</v>
      </c>
      <c r="F41" s="34" t="s">
        <v>154</v>
      </c>
      <c r="G41" s="34" t="s">
        <v>154</v>
      </c>
      <c r="H41" s="34" t="s">
        <v>154</v>
      </c>
      <c r="I41" s="36"/>
      <c r="J41" s="28"/>
      <c r="K41" s="37" t="s">
        <v>58</v>
      </c>
      <c r="L41" s="38" t="s">
        <v>160</v>
      </c>
      <c r="M41" s="31">
        <v>1210</v>
      </c>
      <c r="N41" s="28"/>
      <c r="O41" s="29" t="s">
        <v>102</v>
      </c>
      <c r="P41" s="30" t="s">
        <v>152</v>
      </c>
      <c r="Q41" s="5"/>
      <c r="R41" s="55"/>
      <c r="S41" s="5"/>
      <c r="T41" s="5"/>
      <c r="U41" s="5"/>
    </row>
    <row r="42" ht="21.75" customHeight="1" s="5" customFormat="1">
      <c r="A42" s="32" t="s">
        <v>208</v>
      </c>
      <c r="B42" s="39" t="s">
        <v>209</v>
      </c>
      <c r="C42" s="40" t="s">
        <v>154</v>
      </c>
      <c r="D42" s="40" t="s">
        <v>154</v>
      </c>
      <c r="E42" s="35">
        <v>1842</v>
      </c>
      <c r="F42" s="40" t="s">
        <v>154</v>
      </c>
      <c r="G42" s="40" t="s">
        <v>154</v>
      </c>
      <c r="H42" s="40" t="s">
        <v>154</v>
      </c>
      <c r="I42" s="41"/>
      <c r="J42" s="28"/>
      <c r="K42" s="29" t="s">
        <v>58</v>
      </c>
      <c r="L42" s="30" t="s">
        <v>151</v>
      </c>
      <c r="M42" s="31">
        <v>1450</v>
      </c>
      <c r="N42" s="28"/>
      <c r="O42" s="37" t="s">
        <v>102</v>
      </c>
      <c r="P42" s="38" t="s">
        <v>155</v>
      </c>
      <c r="Q42" s="5"/>
      <c r="R42" s="55"/>
      <c r="S42" s="5"/>
      <c r="T42" s="5"/>
      <c r="U42" s="5"/>
    </row>
    <row r="43" ht="21.75" customHeight="1" s="5" customFormat="1">
      <c r="A43" s="32" t="s">
        <v>210</v>
      </c>
      <c r="B43" s="33" t="s">
        <v>211</v>
      </c>
      <c r="C43" s="34" t="s">
        <v>154</v>
      </c>
      <c r="D43" s="35">
        <v>1612</v>
      </c>
      <c r="E43" s="34" t="s">
        <v>154</v>
      </c>
      <c r="F43" s="34" t="s">
        <v>154</v>
      </c>
      <c r="G43" s="34" t="s">
        <v>154</v>
      </c>
      <c r="H43" s="34" t="s">
        <v>154</v>
      </c>
      <c r="I43" s="36"/>
      <c r="J43" s="28"/>
      <c r="K43" s="37" t="s">
        <v>58</v>
      </c>
      <c r="L43" s="38" t="s">
        <v>152</v>
      </c>
      <c r="M43" s="31">
        <v>1700</v>
      </c>
      <c r="N43" s="28"/>
      <c r="O43" s="29" t="s">
        <v>105</v>
      </c>
      <c r="P43" s="30" t="s">
        <v>160</v>
      </c>
      <c r="Q43" s="5"/>
      <c r="R43" s="55"/>
      <c r="S43" s="5"/>
      <c r="T43" s="5"/>
      <c r="U43" s="5"/>
    </row>
    <row r="44" ht="21.75" customHeight="1" s="5" customFormat="1">
      <c r="A44" s="32" t="s">
        <v>212</v>
      </c>
      <c r="B44" s="39" t="s">
        <v>115</v>
      </c>
      <c r="C44" s="40" t="s">
        <v>154</v>
      </c>
      <c r="D44" s="35">
        <v>1252</v>
      </c>
      <c r="E44" s="35">
        <v>1374</v>
      </c>
      <c r="F44" s="40" t="s">
        <v>154</v>
      </c>
      <c r="G44" s="40" t="s">
        <v>154</v>
      </c>
      <c r="H44" s="40" t="s">
        <v>154</v>
      </c>
      <c r="I44" s="41"/>
      <c r="J44" s="28"/>
      <c r="K44" s="37" t="s">
        <v>61</v>
      </c>
      <c r="L44" s="38" t="s">
        <v>151</v>
      </c>
      <c r="M44" s="31">
        <v>1402</v>
      </c>
      <c r="N44" s="28"/>
      <c r="O44" s="37" t="s">
        <v>105</v>
      </c>
      <c r="P44" s="38" t="s">
        <v>151</v>
      </c>
      <c r="Q44" s="5"/>
      <c r="R44" s="55"/>
      <c r="S44" s="5"/>
      <c r="T44" s="5"/>
      <c r="U44" s="5"/>
    </row>
    <row r="45" ht="21.75" customHeight="1" s="5" customFormat="1">
      <c r="A45" s="32" t="s">
        <v>213</v>
      </c>
      <c r="B45" s="33" t="s">
        <v>118</v>
      </c>
      <c r="C45" s="34" t="s">
        <v>154</v>
      </c>
      <c r="D45" s="35">
        <v>1212</v>
      </c>
      <c r="E45" s="35">
        <v>1383</v>
      </c>
      <c r="F45" s="34" t="s">
        <v>154</v>
      </c>
      <c r="G45" s="34" t="s">
        <v>154</v>
      </c>
      <c r="H45" s="34" t="s">
        <v>154</v>
      </c>
      <c r="I45" s="36"/>
      <c r="J45" s="28"/>
      <c r="K45" s="29" t="s">
        <v>61</v>
      </c>
      <c r="L45" s="30" t="s">
        <v>152</v>
      </c>
      <c r="M45" s="31">
        <v>1679</v>
      </c>
      <c r="N45" s="28"/>
      <c r="O45" s="29" t="s">
        <v>105</v>
      </c>
      <c r="P45" s="30" t="s">
        <v>152</v>
      </c>
      <c r="Q45" s="5"/>
      <c r="R45" s="55"/>
      <c r="S45" s="5"/>
      <c r="T45" s="5"/>
      <c r="U45" s="5"/>
    </row>
    <row r="46" ht="21.75" customHeight="1" s="5" customFormat="1">
      <c r="A46" s="32" t="s">
        <v>214</v>
      </c>
      <c r="B46" s="39" t="s">
        <v>215</v>
      </c>
      <c r="C46" s="40" t="s">
        <v>154</v>
      </c>
      <c r="D46" s="40" t="s">
        <v>154</v>
      </c>
      <c r="E46" s="35">
        <v>1364</v>
      </c>
      <c r="F46" s="35">
        <v>1577.5</v>
      </c>
      <c r="G46" s="35">
        <v>1731</v>
      </c>
      <c r="H46" s="40" t="s">
        <v>154</v>
      </c>
      <c r="I46" s="41"/>
      <c r="J46" s="28"/>
      <c r="K46" s="37" t="s">
        <v>65</v>
      </c>
      <c r="L46" s="38" t="s">
        <v>160</v>
      </c>
      <c r="M46" s="31">
        <v>1221</v>
      </c>
      <c r="N46" s="28"/>
      <c r="O46" s="37" t="s">
        <v>108</v>
      </c>
      <c r="P46" s="38" t="s">
        <v>160</v>
      </c>
      <c r="Q46" s="5"/>
      <c r="R46" s="55"/>
      <c r="S46" s="5"/>
      <c r="T46" s="5"/>
      <c r="U46" s="5"/>
    </row>
    <row r="47" ht="21.75" customHeight="1" s="5" customFormat="1">
      <c r="A47" s="32" t="s">
        <v>216</v>
      </c>
      <c r="B47" s="33" t="s">
        <v>217</v>
      </c>
      <c r="C47" s="34" t="s">
        <v>154</v>
      </c>
      <c r="D47" s="35">
        <v>723.88</v>
      </c>
      <c r="E47" s="35">
        <v>855.17</v>
      </c>
      <c r="F47" s="34" t="s">
        <v>154</v>
      </c>
      <c r="G47" s="34" t="s">
        <v>154</v>
      </c>
      <c r="H47" s="34" t="s">
        <v>154</v>
      </c>
      <c r="I47" s="36"/>
      <c r="J47" s="28"/>
      <c r="K47" s="29" t="s">
        <v>65</v>
      </c>
      <c r="L47" s="30" t="s">
        <v>151</v>
      </c>
      <c r="M47" s="31">
        <v>1563</v>
      </c>
      <c r="N47" s="28"/>
      <c r="O47" s="29" t="s">
        <v>111</v>
      </c>
      <c r="P47" s="30" t="s">
        <v>218</v>
      </c>
      <c r="Q47" s="5"/>
      <c r="R47" s="55"/>
      <c r="S47" s="5"/>
      <c r="T47" s="5"/>
      <c r="U47" s="5"/>
    </row>
    <row r="48" ht="21.75" customHeight="1" s="5" customFormat="1">
      <c r="A48" s="32" t="s">
        <v>219</v>
      </c>
      <c r="B48" s="39" t="s">
        <v>125</v>
      </c>
      <c r="C48" s="40" t="s">
        <v>154</v>
      </c>
      <c r="D48" s="40" t="s">
        <v>154</v>
      </c>
      <c r="E48" s="35">
        <v>1308</v>
      </c>
      <c r="F48" s="35">
        <v>1526.47</v>
      </c>
      <c r="G48" s="40" t="s">
        <v>154</v>
      </c>
      <c r="H48" s="40" t="s">
        <v>154</v>
      </c>
      <c r="I48" s="41"/>
      <c r="J48" s="28"/>
      <c r="K48" s="37" t="s">
        <v>65</v>
      </c>
      <c r="L48" s="38" t="s">
        <v>152</v>
      </c>
      <c r="M48" s="31">
        <v>1820</v>
      </c>
      <c r="N48" s="28"/>
      <c r="O48" s="37" t="s">
        <v>111</v>
      </c>
      <c r="P48" s="38" t="s">
        <v>151</v>
      </c>
      <c r="Q48" s="5"/>
      <c r="R48" s="55"/>
      <c r="S48" s="5"/>
      <c r="T48" s="5"/>
      <c r="U48" s="5"/>
    </row>
    <row r="49" ht="21.75" customHeight="1" s="5" customFormat="1">
      <c r="A49" s="32" t="s">
        <v>220</v>
      </c>
      <c r="B49" s="33" t="s">
        <v>128</v>
      </c>
      <c r="C49" s="34" t="s">
        <v>154</v>
      </c>
      <c r="D49" s="34" t="s">
        <v>154</v>
      </c>
      <c r="E49" s="35">
        <v>1140</v>
      </c>
      <c r="F49" s="35">
        <v>1317</v>
      </c>
      <c r="G49" s="35">
        <v>1470</v>
      </c>
      <c r="H49" s="35">
        <v>1784</v>
      </c>
      <c r="I49" s="36"/>
      <c r="J49" s="28"/>
      <c r="K49" s="29" t="s">
        <v>65</v>
      </c>
      <c r="L49" s="30" t="s">
        <v>155</v>
      </c>
      <c r="M49" s="31">
        <v>2128</v>
      </c>
      <c r="N49" s="28"/>
      <c r="O49" s="29" t="s">
        <v>114</v>
      </c>
      <c r="P49" s="30" t="s">
        <v>160</v>
      </c>
      <c r="Q49" s="5"/>
      <c r="R49" s="55"/>
      <c r="S49" s="5"/>
      <c r="T49" s="5"/>
      <c r="U49" s="5"/>
    </row>
    <row r="50" ht="21.75" customHeight="1" s="5" customFormat="1">
      <c r="A50" s="32" t="s">
        <v>221</v>
      </c>
      <c r="B50" s="39" t="s">
        <v>222</v>
      </c>
      <c r="C50" s="40" t="s">
        <v>154</v>
      </c>
      <c r="D50" s="35">
        <v>970</v>
      </c>
      <c r="E50" s="35">
        <v>1185</v>
      </c>
      <c r="F50" s="35">
        <v>1400</v>
      </c>
      <c r="G50" s="35">
        <v>1695</v>
      </c>
      <c r="H50" s="40" t="s">
        <v>154</v>
      </c>
      <c r="I50" s="41"/>
      <c r="J50" s="28"/>
      <c r="K50" s="37" t="s">
        <v>68</v>
      </c>
      <c r="L50" s="38" t="s">
        <v>160</v>
      </c>
      <c r="M50" s="31">
        <v>1000</v>
      </c>
      <c r="N50" s="28"/>
      <c r="O50" s="37" t="s">
        <v>117</v>
      </c>
      <c r="P50" s="38" t="s">
        <v>160</v>
      </c>
      <c r="Q50" s="5"/>
      <c r="R50" s="55"/>
      <c r="S50" s="5"/>
      <c r="T50" s="5"/>
      <c r="U50" s="5"/>
    </row>
    <row r="51" ht="21.75" customHeight="1" s="5" customFormat="1">
      <c r="A51" s="32" t="s">
        <v>223</v>
      </c>
      <c r="B51" s="33" t="s">
        <v>224</v>
      </c>
      <c r="C51" s="34" t="s">
        <v>154</v>
      </c>
      <c r="D51" s="35">
        <v>946</v>
      </c>
      <c r="E51" s="35">
        <v>1054</v>
      </c>
      <c r="F51" s="35">
        <v>1328</v>
      </c>
      <c r="G51" s="35">
        <v>1425</v>
      </c>
      <c r="H51" s="34" t="s">
        <v>154</v>
      </c>
      <c r="I51" s="36"/>
      <c r="J51" s="28"/>
      <c r="K51" s="29" t="s">
        <v>68</v>
      </c>
      <c r="L51" s="30" t="s">
        <v>151</v>
      </c>
      <c r="M51" s="31">
        <v>1150</v>
      </c>
      <c r="N51" s="28"/>
      <c r="O51" s="29" t="s">
        <v>117</v>
      </c>
      <c r="P51" s="30" t="s">
        <v>151</v>
      </c>
      <c r="Q51" s="5"/>
      <c r="R51" s="55"/>
      <c r="S51" s="5"/>
      <c r="T51" s="5"/>
      <c r="U51" s="5"/>
    </row>
    <row r="52" ht="21.75" customHeight="1" s="5" customFormat="1">
      <c r="A52" s="32" t="s">
        <v>225</v>
      </c>
      <c r="B52" s="39" t="s">
        <v>226</v>
      </c>
      <c r="C52" s="40" t="s">
        <v>154</v>
      </c>
      <c r="D52" s="40" t="s">
        <v>154</v>
      </c>
      <c r="E52" s="35">
        <v>1388</v>
      </c>
      <c r="F52" s="35">
        <v>1592</v>
      </c>
      <c r="G52" s="40" t="s">
        <v>154</v>
      </c>
      <c r="H52" s="40" t="s">
        <v>154</v>
      </c>
      <c r="I52" s="41"/>
      <c r="J52" s="28"/>
      <c r="K52" s="37" t="s">
        <v>68</v>
      </c>
      <c r="L52" s="38" t="s">
        <v>152</v>
      </c>
      <c r="M52" s="31">
        <v>1300</v>
      </c>
      <c r="N52" s="28"/>
      <c r="O52" s="37" t="s">
        <v>119</v>
      </c>
      <c r="P52" s="38" t="s">
        <v>160</v>
      </c>
      <c r="Q52" s="5"/>
      <c r="R52" s="55"/>
      <c r="S52" s="5"/>
      <c r="T52" s="5"/>
      <c r="U52" s="5"/>
    </row>
    <row r="53" ht="21.75" customHeight="1" s="5" customFormat="1">
      <c r="A53" s="56" t="s">
        <v>227</v>
      </c>
      <c r="B53" s="5"/>
      <c r="C53" s="5"/>
      <c r="D53" s="5"/>
      <c r="E53" s="5"/>
      <c r="F53" s="5"/>
      <c r="G53" s="5"/>
      <c r="H53" s="5"/>
      <c r="I53" s="5"/>
      <c r="J53" s="28"/>
      <c r="K53" s="5"/>
      <c r="L53" s="5"/>
      <c r="M53" s="31">
        <v>1223</v>
      </c>
      <c r="N53" s="28"/>
      <c r="O53" s="29" t="s">
        <v>119</v>
      </c>
      <c r="P53" s="30" t="s">
        <v>151</v>
      </c>
      <c r="Q53" s="5"/>
      <c r="R53" s="55"/>
      <c r="S53" s="5"/>
      <c r="T53" s="5"/>
      <c r="U53" s="5"/>
    </row>
    <row r="54" ht="15.75" customHeight="1" s="5" customFormat="1"/>
    <row r="55" ht="15" customHeight="1" s="5" customFormat="1"/>
    <row r="56" ht="15" customHeight="1" s="5" customFormat="1"/>
    <row r="57" ht="15" customHeight="1" s="5" customFormat="1"/>
    <row r="58" ht="15" customHeight="1" s="5" customFormat="1"/>
    <row r="59" ht="15" customHeight="1" s="5" customFormat="1"/>
    <row r="60" ht="15" customHeight="1" s="5" customFormat="1"/>
  </sheetData>
  <mergeCells>
    <mergeCell ref="A9:I9"/>
    <mergeCell ref="A53:I53"/>
    <mergeCell ref="K10:U10"/>
    <mergeCell ref="B30:I30"/>
    <mergeCell ref="A10:I10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3C8FDDE-B6C9-7251-9DB6-763CF8B3DACF}" mc:Ignorable="x14ac xr xr2 xr3">
  <dimension ref="A1:AX502"/>
  <sheetViews>
    <sheetView showGridLines="0" topLeftCell="A1" workbookViewId="0">
      <pane ySplit="1" topLeftCell="A2" activePane="bottomLeft" state="frozen"/>
      <selection pane="bottomLeft" activeCell="A23" sqref="A23:E23"/>
    </sheetView>
  </sheetViews>
  <sheetFormatPr defaultRowHeight="21.75" defaultColWidth="9.140625" customHeight="1"/>
  <cols>
    <col min="1" max="1" style="5" width="8.00390625" customWidth="1"/>
    <col min="2" max="2" style="5" width="22.57421875" customWidth="1"/>
    <col min="3" max="3" style="5" width="51.421875" customWidth="1"/>
    <col min="4" max="4" style="5" width="8.57421875" customWidth="1"/>
    <col min="5" max="5" style="5" width="23.7109375" customWidth="1"/>
    <col min="6" max="6" style="5" width="34.140625" customWidth="1"/>
    <col min="7" max="7" style="5" width="2.57421875" customWidth="1"/>
    <col min="8" max="8" style="5" width="5.28125" customWidth="1"/>
    <col min="9" max="9" style="5" width="8.57421875" customWidth="1"/>
    <col min="10" max="11" style="5" width="7.8515625" hidden="1" customWidth="1"/>
    <col min="12" max="12" style="5" width="5.7109375" hidden="1" customWidth="1"/>
    <col min="13" max="13" style="162" width="17.28125" customWidth="1"/>
    <col min="14" max="15" style="5" width="18.00390625" hidden="1" customWidth="1"/>
    <col min="16" max="16" style="5" width="12.421875" hidden="1" customWidth="1"/>
    <col min="17" max="17" style="162" width="16.421875" customWidth="1"/>
    <col min="18" max="25" style="5" width="8.57421875" customWidth="1"/>
    <col min="26" max="26" style="5" width="23.57421875" customWidth="1"/>
    <col min="27" max="28" style="5" width="48.5742187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57"/>
      <c r="N1" s="1"/>
      <c r="O1" s="1"/>
      <c r="P1" s="1"/>
      <c r="Q1" s="57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ht="21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58"/>
      <c r="N2" s="3"/>
      <c r="O2" s="3"/>
      <c r="P2" s="3"/>
      <c r="Q2" s="58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ht="36" customHeight="1" s="5" customFormat="1">
      <c r="A3" s="59" t="s">
        <v>228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2"/>
      <c r="Z3" s="60" t="s">
        <v>229</v>
      </c>
      <c r="AA3" s="51"/>
      <c r="AB3" s="52"/>
    </row>
    <row r="4" ht="18" customHeight="1" s="5" customFormat="1">
      <c r="A4" s="61" t="s">
        <v>230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2"/>
    </row>
    <row r="5" ht="14.25" customHeight="1" s="5" customFormat="1">
      <c r="A5" s="62" t="s">
        <v>231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2"/>
    </row>
    <row r="6" ht="43.5" customHeight="1" s="5" customFormat="1">
      <c r="A6" s="63" t="s">
        <v>232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2"/>
    </row>
    <row r="7" ht="25.5" customHeight="1" s="5" customFormat="1">
      <c r="A7" s="64" t="s">
        <v>233</v>
      </c>
      <c r="B7" s="64" t="s">
        <v>234</v>
      </c>
      <c r="C7" s="64" t="s">
        <v>3</v>
      </c>
      <c r="D7" s="52"/>
      <c r="E7" s="64" t="s">
        <v>235</v>
      </c>
      <c r="F7" s="64" t="s">
        <v>236</v>
      </c>
      <c r="G7" s="65" t="s">
        <v>237</v>
      </c>
      <c r="H7" s="65" t="s">
        <v>238</v>
      </c>
      <c r="I7" s="65" t="s">
        <v>239</v>
      </c>
      <c r="J7" s="65" t="s">
        <v>240</v>
      </c>
      <c r="K7" s="65" t="s">
        <v>241</v>
      </c>
      <c r="L7" s="65" t="s">
        <v>242</v>
      </c>
      <c r="M7" s="66" t="s">
        <v>243</v>
      </c>
      <c r="N7" s="67" t="s">
        <v>244</v>
      </c>
      <c r="O7" s="67" t="s">
        <v>245</v>
      </c>
      <c r="P7" s="67" t="s">
        <v>246</v>
      </c>
      <c r="Q7" s="66" t="s">
        <v>247</v>
      </c>
      <c r="R7" s="27" t="s">
        <v>6</v>
      </c>
      <c r="S7" s="27" t="s">
        <v>248</v>
      </c>
      <c r="T7" s="27" t="s">
        <v>249</v>
      </c>
      <c r="U7" s="27" t="s">
        <v>250</v>
      </c>
      <c r="V7" s="27" t="s">
        <v>251</v>
      </c>
      <c r="W7" s="27" t="s">
        <v>252</v>
      </c>
      <c r="X7" s="27" t="s">
        <v>253</v>
      </c>
      <c r="Y7" s="27" t="s">
        <v>254</v>
      </c>
      <c r="Z7" s="66" t="s">
        <v>255</v>
      </c>
      <c r="AA7" s="68" t="s">
        <v>256</v>
      </c>
      <c r="AB7" s="68" t="s">
        <v>257</v>
      </c>
    </row>
    <row r="8" ht="21.75" customHeight="1" s="5" customFormat="1">
      <c r="A8" s="69" t="s">
        <v>258</v>
      </c>
      <c r="B8" s="70" t="s">
        <v>259</v>
      </c>
      <c r="C8" s="71" t="s">
        <v>260</v>
      </c>
      <c r="D8" s="52"/>
      <c r="E8" s="72" t="s">
        <v>261</v>
      </c>
      <c r="F8" s="72" t="s">
        <v>262</v>
      </c>
      <c r="G8" s="72" t="s">
        <v>263</v>
      </c>
      <c r="H8" s="72" t="s">
        <v>264</v>
      </c>
      <c r="I8" s="72" t="s">
        <v>265</v>
      </c>
      <c r="J8" s="72" t="s">
        <v>266</v>
      </c>
      <c r="K8" s="72" t="s">
        <v>267</v>
      </c>
      <c r="L8" s="72" t="s">
        <v>268</v>
      </c>
      <c r="M8" s="73">
        <v>1736</v>
      </c>
      <c r="N8" s="74" t="s">
        <v>269</v>
      </c>
      <c r="O8" s="74" t="s">
        <v>270</v>
      </c>
      <c r="P8" s="74" t="s">
        <v>271</v>
      </c>
      <c r="Q8" s="73">
        <v>2376</v>
      </c>
      <c r="R8" s="72">
        <v>109</v>
      </c>
      <c r="S8" s="72">
        <v>2015</v>
      </c>
      <c r="T8" s="72">
        <v>0</v>
      </c>
      <c r="U8" s="75" t="s">
        <v>272</v>
      </c>
      <c r="V8" s="76" t="s">
        <v>273</v>
      </c>
      <c r="W8" s="76" t="s">
        <v>273</v>
      </c>
      <c r="X8" s="76" t="s">
        <v>273</v>
      </c>
      <c r="Y8" s="76" t="s">
        <v>273</v>
      </c>
      <c r="Z8" s="70" t="s">
        <v>259</v>
      </c>
      <c r="AA8" s="77" t="s">
        <v>274</v>
      </c>
      <c r="AB8" s="78" t="s">
        <v>275</v>
      </c>
    </row>
    <row r="9" ht="21.75" customHeight="1" s="5" customFormat="1">
      <c r="A9" s="79" t="s">
        <v>276</v>
      </c>
      <c r="B9" s="80" t="s">
        <v>277</v>
      </c>
      <c r="C9" s="81" t="s">
        <v>278</v>
      </c>
      <c r="D9" s="52"/>
      <c r="E9" s="82" t="s">
        <v>279</v>
      </c>
      <c r="F9" s="82" t="s">
        <v>280</v>
      </c>
      <c r="G9" s="82" t="s">
        <v>263</v>
      </c>
      <c r="H9" s="82" t="s">
        <v>281</v>
      </c>
      <c r="I9" s="82" t="s">
        <v>282</v>
      </c>
      <c r="J9" s="82" t="s">
        <v>266</v>
      </c>
      <c r="K9" s="82" t="s">
        <v>267</v>
      </c>
      <c r="L9" s="82" t="s">
        <v>268</v>
      </c>
      <c r="M9" s="79" t="s">
        <v>283</v>
      </c>
      <c r="N9" s="82" t="s">
        <v>269</v>
      </c>
      <c r="O9" s="82" t="s">
        <v>270</v>
      </c>
      <c r="P9" s="82" t="s">
        <v>271</v>
      </c>
      <c r="Q9" s="79" t="s">
        <v>283</v>
      </c>
      <c r="R9" s="82">
        <v>100</v>
      </c>
      <c r="S9" s="82">
        <v>1974</v>
      </c>
      <c r="T9" s="82">
        <v>0</v>
      </c>
      <c r="U9" s="83" t="s">
        <v>272</v>
      </c>
      <c r="V9" s="84" t="s">
        <v>273</v>
      </c>
      <c r="W9" s="84" t="s">
        <v>273</v>
      </c>
      <c r="X9" s="84" t="s">
        <v>273</v>
      </c>
      <c r="Y9" s="84" t="s">
        <v>273</v>
      </c>
      <c r="Z9" s="85" t="s">
        <v>284</v>
      </c>
      <c r="AA9" s="86" t="s">
        <v>285</v>
      </c>
      <c r="AB9" s="87" t="s">
        <v>286</v>
      </c>
    </row>
    <row r="10" ht="21.75" customHeight="1" s="5" customFormat="1">
      <c r="A10" s="79" t="s">
        <v>210</v>
      </c>
      <c r="B10" s="80" t="s">
        <v>277</v>
      </c>
      <c r="C10" s="81" t="s">
        <v>287</v>
      </c>
      <c r="D10" s="52"/>
      <c r="E10" s="82" t="s">
        <v>288</v>
      </c>
      <c r="F10" s="82" t="s">
        <v>289</v>
      </c>
      <c r="G10" s="82" t="s">
        <v>263</v>
      </c>
      <c r="H10" s="82" t="s">
        <v>290</v>
      </c>
      <c r="I10" s="82" t="s">
        <v>291</v>
      </c>
      <c r="J10" s="82" t="s">
        <v>266</v>
      </c>
      <c r="K10" s="82" t="s">
        <v>267</v>
      </c>
      <c r="L10" s="82" t="s">
        <v>268</v>
      </c>
      <c r="M10" s="79" t="s">
        <v>283</v>
      </c>
      <c r="N10" s="82" t="s">
        <v>269</v>
      </c>
      <c r="O10" s="82" t="s">
        <v>270</v>
      </c>
      <c r="P10" s="82" t="s">
        <v>271</v>
      </c>
      <c r="Q10" s="79" t="s">
        <v>283</v>
      </c>
      <c r="R10" s="82">
        <v>112</v>
      </c>
      <c r="S10" s="82">
        <v>1975</v>
      </c>
      <c r="T10" s="82">
        <v>1</v>
      </c>
      <c r="U10" s="83" t="s">
        <v>272</v>
      </c>
      <c r="V10" s="84" t="s">
        <v>273</v>
      </c>
      <c r="W10" s="84" t="s">
        <v>273</v>
      </c>
      <c r="X10" s="84" t="s">
        <v>273</v>
      </c>
      <c r="Y10" s="84" t="s">
        <v>273</v>
      </c>
      <c r="Z10" s="85" t="s">
        <v>284</v>
      </c>
      <c r="AA10" s="86" t="s">
        <v>292</v>
      </c>
      <c r="AB10" s="87" t="s">
        <v>286</v>
      </c>
    </row>
    <row r="11" ht="21.75" customHeight="1" s="5" customFormat="1">
      <c r="A11" s="88" t="s">
        <v>181</v>
      </c>
      <c r="B11" s="89" t="s">
        <v>277</v>
      </c>
      <c r="C11" s="90" t="s">
        <v>293</v>
      </c>
      <c r="D11" s="91"/>
      <c r="E11" s="92" t="s">
        <v>294</v>
      </c>
      <c r="F11" s="92" t="s">
        <v>295</v>
      </c>
      <c r="G11" s="92" t="s">
        <v>263</v>
      </c>
      <c r="H11" s="92" t="s">
        <v>296</v>
      </c>
      <c r="I11" s="92" t="s">
        <v>297</v>
      </c>
      <c r="J11" s="92" t="s">
        <v>266</v>
      </c>
      <c r="K11" s="92" t="s">
        <v>267</v>
      </c>
      <c r="L11" s="92" t="s">
        <v>268</v>
      </c>
      <c r="M11" s="88" t="s">
        <v>283</v>
      </c>
      <c r="N11" s="92" t="s">
        <v>269</v>
      </c>
      <c r="O11" s="92" t="s">
        <v>270</v>
      </c>
      <c r="P11" s="92" t="s">
        <v>271</v>
      </c>
      <c r="Q11" s="88" t="s">
        <v>283</v>
      </c>
      <c r="R11" s="92">
        <v>96</v>
      </c>
      <c r="S11" s="92">
        <v>1972</v>
      </c>
      <c r="T11" s="92">
        <v>2</v>
      </c>
      <c r="U11" s="93" t="s">
        <v>272</v>
      </c>
      <c r="V11" s="94" t="s">
        <v>273</v>
      </c>
      <c r="W11" s="94" t="s">
        <v>273</v>
      </c>
      <c r="X11" s="94" t="s">
        <v>273</v>
      </c>
      <c r="Y11" s="94" t="s">
        <v>273</v>
      </c>
      <c r="Z11" s="95" t="s">
        <v>298</v>
      </c>
      <c r="AA11" s="96" t="s">
        <v>299</v>
      </c>
      <c r="AB11" s="97" t="s">
        <v>293</v>
      </c>
    </row>
    <row r="12" ht="24.75" customHeight="1" s="5" customFormat="1">
      <c r="A12" s="98" t="s">
        <v>276</v>
      </c>
      <c r="B12" s="99" t="s">
        <v>300</v>
      </c>
      <c r="C12" s="100" t="s">
        <v>301</v>
      </c>
      <c r="D12" s="101" t="s">
        <v>302</v>
      </c>
      <c r="E12" s="102" t="s">
        <v>303</v>
      </c>
      <c r="F12" s="103" t="s">
        <v>262</v>
      </c>
      <c r="G12" s="103" t="s">
        <v>263</v>
      </c>
      <c r="H12" s="103" t="s">
        <v>304</v>
      </c>
      <c r="I12" s="104" t="s">
        <v>305</v>
      </c>
      <c r="J12" s="103" t="s">
        <v>64</v>
      </c>
      <c r="K12" s="103" t="s">
        <v>64</v>
      </c>
      <c r="L12" s="103" t="s">
        <v>268</v>
      </c>
      <c r="M12" s="105">
        <v>2446</v>
      </c>
      <c r="N12" s="106" t="s">
        <v>64</v>
      </c>
      <c r="O12" s="106" t="s">
        <v>64</v>
      </c>
      <c r="P12" s="106" t="s">
        <v>271</v>
      </c>
      <c r="Q12" s="105">
        <v>2947</v>
      </c>
      <c r="R12" s="102">
        <v>266</v>
      </c>
      <c r="S12" s="102">
        <v>2020</v>
      </c>
      <c r="T12" s="102">
        <v>5</v>
      </c>
      <c r="U12" s="107" t="s">
        <v>273</v>
      </c>
      <c r="V12" s="108" t="s">
        <v>272</v>
      </c>
      <c r="W12" s="107" t="s">
        <v>273</v>
      </c>
      <c r="X12" s="108" t="s">
        <v>272</v>
      </c>
      <c r="Y12" s="108" t="s">
        <v>272</v>
      </c>
      <c r="Z12" s="109" t="s">
        <v>284</v>
      </c>
      <c r="AA12" s="110" t="s">
        <v>306</v>
      </c>
      <c r="AB12" s="111" t="s">
        <v>307</v>
      </c>
    </row>
    <row r="13" ht="26.25" customHeight="1" s="5" customFormat="1">
      <c r="A13" s="112" t="s">
        <v>210</v>
      </c>
      <c r="B13" s="113" t="s">
        <v>300</v>
      </c>
      <c r="C13" s="114" t="s">
        <v>308</v>
      </c>
      <c r="D13" s="115"/>
      <c r="E13" s="116" t="s">
        <v>309</v>
      </c>
      <c r="F13" s="117" t="s">
        <v>262</v>
      </c>
      <c r="G13" s="117" t="s">
        <v>263</v>
      </c>
      <c r="H13" s="117" t="s">
        <v>310</v>
      </c>
      <c r="I13" s="118" t="s">
        <v>311</v>
      </c>
      <c r="J13" s="117" t="s">
        <v>64</v>
      </c>
      <c r="K13" s="117" t="s">
        <v>64</v>
      </c>
      <c r="L13" s="117" t="s">
        <v>268</v>
      </c>
      <c r="M13" s="119">
        <v>2600</v>
      </c>
      <c r="N13" s="120" t="s">
        <v>64</v>
      </c>
      <c r="O13" s="120" t="s">
        <v>64</v>
      </c>
      <c r="P13" s="120" t="s">
        <v>271</v>
      </c>
      <c r="Q13" s="121" t="s">
        <v>64</v>
      </c>
      <c r="R13" s="116">
        <v>163</v>
      </c>
      <c r="S13" s="116">
        <v>2023</v>
      </c>
      <c r="T13" s="116">
        <v>8</v>
      </c>
      <c r="U13" s="122" t="s">
        <v>273</v>
      </c>
      <c r="V13" s="123" t="s">
        <v>272</v>
      </c>
      <c r="W13" s="123" t="s">
        <v>272</v>
      </c>
      <c r="X13" s="123" t="s">
        <v>272</v>
      </c>
      <c r="Y13" s="123" t="s">
        <v>272</v>
      </c>
      <c r="Z13" s="124" t="s">
        <v>284</v>
      </c>
      <c r="AA13" s="125" t="s">
        <v>312</v>
      </c>
      <c r="AB13" s="126" t="s">
        <v>313</v>
      </c>
    </row>
    <row r="14" ht="25.5" customHeight="1" s="5" customFormat="1">
      <c r="A14" s="112" t="s">
        <v>181</v>
      </c>
      <c r="B14" s="113" t="s">
        <v>300</v>
      </c>
      <c r="C14" s="114" t="s">
        <v>314</v>
      </c>
      <c r="D14" s="115"/>
      <c r="E14" s="116" t="s">
        <v>315</v>
      </c>
      <c r="F14" s="117" t="s">
        <v>262</v>
      </c>
      <c r="G14" s="117" t="s">
        <v>263</v>
      </c>
      <c r="H14" s="117" t="s">
        <v>316</v>
      </c>
      <c r="I14" s="118" t="s">
        <v>317</v>
      </c>
      <c r="J14" s="117" t="s">
        <v>64</v>
      </c>
      <c r="K14" s="117" t="s">
        <v>64</v>
      </c>
      <c r="L14" s="117" t="s">
        <v>268</v>
      </c>
      <c r="M14" s="119">
        <v>1890</v>
      </c>
      <c r="N14" s="120" t="s">
        <v>64</v>
      </c>
      <c r="O14" s="120" t="s">
        <v>64</v>
      </c>
      <c r="P14" s="120" t="s">
        <v>271</v>
      </c>
      <c r="Q14" s="119">
        <v>2150</v>
      </c>
      <c r="R14" s="116" t="s">
        <v>64</v>
      </c>
      <c r="S14" s="116">
        <v>1974</v>
      </c>
      <c r="T14" s="116">
        <v>0</v>
      </c>
      <c r="U14" s="122" t="s">
        <v>273</v>
      </c>
      <c r="V14" s="123" t="s">
        <v>272</v>
      </c>
      <c r="W14" s="122" t="s">
        <v>273</v>
      </c>
      <c r="X14" s="123" t="s">
        <v>272</v>
      </c>
      <c r="Y14" s="122" t="s">
        <v>273</v>
      </c>
      <c r="Z14" s="124" t="s">
        <v>284</v>
      </c>
      <c r="AA14" s="125" t="s">
        <v>318</v>
      </c>
      <c r="AB14" s="126" t="s">
        <v>319</v>
      </c>
    </row>
    <row r="15" ht="26.25" customHeight="1" s="5" customFormat="1">
      <c r="A15" s="112" t="s">
        <v>320</v>
      </c>
      <c r="B15" s="113" t="s">
        <v>300</v>
      </c>
      <c r="C15" s="114" t="s">
        <v>321</v>
      </c>
      <c r="D15" s="115"/>
      <c r="E15" s="116" t="s">
        <v>322</v>
      </c>
      <c r="F15" s="117" t="s">
        <v>262</v>
      </c>
      <c r="G15" s="117" t="s">
        <v>263</v>
      </c>
      <c r="H15" s="117" t="s">
        <v>304</v>
      </c>
      <c r="I15" s="118" t="s">
        <v>323</v>
      </c>
      <c r="J15" s="117" t="s">
        <v>64</v>
      </c>
      <c r="K15" s="117" t="s">
        <v>64</v>
      </c>
      <c r="L15" s="117" t="s">
        <v>268</v>
      </c>
      <c r="M15" s="119">
        <v>2250</v>
      </c>
      <c r="N15" s="120" t="s">
        <v>64</v>
      </c>
      <c r="O15" s="120" t="s">
        <v>64</v>
      </c>
      <c r="P15" s="120" t="s">
        <v>271</v>
      </c>
      <c r="Q15" s="121" t="s">
        <v>64</v>
      </c>
      <c r="R15" s="116">
        <v>296</v>
      </c>
      <c r="S15" s="116">
        <v>2021</v>
      </c>
      <c r="T15" s="116">
        <v>47</v>
      </c>
      <c r="U15" s="122" t="s">
        <v>273</v>
      </c>
      <c r="V15" s="123" t="s">
        <v>272</v>
      </c>
      <c r="W15" s="122" t="s">
        <v>273</v>
      </c>
      <c r="X15" s="123" t="s">
        <v>272</v>
      </c>
      <c r="Y15" s="123" t="s">
        <v>272</v>
      </c>
      <c r="Z15" s="124" t="s">
        <v>284</v>
      </c>
      <c r="AA15" s="125" t="s">
        <v>324</v>
      </c>
      <c r="AB15" s="126" t="s">
        <v>325</v>
      </c>
    </row>
    <row r="16" ht="29.25" customHeight="1" s="5" customFormat="1">
      <c r="A16" s="112" t="s">
        <v>326</v>
      </c>
      <c r="B16" s="113" t="s">
        <v>300</v>
      </c>
      <c r="C16" s="114" t="s">
        <v>327</v>
      </c>
      <c r="D16" s="115"/>
      <c r="E16" s="116" t="s">
        <v>328</v>
      </c>
      <c r="F16" s="117" t="s">
        <v>262</v>
      </c>
      <c r="G16" s="117" t="s">
        <v>263</v>
      </c>
      <c r="H16" s="117" t="s">
        <v>329</v>
      </c>
      <c r="I16" s="118" t="s">
        <v>330</v>
      </c>
      <c r="J16" s="117" t="s">
        <v>64</v>
      </c>
      <c r="K16" s="117" t="s">
        <v>64</v>
      </c>
      <c r="L16" s="117" t="s">
        <v>268</v>
      </c>
      <c r="M16" s="119">
        <v>2520</v>
      </c>
      <c r="N16" s="120" t="s">
        <v>64</v>
      </c>
      <c r="O16" s="120" t="s">
        <v>64</v>
      </c>
      <c r="P16" s="120" t="s">
        <v>271</v>
      </c>
      <c r="Q16" s="119">
        <v>3840</v>
      </c>
      <c r="R16" s="116">
        <v>330</v>
      </c>
      <c r="S16" s="116">
        <v>2023</v>
      </c>
      <c r="T16" s="116">
        <v>8</v>
      </c>
      <c r="U16" s="122" t="s">
        <v>273</v>
      </c>
      <c r="V16" s="123" t="s">
        <v>272</v>
      </c>
      <c r="W16" s="123" t="s">
        <v>272</v>
      </c>
      <c r="X16" s="123" t="s">
        <v>272</v>
      </c>
      <c r="Y16" s="123" t="s">
        <v>272</v>
      </c>
      <c r="Z16" s="124" t="s">
        <v>284</v>
      </c>
      <c r="AA16" s="125" t="s">
        <v>331</v>
      </c>
      <c r="AB16" s="126" t="s">
        <v>332</v>
      </c>
    </row>
    <row r="17" ht="28.5" customHeight="1" s="5" customFormat="1">
      <c r="A17" s="127" t="s">
        <v>205</v>
      </c>
      <c r="B17" s="128" t="s">
        <v>300</v>
      </c>
      <c r="C17" s="129" t="s">
        <v>333</v>
      </c>
      <c r="D17" s="130"/>
      <c r="E17" s="131" t="s">
        <v>334</v>
      </c>
      <c r="F17" s="132" t="s">
        <v>262</v>
      </c>
      <c r="G17" s="132" t="s">
        <v>263</v>
      </c>
      <c r="H17" s="132" t="s">
        <v>335</v>
      </c>
      <c r="I17" s="133" t="s">
        <v>336</v>
      </c>
      <c r="J17" s="132" t="s">
        <v>64</v>
      </c>
      <c r="K17" s="132" t="s">
        <v>64</v>
      </c>
      <c r="L17" s="132" t="s">
        <v>268</v>
      </c>
      <c r="M17" s="134">
        <v>2310</v>
      </c>
      <c r="N17" s="135" t="s">
        <v>64</v>
      </c>
      <c r="O17" s="135" t="s">
        <v>64</v>
      </c>
      <c r="P17" s="135" t="s">
        <v>271</v>
      </c>
      <c r="Q17" s="134">
        <v>2755</v>
      </c>
      <c r="R17" s="131">
        <v>312</v>
      </c>
      <c r="S17" s="131">
        <v>2013</v>
      </c>
      <c r="T17" s="131">
        <v>2</v>
      </c>
      <c r="U17" s="136" t="s">
        <v>273</v>
      </c>
      <c r="V17" s="137" t="s">
        <v>272</v>
      </c>
      <c r="W17" s="137" t="s">
        <v>272</v>
      </c>
      <c r="X17" s="137" t="s">
        <v>272</v>
      </c>
      <c r="Y17" s="137" t="s">
        <v>272</v>
      </c>
      <c r="Z17" s="138" t="s">
        <v>284</v>
      </c>
      <c r="AA17" s="139" t="s">
        <v>337</v>
      </c>
      <c r="AB17" s="140" t="s">
        <v>338</v>
      </c>
    </row>
    <row r="18" ht="28.5" customHeight="1" s="5" customFormat="1">
      <c r="A18" s="141" t="s">
        <v>154</v>
      </c>
      <c r="B18" s="142" t="s">
        <v>339</v>
      </c>
      <c r="C18" s="143" t="s">
        <v>340</v>
      </c>
      <c r="D18" s="144"/>
      <c r="E18" s="141" t="s">
        <v>64</v>
      </c>
      <c r="F18" s="141" t="s">
        <v>262</v>
      </c>
      <c r="G18" s="141" t="s">
        <v>263</v>
      </c>
      <c r="H18" s="141" t="s">
        <v>64</v>
      </c>
      <c r="I18" s="141" t="s">
        <v>64</v>
      </c>
      <c r="J18" s="141" t="s">
        <v>268</v>
      </c>
      <c r="K18" s="141" t="s">
        <v>268</v>
      </c>
      <c r="L18" s="141" t="s">
        <v>268</v>
      </c>
      <c r="M18" s="141" t="s">
        <v>64</v>
      </c>
      <c r="N18" s="141" t="s">
        <v>271</v>
      </c>
      <c r="O18" s="141" t="s">
        <v>271</v>
      </c>
      <c r="P18" s="141" t="s">
        <v>271</v>
      </c>
      <c r="Q18" s="141" t="s">
        <v>64</v>
      </c>
      <c r="R18" s="141" t="s">
        <v>64</v>
      </c>
      <c r="S18" s="141" t="s">
        <v>64</v>
      </c>
      <c r="T18" s="141" t="s">
        <v>64</v>
      </c>
      <c r="U18" s="141" t="s">
        <v>64</v>
      </c>
      <c r="V18" s="141" t="s">
        <v>64</v>
      </c>
      <c r="W18" s="141" t="s">
        <v>64</v>
      </c>
      <c r="X18" s="141" t="s">
        <v>64</v>
      </c>
      <c r="Y18" s="141" t="s">
        <v>64</v>
      </c>
      <c r="Z18" s="145" t="s">
        <v>339</v>
      </c>
      <c r="AA18" s="146" t="s">
        <v>341</v>
      </c>
      <c r="AB18" s="147" t="s">
        <v>342</v>
      </c>
    </row>
    <row r="19" ht="34.5" customHeight="1" s="5" customFormat="1">
      <c r="A19" s="148" t="s">
        <v>154</v>
      </c>
      <c r="B19" s="149" t="s">
        <v>339</v>
      </c>
      <c r="C19" s="150" t="s">
        <v>343</v>
      </c>
      <c r="D19" s="52"/>
      <c r="E19" s="148" t="s">
        <v>64</v>
      </c>
      <c r="F19" s="148" t="s">
        <v>262</v>
      </c>
      <c r="G19" s="148" t="s">
        <v>263</v>
      </c>
      <c r="H19" s="148" t="s">
        <v>64</v>
      </c>
      <c r="I19" s="148" t="s">
        <v>64</v>
      </c>
      <c r="J19" s="148" t="s">
        <v>344</v>
      </c>
      <c r="K19" s="148" t="s">
        <v>344</v>
      </c>
      <c r="L19" s="148" t="s">
        <v>344</v>
      </c>
      <c r="M19" s="151" t="s">
        <v>344</v>
      </c>
      <c r="N19" s="151" t="s">
        <v>345</v>
      </c>
      <c r="O19" s="151" t="s">
        <v>345</v>
      </c>
      <c r="P19" s="151" t="s">
        <v>345</v>
      </c>
      <c r="Q19" s="151" t="s">
        <v>345</v>
      </c>
      <c r="R19" s="148" t="s">
        <v>64</v>
      </c>
      <c r="S19" s="148" t="s">
        <v>64</v>
      </c>
      <c r="T19" s="148" t="s">
        <v>64</v>
      </c>
      <c r="U19" s="148" t="s">
        <v>64</v>
      </c>
      <c r="V19" s="148" t="s">
        <v>64</v>
      </c>
      <c r="W19" s="148" t="s">
        <v>64</v>
      </c>
      <c r="X19" s="148" t="s">
        <v>64</v>
      </c>
      <c r="Y19" s="148" t="s">
        <v>64</v>
      </c>
      <c r="Z19" s="113" t="s">
        <v>339</v>
      </c>
      <c r="AA19" s="152" t="s">
        <v>346</v>
      </c>
      <c r="AB19" s="153" t="s">
        <v>347</v>
      </c>
    </row>
    <row r="21" ht="14.25" customHeight="1" s="5" customFormat="1">
      <c r="A21" s="154" t="s">
        <v>348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2"/>
    </row>
    <row r="23" ht="18" customHeight="1" s="5" customFormat="1">
      <c r="A23" s="155" t="s">
        <v>349</v>
      </c>
      <c r="B23" s="51"/>
      <c r="C23" s="51"/>
      <c r="D23" s="51"/>
      <c r="E23" s="51"/>
      <c r="F23" s="51"/>
      <c r="G23" s="51"/>
      <c r="H23" s="52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ht="15.75" customHeight="1" s="5" customFormat="1">
      <c r="A24" s="156" t="s">
        <v>350</v>
      </c>
      <c r="B24" s="51"/>
      <c r="C24" s="51"/>
      <c r="D24" s="51"/>
      <c r="E24" s="51"/>
      <c r="F24" s="51"/>
      <c r="G24" s="51"/>
      <c r="H24" s="52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ht="15.75" customHeight="1" s="5" customFormat="1">
      <c r="A25" s="24"/>
      <c r="B25" s="157" t="s">
        <v>351</v>
      </c>
      <c r="C25" s="157" t="s">
        <v>352</v>
      </c>
      <c r="D25" s="52"/>
      <c r="E25" s="157" t="s">
        <v>353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ht="20.25" customHeight="1" s="5" customFormat="1">
      <c r="A26" s="74" t="s">
        <v>151</v>
      </c>
      <c r="B26" s="158">
        <v>1736</v>
      </c>
      <c r="C26" s="159">
        <v>2336</v>
      </c>
      <c r="D26" s="52"/>
      <c r="E26" s="160">
        <f t="shared" si="0" ref="E26:E27">B26-C26</f>
        <v>-600</v>
      </c>
      <c r="F26" s="161" t="str">
        <f>IF(E26&lt;-75,"LOOK INTO INCREASING THE RENT!","")</f>
        <v>LOOK INTO INCREASING THE RENT!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ht="20.25" customHeight="1" s="5" customFormat="1">
      <c r="A27" s="74" t="s">
        <v>152</v>
      </c>
      <c r="B27" s="158">
        <v>2376</v>
      </c>
      <c r="C27" s="159">
        <v>2923</v>
      </c>
      <c r="D27" s="52"/>
      <c r="E27" s="160">
        <f t="shared" si="0"/>
        <v>-547</v>
      </c>
      <c r="F27" s="161" t="str">
        <f>IF(E27&lt;-75,"LOOK INTO INCREASING THE RENT!","")</f>
        <v>LOOK INTO INCREASING THE RENT!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</sheetData>
  <mergeCells>
    <mergeCell ref="A4:AB4"/>
    <mergeCell ref="C8:D8"/>
    <mergeCell ref="C26:D26"/>
    <mergeCell ref="C7:D7"/>
    <mergeCell ref="D12:D17"/>
    <mergeCell ref="A6:AB6"/>
    <mergeCell ref="C18:D18"/>
    <mergeCell ref="A21:AB21"/>
    <mergeCell ref="C27:D27"/>
    <mergeCell ref="C11:D11"/>
    <mergeCell ref="Z3:AB3"/>
    <mergeCell ref="A23:H23"/>
    <mergeCell ref="A3:Y3"/>
    <mergeCell ref="C25:D25"/>
    <mergeCell ref="C19:D19"/>
    <mergeCell ref="C10:D10"/>
    <mergeCell ref="A24:H24"/>
    <mergeCell ref="C9:D9"/>
    <mergeCell ref="A5:AB5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65B7706-9854-1128-4948-E5F422651AF8}" mc:Ignorable="x14ac xr xr2 xr3">
  <dimension ref="A1:AX501"/>
  <sheetViews>
    <sheetView topLeftCell="A1" workbookViewId="0" tabSelected="1">
      <pane ySplit="1" topLeftCell="A5" activePane="bottomLeft" state="frozen"/>
      <selection pane="bottomLeft" activeCell="C1" sqref="C1"/>
    </sheetView>
  </sheetViews>
  <sheetFormatPr defaultRowHeight="21.75" defaultColWidth="9.140625" customHeight="1"/>
  <cols>
    <col min="1" max="1" style="5" width="9.140625" customWidth="1"/>
    <col min="2" max="2" style="5" width="21.00390625" customWidth="1"/>
    <col min="3" max="3" style="5" width="56.57421875" customWidth="1"/>
    <col min="4" max="4" style="5" width="2.8515625" customWidth="1"/>
    <col min="5" max="5" style="5" width="27.00390625" customWidth="1"/>
    <col min="6" max="6" style="5" width="19.8515625" customWidth="1"/>
    <col min="7" max="7" style="5" width="3.140625" customWidth="1"/>
    <col min="8" max="8" style="5" width="5.28125" customWidth="1"/>
    <col min="9" max="9" style="5" width="7.7109375" customWidth="1"/>
    <col min="10" max="11" style="5" width="7.8515625" hidden="1" customWidth="1"/>
    <col min="12" max="12" style="5" width="5.7109375" hidden="1" customWidth="1"/>
    <col min="13" max="13" style="5" width="16.421875" customWidth="1"/>
    <col min="14" max="15" style="5" width="11.8515625" hidden="1" customWidth="1"/>
    <col min="16" max="16" style="5" width="8.7109375" hidden="1" customWidth="1"/>
    <col min="17" max="17" style="5" width="16.421875" customWidth="1"/>
    <col min="18" max="18" style="5" width="5.28125" customWidth="1"/>
    <col min="19" max="19" style="5" width="7.140625" customWidth="1"/>
    <col min="20" max="20" style="5" width="6.140625" customWidth="1"/>
    <col min="21" max="21" style="5" width="4.57421875" customWidth="1"/>
    <col min="22" max="22" style="5" width="7.7109375" customWidth="1"/>
    <col min="23" max="23" style="5" width="6.00390625" customWidth="1"/>
    <col min="24" max="24" style="5" width="5.00390625" customWidth="1"/>
    <col min="25" max="25" style="5" width="6.7109375" customWidth="1"/>
    <col min="26" max="26" style="5" width="23.57421875" customWidth="1"/>
    <col min="27" max="27" style="5" width="71.7109375" customWidth="1"/>
    <col min="28" max="28" style="5" width="51.2812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ht="21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36" customHeight="1" s="5" customFormat="1">
      <c r="A3" s="163" t="s">
        <v>355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5"/>
      <c r="Z3" s="166" t="s">
        <v>356</v>
      </c>
      <c r="AA3" s="164"/>
      <c r="AB3" s="165"/>
    </row>
    <row r="4" ht="18" customHeight="1" s="5" customFormat="1">
      <c r="A4" s="167" t="s">
        <v>357</v>
      </c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  <c r="AA4" s="168"/>
      <c r="AB4" s="169"/>
    </row>
    <row r="5" ht="14.25" customHeight="1" s="5" customFormat="1">
      <c r="A5" s="170" t="s">
        <v>358</v>
      </c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/>
      <c r="AB5" s="165"/>
    </row>
    <row r="6" ht="25.5" customHeight="1" s="5" customFormat="1">
      <c r="A6" s="171" t="s">
        <v>359</v>
      </c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  <c r="AB6" s="165"/>
    </row>
    <row r="7" ht="36" customHeight="1" s="5" customFormat="1">
      <c r="A7" s="172" t="s">
        <v>233</v>
      </c>
      <c r="B7" s="172" t="s">
        <v>234</v>
      </c>
      <c r="C7" s="172" t="s">
        <v>3</v>
      </c>
      <c r="D7" s="173"/>
      <c r="E7" s="172" t="s">
        <v>235</v>
      </c>
      <c r="F7" s="172" t="s">
        <v>236</v>
      </c>
      <c r="G7" s="174" t="s">
        <v>237</v>
      </c>
      <c r="H7" s="174" t="s">
        <v>238</v>
      </c>
      <c r="I7" s="174" t="s">
        <v>239</v>
      </c>
      <c r="J7" s="174" t="s">
        <v>240</v>
      </c>
      <c r="K7" s="174" t="s">
        <v>241</v>
      </c>
      <c r="L7" s="174" t="s">
        <v>242</v>
      </c>
      <c r="M7" s="175" t="s">
        <v>360</v>
      </c>
      <c r="N7" s="176" t="s">
        <v>244</v>
      </c>
      <c r="O7" s="176" t="s">
        <v>245</v>
      </c>
      <c r="P7" s="176" t="s">
        <v>246</v>
      </c>
      <c r="Q7" s="175" t="s">
        <v>361</v>
      </c>
      <c r="R7" s="177" t="s">
        <v>6</v>
      </c>
      <c r="S7" s="177" t="s">
        <v>248</v>
      </c>
      <c r="T7" s="177" t="s">
        <v>249</v>
      </c>
      <c r="U7" s="177" t="s">
        <v>250</v>
      </c>
      <c r="V7" s="177" t="s">
        <v>251</v>
      </c>
      <c r="W7" s="177" t="s">
        <v>252</v>
      </c>
      <c r="X7" s="177" t="s">
        <v>253</v>
      </c>
      <c r="Y7" s="177" t="s">
        <v>254</v>
      </c>
      <c r="Z7" s="178" t="s">
        <v>255</v>
      </c>
      <c r="AA7" s="179" t="s">
        <v>256</v>
      </c>
      <c r="AB7" s="179" t="s">
        <v>257</v>
      </c>
    </row>
    <row r="8" ht="21.75" customHeight="1" s="5" customFormat="1">
      <c r="A8" s="180" t="s">
        <v>258</v>
      </c>
      <c r="B8" s="181" t="s">
        <v>259</v>
      </c>
      <c r="C8" s="182" t="s">
        <v>362</v>
      </c>
      <c r="D8" s="169"/>
      <c r="E8" s="183" t="s">
        <v>363</v>
      </c>
      <c r="F8" s="183" t="s">
        <v>364</v>
      </c>
      <c r="G8" s="183" t="s">
        <v>263</v>
      </c>
      <c r="H8" s="183" t="s">
        <v>365</v>
      </c>
      <c r="I8" s="183" t="s">
        <v>265</v>
      </c>
      <c r="J8" s="183" t="s">
        <v>366</v>
      </c>
      <c r="K8" s="183" t="s">
        <v>367</v>
      </c>
      <c r="L8" s="183" t="s">
        <v>368</v>
      </c>
      <c r="M8" s="184">
        <f>'Current Rents'!E13</f>
        <v>1020</v>
      </c>
      <c r="N8" s="185" t="s">
        <v>369</v>
      </c>
      <c r="O8" s="185" t="s">
        <v>370</v>
      </c>
      <c r="P8" s="185" t="s">
        <v>371</v>
      </c>
      <c r="Q8" s="184">
        <f>'Current Rents'!F13</f>
        <v>1150</v>
      </c>
      <c r="R8" s="183" t="s">
        <v>180</v>
      </c>
      <c r="S8" s="183" t="s">
        <v>372</v>
      </c>
      <c r="T8" s="183"/>
      <c r="U8" s="186" t="s">
        <v>272</v>
      </c>
      <c r="V8" s="187" t="s">
        <v>273</v>
      </c>
      <c r="W8" s="187" t="s">
        <v>273</v>
      </c>
      <c r="X8" s="187" t="s">
        <v>273</v>
      </c>
      <c r="Y8" s="187" t="s">
        <v>273</v>
      </c>
      <c r="Z8" s="181" t="s">
        <v>259</v>
      </c>
      <c r="AA8" s="188" t="s">
        <v>373</v>
      </c>
      <c r="AB8" s="189" t="s">
        <v>275</v>
      </c>
    </row>
    <row r="9" ht="21.75" customHeight="1" s="5" customFormat="1">
      <c r="A9" s="190" t="s">
        <v>276</v>
      </c>
      <c r="B9" s="191" t="s">
        <v>277</v>
      </c>
      <c r="C9" s="192" t="s">
        <v>374</v>
      </c>
      <c r="D9" s="165"/>
      <c r="E9" s="193" t="s">
        <v>375</v>
      </c>
      <c r="F9" s="194" t="s">
        <v>364</v>
      </c>
      <c r="G9" s="194" t="s">
        <v>263</v>
      </c>
      <c r="H9" s="194" t="s">
        <v>365</v>
      </c>
      <c r="I9" s="194" t="s">
        <v>376</v>
      </c>
      <c r="J9" s="194" t="s">
        <v>366</v>
      </c>
      <c r="K9" s="194" t="s">
        <v>367</v>
      </c>
      <c r="L9" s="194" t="s">
        <v>368</v>
      </c>
      <c r="M9" s="190" t="s">
        <v>283</v>
      </c>
      <c r="N9" s="194" t="s">
        <v>369</v>
      </c>
      <c r="O9" s="194" t="s">
        <v>370</v>
      </c>
      <c r="P9" s="194" t="s">
        <v>371</v>
      </c>
      <c r="Q9" s="190" t="s">
        <v>283</v>
      </c>
      <c r="R9" s="194" t="s">
        <v>191</v>
      </c>
      <c r="S9" s="194" t="s">
        <v>377</v>
      </c>
      <c r="T9" s="194">
        <v>1</v>
      </c>
      <c r="U9" s="195" t="s">
        <v>272</v>
      </c>
      <c r="V9" s="196" t="s">
        <v>273</v>
      </c>
      <c r="W9" s="196" t="s">
        <v>273</v>
      </c>
      <c r="X9" s="196" t="s">
        <v>273</v>
      </c>
      <c r="Y9" s="196" t="s">
        <v>273</v>
      </c>
      <c r="Z9" s="197" t="s">
        <v>284</v>
      </c>
      <c r="AA9" s="198" t="s">
        <v>378</v>
      </c>
      <c r="AB9" s="199" t="s">
        <v>286</v>
      </c>
    </row>
    <row r="10" ht="21.75" customHeight="1" s="5" customFormat="1">
      <c r="A10" s="190" t="s">
        <v>210</v>
      </c>
      <c r="B10" s="191" t="s">
        <v>277</v>
      </c>
      <c r="C10" s="192" t="s">
        <v>379</v>
      </c>
      <c r="D10" s="165"/>
      <c r="E10" s="193" t="s">
        <v>380</v>
      </c>
      <c r="F10" s="194" t="s">
        <v>381</v>
      </c>
      <c r="G10" s="194" t="s">
        <v>263</v>
      </c>
      <c r="H10" s="194" t="s">
        <v>365</v>
      </c>
      <c r="I10" s="194" t="s">
        <v>382</v>
      </c>
      <c r="J10" s="194" t="s">
        <v>366</v>
      </c>
      <c r="K10" s="194" t="s">
        <v>367</v>
      </c>
      <c r="L10" s="194" t="s">
        <v>368</v>
      </c>
      <c r="M10" s="190" t="s">
        <v>283</v>
      </c>
      <c r="N10" s="194" t="s">
        <v>369</v>
      </c>
      <c r="O10" s="194" t="s">
        <v>370</v>
      </c>
      <c r="P10" s="194" t="s">
        <v>371</v>
      </c>
      <c r="Q10" s="190" t="s">
        <v>283</v>
      </c>
      <c r="R10" s="194" t="s">
        <v>219</v>
      </c>
      <c r="S10" s="194" t="s">
        <v>383</v>
      </c>
      <c r="T10" s="194" t="s">
        <v>181</v>
      </c>
      <c r="U10" s="195" t="s">
        <v>272</v>
      </c>
      <c r="V10" s="196" t="s">
        <v>273</v>
      </c>
      <c r="W10" s="196" t="s">
        <v>273</v>
      </c>
      <c r="X10" s="196" t="s">
        <v>273</v>
      </c>
      <c r="Y10" s="196" t="s">
        <v>273</v>
      </c>
      <c r="Z10" s="197" t="s">
        <v>284</v>
      </c>
      <c r="AA10" s="198" t="s">
        <v>384</v>
      </c>
      <c r="AB10" s="199" t="s">
        <v>286</v>
      </c>
    </row>
    <row r="11" ht="21.75" customHeight="1" s="5" customFormat="1">
      <c r="A11" s="190" t="s">
        <v>181</v>
      </c>
      <c r="B11" s="191" t="s">
        <v>277</v>
      </c>
      <c r="C11" s="192" t="s">
        <v>385</v>
      </c>
      <c r="D11" s="165"/>
      <c r="E11" s="193" t="s">
        <v>386</v>
      </c>
      <c r="F11" s="194" t="s">
        <v>387</v>
      </c>
      <c r="G11" s="194" t="s">
        <v>263</v>
      </c>
      <c r="H11" s="194" t="s">
        <v>388</v>
      </c>
      <c r="I11" s="194" t="s">
        <v>389</v>
      </c>
      <c r="J11" s="194" t="s">
        <v>366</v>
      </c>
      <c r="K11" s="194" t="s">
        <v>367</v>
      </c>
      <c r="L11" s="194" t="s">
        <v>368</v>
      </c>
      <c r="M11" s="190" t="s">
        <v>283</v>
      </c>
      <c r="N11" s="194" t="s">
        <v>369</v>
      </c>
      <c r="O11" s="194" t="s">
        <v>370</v>
      </c>
      <c r="P11" s="194" t="s">
        <v>371</v>
      </c>
      <c r="Q11" s="190" t="s">
        <v>283</v>
      </c>
      <c r="R11" s="194" t="s">
        <v>189</v>
      </c>
      <c r="S11" s="194" t="s">
        <v>390</v>
      </c>
      <c r="T11" s="194" t="s">
        <v>320</v>
      </c>
      <c r="U11" s="195" t="s">
        <v>272</v>
      </c>
      <c r="V11" s="196" t="s">
        <v>273</v>
      </c>
      <c r="W11" s="196" t="s">
        <v>273</v>
      </c>
      <c r="X11" s="196" t="s">
        <v>273</v>
      </c>
      <c r="Y11" s="196" t="s">
        <v>273</v>
      </c>
      <c r="Z11" s="200" t="s">
        <v>298</v>
      </c>
      <c r="AA11" s="198" t="s">
        <v>391</v>
      </c>
      <c r="AB11" s="199" t="s">
        <v>286</v>
      </c>
    </row>
    <row r="12" ht="24.75" customHeight="1" s="5" customFormat="1">
      <c r="A12" s="201" t="s">
        <v>276</v>
      </c>
      <c r="B12" s="202" t="s">
        <v>300</v>
      </c>
      <c r="C12" s="203" t="s">
        <v>392</v>
      </c>
      <c r="D12" s="204" t="s">
        <v>302</v>
      </c>
      <c r="E12" s="205" t="s">
        <v>393</v>
      </c>
      <c r="F12" s="206" t="s">
        <v>364</v>
      </c>
      <c r="G12" s="206" t="s">
        <v>263</v>
      </c>
      <c r="H12" s="206" t="s">
        <v>365</v>
      </c>
      <c r="I12" s="207" t="s">
        <v>394</v>
      </c>
      <c r="J12" s="206" t="s">
        <v>64</v>
      </c>
      <c r="K12" s="206" t="s">
        <v>64</v>
      </c>
      <c r="L12" s="206" t="s">
        <v>368</v>
      </c>
      <c r="M12" s="208">
        <v>1250</v>
      </c>
      <c r="N12" s="209" t="s">
        <v>64</v>
      </c>
      <c r="O12" s="209" t="s">
        <v>64</v>
      </c>
      <c r="P12" s="209" t="s">
        <v>371</v>
      </c>
      <c r="Q12" s="208">
        <v>1450</v>
      </c>
      <c r="R12" s="205" t="s">
        <v>164</v>
      </c>
      <c r="S12" s="205" t="s">
        <v>395</v>
      </c>
      <c r="T12" s="205" t="s">
        <v>161</v>
      </c>
      <c r="U12" s="210" t="s">
        <v>273</v>
      </c>
      <c r="V12" s="211" t="s">
        <v>272</v>
      </c>
      <c r="W12" s="210" t="s">
        <v>273</v>
      </c>
      <c r="X12" s="211" t="s">
        <v>272</v>
      </c>
      <c r="Y12" s="210" t="s">
        <v>273</v>
      </c>
      <c r="Z12" s="212" t="s">
        <v>284</v>
      </c>
      <c r="AA12" s="213" t="s">
        <v>396</v>
      </c>
      <c r="AB12" s="214" t="s">
        <v>397</v>
      </c>
    </row>
    <row r="13" ht="26.25" customHeight="1" s="5" customFormat="1">
      <c r="A13" s="201" t="s">
        <v>210</v>
      </c>
      <c r="B13" s="202" t="s">
        <v>300</v>
      </c>
      <c r="C13" s="215" t="s">
        <v>398</v>
      </c>
      <c r="D13" s="216"/>
      <c r="E13" s="205" t="s">
        <v>399</v>
      </c>
      <c r="F13" s="206" t="s">
        <v>364</v>
      </c>
      <c r="G13" s="206" t="s">
        <v>263</v>
      </c>
      <c r="H13" s="206" t="s">
        <v>365</v>
      </c>
      <c r="I13" s="207" t="s">
        <v>376</v>
      </c>
      <c r="J13" s="206" t="s">
        <v>64</v>
      </c>
      <c r="K13" s="206" t="s">
        <v>64</v>
      </c>
      <c r="L13" s="206" t="s">
        <v>368</v>
      </c>
      <c r="M13" s="208">
        <v>1195</v>
      </c>
      <c r="N13" s="209" t="s">
        <v>64</v>
      </c>
      <c r="O13" s="209" t="s">
        <v>64</v>
      </c>
      <c r="P13" s="209" t="s">
        <v>371</v>
      </c>
      <c r="Q13" s="208">
        <v>1395</v>
      </c>
      <c r="R13" s="205" t="s">
        <v>221</v>
      </c>
      <c r="S13" s="205" t="s">
        <v>400</v>
      </c>
      <c r="T13" s="205" t="s">
        <v>401</v>
      </c>
      <c r="U13" s="210" t="s">
        <v>273</v>
      </c>
      <c r="V13" s="211" t="s">
        <v>272</v>
      </c>
      <c r="W13" s="210" t="s">
        <v>273</v>
      </c>
      <c r="X13" s="210" t="s">
        <v>273</v>
      </c>
      <c r="Y13" s="210" t="s">
        <v>273</v>
      </c>
      <c r="Z13" s="212" t="s">
        <v>284</v>
      </c>
      <c r="AA13" s="213" t="s">
        <v>402</v>
      </c>
      <c r="AB13" s="214" t="s">
        <v>403</v>
      </c>
    </row>
    <row r="14" ht="25.5" customHeight="1" s="5" customFormat="1">
      <c r="A14" s="201" t="s">
        <v>181</v>
      </c>
      <c r="B14" s="202" t="s">
        <v>300</v>
      </c>
      <c r="C14" s="215" t="s">
        <v>404</v>
      </c>
      <c r="D14" s="216"/>
      <c r="E14" s="205" t="s">
        <v>405</v>
      </c>
      <c r="F14" s="206" t="s">
        <v>364</v>
      </c>
      <c r="G14" s="206" t="s">
        <v>263</v>
      </c>
      <c r="H14" s="206" t="s">
        <v>365</v>
      </c>
      <c r="I14" s="207" t="s">
        <v>406</v>
      </c>
      <c r="J14" s="206" t="s">
        <v>64</v>
      </c>
      <c r="K14" s="206" t="s">
        <v>64</v>
      </c>
      <c r="L14" s="206" t="s">
        <v>368</v>
      </c>
      <c r="M14" s="208">
        <v>1100</v>
      </c>
      <c r="N14" s="209" t="s">
        <v>64</v>
      </c>
      <c r="O14" s="209" t="s">
        <v>64</v>
      </c>
      <c r="P14" s="209" t="s">
        <v>371</v>
      </c>
      <c r="Q14" s="208">
        <v>1350</v>
      </c>
      <c r="R14" s="205" t="s">
        <v>219</v>
      </c>
      <c r="S14" s="205" t="s">
        <v>407</v>
      </c>
      <c r="T14" s="205"/>
      <c r="U14" s="210" t="s">
        <v>273</v>
      </c>
      <c r="V14" s="210" t="s">
        <v>273</v>
      </c>
      <c r="W14" s="210" t="s">
        <v>273</v>
      </c>
      <c r="X14" s="210" t="s">
        <v>273</v>
      </c>
      <c r="Y14" s="210" t="s">
        <v>273</v>
      </c>
      <c r="Z14" s="212" t="s">
        <v>284</v>
      </c>
      <c r="AA14" s="213" t="s">
        <v>408</v>
      </c>
      <c r="AB14" s="214" t="s">
        <v>409</v>
      </c>
    </row>
    <row r="15" ht="26.25" customHeight="1" s="5" customFormat="1">
      <c r="A15" s="201" t="s">
        <v>320</v>
      </c>
      <c r="B15" s="202" t="s">
        <v>300</v>
      </c>
      <c r="C15" s="215" t="s">
        <v>410</v>
      </c>
      <c r="D15" s="216"/>
      <c r="E15" s="205" t="s">
        <v>411</v>
      </c>
      <c r="F15" s="206" t="s">
        <v>412</v>
      </c>
      <c r="G15" s="206" t="s">
        <v>263</v>
      </c>
      <c r="H15" s="206" t="s">
        <v>413</v>
      </c>
      <c r="I15" s="207" t="s">
        <v>414</v>
      </c>
      <c r="J15" s="206" t="s">
        <v>64</v>
      </c>
      <c r="K15" s="206" t="s">
        <v>64</v>
      </c>
      <c r="L15" s="206" t="s">
        <v>368</v>
      </c>
      <c r="M15" s="208">
        <v>1399</v>
      </c>
      <c r="N15" s="209" t="s">
        <v>64</v>
      </c>
      <c r="O15" s="209" t="s">
        <v>64</v>
      </c>
      <c r="P15" s="209" t="s">
        <v>371</v>
      </c>
      <c r="Q15" s="208">
        <v>1599</v>
      </c>
      <c r="R15" s="205" t="s">
        <v>415</v>
      </c>
      <c r="S15" s="205" t="s">
        <v>416</v>
      </c>
      <c r="T15" s="205" t="s">
        <v>212</v>
      </c>
      <c r="U15" s="210" t="s">
        <v>273</v>
      </c>
      <c r="V15" s="211" t="s">
        <v>272</v>
      </c>
      <c r="W15" s="211" t="s">
        <v>272</v>
      </c>
      <c r="X15" s="211" t="s">
        <v>272</v>
      </c>
      <c r="Y15" s="211" t="s">
        <v>272</v>
      </c>
      <c r="Z15" s="212" t="s">
        <v>284</v>
      </c>
      <c r="AA15" s="213" t="s">
        <v>417</v>
      </c>
      <c r="AB15" s="214" t="s">
        <v>418</v>
      </c>
    </row>
    <row r="16" ht="29.25" customHeight="1" s="5" customFormat="1">
      <c r="A16" s="201" t="s">
        <v>326</v>
      </c>
      <c r="B16" s="202" t="s">
        <v>300</v>
      </c>
      <c r="C16" s="215" t="s">
        <v>419</v>
      </c>
      <c r="D16" s="216"/>
      <c r="E16" s="205" t="s">
        <v>420</v>
      </c>
      <c r="F16" s="206" t="s">
        <v>412</v>
      </c>
      <c r="G16" s="206" t="s">
        <v>263</v>
      </c>
      <c r="H16" s="206" t="s">
        <v>421</v>
      </c>
      <c r="I16" s="207" t="s">
        <v>422</v>
      </c>
      <c r="J16" s="206" t="s">
        <v>64</v>
      </c>
      <c r="K16" s="206" t="s">
        <v>64</v>
      </c>
      <c r="L16" s="206" t="s">
        <v>368</v>
      </c>
      <c r="M16" s="208">
        <v>1539</v>
      </c>
      <c r="N16" s="209" t="s">
        <v>64</v>
      </c>
      <c r="O16" s="209" t="s">
        <v>64</v>
      </c>
      <c r="P16" s="209" t="s">
        <v>371</v>
      </c>
      <c r="Q16" s="208">
        <v>1659</v>
      </c>
      <c r="R16" s="205" t="s">
        <v>423</v>
      </c>
      <c r="S16" s="205" t="s">
        <v>424</v>
      </c>
      <c r="T16" s="205" t="s">
        <v>183</v>
      </c>
      <c r="U16" s="210" t="s">
        <v>273</v>
      </c>
      <c r="V16" s="211" t="s">
        <v>272</v>
      </c>
      <c r="W16" s="210" t="s">
        <v>273</v>
      </c>
      <c r="X16" s="211" t="s">
        <v>272</v>
      </c>
      <c r="Y16" s="211" t="s">
        <v>272</v>
      </c>
      <c r="Z16" s="212" t="s">
        <v>284</v>
      </c>
      <c r="AA16" s="213" t="s">
        <v>425</v>
      </c>
      <c r="AB16" s="214" t="s">
        <v>426</v>
      </c>
    </row>
    <row r="17" ht="28.5" customHeight="1" s="5" customFormat="1">
      <c r="A17" s="201" t="s">
        <v>205</v>
      </c>
      <c r="B17" s="202" t="s">
        <v>300</v>
      </c>
      <c r="C17" s="217" t="s">
        <v>427</v>
      </c>
      <c r="D17" s="218"/>
      <c r="E17" s="205" t="s">
        <v>428</v>
      </c>
      <c r="F17" s="206" t="s">
        <v>412</v>
      </c>
      <c r="G17" s="206" t="s">
        <v>263</v>
      </c>
      <c r="H17" s="206" t="s">
        <v>413</v>
      </c>
      <c r="I17" s="207" t="s">
        <v>429</v>
      </c>
      <c r="J17" s="206" t="s">
        <v>64</v>
      </c>
      <c r="K17" s="206" t="s">
        <v>64</v>
      </c>
      <c r="L17" s="206" t="s">
        <v>368</v>
      </c>
      <c r="M17" s="219" t="s">
        <v>64</v>
      </c>
      <c r="N17" s="209" t="s">
        <v>64</v>
      </c>
      <c r="O17" s="209" t="s">
        <v>64</v>
      </c>
      <c r="P17" s="209" t="s">
        <v>371</v>
      </c>
      <c r="Q17" s="208">
        <v>1675</v>
      </c>
      <c r="R17" s="205" t="s">
        <v>430</v>
      </c>
      <c r="S17" s="205" t="s">
        <v>431</v>
      </c>
      <c r="T17" s="205" t="s">
        <v>185</v>
      </c>
      <c r="U17" s="210" t="s">
        <v>273</v>
      </c>
      <c r="V17" s="211" t="s">
        <v>272</v>
      </c>
      <c r="W17" s="211" t="s">
        <v>272</v>
      </c>
      <c r="X17" s="211" t="s">
        <v>272</v>
      </c>
      <c r="Y17" s="211" t="s">
        <v>272</v>
      </c>
      <c r="Z17" s="212" t="s">
        <v>284</v>
      </c>
      <c r="AA17" s="213" t="s">
        <v>432</v>
      </c>
      <c r="AB17" s="214" t="s">
        <v>433</v>
      </c>
    </row>
    <row r="18" ht="28.5" customHeight="1" s="5" customFormat="1">
      <c r="A18" s="220" t="s">
        <v>154</v>
      </c>
      <c r="B18" s="221" t="s">
        <v>339</v>
      </c>
      <c r="C18" s="222" t="s">
        <v>434</v>
      </c>
      <c r="D18" s="165"/>
      <c r="E18" s="223" t="s">
        <v>64</v>
      </c>
      <c r="F18" s="220" t="s">
        <v>364</v>
      </c>
      <c r="G18" s="220" t="s">
        <v>263</v>
      </c>
      <c r="H18" s="220" t="s">
        <v>64</v>
      </c>
      <c r="I18" s="220" t="s">
        <v>64</v>
      </c>
      <c r="J18" s="220" t="s">
        <v>368</v>
      </c>
      <c r="K18" s="220" t="s">
        <v>368</v>
      </c>
      <c r="L18" s="220" t="s">
        <v>368</v>
      </c>
      <c r="M18" s="220" t="s">
        <v>64</v>
      </c>
      <c r="N18" s="220" t="s">
        <v>371</v>
      </c>
      <c r="O18" s="220" t="s">
        <v>371</v>
      </c>
      <c r="P18" s="220" t="s">
        <v>371</v>
      </c>
      <c r="Q18" s="220" t="s">
        <v>64</v>
      </c>
      <c r="R18" s="220" t="s">
        <v>64</v>
      </c>
      <c r="S18" s="220" t="s">
        <v>64</v>
      </c>
      <c r="T18" s="220" t="s">
        <v>64</v>
      </c>
      <c r="U18" s="220" t="s">
        <v>64</v>
      </c>
      <c r="V18" s="220" t="s">
        <v>64</v>
      </c>
      <c r="W18" s="220" t="s">
        <v>64</v>
      </c>
      <c r="X18" s="220" t="s">
        <v>64</v>
      </c>
      <c r="Y18" s="220" t="s">
        <v>64</v>
      </c>
      <c r="Z18" s="202" t="s">
        <v>339</v>
      </c>
      <c r="AA18" s="224" t="s">
        <v>435</v>
      </c>
      <c r="AB18" s="225" t="s">
        <v>342</v>
      </c>
    </row>
    <row r="19" ht="34.5" customHeight="1" s="5" customFormat="1">
      <c r="A19" s="226" t="s">
        <v>154</v>
      </c>
      <c r="B19" s="221" t="s">
        <v>339</v>
      </c>
      <c r="C19" s="227" t="s">
        <v>436</v>
      </c>
      <c r="D19" s="165"/>
      <c r="E19" s="228" t="s">
        <v>64</v>
      </c>
      <c r="F19" s="226" t="s">
        <v>364</v>
      </c>
      <c r="G19" s="226" t="s">
        <v>263</v>
      </c>
      <c r="H19" s="226" t="s">
        <v>64</v>
      </c>
      <c r="I19" s="226" t="s">
        <v>64</v>
      </c>
      <c r="J19" s="226" t="s">
        <v>437</v>
      </c>
      <c r="K19" s="226" t="s">
        <v>437</v>
      </c>
      <c r="L19" s="226" t="s">
        <v>437</v>
      </c>
      <c r="M19" s="229" t="s">
        <v>437</v>
      </c>
      <c r="N19" s="229" t="s">
        <v>438</v>
      </c>
      <c r="O19" s="229" t="s">
        <v>438</v>
      </c>
      <c r="P19" s="229" t="s">
        <v>438</v>
      </c>
      <c r="Q19" s="229" t="s">
        <v>438</v>
      </c>
      <c r="R19" s="226" t="s">
        <v>64</v>
      </c>
      <c r="S19" s="226" t="s">
        <v>64</v>
      </c>
      <c r="T19" s="226" t="s">
        <v>64</v>
      </c>
      <c r="U19" s="226" t="s">
        <v>64</v>
      </c>
      <c r="V19" s="226" t="s">
        <v>64</v>
      </c>
      <c r="W19" s="226" t="s">
        <v>64</v>
      </c>
      <c r="X19" s="226" t="s">
        <v>64</v>
      </c>
      <c r="Y19" s="226" t="s">
        <v>64</v>
      </c>
      <c r="Z19" s="202" t="s">
        <v>339</v>
      </c>
      <c r="AA19" s="230" t="s">
        <v>439</v>
      </c>
      <c r="AB19" s="231" t="s">
        <v>347</v>
      </c>
    </row>
    <row r="21" ht="14.25" customHeight="1" s="5" customFormat="1">
      <c r="A21" s="232" t="s">
        <v>440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3" ht="18" customHeight="1" s="5" customFormat="1">
      <c r="A23" s="233" t="s">
        <v>349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ht="15.75" customHeight="1" s="5" customFormat="1">
      <c r="A24" s="234" t="s">
        <v>350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ht="15.75" customHeight="1" s="5" customFormat="1">
      <c r="A25" s="24"/>
      <c r="B25" s="157" t="s">
        <v>351</v>
      </c>
      <c r="C25" s="157" t="s">
        <v>352</v>
      </c>
      <c r="D25" s="52"/>
      <c r="E25" s="157" t="s">
        <v>353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ht="20.25" customHeight="1" s="5" customFormat="1">
      <c r="A26" s="235" t="s">
        <v>151</v>
      </c>
      <c r="B26" s="236">
        <f>'Current Rents'!E13</f>
        <v>1020</v>
      </c>
      <c r="C26" s="237">
        <v>1380</v>
      </c>
      <c r="D26" s="238"/>
      <c r="E26" s="239">
        <f t="shared" si="0" ref="E26:E27">B26-C26</f>
        <v>-360</v>
      </c>
      <c r="F26" s="161" t="str">
        <f>IF(E26&lt;-75,"LOOK INTO INCREASING THE RENT!","")</f>
        <v>LOOK INTO INCREASING THE RENT!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ht="20.25" customHeight="1" s="5" customFormat="1">
      <c r="A27" s="235" t="s">
        <v>152</v>
      </c>
      <c r="B27" s="236">
        <f>'Current Rents'!F13</f>
        <v>1150</v>
      </c>
      <c r="C27" s="240">
        <v>1507</v>
      </c>
      <c r="D27" s="5"/>
      <c r="E27" s="239">
        <f t="shared" si="0"/>
        <v>-357</v>
      </c>
      <c r="F27" s="161" t="str">
        <f>IF(E27&lt;-75,"LOOK INTO INCREASING THE RENT!","")</f>
        <v>LOOK INTO INCREASING THE RENT!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30" ht="21.75" customHeight="1" s="5" customFormat="1"/>
    <row r="31" ht="21.75" customHeight="1" s="5" customFormat="1"/>
    <row r="32" ht="21.75" customHeight="1" s="5" customFormat="1"/>
  </sheetData>
  <mergeCells>
    <mergeCell ref="A4:AB4"/>
    <mergeCell ref="C8:D8"/>
    <mergeCell ref="C26:D26"/>
    <mergeCell ref="C7:D7"/>
    <mergeCell ref="D12:D17"/>
    <mergeCell ref="C15"/>
    <mergeCell ref="A6:AB6"/>
    <mergeCell ref="C18:D18"/>
    <mergeCell ref="A21:AB21"/>
    <mergeCell ref="C27:D27"/>
    <mergeCell ref="C17"/>
    <mergeCell ref="C11:D11"/>
    <mergeCell ref="C16"/>
    <mergeCell ref="Z3:AB3"/>
    <mergeCell ref="A23:H23"/>
    <mergeCell ref="A3:Y3"/>
    <mergeCell ref="C12"/>
    <mergeCell ref="C25:D25"/>
    <mergeCell ref="C19:D19"/>
    <mergeCell ref="C10:D10"/>
    <mergeCell ref="A24:H24"/>
    <mergeCell ref="C9:D9"/>
    <mergeCell ref="C14"/>
    <mergeCell ref="C13"/>
    <mergeCell ref="A5:AB5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E1BFAC8-2A98-1C0F-B99B-6070339182DF}" mc:Ignorable="x14ac xr xr2 xr3">
  <dimension ref="A1:AF29"/>
  <sheetViews>
    <sheetView topLeftCell="A1" workbookViewId="0">
      <pane ySplit="1" topLeftCell="A14" activePane="bottomLeft" state="frozen"/>
      <selection pane="bottomLeft" activeCell="G26" sqref="G26"/>
    </sheetView>
  </sheetViews>
  <sheetFormatPr defaultRowHeight="21.75" defaultColWidth="9.140625" customHeight="1"/>
  <cols>
    <col min="1" max="1" style="5" width="9.140625" customWidth="1"/>
    <col min="2" max="2" style="5" width="18.421875" customWidth="1"/>
    <col min="3" max="3" style="5" width="41.7109375" customWidth="1"/>
    <col min="4" max="4" style="5" width="4.7109375" customWidth="1"/>
    <col min="5" max="5" style="5" width="30.8515625" customWidth="1"/>
    <col min="6" max="6" style="5" width="14.28125" customWidth="1"/>
    <col min="7" max="9" style="5" width="9.28125" customWidth="1"/>
    <col min="10" max="11" style="5" width="6.8515625" hidden="1" customWidth="1"/>
    <col min="12" max="12" style="5" width="5.28125" hidden="1" customWidth="1"/>
    <col min="13" max="13" style="5" width="16.7109375" customWidth="1"/>
    <col min="14" max="15" style="5" width="10.421875" hidden="1" customWidth="1"/>
    <col min="16" max="16" style="5" width="7.8515625" hidden="1" customWidth="1"/>
    <col min="17" max="17" style="5" width="16.7109375" customWidth="1"/>
    <col min="18" max="19" style="5" width="10.421875" hidden="1" customWidth="1"/>
    <col min="20" max="20" style="5" width="7.8515625" hidden="1" customWidth="1"/>
    <col min="21" max="21" style="5" width="16.7109375" customWidth="1"/>
    <col min="22" max="29" style="5" width="9.421875" customWidth="1"/>
    <col min="30" max="30" style="5" width="24.57421875" customWidth="1"/>
    <col min="31" max="32" style="5" width="55.710937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21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36" customHeight="1" s="5" customFormat="1">
      <c r="A3" s="163" t="s">
        <v>441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5"/>
      <c r="AD3" s="166" t="s">
        <v>442</v>
      </c>
      <c r="AE3" s="164"/>
      <c r="AF3" s="165"/>
    </row>
    <row r="4" ht="18" customHeight="1" s="5" customFormat="1">
      <c r="A4" s="241" t="s">
        <v>443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5"/>
    </row>
    <row r="5" ht="14.25" customHeight="1" s="5" customFormat="1">
      <c r="A5" s="242" t="s">
        <v>358</v>
      </c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/>
      <c r="AB5" s="164"/>
      <c r="AC5" s="164"/>
      <c r="AD5" s="164"/>
      <c r="AE5" s="164"/>
      <c r="AF5" s="165"/>
    </row>
    <row r="6" ht="25.5" customHeight="1" s="5" customFormat="1">
      <c r="A6" s="171" t="s">
        <v>359</v>
      </c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  <c r="AB6" s="164"/>
      <c r="AC6" s="164"/>
      <c r="AD6" s="164"/>
      <c r="AE6" s="164"/>
      <c r="AF6" s="165"/>
    </row>
    <row r="7" ht="25.5" customHeight="1" s="5" customFormat="1">
      <c r="A7" s="243" t="s">
        <v>233</v>
      </c>
      <c r="B7" s="243" t="s">
        <v>234</v>
      </c>
      <c r="C7" s="243" t="s">
        <v>3</v>
      </c>
      <c r="D7" s="165"/>
      <c r="E7" s="243" t="s">
        <v>235</v>
      </c>
      <c r="F7" s="243" t="s">
        <v>236</v>
      </c>
      <c r="G7" s="244" t="s">
        <v>237</v>
      </c>
      <c r="H7" s="244" t="s">
        <v>238</v>
      </c>
      <c r="I7" s="244" t="s">
        <v>239</v>
      </c>
      <c r="J7" s="244" t="s">
        <v>444</v>
      </c>
      <c r="K7" s="244" t="s">
        <v>445</v>
      </c>
      <c r="L7" s="244" t="s">
        <v>446</v>
      </c>
      <c r="M7" s="245" t="s">
        <v>447</v>
      </c>
      <c r="N7" s="246" t="s">
        <v>240</v>
      </c>
      <c r="O7" s="246" t="s">
        <v>241</v>
      </c>
      <c r="P7" s="246" t="s">
        <v>242</v>
      </c>
      <c r="Q7" s="245" t="s">
        <v>360</v>
      </c>
      <c r="R7" s="246" t="s">
        <v>244</v>
      </c>
      <c r="S7" s="246" t="s">
        <v>245</v>
      </c>
      <c r="T7" s="246" t="s">
        <v>246</v>
      </c>
      <c r="U7" s="245" t="s">
        <v>361</v>
      </c>
      <c r="V7" s="247" t="s">
        <v>6</v>
      </c>
      <c r="W7" s="247" t="s">
        <v>248</v>
      </c>
      <c r="X7" s="247" t="s">
        <v>249</v>
      </c>
      <c r="Y7" s="247" t="s">
        <v>250</v>
      </c>
      <c r="Z7" s="247" t="s">
        <v>251</v>
      </c>
      <c r="AA7" s="247" t="s">
        <v>252</v>
      </c>
      <c r="AB7" s="247" t="s">
        <v>253</v>
      </c>
      <c r="AC7" s="247" t="s">
        <v>254</v>
      </c>
      <c r="AD7" s="248" t="s">
        <v>255</v>
      </c>
      <c r="AE7" s="249" t="s">
        <v>256</v>
      </c>
      <c r="AF7" s="249" t="s">
        <v>257</v>
      </c>
    </row>
    <row r="8" ht="21.75" customHeight="1" s="5" customFormat="1">
      <c r="A8" s="180" t="s">
        <v>258</v>
      </c>
      <c r="B8" s="181" t="s">
        <v>259</v>
      </c>
      <c r="C8" s="250" t="s">
        <v>448</v>
      </c>
      <c r="D8" s="165"/>
      <c r="E8" s="183" t="s">
        <v>449</v>
      </c>
      <c r="F8" s="183" t="s">
        <v>159</v>
      </c>
      <c r="G8" s="183" t="s">
        <v>263</v>
      </c>
      <c r="H8" s="183" t="s">
        <v>450</v>
      </c>
      <c r="I8" s="183" t="s">
        <v>265</v>
      </c>
      <c r="J8" s="183" t="s">
        <v>451</v>
      </c>
      <c r="K8" s="183" t="s">
        <v>452</v>
      </c>
      <c r="L8" s="183" t="s">
        <v>453</v>
      </c>
      <c r="M8" s="184">
        <f>'Current Rents'!D14</f>
        <v>1470</v>
      </c>
      <c r="N8" s="183" t="s">
        <v>454</v>
      </c>
      <c r="O8" s="183" t="s">
        <v>455</v>
      </c>
      <c r="P8" s="183" t="s">
        <v>456</v>
      </c>
      <c r="Q8" s="184">
        <f>'Current Rents'!E14</f>
        <v>1800</v>
      </c>
      <c r="R8" s="183" t="s">
        <v>457</v>
      </c>
      <c r="S8" s="183" t="s">
        <v>458</v>
      </c>
      <c r="T8" s="183" t="s">
        <v>459</v>
      </c>
      <c r="U8" s="184">
        <f>'Current Rents'!F14</f>
        <v>2320</v>
      </c>
      <c r="V8" s="183" t="s">
        <v>460</v>
      </c>
      <c r="W8" s="183" t="s">
        <v>461</v>
      </c>
      <c r="X8" s="183" t="s">
        <v>462</v>
      </c>
      <c r="Y8" s="186" t="s">
        <v>272</v>
      </c>
      <c r="Z8" s="187" t="s">
        <v>273</v>
      </c>
      <c r="AA8" s="187" t="s">
        <v>273</v>
      </c>
      <c r="AB8" s="187" t="s">
        <v>273</v>
      </c>
      <c r="AC8" s="187" t="s">
        <v>273</v>
      </c>
      <c r="AD8" s="181" t="s">
        <v>259</v>
      </c>
      <c r="AE8" s="188" t="s">
        <v>463</v>
      </c>
      <c r="AF8" s="189" t="s">
        <v>275</v>
      </c>
    </row>
    <row r="9" ht="21.75" customHeight="1" s="5" customFormat="1">
      <c r="A9" s="190" t="s">
        <v>276</v>
      </c>
      <c r="B9" s="251" t="s">
        <v>277</v>
      </c>
      <c r="C9" s="192" t="s">
        <v>464</v>
      </c>
      <c r="D9" s="165"/>
      <c r="E9" s="194" t="s">
        <v>465</v>
      </c>
      <c r="F9" s="194" t="s">
        <v>466</v>
      </c>
      <c r="G9" s="194" t="s">
        <v>263</v>
      </c>
      <c r="H9" s="194" t="s">
        <v>467</v>
      </c>
      <c r="I9" s="194" t="s">
        <v>468</v>
      </c>
      <c r="J9" s="194" t="s">
        <v>451</v>
      </c>
      <c r="K9" s="194" t="s">
        <v>452</v>
      </c>
      <c r="L9" s="194" t="s">
        <v>453</v>
      </c>
      <c r="M9" s="190" t="s">
        <v>283</v>
      </c>
      <c r="N9" s="194" t="s">
        <v>454</v>
      </c>
      <c r="O9" s="194" t="s">
        <v>455</v>
      </c>
      <c r="P9" s="194" t="s">
        <v>456</v>
      </c>
      <c r="Q9" s="190" t="s">
        <v>283</v>
      </c>
      <c r="R9" s="194" t="s">
        <v>457</v>
      </c>
      <c r="S9" s="194" t="s">
        <v>458</v>
      </c>
      <c r="T9" s="194" t="s">
        <v>459</v>
      </c>
      <c r="U9" s="190" t="s">
        <v>283</v>
      </c>
      <c r="V9" s="194" t="s">
        <v>469</v>
      </c>
      <c r="W9" s="194" t="s">
        <v>461</v>
      </c>
      <c r="X9" s="194" t="s">
        <v>462</v>
      </c>
      <c r="Y9" s="195" t="s">
        <v>272</v>
      </c>
      <c r="Z9" s="196" t="s">
        <v>273</v>
      </c>
      <c r="AA9" s="196" t="s">
        <v>273</v>
      </c>
      <c r="AB9" s="196" t="s">
        <v>273</v>
      </c>
      <c r="AC9" s="196" t="s">
        <v>273</v>
      </c>
      <c r="AD9" s="197" t="s">
        <v>284</v>
      </c>
      <c r="AE9" s="198" t="s">
        <v>470</v>
      </c>
      <c r="AF9" s="199" t="s">
        <v>286</v>
      </c>
    </row>
    <row r="10" ht="21.75" customHeight="1" s="5" customFormat="1">
      <c r="A10" s="190" t="s">
        <v>210</v>
      </c>
      <c r="B10" s="251" t="s">
        <v>277</v>
      </c>
      <c r="C10" s="192" t="s">
        <v>471</v>
      </c>
      <c r="D10" s="165"/>
      <c r="E10" s="194" t="s">
        <v>472</v>
      </c>
      <c r="F10" s="194" t="s">
        <v>473</v>
      </c>
      <c r="G10" s="194" t="s">
        <v>263</v>
      </c>
      <c r="H10" s="194" t="s">
        <v>474</v>
      </c>
      <c r="I10" s="194" t="s">
        <v>336</v>
      </c>
      <c r="J10" s="194" t="s">
        <v>451</v>
      </c>
      <c r="K10" s="194" t="s">
        <v>452</v>
      </c>
      <c r="L10" s="194" t="s">
        <v>453</v>
      </c>
      <c r="M10" s="252">
        <v>3200</v>
      </c>
      <c r="N10" s="194" t="s">
        <v>454</v>
      </c>
      <c r="O10" s="194" t="s">
        <v>455</v>
      </c>
      <c r="P10" s="194" t="s">
        <v>456</v>
      </c>
      <c r="Q10" s="252">
        <v>3896</v>
      </c>
      <c r="R10" s="194" t="s">
        <v>457</v>
      </c>
      <c r="S10" s="194" t="s">
        <v>458</v>
      </c>
      <c r="T10" s="194" t="s">
        <v>459</v>
      </c>
      <c r="U10" s="252">
        <v>4686</v>
      </c>
      <c r="V10" s="194" t="s">
        <v>475</v>
      </c>
      <c r="W10" s="194" t="s">
        <v>407</v>
      </c>
      <c r="X10" s="194" t="s">
        <v>210</v>
      </c>
      <c r="Y10" s="195" t="s">
        <v>272</v>
      </c>
      <c r="Z10" s="196" t="s">
        <v>273</v>
      </c>
      <c r="AA10" s="196" t="s">
        <v>273</v>
      </c>
      <c r="AB10" s="196" t="s">
        <v>273</v>
      </c>
      <c r="AC10" s="196" t="s">
        <v>273</v>
      </c>
      <c r="AD10" s="197" t="s">
        <v>284</v>
      </c>
      <c r="AE10" s="198" t="s">
        <v>476</v>
      </c>
      <c r="AF10" s="199" t="s">
        <v>286</v>
      </c>
    </row>
    <row r="11" ht="21.75" customHeight="1" s="5" customFormat="1">
      <c r="A11" s="190" t="s">
        <v>181</v>
      </c>
      <c r="B11" s="251" t="s">
        <v>277</v>
      </c>
      <c r="C11" s="192" t="s">
        <v>477</v>
      </c>
      <c r="D11" s="165"/>
      <c r="E11" s="194" t="s">
        <v>478</v>
      </c>
      <c r="F11" s="194" t="s">
        <v>479</v>
      </c>
      <c r="G11" s="194" t="s">
        <v>263</v>
      </c>
      <c r="H11" s="194" t="s">
        <v>480</v>
      </c>
      <c r="I11" s="194" t="s">
        <v>481</v>
      </c>
      <c r="J11" s="194" t="s">
        <v>451</v>
      </c>
      <c r="K11" s="194" t="s">
        <v>452</v>
      </c>
      <c r="L11" s="194" t="s">
        <v>453</v>
      </c>
      <c r="M11" s="190" t="s">
        <v>283</v>
      </c>
      <c r="N11" s="194" t="s">
        <v>454</v>
      </c>
      <c r="O11" s="194" t="s">
        <v>455</v>
      </c>
      <c r="P11" s="194" t="s">
        <v>456</v>
      </c>
      <c r="Q11" s="190" t="s">
        <v>283</v>
      </c>
      <c r="R11" s="194" t="s">
        <v>457</v>
      </c>
      <c r="S11" s="194" t="s">
        <v>458</v>
      </c>
      <c r="T11" s="194" t="s">
        <v>459</v>
      </c>
      <c r="U11" s="190" t="s">
        <v>283</v>
      </c>
      <c r="V11" s="194" t="s">
        <v>180</v>
      </c>
      <c r="W11" s="194" t="s">
        <v>482</v>
      </c>
      <c r="X11" s="194" t="s">
        <v>276</v>
      </c>
      <c r="Y11" s="195" t="s">
        <v>272</v>
      </c>
      <c r="Z11" s="196" t="s">
        <v>273</v>
      </c>
      <c r="AA11" s="196" t="s">
        <v>273</v>
      </c>
      <c r="AB11" s="196" t="s">
        <v>273</v>
      </c>
      <c r="AC11" s="196" t="s">
        <v>273</v>
      </c>
      <c r="AD11" s="197" t="s">
        <v>284</v>
      </c>
      <c r="AE11" s="198" t="s">
        <v>483</v>
      </c>
      <c r="AF11" s="199" t="s">
        <v>286</v>
      </c>
    </row>
    <row r="12" ht="21.75" customHeight="1" s="5" customFormat="1">
      <c r="A12" s="190" t="s">
        <v>320</v>
      </c>
      <c r="B12" s="251" t="s">
        <v>277</v>
      </c>
      <c r="C12" s="192" t="s">
        <v>484</v>
      </c>
      <c r="D12" s="165"/>
      <c r="E12" s="194" t="s">
        <v>485</v>
      </c>
      <c r="F12" s="194" t="s">
        <v>486</v>
      </c>
      <c r="G12" s="194" t="s">
        <v>263</v>
      </c>
      <c r="H12" s="194" t="s">
        <v>487</v>
      </c>
      <c r="I12" s="194" t="s">
        <v>488</v>
      </c>
      <c r="J12" s="194" t="s">
        <v>451</v>
      </c>
      <c r="K12" s="194" t="s">
        <v>452</v>
      </c>
      <c r="L12" s="194" t="s">
        <v>453</v>
      </c>
      <c r="M12" s="190" t="s">
        <v>283</v>
      </c>
      <c r="N12" s="194" t="s">
        <v>454</v>
      </c>
      <c r="O12" s="194" t="s">
        <v>455</v>
      </c>
      <c r="P12" s="194" t="s">
        <v>456</v>
      </c>
      <c r="Q12" s="190" t="s">
        <v>283</v>
      </c>
      <c r="R12" s="194" t="s">
        <v>457</v>
      </c>
      <c r="S12" s="194" t="s">
        <v>458</v>
      </c>
      <c r="T12" s="194" t="s">
        <v>459</v>
      </c>
      <c r="U12" s="190" t="s">
        <v>283</v>
      </c>
      <c r="V12" s="194" t="s">
        <v>489</v>
      </c>
      <c r="W12" s="194" t="s">
        <v>490</v>
      </c>
      <c r="X12" s="194" t="s">
        <v>276</v>
      </c>
      <c r="Y12" s="195" t="s">
        <v>272</v>
      </c>
      <c r="Z12" s="196" t="s">
        <v>273</v>
      </c>
      <c r="AA12" s="196" t="s">
        <v>273</v>
      </c>
      <c r="AB12" s="196" t="s">
        <v>273</v>
      </c>
      <c r="AC12" s="196" t="s">
        <v>273</v>
      </c>
      <c r="AD12" s="200" t="s">
        <v>298</v>
      </c>
      <c r="AE12" s="198" t="s">
        <v>491</v>
      </c>
      <c r="AF12" s="199" t="s">
        <v>286</v>
      </c>
    </row>
    <row r="13" ht="24.75" customHeight="1" s="5" customFormat="1">
      <c r="A13" s="201" t="s">
        <v>276</v>
      </c>
      <c r="B13" s="202" t="s">
        <v>300</v>
      </c>
      <c r="C13" s="215" t="s">
        <v>492</v>
      </c>
      <c r="D13" s="253" t="s">
        <v>302</v>
      </c>
      <c r="E13" s="205" t="s">
        <v>493</v>
      </c>
      <c r="F13" s="206" t="s">
        <v>159</v>
      </c>
      <c r="G13" s="206" t="s">
        <v>263</v>
      </c>
      <c r="H13" s="206" t="s">
        <v>450</v>
      </c>
      <c r="I13" s="207" t="s">
        <v>305</v>
      </c>
      <c r="J13" s="206" t="s">
        <v>64</v>
      </c>
      <c r="K13" s="206" t="s">
        <v>64</v>
      </c>
      <c r="L13" s="206" t="s">
        <v>453</v>
      </c>
      <c r="M13" s="208">
        <v>1400</v>
      </c>
      <c r="N13" s="209" t="s">
        <v>64</v>
      </c>
      <c r="O13" s="209" t="s">
        <v>64</v>
      </c>
      <c r="P13" s="209" t="s">
        <v>456</v>
      </c>
      <c r="Q13" s="219" t="s">
        <v>64</v>
      </c>
      <c r="R13" s="209" t="s">
        <v>64</v>
      </c>
      <c r="S13" s="209" t="s">
        <v>64</v>
      </c>
      <c r="T13" s="209" t="s">
        <v>459</v>
      </c>
      <c r="U13" s="219" t="s">
        <v>64</v>
      </c>
      <c r="V13" s="207" t="s">
        <v>494</v>
      </c>
      <c r="W13" s="207" t="s">
        <v>482</v>
      </c>
      <c r="X13" s="207" t="s">
        <v>276</v>
      </c>
      <c r="Y13" s="254" t="s">
        <v>273</v>
      </c>
      <c r="Z13" s="254" t="s">
        <v>273</v>
      </c>
      <c r="AA13" s="254" t="s">
        <v>273</v>
      </c>
      <c r="AB13" s="254" t="s">
        <v>273</v>
      </c>
      <c r="AC13" s="254" t="s">
        <v>273</v>
      </c>
      <c r="AD13" s="212" t="s">
        <v>284</v>
      </c>
      <c r="AE13" s="213" t="s">
        <v>495</v>
      </c>
      <c r="AF13" s="214" t="s">
        <v>496</v>
      </c>
    </row>
    <row r="14" ht="26.25" customHeight="1" s="5" customFormat="1">
      <c r="A14" s="201" t="s">
        <v>210</v>
      </c>
      <c r="B14" s="202" t="s">
        <v>300</v>
      </c>
      <c r="C14" s="215" t="s">
        <v>497</v>
      </c>
      <c r="D14" s="216"/>
      <c r="E14" s="205" t="s">
        <v>498</v>
      </c>
      <c r="F14" s="206" t="s">
        <v>159</v>
      </c>
      <c r="G14" s="206" t="s">
        <v>263</v>
      </c>
      <c r="H14" s="206" t="s">
        <v>450</v>
      </c>
      <c r="I14" s="207" t="s">
        <v>499</v>
      </c>
      <c r="J14" s="206" t="s">
        <v>64</v>
      </c>
      <c r="K14" s="206" t="s">
        <v>64</v>
      </c>
      <c r="L14" s="206" t="s">
        <v>453</v>
      </c>
      <c r="M14" s="208">
        <v>1989</v>
      </c>
      <c r="N14" s="209" t="s">
        <v>64</v>
      </c>
      <c r="O14" s="209" t="s">
        <v>64</v>
      </c>
      <c r="P14" s="209" t="s">
        <v>456</v>
      </c>
      <c r="Q14" s="208">
        <v>2440</v>
      </c>
      <c r="R14" s="209" t="s">
        <v>64</v>
      </c>
      <c r="S14" s="209" t="s">
        <v>64</v>
      </c>
      <c r="T14" s="209" t="s">
        <v>459</v>
      </c>
      <c r="U14" s="219" t="s">
        <v>64</v>
      </c>
      <c r="V14" s="207" t="s">
        <v>64</v>
      </c>
      <c r="W14" s="207" t="s">
        <v>500</v>
      </c>
      <c r="X14" s="207" t="s">
        <v>203</v>
      </c>
      <c r="Y14" s="254" t="s">
        <v>273</v>
      </c>
      <c r="Z14" s="255" t="s">
        <v>272</v>
      </c>
      <c r="AA14" s="254" t="s">
        <v>273</v>
      </c>
      <c r="AB14" s="255" t="s">
        <v>272</v>
      </c>
      <c r="AC14" s="254" t="s">
        <v>273</v>
      </c>
      <c r="AD14" s="212" t="s">
        <v>284</v>
      </c>
      <c r="AE14" s="213" t="s">
        <v>501</v>
      </c>
      <c r="AF14" s="214" t="s">
        <v>502</v>
      </c>
    </row>
    <row r="15" ht="25.5" customHeight="1" s="5" customFormat="1">
      <c r="A15" s="201" t="s">
        <v>181</v>
      </c>
      <c r="B15" s="202" t="s">
        <v>300</v>
      </c>
      <c r="C15" s="215" t="s">
        <v>503</v>
      </c>
      <c r="D15" s="216"/>
      <c r="E15" s="205" t="s">
        <v>504</v>
      </c>
      <c r="F15" s="206" t="s">
        <v>159</v>
      </c>
      <c r="G15" s="206" t="s">
        <v>263</v>
      </c>
      <c r="H15" s="206" t="s">
        <v>450</v>
      </c>
      <c r="I15" s="207" t="s">
        <v>505</v>
      </c>
      <c r="J15" s="206" t="s">
        <v>64</v>
      </c>
      <c r="K15" s="206" t="s">
        <v>64</v>
      </c>
      <c r="L15" s="206" t="s">
        <v>453</v>
      </c>
      <c r="M15" s="208">
        <v>1300</v>
      </c>
      <c r="N15" s="209" t="s">
        <v>64</v>
      </c>
      <c r="O15" s="209" t="s">
        <v>64</v>
      </c>
      <c r="P15" s="209" t="s">
        <v>456</v>
      </c>
      <c r="Q15" s="208">
        <v>1760</v>
      </c>
      <c r="R15" s="209" t="s">
        <v>64</v>
      </c>
      <c r="S15" s="209" t="s">
        <v>64</v>
      </c>
      <c r="T15" s="209" t="s">
        <v>459</v>
      </c>
      <c r="U15" s="208">
        <v>2598</v>
      </c>
      <c r="V15" s="207" t="s">
        <v>64</v>
      </c>
      <c r="W15" s="207" t="s">
        <v>506</v>
      </c>
      <c r="X15" s="207" t="s">
        <v>64</v>
      </c>
      <c r="Y15" s="254" t="s">
        <v>507</v>
      </c>
      <c r="Z15" s="254" t="s">
        <v>507</v>
      </c>
      <c r="AA15" s="254" t="s">
        <v>507</v>
      </c>
      <c r="AB15" s="254" t="s">
        <v>507</v>
      </c>
      <c r="AC15" s="254" t="s">
        <v>507</v>
      </c>
      <c r="AD15" s="256" t="s">
        <v>298</v>
      </c>
      <c r="AE15" s="213" t="s">
        <v>508</v>
      </c>
      <c r="AF15" s="214" t="s">
        <v>509</v>
      </c>
    </row>
    <row r="16" ht="26.25" customHeight="1" s="5" customFormat="1">
      <c r="A16" s="201" t="s">
        <v>320</v>
      </c>
      <c r="B16" s="202" t="s">
        <v>300</v>
      </c>
      <c r="C16" s="215" t="s">
        <v>510</v>
      </c>
      <c r="D16" s="216"/>
      <c r="E16" s="205" t="s">
        <v>511</v>
      </c>
      <c r="F16" s="206" t="s">
        <v>479</v>
      </c>
      <c r="G16" s="206" t="s">
        <v>263</v>
      </c>
      <c r="H16" s="206" t="s">
        <v>480</v>
      </c>
      <c r="I16" s="207" t="s">
        <v>512</v>
      </c>
      <c r="J16" s="206" t="s">
        <v>64</v>
      </c>
      <c r="K16" s="206" t="s">
        <v>64</v>
      </c>
      <c r="L16" s="206" t="s">
        <v>453</v>
      </c>
      <c r="M16" s="208">
        <v>2000</v>
      </c>
      <c r="N16" s="209" t="s">
        <v>64</v>
      </c>
      <c r="O16" s="209" t="s">
        <v>64</v>
      </c>
      <c r="P16" s="209" t="s">
        <v>456</v>
      </c>
      <c r="Q16" s="208">
        <v>2240</v>
      </c>
      <c r="R16" s="209" t="s">
        <v>64</v>
      </c>
      <c r="S16" s="209" t="s">
        <v>64</v>
      </c>
      <c r="T16" s="209" t="s">
        <v>459</v>
      </c>
      <c r="U16" s="208">
        <v>2670</v>
      </c>
      <c r="V16" s="207" t="s">
        <v>64</v>
      </c>
      <c r="W16" s="207" t="s">
        <v>64</v>
      </c>
      <c r="X16" s="207" t="s">
        <v>64</v>
      </c>
      <c r="Y16" s="254" t="s">
        <v>64</v>
      </c>
      <c r="Z16" s="254" t="s">
        <v>64</v>
      </c>
      <c r="AA16" s="254" t="s">
        <v>64</v>
      </c>
      <c r="AB16" s="254" t="s">
        <v>273</v>
      </c>
      <c r="AC16" s="254" t="s">
        <v>273</v>
      </c>
      <c r="AD16" s="212" t="s">
        <v>284</v>
      </c>
      <c r="AE16" s="213" t="s">
        <v>513</v>
      </c>
      <c r="AF16" s="214" t="s">
        <v>514</v>
      </c>
    </row>
    <row r="17" ht="29.25" customHeight="1" s="5" customFormat="1">
      <c r="A17" s="201" t="s">
        <v>326</v>
      </c>
      <c r="B17" s="202" t="s">
        <v>300</v>
      </c>
      <c r="C17" s="215" t="s">
        <v>515</v>
      </c>
      <c r="D17" s="216"/>
      <c r="E17" s="205" t="s">
        <v>516</v>
      </c>
      <c r="F17" s="206" t="s">
        <v>473</v>
      </c>
      <c r="G17" s="206" t="s">
        <v>263</v>
      </c>
      <c r="H17" s="206" t="s">
        <v>517</v>
      </c>
      <c r="I17" s="207" t="s">
        <v>518</v>
      </c>
      <c r="J17" s="206" t="s">
        <v>64</v>
      </c>
      <c r="K17" s="206" t="s">
        <v>64</v>
      </c>
      <c r="L17" s="206" t="s">
        <v>453</v>
      </c>
      <c r="M17" s="208">
        <v>1900</v>
      </c>
      <c r="N17" s="209" t="s">
        <v>64</v>
      </c>
      <c r="O17" s="209" t="s">
        <v>64</v>
      </c>
      <c r="P17" s="209" t="s">
        <v>456</v>
      </c>
      <c r="Q17" s="208">
        <v>2200</v>
      </c>
      <c r="R17" s="209" t="s">
        <v>64</v>
      </c>
      <c r="S17" s="209" t="s">
        <v>64</v>
      </c>
      <c r="T17" s="209" t="s">
        <v>459</v>
      </c>
      <c r="U17" s="219" t="s">
        <v>64</v>
      </c>
      <c r="V17" s="207" t="s">
        <v>64</v>
      </c>
      <c r="W17" s="207" t="s">
        <v>519</v>
      </c>
      <c r="X17" s="207" t="s">
        <v>520</v>
      </c>
      <c r="Y17" s="254" t="s">
        <v>273</v>
      </c>
      <c r="Z17" s="255" t="s">
        <v>272</v>
      </c>
      <c r="AA17" s="255" t="s">
        <v>272</v>
      </c>
      <c r="AB17" s="255" t="s">
        <v>272</v>
      </c>
      <c r="AC17" s="255" t="s">
        <v>272</v>
      </c>
      <c r="AD17" s="212" t="s">
        <v>284</v>
      </c>
      <c r="AE17" s="213" t="s">
        <v>521</v>
      </c>
      <c r="AF17" s="214" t="s">
        <v>522</v>
      </c>
    </row>
    <row r="18" ht="28.5" customHeight="1" s="5" customFormat="1">
      <c r="A18" s="201" t="s">
        <v>205</v>
      </c>
      <c r="B18" s="202" t="s">
        <v>300</v>
      </c>
      <c r="C18" s="215" t="s">
        <v>523</v>
      </c>
      <c r="D18" s="218"/>
      <c r="E18" s="205" t="s">
        <v>524</v>
      </c>
      <c r="F18" s="206" t="s">
        <v>159</v>
      </c>
      <c r="G18" s="206" t="s">
        <v>263</v>
      </c>
      <c r="H18" s="206" t="s">
        <v>450</v>
      </c>
      <c r="I18" s="207" t="s">
        <v>525</v>
      </c>
      <c r="J18" s="206" t="s">
        <v>64</v>
      </c>
      <c r="K18" s="206" t="s">
        <v>64</v>
      </c>
      <c r="L18" s="206" t="s">
        <v>453</v>
      </c>
      <c r="M18" s="208">
        <v>1750</v>
      </c>
      <c r="N18" s="209" t="s">
        <v>64</v>
      </c>
      <c r="O18" s="209" t="s">
        <v>64</v>
      </c>
      <c r="P18" s="209" t="s">
        <v>456</v>
      </c>
      <c r="Q18" s="208">
        <v>2100</v>
      </c>
      <c r="R18" s="209" t="s">
        <v>64</v>
      </c>
      <c r="S18" s="209" t="s">
        <v>64</v>
      </c>
      <c r="T18" s="209" t="s">
        <v>459</v>
      </c>
      <c r="U18" s="208">
        <v>2500</v>
      </c>
      <c r="V18" s="207" t="s">
        <v>64</v>
      </c>
      <c r="W18" s="207" t="s">
        <v>526</v>
      </c>
      <c r="X18" s="207" t="s">
        <v>196</v>
      </c>
      <c r="Y18" s="254" t="s">
        <v>273</v>
      </c>
      <c r="Z18" s="255" t="s">
        <v>272</v>
      </c>
      <c r="AA18" s="255" t="s">
        <v>272</v>
      </c>
      <c r="AB18" s="255" t="s">
        <v>272</v>
      </c>
      <c r="AC18" s="254" t="s">
        <v>273</v>
      </c>
      <c r="AD18" s="212" t="s">
        <v>284</v>
      </c>
      <c r="AE18" s="213" t="s">
        <v>527</v>
      </c>
      <c r="AF18" s="214" t="s">
        <v>528</v>
      </c>
    </row>
    <row r="19" ht="28.5" customHeight="1" s="5" customFormat="1">
      <c r="A19" s="220" t="s">
        <v>154</v>
      </c>
      <c r="B19" s="257" t="s">
        <v>339</v>
      </c>
      <c r="C19" s="222" t="s">
        <v>529</v>
      </c>
      <c r="D19" s="165"/>
      <c r="E19" s="220" t="s">
        <v>64</v>
      </c>
      <c r="F19" s="220" t="s">
        <v>159</v>
      </c>
      <c r="G19" s="220" t="s">
        <v>263</v>
      </c>
      <c r="H19" s="220" t="s">
        <v>64</v>
      </c>
      <c r="I19" s="220" t="s">
        <v>64</v>
      </c>
      <c r="J19" s="220" t="s">
        <v>453</v>
      </c>
      <c r="K19" s="220" t="s">
        <v>453</v>
      </c>
      <c r="L19" s="220" t="s">
        <v>453</v>
      </c>
      <c r="M19" s="220" t="s">
        <v>64</v>
      </c>
      <c r="N19" s="220" t="s">
        <v>456</v>
      </c>
      <c r="O19" s="220" t="s">
        <v>456</v>
      </c>
      <c r="P19" s="220" t="s">
        <v>456</v>
      </c>
      <c r="Q19" s="220" t="s">
        <v>64</v>
      </c>
      <c r="R19" s="220" t="s">
        <v>459</v>
      </c>
      <c r="S19" s="220" t="s">
        <v>459</v>
      </c>
      <c r="T19" s="220" t="s">
        <v>459</v>
      </c>
      <c r="U19" s="220" t="s">
        <v>64</v>
      </c>
      <c r="V19" s="220" t="s">
        <v>64</v>
      </c>
      <c r="W19" s="220" t="s">
        <v>64</v>
      </c>
      <c r="X19" s="220" t="s">
        <v>64</v>
      </c>
      <c r="Y19" s="220" t="s">
        <v>64</v>
      </c>
      <c r="Z19" s="220" t="s">
        <v>64</v>
      </c>
      <c r="AA19" s="220" t="s">
        <v>64</v>
      </c>
      <c r="AB19" s="220" t="s">
        <v>64</v>
      </c>
      <c r="AC19" s="220" t="s">
        <v>64</v>
      </c>
      <c r="AD19" s="202" t="s">
        <v>339</v>
      </c>
      <c r="AE19" s="224" t="s">
        <v>530</v>
      </c>
      <c r="AF19" s="225" t="s">
        <v>342</v>
      </c>
    </row>
    <row r="20" ht="34.5" customHeight="1" s="5" customFormat="1">
      <c r="A20" s="226" t="s">
        <v>154</v>
      </c>
      <c r="B20" s="257" t="s">
        <v>339</v>
      </c>
      <c r="C20" s="227" t="s">
        <v>531</v>
      </c>
      <c r="D20" s="165"/>
      <c r="E20" s="226" t="s">
        <v>64</v>
      </c>
      <c r="F20" s="226" t="s">
        <v>159</v>
      </c>
      <c r="G20" s="226" t="s">
        <v>263</v>
      </c>
      <c r="H20" s="226" t="s">
        <v>64</v>
      </c>
      <c r="I20" s="226" t="s">
        <v>64</v>
      </c>
      <c r="J20" s="226" t="s">
        <v>532</v>
      </c>
      <c r="K20" s="226" t="s">
        <v>532</v>
      </c>
      <c r="L20" s="226" t="s">
        <v>532</v>
      </c>
      <c r="M20" s="229" t="s">
        <v>532</v>
      </c>
      <c r="N20" s="226" t="s">
        <v>533</v>
      </c>
      <c r="O20" s="226" t="s">
        <v>533</v>
      </c>
      <c r="P20" s="226" t="s">
        <v>533</v>
      </c>
      <c r="Q20" s="229" t="s">
        <v>533</v>
      </c>
      <c r="R20" s="226" t="s">
        <v>534</v>
      </c>
      <c r="S20" s="226" t="s">
        <v>534</v>
      </c>
      <c r="T20" s="226" t="s">
        <v>534</v>
      </c>
      <c r="U20" s="229" t="s">
        <v>534</v>
      </c>
      <c r="V20" s="226" t="s">
        <v>64</v>
      </c>
      <c r="W20" s="226" t="s">
        <v>64</v>
      </c>
      <c r="X20" s="226" t="s">
        <v>64</v>
      </c>
      <c r="Y20" s="226" t="s">
        <v>64</v>
      </c>
      <c r="Z20" s="226" t="s">
        <v>64</v>
      </c>
      <c r="AA20" s="226" t="s">
        <v>64</v>
      </c>
      <c r="AB20" s="226" t="s">
        <v>64</v>
      </c>
      <c r="AC20" s="226" t="s">
        <v>64</v>
      </c>
      <c r="AD20" s="202" t="s">
        <v>339</v>
      </c>
      <c r="AE20" s="230" t="s">
        <v>535</v>
      </c>
      <c r="AF20" s="231" t="s">
        <v>347</v>
      </c>
    </row>
    <row r="22" ht="14.25" customHeight="1" s="5" customFormat="1">
      <c r="A22" s="232" t="s">
        <v>440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4" ht="18" customHeight="1" s="5" customFormat="1">
      <c r="A24" s="233" t="s">
        <v>349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ht="15.75" customHeight="1" s="5" customFormat="1">
      <c r="A25" s="234" t="s">
        <v>350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ht="15.75" customHeight="1" s="5" customFormat="1">
      <c r="A26" s="24"/>
      <c r="B26" s="157" t="s">
        <v>351</v>
      </c>
      <c r="C26" s="157" t="s">
        <v>352</v>
      </c>
      <c r="D26" s="52"/>
      <c r="E26" s="157" t="s">
        <v>353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ht="20.25" customHeight="1" s="5" customFormat="1">
      <c r="A27" s="235" t="s">
        <v>160</v>
      </c>
      <c r="B27" s="236">
        <f>'Current Rents'!D14</f>
        <v>1470</v>
      </c>
      <c r="C27" s="240">
        <v>1723</v>
      </c>
      <c r="D27" s="5"/>
      <c r="E27" s="258">
        <f t="shared" si="0" ref="E27:E29">B27-C27</f>
        <v>-253</v>
      </c>
      <c r="F27" s="161" t="str">
        <f>IF(E27&lt;-75,"LOOK INTO INCREASING THE RENT!","")</f>
        <v>LOOK INTO INCREASING THE RENT!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ht="20.25" customHeight="1" s="5" customFormat="1">
      <c r="A28" s="235" t="s">
        <v>151</v>
      </c>
      <c r="B28" s="236">
        <f>'Current Rents'!E14</f>
        <v>1800</v>
      </c>
      <c r="C28" s="240">
        <v>2148</v>
      </c>
      <c r="D28" s="5"/>
      <c r="E28" s="258">
        <f t="shared" si="0"/>
        <v>-348</v>
      </c>
      <c r="F28" s="161" t="str">
        <f>IF(E28&lt;-75,"LOOK INTO INCREASING THE RENT!","")</f>
        <v>LOOK INTO INCREASING THE RENT!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ht="20.25" customHeight="1" s="5" customFormat="1">
      <c r="A29" s="235" t="s">
        <v>152</v>
      </c>
      <c r="B29" s="236">
        <f>'Current Rents'!F14</f>
        <v>2320</v>
      </c>
      <c r="C29" s="240">
        <v>2589</v>
      </c>
      <c r="D29" s="5"/>
      <c r="E29" s="258">
        <f t="shared" si="0"/>
        <v>-269</v>
      </c>
      <c r="F29" s="161" t="str">
        <f>IF(E29&lt;-75,"LOOK INTO INCREASING THE RENT!","")</f>
        <v>LOOK INTO INCREASING THE RENT!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</sheetData>
  <mergeCells>
    <mergeCell ref="AD3:AF3"/>
    <mergeCell ref="C8:D8"/>
    <mergeCell ref="C9:D9"/>
    <mergeCell ref="A3:AC3"/>
    <mergeCell ref="C26:D26"/>
    <mergeCell ref="C12:D12"/>
    <mergeCell ref="A4:AF4"/>
    <mergeCell ref="C7:D7"/>
    <mergeCell ref="D13:D18"/>
    <mergeCell ref="A6:AF6"/>
    <mergeCell ref="A22:AF22"/>
    <mergeCell ref="A5:AF5"/>
    <mergeCell ref="C11:D11"/>
    <mergeCell ref="A25:H25"/>
    <mergeCell ref="C19:D19"/>
    <mergeCell ref="C20:D20"/>
    <mergeCell ref="C10:D10"/>
    <mergeCell ref="A24:H24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E8F54A1-D6CB-D0F8-5ED8-82523358BE58}" mc:Ignorable="x14ac xr xr2 xr3">
  <dimension ref="A1:AB28"/>
  <sheetViews>
    <sheetView topLeftCell="A1" workbookViewId="0">
      <pane ySplit="1" topLeftCell="A11" activePane="bottomLeft" state="frozen"/>
      <selection pane="bottomLeft" activeCell="H19" sqref="H19"/>
    </sheetView>
  </sheetViews>
  <sheetFormatPr defaultRowHeight="21.75" defaultColWidth="9.140625" customHeight="1"/>
  <cols>
    <col min="1" max="1" style="5" width="10.00390625" customWidth="1"/>
    <col min="2" max="2" style="5" width="18.421875" customWidth="1"/>
    <col min="3" max="3" style="5" width="37.28125" customWidth="1"/>
    <col min="4" max="4" style="5" width="3.57421875" customWidth="1"/>
    <col min="5" max="5" style="5" width="25.7109375" customWidth="1"/>
    <col min="6" max="6" style="5" width="18.7109375" customWidth="1"/>
    <col min="7" max="8" style="5" width="6.28125" customWidth="1"/>
    <col min="9" max="9" style="5" width="9.421875" customWidth="1"/>
    <col min="10" max="11" style="5" width="6.8515625" hidden="1" customWidth="1"/>
    <col min="12" max="12" style="5" width="5.28125" hidden="1" customWidth="1"/>
    <col min="13" max="13" style="274" width="18.57421875" customWidth="1"/>
    <col min="14" max="15" style="5" width="6.8515625" hidden="1" customWidth="1"/>
    <col min="16" max="16" style="5" width="5.28125" hidden="1" customWidth="1"/>
    <col min="17" max="17" style="274" width="19.00390625" customWidth="1"/>
    <col min="18" max="25" style="5" width="9.28125" customWidth="1"/>
    <col min="26" max="26" style="5" width="26.421875" customWidth="1"/>
    <col min="27" max="27" style="5" width="59.8515625" customWidth="1"/>
    <col min="28" max="28" style="5" width="48.14062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59"/>
      <c r="N1" s="1"/>
      <c r="O1" s="1"/>
      <c r="P1" s="1"/>
      <c r="Q1" s="259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21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260"/>
      <c r="N2" s="3"/>
      <c r="O2" s="3"/>
      <c r="P2" s="3"/>
      <c r="Q2" s="260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36" customHeight="1" s="5" customFormat="1">
      <c r="A3" s="163" t="s">
        <v>536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261"/>
      <c r="N3" s="164"/>
      <c r="O3" s="164"/>
      <c r="P3" s="164"/>
      <c r="Q3" s="261"/>
      <c r="R3" s="164"/>
      <c r="S3" s="164"/>
      <c r="T3" s="164"/>
      <c r="U3" s="164"/>
      <c r="V3" s="164"/>
      <c r="W3" s="164"/>
      <c r="X3" s="164"/>
      <c r="Y3" s="165"/>
      <c r="Z3" s="262" t="s">
        <v>537</v>
      </c>
      <c r="AA3" s="164"/>
      <c r="AB3" s="165"/>
    </row>
    <row r="4" ht="18" customHeight="1" s="5" customFormat="1">
      <c r="A4" s="241" t="s">
        <v>538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261"/>
      <c r="N4" s="164"/>
      <c r="O4" s="164"/>
      <c r="P4" s="164"/>
      <c r="Q4" s="261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5"/>
    </row>
    <row r="5" ht="14.25" customHeight="1" s="5" customFormat="1">
      <c r="A5" s="170" t="s">
        <v>539</v>
      </c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261"/>
      <c r="N5" s="164"/>
      <c r="O5" s="164"/>
      <c r="P5" s="164"/>
      <c r="Q5" s="261"/>
      <c r="R5" s="164"/>
      <c r="S5" s="164"/>
      <c r="T5" s="164"/>
      <c r="U5" s="164"/>
      <c r="V5" s="164"/>
      <c r="W5" s="164"/>
      <c r="X5" s="164"/>
      <c r="Y5" s="164"/>
      <c r="Z5" s="164"/>
      <c r="AA5" s="164"/>
      <c r="AB5" s="165"/>
    </row>
    <row r="6" ht="25.5" customHeight="1" s="5" customFormat="1">
      <c r="A6" s="263" t="s">
        <v>540</v>
      </c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261"/>
      <c r="N6" s="164"/>
      <c r="O6" s="164"/>
      <c r="P6" s="164"/>
      <c r="Q6" s="261"/>
      <c r="R6" s="164"/>
      <c r="S6" s="164"/>
      <c r="T6" s="164"/>
      <c r="U6" s="164"/>
      <c r="V6" s="164"/>
      <c r="W6" s="164"/>
      <c r="X6" s="164"/>
      <c r="Y6" s="164"/>
      <c r="Z6" s="164"/>
      <c r="AA6" s="164"/>
      <c r="AB6" s="165"/>
    </row>
    <row r="7" ht="25.5" customHeight="1" s="5" customFormat="1">
      <c r="A7" s="243" t="s">
        <v>233</v>
      </c>
      <c r="B7" s="243" t="s">
        <v>234</v>
      </c>
      <c r="C7" s="243" t="s">
        <v>3</v>
      </c>
      <c r="D7" s="165"/>
      <c r="E7" s="243" t="s">
        <v>235</v>
      </c>
      <c r="F7" s="243" t="s">
        <v>236</v>
      </c>
      <c r="G7" s="244" t="s">
        <v>237</v>
      </c>
      <c r="H7" s="244" t="s">
        <v>238</v>
      </c>
      <c r="I7" s="244" t="s">
        <v>239</v>
      </c>
      <c r="J7" s="244" t="s">
        <v>240</v>
      </c>
      <c r="K7" s="244" t="s">
        <v>241</v>
      </c>
      <c r="L7" s="244" t="s">
        <v>242</v>
      </c>
      <c r="M7" s="264" t="s">
        <v>243</v>
      </c>
      <c r="N7" s="265" t="s">
        <v>244</v>
      </c>
      <c r="O7" s="265" t="s">
        <v>245</v>
      </c>
      <c r="P7" s="265" t="s">
        <v>246</v>
      </c>
      <c r="Q7" s="264" t="s">
        <v>361</v>
      </c>
      <c r="R7" s="247" t="s">
        <v>6</v>
      </c>
      <c r="S7" s="247" t="s">
        <v>248</v>
      </c>
      <c r="T7" s="247" t="s">
        <v>249</v>
      </c>
      <c r="U7" s="247" t="s">
        <v>250</v>
      </c>
      <c r="V7" s="247" t="s">
        <v>251</v>
      </c>
      <c r="W7" s="247" t="s">
        <v>252</v>
      </c>
      <c r="X7" s="247" t="s">
        <v>253</v>
      </c>
      <c r="Y7" s="247" t="s">
        <v>254</v>
      </c>
      <c r="Z7" s="248" t="s">
        <v>255</v>
      </c>
      <c r="AA7" s="249" t="s">
        <v>256</v>
      </c>
      <c r="AB7" s="249" t="s">
        <v>257</v>
      </c>
    </row>
    <row r="8" ht="21.75" customHeight="1" s="5" customFormat="1">
      <c r="A8" s="180" t="s">
        <v>258</v>
      </c>
      <c r="B8" s="181" t="s">
        <v>259</v>
      </c>
      <c r="C8" s="250" t="s">
        <v>541</v>
      </c>
      <c r="D8" s="165"/>
      <c r="E8" s="183" t="s">
        <v>542</v>
      </c>
      <c r="F8" s="183" t="s">
        <v>543</v>
      </c>
      <c r="G8" s="183" t="s">
        <v>263</v>
      </c>
      <c r="H8" s="183" t="s">
        <v>544</v>
      </c>
      <c r="I8" s="183" t="s">
        <v>265</v>
      </c>
      <c r="J8" s="183" t="s">
        <v>545</v>
      </c>
      <c r="K8" s="183" t="s">
        <v>546</v>
      </c>
      <c r="L8" s="183" t="s">
        <v>547</v>
      </c>
      <c r="M8" s="266">
        <f>'Current Rents'!E15</f>
        <v>1451</v>
      </c>
      <c r="N8" s="183" t="s">
        <v>548</v>
      </c>
      <c r="O8" s="183" t="s">
        <v>549</v>
      </c>
      <c r="P8" s="183" t="s">
        <v>550</v>
      </c>
      <c r="Q8" s="266">
        <f>'Current Rents'!F15</f>
        <v>1613</v>
      </c>
      <c r="R8" s="183" t="s">
        <v>551</v>
      </c>
      <c r="S8" s="183" t="s">
        <v>490</v>
      </c>
      <c r="T8" s="183" t="s">
        <v>462</v>
      </c>
      <c r="U8" s="186" t="s">
        <v>272</v>
      </c>
      <c r="V8" s="187" t="s">
        <v>273</v>
      </c>
      <c r="W8" s="187" t="s">
        <v>273</v>
      </c>
      <c r="X8" s="187" t="s">
        <v>273</v>
      </c>
      <c r="Y8" s="187" t="s">
        <v>273</v>
      </c>
      <c r="Z8" s="181" t="s">
        <v>259</v>
      </c>
      <c r="AA8" s="188" t="s">
        <v>552</v>
      </c>
      <c r="AB8" s="189" t="s">
        <v>275</v>
      </c>
    </row>
    <row r="9" ht="21.75" customHeight="1" s="5" customFormat="1">
      <c r="A9" s="190" t="s">
        <v>276</v>
      </c>
      <c r="B9" s="251" t="s">
        <v>277</v>
      </c>
      <c r="C9" s="192" t="s">
        <v>553</v>
      </c>
      <c r="D9" s="165"/>
      <c r="E9" s="194" t="s">
        <v>554</v>
      </c>
      <c r="F9" s="194" t="s">
        <v>543</v>
      </c>
      <c r="G9" s="194" t="s">
        <v>263</v>
      </c>
      <c r="H9" s="194" t="s">
        <v>555</v>
      </c>
      <c r="I9" s="194" t="s">
        <v>556</v>
      </c>
      <c r="J9" s="194" t="s">
        <v>545</v>
      </c>
      <c r="K9" s="194" t="s">
        <v>546</v>
      </c>
      <c r="L9" s="194" t="s">
        <v>547</v>
      </c>
      <c r="M9" s="267" t="s">
        <v>283</v>
      </c>
      <c r="N9" s="194" t="s">
        <v>548</v>
      </c>
      <c r="O9" s="194" t="s">
        <v>549</v>
      </c>
      <c r="P9" s="194" t="s">
        <v>550</v>
      </c>
      <c r="Q9" s="267" t="s">
        <v>283</v>
      </c>
      <c r="R9" s="194" t="s">
        <v>551</v>
      </c>
      <c r="S9" s="194" t="s">
        <v>490</v>
      </c>
      <c r="T9" s="194" t="s">
        <v>462</v>
      </c>
      <c r="U9" s="195" t="s">
        <v>272</v>
      </c>
      <c r="V9" s="196" t="s">
        <v>273</v>
      </c>
      <c r="W9" s="196" t="s">
        <v>273</v>
      </c>
      <c r="X9" s="196" t="s">
        <v>273</v>
      </c>
      <c r="Y9" s="196" t="s">
        <v>273</v>
      </c>
      <c r="Z9" s="268" t="s">
        <v>284</v>
      </c>
      <c r="AA9" s="198" t="s">
        <v>557</v>
      </c>
      <c r="AB9" s="199" t="s">
        <v>553</v>
      </c>
    </row>
    <row r="10" ht="21.75" customHeight="1" s="5" customFormat="1">
      <c r="A10" s="190" t="s">
        <v>210</v>
      </c>
      <c r="B10" s="251" t="s">
        <v>277</v>
      </c>
      <c r="C10" s="192" t="s">
        <v>558</v>
      </c>
      <c r="D10" s="165"/>
      <c r="E10" s="194" t="s">
        <v>559</v>
      </c>
      <c r="F10" s="194" t="s">
        <v>560</v>
      </c>
      <c r="G10" s="194" t="s">
        <v>263</v>
      </c>
      <c r="H10" s="194" t="s">
        <v>561</v>
      </c>
      <c r="I10" s="194" t="s">
        <v>562</v>
      </c>
      <c r="J10" s="194" t="s">
        <v>545</v>
      </c>
      <c r="K10" s="194" t="s">
        <v>546</v>
      </c>
      <c r="L10" s="194" t="s">
        <v>547</v>
      </c>
      <c r="M10" s="267" t="s">
        <v>283</v>
      </c>
      <c r="N10" s="194" t="s">
        <v>548</v>
      </c>
      <c r="O10" s="194" t="s">
        <v>549</v>
      </c>
      <c r="P10" s="194" t="s">
        <v>550</v>
      </c>
      <c r="Q10" s="267" t="s">
        <v>283</v>
      </c>
      <c r="R10" s="194" t="s">
        <v>563</v>
      </c>
      <c r="S10" s="194" t="s">
        <v>407</v>
      </c>
      <c r="T10" s="194" t="s">
        <v>276</v>
      </c>
      <c r="U10" s="195" t="s">
        <v>272</v>
      </c>
      <c r="V10" s="196" t="s">
        <v>273</v>
      </c>
      <c r="W10" s="196" t="s">
        <v>273</v>
      </c>
      <c r="X10" s="196" t="s">
        <v>273</v>
      </c>
      <c r="Y10" s="196" t="s">
        <v>273</v>
      </c>
      <c r="Z10" s="269" t="s">
        <v>564</v>
      </c>
      <c r="AA10" s="198" t="s">
        <v>565</v>
      </c>
      <c r="AB10" s="199" t="s">
        <v>566</v>
      </c>
    </row>
    <row r="11" ht="21.75" customHeight="1" s="5" customFormat="1">
      <c r="A11" s="190" t="s">
        <v>181</v>
      </c>
      <c r="B11" s="251" t="s">
        <v>277</v>
      </c>
      <c r="C11" s="192" t="s">
        <v>567</v>
      </c>
      <c r="D11" s="165"/>
      <c r="E11" s="194" t="s">
        <v>568</v>
      </c>
      <c r="F11" s="194" t="s">
        <v>412</v>
      </c>
      <c r="G11" s="194" t="s">
        <v>263</v>
      </c>
      <c r="H11" s="194" t="s">
        <v>569</v>
      </c>
      <c r="I11" s="194" t="s">
        <v>570</v>
      </c>
      <c r="J11" s="194" t="s">
        <v>545</v>
      </c>
      <c r="K11" s="194" t="s">
        <v>546</v>
      </c>
      <c r="L11" s="194" t="s">
        <v>547</v>
      </c>
      <c r="M11" s="267" t="s">
        <v>283</v>
      </c>
      <c r="N11" s="194" t="s">
        <v>548</v>
      </c>
      <c r="O11" s="194" t="s">
        <v>549</v>
      </c>
      <c r="P11" s="194" t="s">
        <v>550</v>
      </c>
      <c r="Q11" s="267" t="s">
        <v>283</v>
      </c>
      <c r="R11" s="194" t="s">
        <v>571</v>
      </c>
      <c r="S11" s="194" t="s">
        <v>461</v>
      </c>
      <c r="T11" s="194" t="s">
        <v>276</v>
      </c>
      <c r="U11" s="195" t="s">
        <v>272</v>
      </c>
      <c r="V11" s="196" t="s">
        <v>273</v>
      </c>
      <c r="W11" s="196" t="s">
        <v>273</v>
      </c>
      <c r="X11" s="196" t="s">
        <v>273</v>
      </c>
      <c r="Y11" s="196" t="s">
        <v>273</v>
      </c>
      <c r="Z11" s="269" t="s">
        <v>564</v>
      </c>
      <c r="AA11" s="198" t="s">
        <v>572</v>
      </c>
      <c r="AB11" s="199" t="s">
        <v>573</v>
      </c>
    </row>
    <row r="12" ht="21.75" customHeight="1" s="5" customFormat="1">
      <c r="A12" s="190" t="s">
        <v>320</v>
      </c>
      <c r="B12" s="251" t="s">
        <v>277</v>
      </c>
      <c r="C12" s="192" t="s">
        <v>574</v>
      </c>
      <c r="D12" s="165"/>
      <c r="E12" s="194" t="s">
        <v>575</v>
      </c>
      <c r="F12" s="194" t="s">
        <v>576</v>
      </c>
      <c r="G12" s="194" t="s">
        <v>263</v>
      </c>
      <c r="H12" s="194" t="s">
        <v>577</v>
      </c>
      <c r="I12" s="194" t="s">
        <v>468</v>
      </c>
      <c r="J12" s="194" t="s">
        <v>545</v>
      </c>
      <c r="K12" s="194" t="s">
        <v>546</v>
      </c>
      <c r="L12" s="194" t="s">
        <v>547</v>
      </c>
      <c r="M12" s="267" t="s">
        <v>283</v>
      </c>
      <c r="N12" s="194" t="s">
        <v>548</v>
      </c>
      <c r="O12" s="194" t="s">
        <v>549</v>
      </c>
      <c r="P12" s="194" t="s">
        <v>550</v>
      </c>
      <c r="Q12" s="267" t="s">
        <v>283</v>
      </c>
      <c r="R12" s="194" t="s">
        <v>578</v>
      </c>
      <c r="S12" s="194" t="s">
        <v>407</v>
      </c>
      <c r="T12" s="194" t="s">
        <v>276</v>
      </c>
      <c r="U12" s="195" t="s">
        <v>272</v>
      </c>
      <c r="V12" s="196" t="s">
        <v>273</v>
      </c>
      <c r="W12" s="196" t="s">
        <v>273</v>
      </c>
      <c r="X12" s="196" t="s">
        <v>273</v>
      </c>
      <c r="Y12" s="196" t="s">
        <v>273</v>
      </c>
      <c r="Z12" s="268" t="s">
        <v>284</v>
      </c>
      <c r="AA12" s="198" t="s">
        <v>579</v>
      </c>
      <c r="AB12" s="199" t="s">
        <v>286</v>
      </c>
    </row>
    <row r="13" ht="26.25" customHeight="1" s="5" customFormat="1">
      <c r="A13" s="201" t="s">
        <v>276</v>
      </c>
      <c r="B13" s="202" t="s">
        <v>300</v>
      </c>
      <c r="C13" s="215" t="s">
        <v>580</v>
      </c>
      <c r="D13" s="253" t="s">
        <v>302</v>
      </c>
      <c r="E13" s="205" t="s">
        <v>581</v>
      </c>
      <c r="F13" s="205" t="s">
        <v>543</v>
      </c>
      <c r="G13" s="205" t="s">
        <v>263</v>
      </c>
      <c r="H13" s="205" t="s">
        <v>582</v>
      </c>
      <c r="I13" s="205" t="s">
        <v>556</v>
      </c>
      <c r="J13" s="206" t="s">
        <v>64</v>
      </c>
      <c r="K13" s="206" t="s">
        <v>64</v>
      </c>
      <c r="L13" s="206" t="s">
        <v>547</v>
      </c>
      <c r="M13" s="270">
        <v>1559</v>
      </c>
      <c r="N13" s="206" t="s">
        <v>64</v>
      </c>
      <c r="O13" s="206" t="s">
        <v>64</v>
      </c>
      <c r="P13" s="206" t="s">
        <v>550</v>
      </c>
      <c r="Q13" s="270">
        <v>1799</v>
      </c>
      <c r="R13" s="205" t="s">
        <v>64</v>
      </c>
      <c r="S13" s="205" t="s">
        <v>500</v>
      </c>
      <c r="T13" s="205" t="s">
        <v>202</v>
      </c>
      <c r="U13" s="210" t="s">
        <v>273</v>
      </c>
      <c r="V13" s="211" t="s">
        <v>272</v>
      </c>
      <c r="W13" s="211" t="s">
        <v>272</v>
      </c>
      <c r="X13" s="211" t="s">
        <v>272</v>
      </c>
      <c r="Y13" s="211" t="s">
        <v>272</v>
      </c>
      <c r="Z13" s="268" t="s">
        <v>284</v>
      </c>
      <c r="AA13" s="213" t="s">
        <v>583</v>
      </c>
      <c r="AB13" s="214" t="s">
        <v>584</v>
      </c>
    </row>
    <row r="14" ht="26.25" customHeight="1" s="5" customFormat="1">
      <c r="A14" s="201" t="s">
        <v>210</v>
      </c>
      <c r="B14" s="202" t="s">
        <v>300</v>
      </c>
      <c r="C14" s="215" t="s">
        <v>585</v>
      </c>
      <c r="D14" s="216"/>
      <c r="E14" s="205" t="s">
        <v>586</v>
      </c>
      <c r="F14" s="205" t="s">
        <v>543</v>
      </c>
      <c r="G14" s="205" t="s">
        <v>263</v>
      </c>
      <c r="H14" s="205" t="s">
        <v>544</v>
      </c>
      <c r="I14" s="205" t="s">
        <v>376</v>
      </c>
      <c r="J14" s="206" t="s">
        <v>64</v>
      </c>
      <c r="K14" s="206" t="s">
        <v>64</v>
      </c>
      <c r="L14" s="206" t="s">
        <v>547</v>
      </c>
      <c r="M14" s="270">
        <v>1839</v>
      </c>
      <c r="N14" s="206" t="s">
        <v>64</v>
      </c>
      <c r="O14" s="206" t="s">
        <v>64</v>
      </c>
      <c r="P14" s="206" t="s">
        <v>550</v>
      </c>
      <c r="Q14" s="270">
        <v>1850</v>
      </c>
      <c r="R14" s="205" t="s">
        <v>64</v>
      </c>
      <c r="S14" s="205" t="s">
        <v>587</v>
      </c>
      <c r="T14" s="205" t="s">
        <v>203</v>
      </c>
      <c r="U14" s="210" t="s">
        <v>273</v>
      </c>
      <c r="V14" s="211" t="s">
        <v>272</v>
      </c>
      <c r="W14" s="211" t="s">
        <v>272</v>
      </c>
      <c r="X14" s="211" t="s">
        <v>272</v>
      </c>
      <c r="Y14" s="211" t="s">
        <v>272</v>
      </c>
      <c r="Z14" s="268" t="s">
        <v>284</v>
      </c>
      <c r="AA14" s="213" t="s">
        <v>588</v>
      </c>
      <c r="AB14" s="214" t="s">
        <v>589</v>
      </c>
    </row>
    <row r="15" ht="26.25" customHeight="1" s="5" customFormat="1">
      <c r="A15" s="201" t="s">
        <v>181</v>
      </c>
      <c r="B15" s="202" t="s">
        <v>300</v>
      </c>
      <c r="C15" s="215" t="s">
        <v>590</v>
      </c>
      <c r="D15" s="216"/>
      <c r="E15" s="205" t="s">
        <v>591</v>
      </c>
      <c r="F15" s="205" t="s">
        <v>543</v>
      </c>
      <c r="G15" s="205" t="s">
        <v>263</v>
      </c>
      <c r="H15" s="205" t="s">
        <v>544</v>
      </c>
      <c r="I15" s="205" t="s">
        <v>592</v>
      </c>
      <c r="J15" s="206" t="s">
        <v>64</v>
      </c>
      <c r="K15" s="206" t="s">
        <v>64</v>
      </c>
      <c r="L15" s="206" t="s">
        <v>547</v>
      </c>
      <c r="M15" s="270">
        <v>1558</v>
      </c>
      <c r="N15" s="206" t="s">
        <v>64</v>
      </c>
      <c r="O15" s="206" t="s">
        <v>64</v>
      </c>
      <c r="P15" s="206" t="s">
        <v>550</v>
      </c>
      <c r="Q15" s="270">
        <v>2015</v>
      </c>
      <c r="R15" s="205" t="s">
        <v>64</v>
      </c>
      <c r="S15" s="205" t="s">
        <v>593</v>
      </c>
      <c r="T15" s="205" t="s">
        <v>198</v>
      </c>
      <c r="U15" s="210" t="s">
        <v>273</v>
      </c>
      <c r="V15" s="211" t="s">
        <v>272</v>
      </c>
      <c r="W15" s="211" t="s">
        <v>272</v>
      </c>
      <c r="X15" s="211" t="s">
        <v>272</v>
      </c>
      <c r="Y15" s="211" t="s">
        <v>272</v>
      </c>
      <c r="Z15" s="268" t="s">
        <v>284</v>
      </c>
      <c r="AA15" s="213" t="s">
        <v>594</v>
      </c>
      <c r="AB15" s="214" t="s">
        <v>595</v>
      </c>
    </row>
    <row r="16" ht="26.25" customHeight="1" s="5" customFormat="1">
      <c r="A16" s="201" t="s">
        <v>320</v>
      </c>
      <c r="B16" s="202" t="s">
        <v>300</v>
      </c>
      <c r="C16" s="215" t="s">
        <v>596</v>
      </c>
      <c r="D16" s="216"/>
      <c r="E16" s="205" t="s">
        <v>597</v>
      </c>
      <c r="F16" s="205" t="s">
        <v>543</v>
      </c>
      <c r="G16" s="205" t="s">
        <v>263</v>
      </c>
      <c r="H16" s="205" t="s">
        <v>544</v>
      </c>
      <c r="I16" s="205" t="s">
        <v>598</v>
      </c>
      <c r="J16" s="206" t="s">
        <v>64</v>
      </c>
      <c r="K16" s="206" t="s">
        <v>64</v>
      </c>
      <c r="L16" s="206" t="s">
        <v>547</v>
      </c>
      <c r="M16" s="270">
        <v>1529</v>
      </c>
      <c r="N16" s="206" t="s">
        <v>64</v>
      </c>
      <c r="O16" s="206" t="s">
        <v>64</v>
      </c>
      <c r="P16" s="206" t="s">
        <v>550</v>
      </c>
      <c r="Q16" s="270">
        <v>1786</v>
      </c>
      <c r="R16" s="205" t="s">
        <v>64</v>
      </c>
      <c r="S16" s="205" t="s">
        <v>593</v>
      </c>
      <c r="T16" s="205" t="s">
        <v>198</v>
      </c>
      <c r="U16" s="210" t="s">
        <v>273</v>
      </c>
      <c r="V16" s="211" t="s">
        <v>272</v>
      </c>
      <c r="W16" s="211" t="s">
        <v>272</v>
      </c>
      <c r="X16" s="211" t="s">
        <v>272</v>
      </c>
      <c r="Y16" s="211" t="s">
        <v>272</v>
      </c>
      <c r="Z16" s="268" t="s">
        <v>284</v>
      </c>
      <c r="AA16" s="213" t="s">
        <v>599</v>
      </c>
      <c r="AB16" s="214" t="s">
        <v>600</v>
      </c>
    </row>
    <row r="17" ht="26.25" customHeight="1" s="5" customFormat="1">
      <c r="A17" s="201" t="s">
        <v>326</v>
      </c>
      <c r="B17" s="202" t="s">
        <v>300</v>
      </c>
      <c r="C17" s="215" t="s">
        <v>601</v>
      </c>
      <c r="D17" s="216"/>
      <c r="E17" s="205" t="s">
        <v>602</v>
      </c>
      <c r="F17" s="205" t="s">
        <v>543</v>
      </c>
      <c r="G17" s="205" t="s">
        <v>263</v>
      </c>
      <c r="H17" s="205" t="s">
        <v>544</v>
      </c>
      <c r="I17" s="205" t="s">
        <v>323</v>
      </c>
      <c r="J17" s="206" t="s">
        <v>64</v>
      </c>
      <c r="K17" s="206" t="s">
        <v>64</v>
      </c>
      <c r="L17" s="206" t="s">
        <v>547</v>
      </c>
      <c r="M17" s="270">
        <v>1509</v>
      </c>
      <c r="N17" s="206" t="s">
        <v>64</v>
      </c>
      <c r="O17" s="206" t="s">
        <v>64</v>
      </c>
      <c r="P17" s="206" t="s">
        <v>550</v>
      </c>
      <c r="Q17" s="270">
        <v>1770</v>
      </c>
      <c r="R17" s="205" t="s">
        <v>64</v>
      </c>
      <c r="S17" s="205" t="s">
        <v>603</v>
      </c>
      <c r="T17" s="205" t="s">
        <v>219</v>
      </c>
      <c r="U17" s="210" t="s">
        <v>273</v>
      </c>
      <c r="V17" s="211" t="s">
        <v>272</v>
      </c>
      <c r="W17" s="210" t="s">
        <v>273</v>
      </c>
      <c r="X17" s="211" t="s">
        <v>272</v>
      </c>
      <c r="Y17" s="210" t="s">
        <v>273</v>
      </c>
      <c r="Z17" s="268" t="s">
        <v>284</v>
      </c>
      <c r="AA17" s="213" t="s">
        <v>604</v>
      </c>
      <c r="AB17" s="214" t="s">
        <v>605</v>
      </c>
    </row>
    <row r="18" ht="26.25" customHeight="1" s="5" customFormat="1">
      <c r="A18" s="201" t="s">
        <v>205</v>
      </c>
      <c r="B18" s="202" t="s">
        <v>300</v>
      </c>
      <c r="C18" s="215" t="s">
        <v>606</v>
      </c>
      <c r="D18" s="218"/>
      <c r="E18" s="205" t="s">
        <v>607</v>
      </c>
      <c r="F18" s="205" t="s">
        <v>543</v>
      </c>
      <c r="G18" s="205" t="s">
        <v>263</v>
      </c>
      <c r="H18" s="205" t="s">
        <v>544</v>
      </c>
      <c r="I18" s="205" t="s">
        <v>608</v>
      </c>
      <c r="J18" s="206" t="s">
        <v>64</v>
      </c>
      <c r="K18" s="206" t="s">
        <v>64</v>
      </c>
      <c r="L18" s="206" t="s">
        <v>547</v>
      </c>
      <c r="M18" s="270">
        <v>1525</v>
      </c>
      <c r="N18" s="206" t="s">
        <v>64</v>
      </c>
      <c r="O18" s="206" t="s">
        <v>64</v>
      </c>
      <c r="P18" s="206" t="s">
        <v>550</v>
      </c>
      <c r="Q18" s="270">
        <v>1700</v>
      </c>
      <c r="R18" s="205" t="s">
        <v>64</v>
      </c>
      <c r="S18" s="205" t="s">
        <v>603</v>
      </c>
      <c r="T18" s="205" t="s">
        <v>219</v>
      </c>
      <c r="U18" s="210" t="s">
        <v>273</v>
      </c>
      <c r="V18" s="211" t="s">
        <v>272</v>
      </c>
      <c r="W18" s="210" t="s">
        <v>273</v>
      </c>
      <c r="X18" s="211" t="s">
        <v>272</v>
      </c>
      <c r="Y18" s="210" t="s">
        <v>273</v>
      </c>
      <c r="Z18" s="268" t="s">
        <v>284</v>
      </c>
      <c r="AA18" s="213" t="s">
        <v>609</v>
      </c>
      <c r="AB18" s="214" t="s">
        <v>610</v>
      </c>
    </row>
    <row r="19" ht="28.5" customHeight="1" s="5" customFormat="1">
      <c r="A19" s="220" t="s">
        <v>154</v>
      </c>
      <c r="B19" s="257" t="s">
        <v>339</v>
      </c>
      <c r="C19" s="222" t="s">
        <v>611</v>
      </c>
      <c r="D19" s="165"/>
      <c r="E19" s="220" t="s">
        <v>64</v>
      </c>
      <c r="F19" s="220" t="s">
        <v>543</v>
      </c>
      <c r="G19" s="220" t="s">
        <v>263</v>
      </c>
      <c r="H19" s="220" t="s">
        <v>64</v>
      </c>
      <c r="I19" s="220" t="s">
        <v>64</v>
      </c>
      <c r="J19" s="220" t="s">
        <v>547</v>
      </c>
      <c r="K19" s="220" t="s">
        <v>547</v>
      </c>
      <c r="L19" s="220" t="s">
        <v>547</v>
      </c>
      <c r="M19" s="271" t="s">
        <v>64</v>
      </c>
      <c r="N19" s="220" t="s">
        <v>550</v>
      </c>
      <c r="O19" s="220" t="s">
        <v>550</v>
      </c>
      <c r="P19" s="220" t="s">
        <v>550</v>
      </c>
      <c r="Q19" s="271" t="s">
        <v>64</v>
      </c>
      <c r="R19" s="220" t="s">
        <v>64</v>
      </c>
      <c r="S19" s="220" t="s">
        <v>64</v>
      </c>
      <c r="T19" s="220" t="s">
        <v>64</v>
      </c>
      <c r="U19" s="220" t="s">
        <v>64</v>
      </c>
      <c r="V19" s="220" t="s">
        <v>64</v>
      </c>
      <c r="W19" s="220" t="s">
        <v>64</v>
      </c>
      <c r="X19" s="220" t="s">
        <v>64</v>
      </c>
      <c r="Y19" s="220" t="s">
        <v>64</v>
      </c>
      <c r="Z19" s="202" t="s">
        <v>339</v>
      </c>
      <c r="AA19" s="224" t="s">
        <v>612</v>
      </c>
      <c r="AB19" s="225" t="s">
        <v>342</v>
      </c>
    </row>
    <row r="20" ht="34.5" customHeight="1" s="5" customFormat="1">
      <c r="A20" s="226" t="s">
        <v>154</v>
      </c>
      <c r="B20" s="257" t="s">
        <v>339</v>
      </c>
      <c r="C20" s="227" t="s">
        <v>613</v>
      </c>
      <c r="D20" s="165"/>
      <c r="E20" s="226" t="s">
        <v>64</v>
      </c>
      <c r="F20" s="226" t="s">
        <v>543</v>
      </c>
      <c r="G20" s="226" t="s">
        <v>263</v>
      </c>
      <c r="H20" s="226" t="s">
        <v>64</v>
      </c>
      <c r="I20" s="226" t="s">
        <v>64</v>
      </c>
      <c r="J20" s="226" t="s">
        <v>614</v>
      </c>
      <c r="K20" s="226" t="s">
        <v>614</v>
      </c>
      <c r="L20" s="226" t="s">
        <v>614</v>
      </c>
      <c r="M20" s="272" t="s">
        <v>614</v>
      </c>
      <c r="N20" s="226" t="s">
        <v>615</v>
      </c>
      <c r="O20" s="226" t="s">
        <v>615</v>
      </c>
      <c r="P20" s="226" t="s">
        <v>615</v>
      </c>
      <c r="Q20" s="272" t="s">
        <v>615</v>
      </c>
      <c r="R20" s="226" t="s">
        <v>64</v>
      </c>
      <c r="S20" s="226" t="s">
        <v>64</v>
      </c>
      <c r="T20" s="226" t="s">
        <v>64</v>
      </c>
      <c r="U20" s="226" t="s">
        <v>64</v>
      </c>
      <c r="V20" s="226" t="s">
        <v>64</v>
      </c>
      <c r="W20" s="226" t="s">
        <v>64</v>
      </c>
      <c r="X20" s="226" t="s">
        <v>64</v>
      </c>
      <c r="Y20" s="226" t="s">
        <v>64</v>
      </c>
      <c r="Z20" s="202" t="s">
        <v>339</v>
      </c>
      <c r="AA20" s="230" t="s">
        <v>616</v>
      </c>
      <c r="AB20" s="231" t="s">
        <v>347</v>
      </c>
    </row>
    <row r="22" ht="14.25" customHeight="1" s="5" customFormat="1">
      <c r="A22" s="232" t="s">
        <v>440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273"/>
      <c r="N22" s="5"/>
      <c r="O22" s="5"/>
      <c r="P22" s="5"/>
      <c r="Q22" s="273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4" ht="18" customHeight="1" s="5" customFormat="1">
      <c r="A24" s="233" t="s">
        <v>349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273"/>
      <c r="N24" s="5"/>
      <c r="O24" s="5"/>
      <c r="P24" s="5"/>
      <c r="Q24" s="273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ht="15.75" customHeight="1" s="5" customFormat="1">
      <c r="A25" s="234" t="s">
        <v>350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273"/>
      <c r="N25" s="5"/>
      <c r="O25" s="5"/>
      <c r="P25" s="5"/>
      <c r="Q25" s="273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ht="15.75" customHeight="1" s="5" customFormat="1">
      <c r="A26" s="24"/>
      <c r="B26" s="157" t="s">
        <v>351</v>
      </c>
      <c r="C26" s="157" t="s">
        <v>352</v>
      </c>
      <c r="D26" s="52"/>
      <c r="E26" s="157" t="s">
        <v>353</v>
      </c>
      <c r="F26" s="5"/>
      <c r="G26" s="5"/>
      <c r="H26" s="5"/>
      <c r="I26" s="5"/>
      <c r="J26" s="5"/>
      <c r="K26" s="5"/>
      <c r="L26" s="5"/>
      <c r="M26" s="273"/>
      <c r="N26" s="5"/>
      <c r="O26" s="5"/>
      <c r="P26" s="5"/>
      <c r="Q26" s="273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ht="20.25" customHeight="1" s="5" customFormat="1">
      <c r="A27" s="235" t="s">
        <v>151</v>
      </c>
      <c r="B27" s="236">
        <f>'Current Rents'!E15</f>
        <v>1451</v>
      </c>
      <c r="C27" s="237">
        <v>1586</v>
      </c>
      <c r="D27" s="238"/>
      <c r="E27" s="258">
        <f t="shared" si="0" ref="E27:E28">B27-C27</f>
        <v>-135</v>
      </c>
      <c r="F27" s="161" t="str">
        <f>IF(E27&lt;-75,"LOOK INTO INCREASING THE RENT!","")</f>
        <v>LOOK INTO INCREASING THE RENT!</v>
      </c>
      <c r="G27" s="5"/>
      <c r="H27" s="5"/>
      <c r="I27" s="5"/>
      <c r="J27" s="5"/>
      <c r="K27" s="5"/>
      <c r="L27" s="5"/>
      <c r="M27" s="273"/>
      <c r="N27" s="5"/>
      <c r="O27" s="5"/>
      <c r="P27" s="5"/>
      <c r="Q27" s="273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ht="20.25" customHeight="1" s="5" customFormat="1">
      <c r="A28" s="235" t="s">
        <v>152</v>
      </c>
      <c r="B28" s="236">
        <f>'Current Rents'!F15</f>
        <v>1613</v>
      </c>
      <c r="C28" s="240">
        <v>1820</v>
      </c>
      <c r="D28" s="5"/>
      <c r="E28" s="258">
        <f t="shared" si="0"/>
        <v>-207</v>
      </c>
      <c r="F28" s="161" t="str">
        <f>IF(E28&lt;-75,"LOOK INTO INCREASING THE RENT!","")</f>
        <v>LOOK INTO INCREASING THE RENT!</v>
      </c>
      <c r="G28" s="5"/>
      <c r="H28" s="5"/>
      <c r="I28" s="5"/>
      <c r="J28" s="5"/>
      <c r="K28" s="5"/>
      <c r="L28" s="5"/>
      <c r="M28" s="273"/>
      <c r="N28" s="5"/>
      <c r="O28" s="5"/>
      <c r="P28" s="5"/>
      <c r="Q28" s="273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</sheetData>
  <mergeCells>
    <mergeCell ref="A4:AB4"/>
    <mergeCell ref="C8:D8"/>
    <mergeCell ref="C26:D26"/>
    <mergeCell ref="C7:D7"/>
    <mergeCell ref="C28:D28"/>
    <mergeCell ref="A6:AB6"/>
    <mergeCell ref="A22:AB22"/>
    <mergeCell ref="C12:D12"/>
    <mergeCell ref="C27:D27"/>
    <mergeCell ref="D13:D18"/>
    <mergeCell ref="C11:D11"/>
    <mergeCell ref="Z3:AB3"/>
    <mergeCell ref="A3:Y3"/>
    <mergeCell ref="A25:H25"/>
    <mergeCell ref="C19:D19"/>
    <mergeCell ref="C10:D10"/>
    <mergeCell ref="A24:H24"/>
    <mergeCell ref="C9:D9"/>
    <mergeCell ref="C20:D20"/>
    <mergeCell ref="A5:AB5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0ACA39F-8F38-3ED8-B898-7123F6CA76D8}" mc:Ignorable="x14ac xr xr2 xr3">
  <dimension ref="A1:AX34"/>
  <sheetViews>
    <sheetView topLeftCell="A1" workbookViewId="0">
      <pane ySplit="1" topLeftCell="A17" activePane="bottomLeft" state="frozen"/>
      <selection pane="bottomLeft" activeCell="A30" sqref="A30:E30"/>
    </sheetView>
  </sheetViews>
  <sheetFormatPr defaultRowHeight="21.75" defaultColWidth="9.140625" customHeight="1"/>
  <cols>
    <col min="1" max="1" style="5" width="14.421875" customWidth="1"/>
    <col min="2" max="2" style="5" width="16.7109375" customWidth="1"/>
    <col min="3" max="3" style="5" width="33.57421875" customWidth="1"/>
    <col min="4" max="4" style="5" width="4.140625" customWidth="1"/>
    <col min="5" max="5" style="5" width="26.57421875" customWidth="1"/>
    <col min="6" max="6" style="5" width="14.28125" customWidth="1"/>
    <col min="7" max="8" style="5" width="6.28125" customWidth="1"/>
    <col min="9" max="9" style="5" width="9.140625" customWidth="1"/>
    <col min="10" max="11" style="5" width="6.8515625" hidden="1" customWidth="1"/>
    <col min="12" max="12" style="5" width="5.28125" hidden="1" customWidth="1"/>
    <col min="13" max="13" style="5" width="17.140625" customWidth="1"/>
    <col min="14" max="15" style="5" width="6.8515625" hidden="1" customWidth="1"/>
    <col min="16" max="16" style="5" width="5.28125" hidden="1" customWidth="1"/>
    <col min="17" max="17" style="5" width="13.57421875" customWidth="1"/>
    <col min="18" max="18" style="5" width="4.7109375" customWidth="1"/>
    <col min="19" max="19" style="5" width="6.140625" customWidth="1"/>
    <col min="20" max="20" style="5" width="5.28125" customWidth="1"/>
    <col min="21" max="21" style="5" width="4.140625" customWidth="1"/>
    <col min="22" max="22" style="5" width="6.8515625" customWidth="1"/>
    <col min="23" max="23" style="5" width="5.28125" customWidth="1"/>
    <col min="24" max="24" style="5" width="4.140625" customWidth="1"/>
    <col min="25" max="25" style="5" width="6.00390625" customWidth="1"/>
    <col min="26" max="26" style="5" width="23.28125" customWidth="1"/>
    <col min="27" max="27" style="5" width="56.28125" customWidth="1"/>
    <col min="28" max="28" style="5" width="46.851562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ht="21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ht="21.75" customHeight="1" s="5" customForma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 ht="21.75" customHeight="1" s="5" customForma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ht="15" customHeight="1" s="5" customForma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8" ht="8.25" customHeight="1" s="5" customFormat="1"/>
    <row r="9" ht="36" customHeight="1" s="5" customFormat="1">
      <c r="A9" s="163" t="s">
        <v>617</v>
      </c>
      <c r="B9" s="164"/>
      <c r="C9" s="164"/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5"/>
      <c r="Z9" s="262" t="s">
        <v>618</v>
      </c>
      <c r="AA9" s="164"/>
      <c r="AB9" s="165"/>
    </row>
    <row r="10" ht="18" customHeight="1" s="5" customFormat="1">
      <c r="A10" s="241" t="s">
        <v>619</v>
      </c>
      <c r="B10" s="164"/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5"/>
    </row>
    <row r="11" ht="14.25" customHeight="1" s="5" customFormat="1">
      <c r="A11" s="170" t="s">
        <v>539</v>
      </c>
      <c r="B11" s="164"/>
      <c r="C11" s="164"/>
      <c r="D11" s="164"/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  <c r="AA11" s="164"/>
      <c r="AB11" s="165"/>
    </row>
    <row r="12" ht="25.5" customHeight="1" s="5" customFormat="1">
      <c r="A12" s="171" t="s">
        <v>540</v>
      </c>
      <c r="B12" s="164"/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5"/>
    </row>
    <row r="13" ht="25.5" customHeight="1" s="5" customFormat="1">
      <c r="A13" s="243" t="s">
        <v>233</v>
      </c>
      <c r="B13" s="243" t="s">
        <v>234</v>
      </c>
      <c r="C13" s="243" t="s">
        <v>3</v>
      </c>
      <c r="D13" s="165"/>
      <c r="E13" s="243" t="s">
        <v>235</v>
      </c>
      <c r="F13" s="243" t="s">
        <v>236</v>
      </c>
      <c r="G13" s="244" t="s">
        <v>237</v>
      </c>
      <c r="H13" s="244" t="s">
        <v>238</v>
      </c>
      <c r="I13" s="244" t="s">
        <v>239</v>
      </c>
      <c r="J13" s="244" t="s">
        <v>444</v>
      </c>
      <c r="K13" s="244" t="s">
        <v>445</v>
      </c>
      <c r="L13" s="244" t="s">
        <v>446</v>
      </c>
      <c r="M13" s="248" t="s">
        <v>447</v>
      </c>
      <c r="N13" s="244" t="s">
        <v>240</v>
      </c>
      <c r="O13" s="244" t="s">
        <v>241</v>
      </c>
      <c r="P13" s="244" t="s">
        <v>242</v>
      </c>
      <c r="Q13" s="248" t="s">
        <v>360</v>
      </c>
      <c r="R13" s="247" t="s">
        <v>6</v>
      </c>
      <c r="S13" s="247" t="s">
        <v>248</v>
      </c>
      <c r="T13" s="247" t="s">
        <v>249</v>
      </c>
      <c r="U13" s="247" t="s">
        <v>250</v>
      </c>
      <c r="V13" s="247" t="s">
        <v>251</v>
      </c>
      <c r="W13" s="247" t="s">
        <v>252</v>
      </c>
      <c r="X13" s="247" t="s">
        <v>253</v>
      </c>
      <c r="Y13" s="247" t="s">
        <v>254</v>
      </c>
      <c r="Z13" s="248" t="s">
        <v>255</v>
      </c>
      <c r="AA13" s="249" t="s">
        <v>256</v>
      </c>
      <c r="AB13" s="249" t="s">
        <v>257</v>
      </c>
    </row>
    <row r="14" ht="21.75" customHeight="1" s="5" customFormat="1">
      <c r="A14" s="180" t="s">
        <v>258</v>
      </c>
      <c r="B14" s="181" t="s">
        <v>259</v>
      </c>
      <c r="C14" s="250" t="s">
        <v>620</v>
      </c>
      <c r="D14" s="165"/>
      <c r="E14" s="183" t="s">
        <v>621</v>
      </c>
      <c r="F14" s="183" t="s">
        <v>621</v>
      </c>
      <c r="G14" s="183" t="s">
        <v>263</v>
      </c>
      <c r="H14" s="183" t="s">
        <v>622</v>
      </c>
      <c r="I14" s="183" t="s">
        <v>265</v>
      </c>
      <c r="J14" s="183" t="s">
        <v>623</v>
      </c>
      <c r="K14" s="183" t="s">
        <v>624</v>
      </c>
      <c r="L14" s="183" t="s">
        <v>625</v>
      </c>
      <c r="M14" s="184">
        <f>'Current Rents'!D16</f>
        <v>1375</v>
      </c>
      <c r="N14" s="183" t="s">
        <v>626</v>
      </c>
      <c r="O14" s="183" t="s">
        <v>627</v>
      </c>
      <c r="P14" s="183" t="s">
        <v>628</v>
      </c>
      <c r="Q14" s="184">
        <f>'Current Rents'!E16</f>
        <v>1552</v>
      </c>
      <c r="R14" s="183" t="s">
        <v>475</v>
      </c>
      <c r="S14" s="183" t="s">
        <v>629</v>
      </c>
      <c r="T14" s="183" t="s">
        <v>462</v>
      </c>
      <c r="U14" s="186" t="s">
        <v>272</v>
      </c>
      <c r="V14" s="187" t="s">
        <v>273</v>
      </c>
      <c r="W14" s="187" t="s">
        <v>273</v>
      </c>
      <c r="X14" s="186" t="s">
        <v>272</v>
      </c>
      <c r="Y14" s="187" t="s">
        <v>273</v>
      </c>
      <c r="Z14" s="181" t="s">
        <v>259</v>
      </c>
      <c r="AA14" s="188" t="s">
        <v>630</v>
      </c>
      <c r="AB14" s="189" t="s">
        <v>275</v>
      </c>
    </row>
    <row r="15" ht="21.75" customHeight="1" s="5" customFormat="1">
      <c r="A15" s="190" t="s">
        <v>276</v>
      </c>
      <c r="B15" s="251" t="s">
        <v>277</v>
      </c>
      <c r="C15" s="192" t="s">
        <v>631</v>
      </c>
      <c r="D15" s="165"/>
      <c r="E15" s="194" t="s">
        <v>632</v>
      </c>
      <c r="F15" s="194" t="s">
        <v>633</v>
      </c>
      <c r="G15" s="194" t="s">
        <v>263</v>
      </c>
      <c r="H15" s="194" t="s">
        <v>634</v>
      </c>
      <c r="I15" s="194" t="s">
        <v>382</v>
      </c>
      <c r="J15" s="194" t="s">
        <v>623</v>
      </c>
      <c r="K15" s="194" t="s">
        <v>624</v>
      </c>
      <c r="L15" s="194" t="s">
        <v>625</v>
      </c>
      <c r="M15" s="190" t="s">
        <v>283</v>
      </c>
      <c r="N15" s="194" t="s">
        <v>626</v>
      </c>
      <c r="O15" s="194" t="s">
        <v>627</v>
      </c>
      <c r="P15" s="194" t="s">
        <v>628</v>
      </c>
      <c r="Q15" s="190" t="s">
        <v>283</v>
      </c>
      <c r="R15" s="194" t="s">
        <v>635</v>
      </c>
      <c r="S15" s="194" t="s">
        <v>636</v>
      </c>
      <c r="T15" s="194" t="s">
        <v>276</v>
      </c>
      <c r="U15" s="195" t="s">
        <v>272</v>
      </c>
      <c r="V15" s="196" t="s">
        <v>273</v>
      </c>
      <c r="W15" s="196" t="s">
        <v>273</v>
      </c>
      <c r="X15" s="196" t="s">
        <v>273</v>
      </c>
      <c r="Y15" s="196" t="s">
        <v>273</v>
      </c>
      <c r="Z15" s="268" t="s">
        <v>284</v>
      </c>
      <c r="AA15" s="198" t="s">
        <v>637</v>
      </c>
      <c r="AB15" s="199" t="s">
        <v>638</v>
      </c>
    </row>
    <row r="16" ht="21.75" customHeight="1" s="5" customFormat="1">
      <c r="A16" s="190" t="s">
        <v>210</v>
      </c>
      <c r="B16" s="251" t="s">
        <v>277</v>
      </c>
      <c r="C16" s="192" t="s">
        <v>639</v>
      </c>
      <c r="D16" s="165"/>
      <c r="E16" s="194" t="s">
        <v>640</v>
      </c>
      <c r="F16" s="194" t="s">
        <v>633</v>
      </c>
      <c r="G16" s="194" t="s">
        <v>263</v>
      </c>
      <c r="H16" s="194" t="s">
        <v>634</v>
      </c>
      <c r="I16" s="194" t="s">
        <v>641</v>
      </c>
      <c r="J16" s="194" t="s">
        <v>623</v>
      </c>
      <c r="K16" s="194" t="s">
        <v>624</v>
      </c>
      <c r="L16" s="194" t="s">
        <v>625</v>
      </c>
      <c r="M16" s="190" t="s">
        <v>283</v>
      </c>
      <c r="N16" s="194" t="s">
        <v>626</v>
      </c>
      <c r="O16" s="194" t="s">
        <v>627</v>
      </c>
      <c r="P16" s="194" t="s">
        <v>628</v>
      </c>
      <c r="Q16" s="190" t="s">
        <v>283</v>
      </c>
      <c r="R16" s="194" t="s">
        <v>642</v>
      </c>
      <c r="S16" s="194" t="s">
        <v>629</v>
      </c>
      <c r="T16" s="194" t="s">
        <v>462</v>
      </c>
      <c r="U16" s="195" t="s">
        <v>272</v>
      </c>
      <c r="V16" s="196" t="s">
        <v>273</v>
      </c>
      <c r="W16" s="196" t="s">
        <v>273</v>
      </c>
      <c r="X16" s="196" t="s">
        <v>273</v>
      </c>
      <c r="Y16" s="196" t="s">
        <v>273</v>
      </c>
      <c r="Z16" s="268" t="s">
        <v>284</v>
      </c>
      <c r="AA16" s="198" t="s">
        <v>643</v>
      </c>
      <c r="AB16" s="199" t="s">
        <v>638</v>
      </c>
    </row>
    <row r="17" ht="21.75" customHeight="1" s="5" customFormat="1">
      <c r="A17" s="190" t="s">
        <v>181</v>
      </c>
      <c r="B17" s="251" t="s">
        <v>277</v>
      </c>
      <c r="C17" s="192" t="s">
        <v>644</v>
      </c>
      <c r="D17" s="165"/>
      <c r="E17" s="194" t="s">
        <v>645</v>
      </c>
      <c r="F17" s="194" t="s">
        <v>621</v>
      </c>
      <c r="G17" s="194" t="s">
        <v>263</v>
      </c>
      <c r="H17" s="194" t="s">
        <v>646</v>
      </c>
      <c r="I17" s="194" t="s">
        <v>647</v>
      </c>
      <c r="J17" s="194" t="s">
        <v>623</v>
      </c>
      <c r="K17" s="194" t="s">
        <v>624</v>
      </c>
      <c r="L17" s="194" t="s">
        <v>625</v>
      </c>
      <c r="M17" s="190" t="s">
        <v>283</v>
      </c>
      <c r="N17" s="194" t="s">
        <v>626</v>
      </c>
      <c r="O17" s="194" t="s">
        <v>627</v>
      </c>
      <c r="P17" s="194" t="s">
        <v>628</v>
      </c>
      <c r="Q17" s="252">
        <v>1224</v>
      </c>
      <c r="R17" s="194" t="s">
        <v>648</v>
      </c>
      <c r="S17" s="194" t="s">
        <v>636</v>
      </c>
      <c r="T17" s="194" t="s">
        <v>276</v>
      </c>
      <c r="U17" s="195" t="s">
        <v>272</v>
      </c>
      <c r="V17" s="196" t="s">
        <v>273</v>
      </c>
      <c r="W17" s="196" t="s">
        <v>273</v>
      </c>
      <c r="X17" s="196" t="s">
        <v>273</v>
      </c>
      <c r="Y17" s="196" t="s">
        <v>273</v>
      </c>
      <c r="Z17" s="268" t="s">
        <v>284</v>
      </c>
      <c r="AA17" s="198" t="s">
        <v>649</v>
      </c>
      <c r="AB17" s="199" t="s">
        <v>638</v>
      </c>
    </row>
    <row r="18" ht="21.75" customHeight="1" s="5" customFormat="1">
      <c r="A18" s="190" t="s">
        <v>320</v>
      </c>
      <c r="B18" s="251" t="s">
        <v>277</v>
      </c>
      <c r="C18" s="192" t="s">
        <v>650</v>
      </c>
      <c r="D18" s="165"/>
      <c r="E18" s="194" t="s">
        <v>651</v>
      </c>
      <c r="F18" s="194" t="s">
        <v>633</v>
      </c>
      <c r="G18" s="194" t="s">
        <v>263</v>
      </c>
      <c r="H18" s="194" t="s">
        <v>634</v>
      </c>
      <c r="I18" s="194" t="s">
        <v>488</v>
      </c>
      <c r="J18" s="194" t="s">
        <v>623</v>
      </c>
      <c r="K18" s="194" t="s">
        <v>624</v>
      </c>
      <c r="L18" s="194" t="s">
        <v>625</v>
      </c>
      <c r="M18" s="190" t="s">
        <v>283</v>
      </c>
      <c r="N18" s="194" t="s">
        <v>626</v>
      </c>
      <c r="O18" s="194" t="s">
        <v>627</v>
      </c>
      <c r="P18" s="194" t="s">
        <v>628</v>
      </c>
      <c r="Q18" s="190" t="s">
        <v>283</v>
      </c>
      <c r="R18" s="194" t="s">
        <v>652</v>
      </c>
      <c r="S18" s="194" t="s">
        <v>629</v>
      </c>
      <c r="T18" s="194" t="s">
        <v>462</v>
      </c>
      <c r="U18" s="195" t="s">
        <v>272</v>
      </c>
      <c r="V18" s="196" t="s">
        <v>273</v>
      </c>
      <c r="W18" s="196" t="s">
        <v>273</v>
      </c>
      <c r="X18" s="196" t="s">
        <v>273</v>
      </c>
      <c r="Y18" s="196" t="s">
        <v>273</v>
      </c>
      <c r="Z18" s="268" t="s">
        <v>284</v>
      </c>
      <c r="AA18" s="198" t="s">
        <v>653</v>
      </c>
      <c r="AB18" s="199" t="s">
        <v>638</v>
      </c>
    </row>
    <row r="19" ht="26.25" customHeight="1" s="5" customFormat="1">
      <c r="A19" s="201" t="s">
        <v>276</v>
      </c>
      <c r="B19" s="202" t="s">
        <v>300</v>
      </c>
      <c r="C19" s="215" t="s">
        <v>654</v>
      </c>
      <c r="D19" s="253" t="s">
        <v>302</v>
      </c>
      <c r="E19" s="205" t="s">
        <v>655</v>
      </c>
      <c r="F19" s="205" t="s">
        <v>621</v>
      </c>
      <c r="G19" s="205" t="s">
        <v>263</v>
      </c>
      <c r="H19" s="205" t="s">
        <v>656</v>
      </c>
      <c r="I19" s="205" t="s">
        <v>336</v>
      </c>
      <c r="J19" s="206" t="s">
        <v>64</v>
      </c>
      <c r="K19" s="206" t="s">
        <v>64</v>
      </c>
      <c r="L19" s="206" t="s">
        <v>625</v>
      </c>
      <c r="M19" s="208">
        <v>1287</v>
      </c>
      <c r="N19" s="206" t="s">
        <v>64</v>
      </c>
      <c r="O19" s="206" t="s">
        <v>64</v>
      </c>
      <c r="P19" s="206" t="s">
        <v>628</v>
      </c>
      <c r="Q19" s="208">
        <v>1472</v>
      </c>
      <c r="R19" s="205" t="s">
        <v>64</v>
      </c>
      <c r="S19" s="205" t="s">
        <v>657</v>
      </c>
      <c r="T19" s="205" t="s">
        <v>658</v>
      </c>
      <c r="U19" s="210" t="s">
        <v>273</v>
      </c>
      <c r="V19" s="211" t="s">
        <v>272</v>
      </c>
      <c r="W19" s="211" t="s">
        <v>272</v>
      </c>
      <c r="X19" s="211" t="s">
        <v>272</v>
      </c>
      <c r="Y19" s="211" t="s">
        <v>272</v>
      </c>
      <c r="Z19" s="268" t="s">
        <v>284</v>
      </c>
      <c r="AA19" s="213" t="s">
        <v>659</v>
      </c>
      <c r="AB19" s="214" t="s">
        <v>660</v>
      </c>
    </row>
    <row r="20" ht="26.25" customHeight="1" s="5" customFormat="1">
      <c r="A20" s="201" t="s">
        <v>210</v>
      </c>
      <c r="B20" s="202" t="s">
        <v>300</v>
      </c>
      <c r="C20" s="215" t="s">
        <v>661</v>
      </c>
      <c r="D20" s="216"/>
      <c r="E20" s="205" t="s">
        <v>662</v>
      </c>
      <c r="F20" s="205" t="s">
        <v>621</v>
      </c>
      <c r="G20" s="205" t="s">
        <v>263</v>
      </c>
      <c r="H20" s="205" t="s">
        <v>663</v>
      </c>
      <c r="I20" s="205" t="s">
        <v>664</v>
      </c>
      <c r="J20" s="206" t="s">
        <v>64</v>
      </c>
      <c r="K20" s="206" t="s">
        <v>64</v>
      </c>
      <c r="L20" s="206" t="s">
        <v>625</v>
      </c>
      <c r="M20" s="208">
        <v>1243</v>
      </c>
      <c r="N20" s="206" t="s">
        <v>64</v>
      </c>
      <c r="O20" s="206" t="s">
        <v>64</v>
      </c>
      <c r="P20" s="206" t="s">
        <v>628</v>
      </c>
      <c r="Q20" s="208">
        <v>1503</v>
      </c>
      <c r="R20" s="205" t="s">
        <v>64</v>
      </c>
      <c r="S20" s="205" t="s">
        <v>665</v>
      </c>
      <c r="T20" s="205" t="s">
        <v>219</v>
      </c>
      <c r="U20" s="210" t="s">
        <v>273</v>
      </c>
      <c r="V20" s="211" t="s">
        <v>272</v>
      </c>
      <c r="W20" s="211" t="s">
        <v>272</v>
      </c>
      <c r="X20" s="211" t="s">
        <v>272</v>
      </c>
      <c r="Y20" s="211" t="s">
        <v>272</v>
      </c>
      <c r="Z20" s="268" t="s">
        <v>284</v>
      </c>
      <c r="AA20" s="213" t="s">
        <v>666</v>
      </c>
      <c r="AB20" s="214" t="s">
        <v>667</v>
      </c>
    </row>
    <row r="21" ht="26.25" customHeight="1" s="5" customFormat="1">
      <c r="A21" s="201" t="s">
        <v>181</v>
      </c>
      <c r="B21" s="202" t="s">
        <v>300</v>
      </c>
      <c r="C21" s="215" t="s">
        <v>668</v>
      </c>
      <c r="D21" s="216"/>
      <c r="E21" s="205" t="s">
        <v>669</v>
      </c>
      <c r="F21" s="205" t="s">
        <v>621</v>
      </c>
      <c r="G21" s="205" t="s">
        <v>263</v>
      </c>
      <c r="H21" s="205" t="s">
        <v>663</v>
      </c>
      <c r="I21" s="205" t="s">
        <v>481</v>
      </c>
      <c r="J21" s="206" t="s">
        <v>64</v>
      </c>
      <c r="K21" s="206" t="s">
        <v>64</v>
      </c>
      <c r="L21" s="206" t="s">
        <v>625</v>
      </c>
      <c r="M21" s="208">
        <v>1389</v>
      </c>
      <c r="N21" s="206" t="s">
        <v>64</v>
      </c>
      <c r="O21" s="206" t="s">
        <v>64</v>
      </c>
      <c r="P21" s="206" t="s">
        <v>628</v>
      </c>
      <c r="Q21" s="208">
        <v>1549</v>
      </c>
      <c r="R21" s="205" t="s">
        <v>64</v>
      </c>
      <c r="S21" s="205" t="s">
        <v>593</v>
      </c>
      <c r="T21" s="205" t="s">
        <v>177</v>
      </c>
      <c r="U21" s="210" t="s">
        <v>273</v>
      </c>
      <c r="V21" s="211" t="s">
        <v>272</v>
      </c>
      <c r="W21" s="211" t="s">
        <v>272</v>
      </c>
      <c r="X21" s="211" t="s">
        <v>272</v>
      </c>
      <c r="Y21" s="211" t="s">
        <v>272</v>
      </c>
      <c r="Z21" s="268" t="s">
        <v>284</v>
      </c>
      <c r="AA21" s="213" t="s">
        <v>670</v>
      </c>
      <c r="AB21" s="214" t="s">
        <v>671</v>
      </c>
    </row>
    <row r="22" ht="26.25" customHeight="1" s="5" customFormat="1">
      <c r="A22" s="201" t="s">
        <v>320</v>
      </c>
      <c r="B22" s="202" t="s">
        <v>300</v>
      </c>
      <c r="C22" s="215" t="s">
        <v>672</v>
      </c>
      <c r="D22" s="216"/>
      <c r="E22" s="205" t="s">
        <v>673</v>
      </c>
      <c r="F22" s="205" t="s">
        <v>621</v>
      </c>
      <c r="G22" s="205" t="s">
        <v>263</v>
      </c>
      <c r="H22" s="205" t="s">
        <v>663</v>
      </c>
      <c r="I22" s="205" t="s">
        <v>674</v>
      </c>
      <c r="J22" s="206" t="s">
        <v>64</v>
      </c>
      <c r="K22" s="206" t="s">
        <v>64</v>
      </c>
      <c r="L22" s="206" t="s">
        <v>625</v>
      </c>
      <c r="M22" s="208">
        <v>1327</v>
      </c>
      <c r="N22" s="206" t="s">
        <v>64</v>
      </c>
      <c r="O22" s="206" t="s">
        <v>64</v>
      </c>
      <c r="P22" s="206" t="s">
        <v>628</v>
      </c>
      <c r="Q22" s="208">
        <v>1480</v>
      </c>
      <c r="R22" s="205" t="s">
        <v>64</v>
      </c>
      <c r="S22" s="205" t="s">
        <v>519</v>
      </c>
      <c r="T22" s="205" t="s">
        <v>153</v>
      </c>
      <c r="U22" s="210" t="s">
        <v>273</v>
      </c>
      <c r="V22" s="211" t="s">
        <v>272</v>
      </c>
      <c r="W22" s="211" t="s">
        <v>272</v>
      </c>
      <c r="X22" s="211" t="s">
        <v>272</v>
      </c>
      <c r="Y22" s="211" t="s">
        <v>272</v>
      </c>
      <c r="Z22" s="268" t="s">
        <v>284</v>
      </c>
      <c r="AA22" s="213" t="s">
        <v>675</v>
      </c>
      <c r="AB22" s="214" t="s">
        <v>676</v>
      </c>
    </row>
    <row r="23" ht="26.25" customHeight="1" s="5" customFormat="1">
      <c r="A23" s="201" t="s">
        <v>326</v>
      </c>
      <c r="B23" s="202" t="s">
        <v>300</v>
      </c>
      <c r="C23" s="215" t="s">
        <v>677</v>
      </c>
      <c r="D23" s="216"/>
      <c r="E23" s="205" t="s">
        <v>678</v>
      </c>
      <c r="F23" s="205" t="s">
        <v>621</v>
      </c>
      <c r="G23" s="205" t="s">
        <v>263</v>
      </c>
      <c r="H23" s="205" t="s">
        <v>663</v>
      </c>
      <c r="I23" s="205" t="s">
        <v>679</v>
      </c>
      <c r="J23" s="206" t="s">
        <v>64</v>
      </c>
      <c r="K23" s="206" t="s">
        <v>64</v>
      </c>
      <c r="L23" s="206" t="s">
        <v>625</v>
      </c>
      <c r="M23" s="208">
        <v>1360</v>
      </c>
      <c r="N23" s="206" t="s">
        <v>64</v>
      </c>
      <c r="O23" s="206" t="s">
        <v>64</v>
      </c>
      <c r="P23" s="206" t="s">
        <v>628</v>
      </c>
      <c r="Q23" s="208">
        <v>1694</v>
      </c>
      <c r="R23" s="205" t="s">
        <v>64</v>
      </c>
      <c r="S23" s="205" t="s">
        <v>593</v>
      </c>
      <c r="T23" s="205" t="s">
        <v>177</v>
      </c>
      <c r="U23" s="210" t="s">
        <v>273</v>
      </c>
      <c r="V23" s="211" t="s">
        <v>272</v>
      </c>
      <c r="W23" s="211" t="s">
        <v>272</v>
      </c>
      <c r="X23" s="211" t="s">
        <v>272</v>
      </c>
      <c r="Y23" s="211" t="s">
        <v>272</v>
      </c>
      <c r="Z23" s="268" t="s">
        <v>284</v>
      </c>
      <c r="AA23" s="213" t="s">
        <v>680</v>
      </c>
      <c r="AB23" s="214" t="s">
        <v>681</v>
      </c>
    </row>
    <row r="24" ht="26.25" customHeight="1" s="5" customFormat="1">
      <c r="A24" s="201" t="s">
        <v>205</v>
      </c>
      <c r="B24" s="202" t="s">
        <v>300</v>
      </c>
      <c r="C24" s="215" t="s">
        <v>682</v>
      </c>
      <c r="D24" s="218"/>
      <c r="E24" s="205" t="s">
        <v>683</v>
      </c>
      <c r="F24" s="205" t="s">
        <v>621</v>
      </c>
      <c r="G24" s="205" t="s">
        <v>263</v>
      </c>
      <c r="H24" s="205" t="s">
        <v>646</v>
      </c>
      <c r="I24" s="205" t="s">
        <v>684</v>
      </c>
      <c r="J24" s="206" t="s">
        <v>64</v>
      </c>
      <c r="K24" s="206" t="s">
        <v>64</v>
      </c>
      <c r="L24" s="206" t="s">
        <v>625</v>
      </c>
      <c r="M24" s="208">
        <v>1424</v>
      </c>
      <c r="N24" s="206" t="s">
        <v>64</v>
      </c>
      <c r="O24" s="206" t="s">
        <v>64</v>
      </c>
      <c r="P24" s="206" t="s">
        <v>628</v>
      </c>
      <c r="Q24" s="208">
        <v>1499</v>
      </c>
      <c r="R24" s="205" t="s">
        <v>64</v>
      </c>
      <c r="S24" s="205" t="s">
        <v>665</v>
      </c>
      <c r="T24" s="205" t="s">
        <v>219</v>
      </c>
      <c r="U24" s="210" t="s">
        <v>273</v>
      </c>
      <c r="V24" s="211" t="s">
        <v>272</v>
      </c>
      <c r="W24" s="211" t="s">
        <v>272</v>
      </c>
      <c r="X24" s="211" t="s">
        <v>272</v>
      </c>
      <c r="Y24" s="211" t="s">
        <v>272</v>
      </c>
      <c r="Z24" s="268" t="s">
        <v>284</v>
      </c>
      <c r="AA24" s="213" t="s">
        <v>685</v>
      </c>
      <c r="AB24" s="214" t="s">
        <v>686</v>
      </c>
    </row>
    <row r="25" ht="28.5" customHeight="1" s="5" customFormat="1">
      <c r="A25" s="220" t="s">
        <v>154</v>
      </c>
      <c r="B25" s="257" t="s">
        <v>339</v>
      </c>
      <c r="C25" s="222" t="s">
        <v>687</v>
      </c>
      <c r="D25" s="165"/>
      <c r="E25" s="220" t="s">
        <v>64</v>
      </c>
      <c r="F25" s="220" t="s">
        <v>621</v>
      </c>
      <c r="G25" s="220" t="s">
        <v>263</v>
      </c>
      <c r="H25" s="220" t="s">
        <v>64</v>
      </c>
      <c r="I25" s="220" t="s">
        <v>64</v>
      </c>
      <c r="J25" s="220" t="s">
        <v>625</v>
      </c>
      <c r="K25" s="220" t="s">
        <v>625</v>
      </c>
      <c r="L25" s="220" t="s">
        <v>625</v>
      </c>
      <c r="M25" s="220" t="s">
        <v>64</v>
      </c>
      <c r="N25" s="220" t="s">
        <v>628</v>
      </c>
      <c r="O25" s="220" t="s">
        <v>628</v>
      </c>
      <c r="P25" s="220" t="s">
        <v>628</v>
      </c>
      <c r="Q25" s="220" t="s">
        <v>64</v>
      </c>
      <c r="R25" s="220" t="s">
        <v>64</v>
      </c>
      <c r="S25" s="220" t="s">
        <v>64</v>
      </c>
      <c r="T25" s="220" t="s">
        <v>64</v>
      </c>
      <c r="U25" s="220" t="s">
        <v>64</v>
      </c>
      <c r="V25" s="220" t="s">
        <v>64</v>
      </c>
      <c r="W25" s="220" t="s">
        <v>64</v>
      </c>
      <c r="X25" s="220" t="s">
        <v>64</v>
      </c>
      <c r="Y25" s="220" t="s">
        <v>64</v>
      </c>
      <c r="Z25" s="202" t="s">
        <v>339</v>
      </c>
      <c r="AA25" s="224" t="s">
        <v>688</v>
      </c>
      <c r="AB25" s="225" t="s">
        <v>342</v>
      </c>
    </row>
    <row r="26" ht="34.5" customHeight="1" s="5" customFormat="1">
      <c r="A26" s="226" t="s">
        <v>154</v>
      </c>
      <c r="B26" s="257" t="s">
        <v>339</v>
      </c>
      <c r="C26" s="227" t="s">
        <v>689</v>
      </c>
      <c r="D26" s="165"/>
      <c r="E26" s="226" t="s">
        <v>64</v>
      </c>
      <c r="F26" s="226" t="s">
        <v>621</v>
      </c>
      <c r="G26" s="226" t="s">
        <v>263</v>
      </c>
      <c r="H26" s="226" t="s">
        <v>64</v>
      </c>
      <c r="I26" s="226" t="s">
        <v>64</v>
      </c>
      <c r="J26" s="226" t="s">
        <v>690</v>
      </c>
      <c r="K26" s="226" t="s">
        <v>690</v>
      </c>
      <c r="L26" s="226" t="s">
        <v>690</v>
      </c>
      <c r="M26" s="229" t="s">
        <v>690</v>
      </c>
      <c r="N26" s="226" t="s">
        <v>691</v>
      </c>
      <c r="O26" s="226" t="s">
        <v>691</v>
      </c>
      <c r="P26" s="226" t="s">
        <v>691</v>
      </c>
      <c r="Q26" s="229" t="s">
        <v>691</v>
      </c>
      <c r="R26" s="226" t="s">
        <v>64</v>
      </c>
      <c r="S26" s="226" t="s">
        <v>64</v>
      </c>
      <c r="T26" s="226" t="s">
        <v>64</v>
      </c>
      <c r="U26" s="226" t="s">
        <v>64</v>
      </c>
      <c r="V26" s="226" t="s">
        <v>64</v>
      </c>
      <c r="W26" s="226" t="s">
        <v>64</v>
      </c>
      <c r="X26" s="226" t="s">
        <v>64</v>
      </c>
      <c r="Y26" s="226" t="s">
        <v>64</v>
      </c>
      <c r="Z26" s="202" t="s">
        <v>339</v>
      </c>
      <c r="AA26" s="230" t="s">
        <v>692</v>
      </c>
      <c r="AB26" s="231" t="s">
        <v>347</v>
      </c>
    </row>
    <row r="28" ht="14.25" customHeight="1" s="5" customFormat="1">
      <c r="A28" s="232" t="s">
        <v>440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30" ht="18" customHeight="1" s="5" customFormat="1">
      <c r="A30" s="233" t="s">
        <v>349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ht="15.75" customHeight="1" s="5" customFormat="1">
      <c r="A31" s="234" t="s">
        <v>350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ht="15.75" customHeight="1" s="5" customFormat="1">
      <c r="A32" s="24"/>
      <c r="B32" s="157" t="s">
        <v>351</v>
      </c>
      <c r="C32" s="157" t="s">
        <v>352</v>
      </c>
      <c r="D32" s="52"/>
      <c r="E32" s="157" t="s">
        <v>353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ht="20.25" customHeight="1" s="5" customFormat="1">
      <c r="A33" s="235" t="s">
        <v>160</v>
      </c>
      <c r="B33" s="236">
        <f>'Current Rents'!D16</f>
        <v>1375</v>
      </c>
      <c r="C33" s="240">
        <v>1338</v>
      </c>
      <c r="D33" s="5"/>
      <c r="E33" s="258">
        <f t="shared" si="0" ref="E33:E34">B33-C33</f>
        <v>37</v>
      </c>
      <c r="F33" s="161" t="str">
        <f>IF(E33&lt;-75,"LOOK INTO INCREASING THE RENT!","")</f>
        <v/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ht="20.25" customHeight="1" s="5" customFormat="1">
      <c r="A34" s="235" t="s">
        <v>151</v>
      </c>
      <c r="B34" s="236">
        <f>'Current Rents'!E16</f>
        <v>1552</v>
      </c>
      <c r="C34" s="240">
        <v>1533</v>
      </c>
      <c r="D34" s="5"/>
      <c r="E34" s="258">
        <f t="shared" si="0"/>
        <v>19</v>
      </c>
      <c r="F34" s="161" t="str">
        <f>IF(E34&lt;-75,"LOOK INTO INCREASING THE RENT!","")</f>
        <v/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</sheetData>
  <mergeCells>
    <mergeCell ref="A9:Y9"/>
    <mergeCell ref="C14:D14"/>
    <mergeCell ref="C32:D32"/>
    <mergeCell ref="C26:D26"/>
    <mergeCell ref="A31:H31"/>
    <mergeCell ref="C18:D18"/>
    <mergeCell ref="C17:D17"/>
    <mergeCell ref="C13:D13"/>
    <mergeCell ref="A12:AB12"/>
    <mergeCell ref="D19:D24"/>
    <mergeCell ref="A30:H30"/>
    <mergeCell ref="C16:D16"/>
    <mergeCell ref="C15:D15"/>
    <mergeCell ref="A11:AB11"/>
    <mergeCell ref="A10:AB10"/>
    <mergeCell ref="C25:D25"/>
    <mergeCell ref="Z9:AB9"/>
    <mergeCell ref="A28:AB28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4031C6C-EFE8-12F8-F045-E9B30431D08B}" mc:Ignorable="x14ac xr xr2 xr3">
  <dimension ref="A1:AI35"/>
  <sheetViews>
    <sheetView topLeftCell="A1" workbookViewId="0">
      <pane ySplit="1" topLeftCell="A17" activePane="bottomLeft" state="frozen"/>
      <selection pane="bottomLeft" activeCell="A30" sqref="A30:E30"/>
    </sheetView>
  </sheetViews>
  <sheetFormatPr defaultRowHeight="15" defaultColWidth="9.140625" customHeight="1"/>
  <cols>
    <col min="1" max="1" style="5" width="9.140625" customWidth="1"/>
    <col min="2" max="2" style="5" width="18.8515625" customWidth="1"/>
    <col min="3" max="3" style="5" width="43.421875" customWidth="1"/>
    <col min="4" max="4" style="5" width="2.8515625" customWidth="1"/>
    <col min="5" max="5" style="5" width="29.8515625" customWidth="1"/>
    <col min="6" max="6" style="5" width="10.7109375" customWidth="1"/>
    <col min="7" max="9" style="5" width="8.7109375" customWidth="1"/>
    <col min="10" max="10" style="5" width="6.8515625" hidden="1" customWidth="1"/>
    <col min="11" max="11" style="5" width="13.00390625" hidden="1" customWidth="1"/>
    <col min="12" max="12" style="5" width="5.28125" hidden="1" customWidth="1"/>
    <col min="13" max="13" style="5" width="15.7109375" customWidth="1"/>
    <col min="14" max="14" style="5" width="6.8515625" hidden="1" customWidth="1"/>
    <col min="15" max="15" style="5" width="13.00390625" hidden="1" customWidth="1"/>
    <col min="16" max="16" style="5" width="5.28125" hidden="1" customWidth="1"/>
    <col min="17" max="17" style="5" width="15.7109375" customWidth="1"/>
    <col min="18" max="18" style="5" width="6.8515625" hidden="1" customWidth="1"/>
    <col min="19" max="19" style="5" width="13.00390625" hidden="1" customWidth="1"/>
    <col min="20" max="20" style="5" width="5.28125" hidden="1" customWidth="1"/>
    <col min="21" max="21" style="5" width="15.7109375" customWidth="1"/>
    <col min="22" max="22" style="5" width="6.8515625" hidden="1" customWidth="1"/>
    <col min="23" max="23" style="5" width="13.00390625" hidden="1" customWidth="1"/>
    <col min="24" max="24" style="5" width="5.28125" hidden="1" customWidth="1"/>
    <col min="25" max="32" style="5" width="9.28125" customWidth="1"/>
    <col min="33" max="33" style="5" width="20.57421875" customWidth="1"/>
    <col min="34" max="34" style="5" width="65.7109375" customWidth="1"/>
    <col min="35" max="35" style="5" width="53.42187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ht="15" customHeight="1" s="5" customForma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ht="15" customHeight="1" s="5" customForma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ht="15" customHeight="1" s="5" customForma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ht="21.75" customHeight="1" s="5" customFormat="1"/>
    <row r="7" ht="21.75" customHeight="1" s="5" customFormat="1"/>
    <row r="8" ht="8.25" customHeight="1" s="5" customFormat="1"/>
    <row r="9" ht="36" customHeight="1" s="5" customFormat="1">
      <c r="A9" s="163" t="s">
        <v>694</v>
      </c>
      <c r="B9" s="164"/>
      <c r="C9" s="164"/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64"/>
      <c r="AE9" s="164"/>
      <c r="AF9" s="165"/>
      <c r="AG9" s="262" t="s">
        <v>695</v>
      </c>
      <c r="AH9" s="164"/>
      <c r="AI9" s="165"/>
    </row>
    <row r="10" ht="18" customHeight="1" s="5" customFormat="1">
      <c r="A10" s="241" t="s">
        <v>696</v>
      </c>
      <c r="B10" s="164"/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5"/>
    </row>
    <row r="11" ht="14.25" customHeight="1" s="5" customFormat="1">
      <c r="A11" s="170" t="s">
        <v>539</v>
      </c>
      <c r="B11" s="164"/>
      <c r="C11" s="164"/>
      <c r="D11" s="164"/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  <c r="AA11" s="164"/>
      <c r="AB11" s="164"/>
      <c r="AC11" s="164"/>
      <c r="AD11" s="164"/>
      <c r="AE11" s="164"/>
      <c r="AF11" s="164"/>
      <c r="AG11" s="164"/>
      <c r="AH11" s="164"/>
      <c r="AI11" s="165"/>
    </row>
    <row r="12" ht="25.5" customHeight="1" s="5" customFormat="1">
      <c r="A12" s="171" t="s">
        <v>540</v>
      </c>
      <c r="B12" s="164"/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4"/>
      <c r="AH12" s="164"/>
      <c r="AI12" s="165"/>
    </row>
    <row r="13" ht="25.5" customHeight="1" s="5" customFormat="1">
      <c r="A13" s="243" t="s">
        <v>233</v>
      </c>
      <c r="B13" s="243" t="s">
        <v>234</v>
      </c>
      <c r="C13" s="243" t="s">
        <v>3</v>
      </c>
      <c r="D13" s="165"/>
      <c r="E13" s="243" t="s">
        <v>235</v>
      </c>
      <c r="F13" s="243" t="s">
        <v>236</v>
      </c>
      <c r="G13" s="244" t="s">
        <v>237</v>
      </c>
      <c r="H13" s="244" t="s">
        <v>238</v>
      </c>
      <c r="I13" s="244" t="s">
        <v>239</v>
      </c>
      <c r="J13" s="244" t="s">
        <v>240</v>
      </c>
      <c r="K13" s="244" t="s">
        <v>241</v>
      </c>
      <c r="L13" s="244" t="s">
        <v>242</v>
      </c>
      <c r="M13" s="264" t="s">
        <v>360</v>
      </c>
      <c r="N13" s="265" t="s">
        <v>244</v>
      </c>
      <c r="O13" s="265" t="s">
        <v>245</v>
      </c>
      <c r="P13" s="265" t="s">
        <v>246</v>
      </c>
      <c r="Q13" s="264" t="s">
        <v>361</v>
      </c>
      <c r="R13" s="265" t="s">
        <v>697</v>
      </c>
      <c r="S13" s="265" t="s">
        <v>698</v>
      </c>
      <c r="T13" s="265" t="s">
        <v>699</v>
      </c>
      <c r="U13" s="264" t="s">
        <v>700</v>
      </c>
      <c r="V13" s="265" t="s">
        <v>701</v>
      </c>
      <c r="W13" s="265" t="s">
        <v>702</v>
      </c>
      <c r="X13" s="265" t="s">
        <v>703</v>
      </c>
      <c r="Y13" s="247" t="s">
        <v>6</v>
      </c>
      <c r="Z13" s="247" t="s">
        <v>248</v>
      </c>
      <c r="AA13" s="247" t="s">
        <v>249</v>
      </c>
      <c r="AB13" s="247" t="s">
        <v>250</v>
      </c>
      <c r="AC13" s="247" t="s">
        <v>251</v>
      </c>
      <c r="AD13" s="247" t="s">
        <v>252</v>
      </c>
      <c r="AE13" s="247" t="s">
        <v>253</v>
      </c>
      <c r="AF13" s="247" t="s">
        <v>254</v>
      </c>
      <c r="AG13" s="248" t="s">
        <v>255</v>
      </c>
      <c r="AH13" s="249" t="s">
        <v>256</v>
      </c>
      <c r="AI13" s="249" t="s">
        <v>257</v>
      </c>
    </row>
    <row r="14" ht="21.75" customHeight="1" s="5" customFormat="1">
      <c r="A14" s="180" t="s">
        <v>258</v>
      </c>
      <c r="B14" s="181" t="s">
        <v>259</v>
      </c>
      <c r="C14" s="250" t="s">
        <v>704</v>
      </c>
      <c r="D14" s="165"/>
      <c r="E14" s="183" t="s">
        <v>705</v>
      </c>
      <c r="F14" s="183" t="s">
        <v>706</v>
      </c>
      <c r="G14" s="183" t="s">
        <v>707</v>
      </c>
      <c r="H14" s="183" t="s">
        <v>708</v>
      </c>
      <c r="I14" s="183" t="s">
        <v>265</v>
      </c>
      <c r="J14" s="183" t="s">
        <v>709</v>
      </c>
      <c r="K14" s="183" t="s">
        <v>710</v>
      </c>
      <c r="L14" s="183" t="s">
        <v>711</v>
      </c>
      <c r="M14" s="184">
        <f>'Current Rents'!E17</f>
        <v>935</v>
      </c>
      <c r="N14" s="183" t="s">
        <v>712</v>
      </c>
      <c r="O14" s="183" t="s">
        <v>713</v>
      </c>
      <c r="P14" s="183" t="s">
        <v>714</v>
      </c>
      <c r="Q14" s="184">
        <f>'Current Rents'!F17</f>
        <v>1073</v>
      </c>
      <c r="R14" s="183" t="s">
        <v>715</v>
      </c>
      <c r="S14" s="183" t="s">
        <v>716</v>
      </c>
      <c r="T14" s="183" t="s">
        <v>717</v>
      </c>
      <c r="U14" s="184">
        <f>'Current Rents'!G17</f>
        <v>1147</v>
      </c>
      <c r="V14" s="183" t="s">
        <v>718</v>
      </c>
      <c r="W14" s="183" t="s">
        <v>719</v>
      </c>
      <c r="X14" s="183" t="s">
        <v>720</v>
      </c>
      <c r="Y14" s="183" t="s">
        <v>721</v>
      </c>
      <c r="Z14" s="183" t="s">
        <v>722</v>
      </c>
      <c r="AA14" s="183" t="s">
        <v>462</v>
      </c>
      <c r="AB14" s="186" t="s">
        <v>272</v>
      </c>
      <c r="AC14" s="187" t="s">
        <v>273</v>
      </c>
      <c r="AD14" s="187" t="s">
        <v>273</v>
      </c>
      <c r="AE14" s="187" t="s">
        <v>273</v>
      </c>
      <c r="AF14" s="187" t="s">
        <v>273</v>
      </c>
      <c r="AG14" s="181" t="s">
        <v>259</v>
      </c>
      <c r="AH14" s="188" t="s">
        <v>723</v>
      </c>
      <c r="AI14" s="189" t="s">
        <v>275</v>
      </c>
    </row>
    <row r="15" ht="21.75" customHeight="1" s="5" customFormat="1">
      <c r="A15" s="190" t="s">
        <v>276</v>
      </c>
      <c r="B15" s="251" t="s">
        <v>277</v>
      </c>
      <c r="C15" s="192" t="s">
        <v>724</v>
      </c>
      <c r="D15" s="165"/>
      <c r="E15" s="194" t="s">
        <v>725</v>
      </c>
      <c r="F15" s="194" t="s">
        <v>706</v>
      </c>
      <c r="G15" s="194" t="s">
        <v>707</v>
      </c>
      <c r="H15" s="194" t="s">
        <v>708</v>
      </c>
      <c r="I15" s="194" t="s">
        <v>323</v>
      </c>
      <c r="J15" s="194" t="s">
        <v>709</v>
      </c>
      <c r="K15" s="194" t="s">
        <v>710</v>
      </c>
      <c r="L15" s="194" t="s">
        <v>711</v>
      </c>
      <c r="M15" s="190" t="s">
        <v>283</v>
      </c>
      <c r="N15" s="194" t="s">
        <v>712</v>
      </c>
      <c r="O15" s="194" t="s">
        <v>713</v>
      </c>
      <c r="P15" s="194" t="s">
        <v>714</v>
      </c>
      <c r="Q15" s="190" t="s">
        <v>283</v>
      </c>
      <c r="R15" s="194" t="s">
        <v>715</v>
      </c>
      <c r="S15" s="194" t="s">
        <v>716</v>
      </c>
      <c r="T15" s="194" t="s">
        <v>717</v>
      </c>
      <c r="U15" s="190" t="s">
        <v>283</v>
      </c>
      <c r="V15" s="194" t="s">
        <v>718</v>
      </c>
      <c r="W15" s="194" t="s">
        <v>719</v>
      </c>
      <c r="X15" s="194" t="s">
        <v>720</v>
      </c>
      <c r="Y15" s="194" t="s">
        <v>551</v>
      </c>
      <c r="Z15" s="194" t="s">
        <v>726</v>
      </c>
      <c r="AA15" s="194" t="s">
        <v>276</v>
      </c>
      <c r="AB15" s="195" t="s">
        <v>272</v>
      </c>
      <c r="AC15" s="196" t="s">
        <v>273</v>
      </c>
      <c r="AD15" s="196" t="s">
        <v>273</v>
      </c>
      <c r="AE15" s="196" t="s">
        <v>273</v>
      </c>
      <c r="AF15" s="196" t="s">
        <v>273</v>
      </c>
      <c r="AG15" s="268" t="s">
        <v>284</v>
      </c>
      <c r="AH15" s="198" t="s">
        <v>727</v>
      </c>
      <c r="AI15" s="199" t="s">
        <v>728</v>
      </c>
    </row>
    <row r="16" ht="21.75" customHeight="1" s="5" customFormat="1">
      <c r="A16" s="190" t="s">
        <v>210</v>
      </c>
      <c r="B16" s="251" t="s">
        <v>277</v>
      </c>
      <c r="C16" s="192" t="s">
        <v>729</v>
      </c>
      <c r="D16" s="165"/>
      <c r="E16" s="194" t="s">
        <v>730</v>
      </c>
      <c r="F16" s="194" t="s">
        <v>731</v>
      </c>
      <c r="G16" s="194" t="s">
        <v>707</v>
      </c>
      <c r="H16" s="194" t="s">
        <v>732</v>
      </c>
      <c r="I16" s="194" t="s">
        <v>733</v>
      </c>
      <c r="J16" s="194" t="s">
        <v>709</v>
      </c>
      <c r="K16" s="194" t="s">
        <v>710</v>
      </c>
      <c r="L16" s="194" t="s">
        <v>711</v>
      </c>
      <c r="M16" s="190" t="s">
        <v>283</v>
      </c>
      <c r="N16" s="194" t="s">
        <v>712</v>
      </c>
      <c r="O16" s="194" t="s">
        <v>713</v>
      </c>
      <c r="P16" s="194" t="s">
        <v>714</v>
      </c>
      <c r="Q16" s="190" t="s">
        <v>283</v>
      </c>
      <c r="R16" s="194" t="s">
        <v>715</v>
      </c>
      <c r="S16" s="194" t="s">
        <v>716</v>
      </c>
      <c r="T16" s="194" t="s">
        <v>717</v>
      </c>
      <c r="U16" s="190" t="s">
        <v>283</v>
      </c>
      <c r="V16" s="194" t="s">
        <v>718</v>
      </c>
      <c r="W16" s="194" t="s">
        <v>719</v>
      </c>
      <c r="X16" s="194" t="s">
        <v>720</v>
      </c>
      <c r="Y16" s="194" t="s">
        <v>734</v>
      </c>
      <c r="Z16" s="194" t="s">
        <v>735</v>
      </c>
      <c r="AA16" s="194" t="s">
        <v>320</v>
      </c>
      <c r="AB16" s="195" t="s">
        <v>272</v>
      </c>
      <c r="AC16" s="196" t="s">
        <v>273</v>
      </c>
      <c r="AD16" s="196" t="s">
        <v>273</v>
      </c>
      <c r="AE16" s="196" t="s">
        <v>273</v>
      </c>
      <c r="AF16" s="196" t="s">
        <v>273</v>
      </c>
      <c r="AG16" s="269" t="s">
        <v>564</v>
      </c>
      <c r="AH16" s="198" t="s">
        <v>736</v>
      </c>
      <c r="AI16" s="199" t="s">
        <v>737</v>
      </c>
    </row>
    <row r="17" ht="21.75" customHeight="1" s="5" customFormat="1">
      <c r="A17" s="190" t="s">
        <v>181</v>
      </c>
      <c r="B17" s="251" t="s">
        <v>277</v>
      </c>
      <c r="C17" s="192" t="s">
        <v>738</v>
      </c>
      <c r="D17" s="165"/>
      <c r="E17" s="194" t="s">
        <v>739</v>
      </c>
      <c r="F17" s="194" t="s">
        <v>740</v>
      </c>
      <c r="G17" s="194" t="s">
        <v>707</v>
      </c>
      <c r="H17" s="194" t="s">
        <v>741</v>
      </c>
      <c r="I17" s="194" t="s">
        <v>742</v>
      </c>
      <c r="J17" s="194" t="s">
        <v>709</v>
      </c>
      <c r="K17" s="194" t="s">
        <v>710</v>
      </c>
      <c r="L17" s="194" t="s">
        <v>711</v>
      </c>
      <c r="M17" s="190" t="s">
        <v>283</v>
      </c>
      <c r="N17" s="194" t="s">
        <v>712</v>
      </c>
      <c r="O17" s="194" t="s">
        <v>713</v>
      </c>
      <c r="P17" s="194" t="s">
        <v>714</v>
      </c>
      <c r="Q17" s="190" t="s">
        <v>283</v>
      </c>
      <c r="R17" s="194" t="s">
        <v>715</v>
      </c>
      <c r="S17" s="194" t="s">
        <v>716</v>
      </c>
      <c r="T17" s="194" t="s">
        <v>717</v>
      </c>
      <c r="U17" s="190" t="s">
        <v>283</v>
      </c>
      <c r="V17" s="194" t="s">
        <v>718</v>
      </c>
      <c r="W17" s="194" t="s">
        <v>719</v>
      </c>
      <c r="X17" s="194" t="s">
        <v>720</v>
      </c>
      <c r="Y17" s="194" t="s">
        <v>551</v>
      </c>
      <c r="Z17" s="194" t="s">
        <v>743</v>
      </c>
      <c r="AA17" s="194" t="s">
        <v>276</v>
      </c>
      <c r="AB17" s="195" t="s">
        <v>272</v>
      </c>
      <c r="AC17" s="196" t="s">
        <v>273</v>
      </c>
      <c r="AD17" s="196" t="s">
        <v>273</v>
      </c>
      <c r="AE17" s="196" t="s">
        <v>273</v>
      </c>
      <c r="AF17" s="196" t="s">
        <v>273</v>
      </c>
      <c r="AG17" s="269" t="s">
        <v>564</v>
      </c>
      <c r="AH17" s="198" t="s">
        <v>744</v>
      </c>
      <c r="AI17" s="199" t="s">
        <v>745</v>
      </c>
    </row>
    <row r="18" ht="21.75" customHeight="1" s="5" customFormat="1">
      <c r="A18" s="190" t="s">
        <v>320</v>
      </c>
      <c r="B18" s="251" t="s">
        <v>277</v>
      </c>
      <c r="C18" s="192" t="s">
        <v>746</v>
      </c>
      <c r="D18" s="165"/>
      <c r="E18" s="194" t="s">
        <v>747</v>
      </c>
      <c r="F18" s="194" t="s">
        <v>706</v>
      </c>
      <c r="G18" s="194" t="s">
        <v>707</v>
      </c>
      <c r="H18" s="194" t="s">
        <v>708</v>
      </c>
      <c r="I18" s="194" t="s">
        <v>499</v>
      </c>
      <c r="J18" s="194" t="s">
        <v>709</v>
      </c>
      <c r="K18" s="194" t="s">
        <v>710</v>
      </c>
      <c r="L18" s="194" t="s">
        <v>711</v>
      </c>
      <c r="M18" s="190" t="s">
        <v>283</v>
      </c>
      <c r="N18" s="194" t="s">
        <v>712</v>
      </c>
      <c r="O18" s="194" t="s">
        <v>713</v>
      </c>
      <c r="P18" s="194" t="s">
        <v>714</v>
      </c>
      <c r="Q18" s="190" t="s">
        <v>283</v>
      </c>
      <c r="R18" s="194" t="s">
        <v>715</v>
      </c>
      <c r="S18" s="194" t="s">
        <v>716</v>
      </c>
      <c r="T18" s="194" t="s">
        <v>717</v>
      </c>
      <c r="U18" s="190" t="s">
        <v>283</v>
      </c>
      <c r="V18" s="194" t="s">
        <v>718</v>
      </c>
      <c r="W18" s="194" t="s">
        <v>719</v>
      </c>
      <c r="X18" s="194" t="s">
        <v>720</v>
      </c>
      <c r="Y18" s="194" t="s">
        <v>748</v>
      </c>
      <c r="Z18" s="194" t="s">
        <v>749</v>
      </c>
      <c r="AA18" s="194" t="s">
        <v>210</v>
      </c>
      <c r="AB18" s="195" t="s">
        <v>272</v>
      </c>
      <c r="AC18" s="196" t="s">
        <v>273</v>
      </c>
      <c r="AD18" s="196" t="s">
        <v>273</v>
      </c>
      <c r="AE18" s="196" t="s">
        <v>273</v>
      </c>
      <c r="AF18" s="196" t="s">
        <v>273</v>
      </c>
      <c r="AG18" s="268" t="s">
        <v>284</v>
      </c>
      <c r="AH18" s="198" t="s">
        <v>750</v>
      </c>
      <c r="AI18" s="199" t="s">
        <v>728</v>
      </c>
    </row>
    <row r="19" ht="26.25" customHeight="1" s="5" customFormat="1">
      <c r="A19" s="201" t="s">
        <v>276</v>
      </c>
      <c r="B19" s="202" t="s">
        <v>300</v>
      </c>
      <c r="C19" s="215" t="s">
        <v>751</v>
      </c>
      <c r="D19" s="253" t="s">
        <v>302</v>
      </c>
      <c r="E19" s="205" t="s">
        <v>752</v>
      </c>
      <c r="F19" s="205" t="s">
        <v>706</v>
      </c>
      <c r="G19" s="205" t="s">
        <v>707</v>
      </c>
      <c r="H19" s="205" t="s">
        <v>708</v>
      </c>
      <c r="I19" s="205" t="s">
        <v>305</v>
      </c>
      <c r="J19" s="206" t="s">
        <v>64</v>
      </c>
      <c r="K19" s="206" t="s">
        <v>64</v>
      </c>
      <c r="L19" s="206" t="s">
        <v>711</v>
      </c>
      <c r="M19" s="208">
        <v>850</v>
      </c>
      <c r="N19" s="206" t="s">
        <v>64</v>
      </c>
      <c r="O19" s="206" t="s">
        <v>64</v>
      </c>
      <c r="P19" s="206" t="s">
        <v>714</v>
      </c>
      <c r="Q19" s="219" t="s">
        <v>283</v>
      </c>
      <c r="R19" s="206" t="s">
        <v>64</v>
      </c>
      <c r="S19" s="206" t="s">
        <v>64</v>
      </c>
      <c r="T19" s="206" t="s">
        <v>717</v>
      </c>
      <c r="U19" s="219" t="s">
        <v>283</v>
      </c>
      <c r="V19" s="206" t="s">
        <v>64</v>
      </c>
      <c r="W19" s="206" t="s">
        <v>64</v>
      </c>
      <c r="X19" s="206" t="s">
        <v>720</v>
      </c>
      <c r="Y19" s="207" t="s">
        <v>64</v>
      </c>
      <c r="Z19" s="207" t="s">
        <v>390</v>
      </c>
      <c r="AA19" s="207" t="s">
        <v>219</v>
      </c>
      <c r="AB19" s="254" t="s">
        <v>273</v>
      </c>
      <c r="AC19" s="254" t="s">
        <v>273</v>
      </c>
      <c r="AD19" s="254" t="s">
        <v>273</v>
      </c>
      <c r="AE19" s="254" t="s">
        <v>273</v>
      </c>
      <c r="AF19" s="254" t="s">
        <v>273</v>
      </c>
      <c r="AG19" s="268" t="s">
        <v>284</v>
      </c>
      <c r="AH19" s="213" t="s">
        <v>753</v>
      </c>
      <c r="AI19" s="214" t="s">
        <v>754</v>
      </c>
    </row>
    <row r="20" ht="26.25" customHeight="1" s="5" customFormat="1">
      <c r="A20" s="201" t="s">
        <v>210</v>
      </c>
      <c r="B20" s="202" t="s">
        <v>300</v>
      </c>
      <c r="C20" s="215" t="s">
        <v>755</v>
      </c>
      <c r="D20" s="216"/>
      <c r="E20" s="205" t="s">
        <v>756</v>
      </c>
      <c r="F20" s="205" t="s">
        <v>706</v>
      </c>
      <c r="G20" s="205" t="s">
        <v>707</v>
      </c>
      <c r="H20" s="205" t="s">
        <v>708</v>
      </c>
      <c r="I20" s="205" t="s">
        <v>598</v>
      </c>
      <c r="J20" s="206" t="s">
        <v>64</v>
      </c>
      <c r="K20" s="206" t="s">
        <v>64</v>
      </c>
      <c r="L20" s="206" t="s">
        <v>711</v>
      </c>
      <c r="M20" s="208">
        <v>815</v>
      </c>
      <c r="N20" s="206" t="s">
        <v>64</v>
      </c>
      <c r="O20" s="206" t="s">
        <v>64</v>
      </c>
      <c r="P20" s="206" t="s">
        <v>714</v>
      </c>
      <c r="Q20" s="219" t="s">
        <v>283</v>
      </c>
      <c r="R20" s="206" t="s">
        <v>64</v>
      </c>
      <c r="S20" s="206" t="s">
        <v>64</v>
      </c>
      <c r="T20" s="206" t="s">
        <v>717</v>
      </c>
      <c r="U20" s="219" t="s">
        <v>283</v>
      </c>
      <c r="V20" s="206" t="s">
        <v>64</v>
      </c>
      <c r="W20" s="206" t="s">
        <v>64</v>
      </c>
      <c r="X20" s="206" t="s">
        <v>720</v>
      </c>
      <c r="Y20" s="207" t="s">
        <v>64</v>
      </c>
      <c r="Z20" s="207" t="s">
        <v>407</v>
      </c>
      <c r="AA20" s="207" t="s">
        <v>183</v>
      </c>
      <c r="AB20" s="254" t="s">
        <v>273</v>
      </c>
      <c r="AC20" s="254" t="s">
        <v>273</v>
      </c>
      <c r="AD20" s="254" t="s">
        <v>273</v>
      </c>
      <c r="AE20" s="254" t="s">
        <v>273</v>
      </c>
      <c r="AF20" s="254" t="s">
        <v>273</v>
      </c>
      <c r="AG20" s="268" t="s">
        <v>284</v>
      </c>
      <c r="AH20" s="213" t="s">
        <v>757</v>
      </c>
      <c r="AI20" s="214" t="s">
        <v>754</v>
      </c>
    </row>
    <row r="21" ht="26.25" customHeight="1" s="5" customFormat="1">
      <c r="A21" s="201" t="s">
        <v>181</v>
      </c>
      <c r="B21" s="202" t="s">
        <v>300</v>
      </c>
      <c r="C21" s="215" t="s">
        <v>758</v>
      </c>
      <c r="D21" s="216"/>
      <c r="E21" s="205" t="s">
        <v>759</v>
      </c>
      <c r="F21" s="205" t="s">
        <v>706</v>
      </c>
      <c r="G21" s="205" t="s">
        <v>707</v>
      </c>
      <c r="H21" s="205" t="s">
        <v>708</v>
      </c>
      <c r="I21" s="205" t="s">
        <v>323</v>
      </c>
      <c r="J21" s="206" t="s">
        <v>64</v>
      </c>
      <c r="K21" s="206" t="s">
        <v>64</v>
      </c>
      <c r="L21" s="206" t="s">
        <v>711</v>
      </c>
      <c r="M21" s="208">
        <v>750</v>
      </c>
      <c r="N21" s="206" t="s">
        <v>64</v>
      </c>
      <c r="O21" s="206" t="s">
        <v>64</v>
      </c>
      <c r="P21" s="206" t="s">
        <v>714</v>
      </c>
      <c r="Q21" s="208">
        <v>850</v>
      </c>
      <c r="R21" s="206" t="s">
        <v>64</v>
      </c>
      <c r="S21" s="206" t="s">
        <v>64</v>
      </c>
      <c r="T21" s="206" t="s">
        <v>717</v>
      </c>
      <c r="U21" s="219" t="s">
        <v>283</v>
      </c>
      <c r="V21" s="206" t="s">
        <v>64</v>
      </c>
      <c r="W21" s="206" t="s">
        <v>64</v>
      </c>
      <c r="X21" s="206" t="s">
        <v>720</v>
      </c>
      <c r="Y21" s="207" t="s">
        <v>64</v>
      </c>
      <c r="Z21" s="207" t="s">
        <v>760</v>
      </c>
      <c r="AA21" s="207" t="s">
        <v>171</v>
      </c>
      <c r="AB21" s="254" t="s">
        <v>273</v>
      </c>
      <c r="AC21" s="254" t="s">
        <v>273</v>
      </c>
      <c r="AD21" s="254" t="s">
        <v>273</v>
      </c>
      <c r="AE21" s="254" t="s">
        <v>273</v>
      </c>
      <c r="AF21" s="254" t="s">
        <v>273</v>
      </c>
      <c r="AG21" s="268" t="s">
        <v>284</v>
      </c>
      <c r="AH21" s="213" t="s">
        <v>761</v>
      </c>
      <c r="AI21" s="214" t="s">
        <v>754</v>
      </c>
    </row>
    <row r="22" ht="26.25" customHeight="1" s="5" customFormat="1">
      <c r="A22" s="201" t="s">
        <v>320</v>
      </c>
      <c r="B22" s="202" t="s">
        <v>300</v>
      </c>
      <c r="C22" s="215" t="s">
        <v>762</v>
      </c>
      <c r="D22" s="216"/>
      <c r="E22" s="205" t="s">
        <v>763</v>
      </c>
      <c r="F22" s="205" t="s">
        <v>706</v>
      </c>
      <c r="G22" s="205" t="s">
        <v>707</v>
      </c>
      <c r="H22" s="205" t="s">
        <v>708</v>
      </c>
      <c r="I22" s="205" t="s">
        <v>330</v>
      </c>
      <c r="J22" s="206" t="s">
        <v>64</v>
      </c>
      <c r="K22" s="206" t="s">
        <v>64</v>
      </c>
      <c r="L22" s="206" t="s">
        <v>711</v>
      </c>
      <c r="M22" s="208">
        <v>730</v>
      </c>
      <c r="N22" s="206" t="s">
        <v>64</v>
      </c>
      <c r="O22" s="206" t="s">
        <v>64</v>
      </c>
      <c r="P22" s="206" t="s">
        <v>714</v>
      </c>
      <c r="Q22" s="219" t="s">
        <v>283</v>
      </c>
      <c r="R22" s="206" t="s">
        <v>64</v>
      </c>
      <c r="S22" s="206" t="s">
        <v>64</v>
      </c>
      <c r="T22" s="206" t="s">
        <v>717</v>
      </c>
      <c r="U22" s="219" t="s">
        <v>283</v>
      </c>
      <c r="V22" s="206" t="s">
        <v>64</v>
      </c>
      <c r="W22" s="206" t="s">
        <v>64</v>
      </c>
      <c r="X22" s="206" t="s">
        <v>720</v>
      </c>
      <c r="Y22" s="207" t="s">
        <v>64</v>
      </c>
      <c r="Z22" s="207" t="s">
        <v>395</v>
      </c>
      <c r="AA22" s="207" t="s">
        <v>212</v>
      </c>
      <c r="AB22" s="254" t="s">
        <v>273</v>
      </c>
      <c r="AC22" s="254" t="s">
        <v>273</v>
      </c>
      <c r="AD22" s="254" t="s">
        <v>273</v>
      </c>
      <c r="AE22" s="254" t="s">
        <v>273</v>
      </c>
      <c r="AF22" s="254" t="s">
        <v>273</v>
      </c>
      <c r="AG22" s="268" t="s">
        <v>284</v>
      </c>
      <c r="AH22" s="213" t="s">
        <v>764</v>
      </c>
      <c r="AI22" s="214" t="s">
        <v>754</v>
      </c>
    </row>
    <row r="23" ht="26.25" customHeight="1" s="5" customFormat="1">
      <c r="A23" s="201" t="s">
        <v>326</v>
      </c>
      <c r="B23" s="202" t="s">
        <v>300</v>
      </c>
      <c r="C23" s="215" t="s">
        <v>765</v>
      </c>
      <c r="D23" s="216"/>
      <c r="E23" s="205" t="s">
        <v>766</v>
      </c>
      <c r="F23" s="205" t="s">
        <v>706</v>
      </c>
      <c r="G23" s="205" t="s">
        <v>707</v>
      </c>
      <c r="H23" s="205" t="s">
        <v>708</v>
      </c>
      <c r="I23" s="205" t="s">
        <v>767</v>
      </c>
      <c r="J23" s="206" t="s">
        <v>64</v>
      </c>
      <c r="K23" s="206" t="s">
        <v>64</v>
      </c>
      <c r="L23" s="206" t="s">
        <v>711</v>
      </c>
      <c r="M23" s="219" t="s">
        <v>64</v>
      </c>
      <c r="N23" s="206" t="s">
        <v>64</v>
      </c>
      <c r="O23" s="206" t="s">
        <v>64</v>
      </c>
      <c r="P23" s="206" t="s">
        <v>714</v>
      </c>
      <c r="Q23" s="208">
        <v>1150</v>
      </c>
      <c r="R23" s="206" t="s">
        <v>64</v>
      </c>
      <c r="S23" s="206" t="s">
        <v>64</v>
      </c>
      <c r="T23" s="206" t="s">
        <v>717</v>
      </c>
      <c r="U23" s="219" t="s">
        <v>283</v>
      </c>
      <c r="V23" s="206" t="s">
        <v>64</v>
      </c>
      <c r="W23" s="206" t="s">
        <v>64</v>
      </c>
      <c r="X23" s="206" t="s">
        <v>720</v>
      </c>
      <c r="Y23" s="207" t="s">
        <v>276</v>
      </c>
      <c r="Z23" s="207" t="s">
        <v>768</v>
      </c>
      <c r="AA23" s="207" t="s">
        <v>769</v>
      </c>
      <c r="AB23" s="254" t="s">
        <v>273</v>
      </c>
      <c r="AC23" s="254" t="s">
        <v>273</v>
      </c>
      <c r="AD23" s="254" t="s">
        <v>273</v>
      </c>
      <c r="AE23" s="254" t="s">
        <v>273</v>
      </c>
      <c r="AF23" s="254" t="s">
        <v>273</v>
      </c>
      <c r="AG23" s="268" t="s">
        <v>284</v>
      </c>
      <c r="AH23" s="213" t="s">
        <v>770</v>
      </c>
      <c r="AI23" s="214" t="s">
        <v>771</v>
      </c>
    </row>
    <row r="24" ht="26.25" customHeight="1" s="5" customFormat="1">
      <c r="A24" s="201" t="s">
        <v>205</v>
      </c>
      <c r="B24" s="202" t="s">
        <v>300</v>
      </c>
      <c r="C24" s="215" t="s">
        <v>772</v>
      </c>
      <c r="D24" s="218"/>
      <c r="E24" s="205" t="s">
        <v>773</v>
      </c>
      <c r="F24" s="205" t="s">
        <v>706</v>
      </c>
      <c r="G24" s="205" t="s">
        <v>707</v>
      </c>
      <c r="H24" s="205" t="s">
        <v>708</v>
      </c>
      <c r="I24" s="205" t="s">
        <v>774</v>
      </c>
      <c r="J24" s="206" t="s">
        <v>64</v>
      </c>
      <c r="K24" s="206" t="s">
        <v>64</v>
      </c>
      <c r="L24" s="206" t="s">
        <v>711</v>
      </c>
      <c r="M24" s="219" t="s">
        <v>64</v>
      </c>
      <c r="N24" s="206" t="s">
        <v>64</v>
      </c>
      <c r="O24" s="206" t="s">
        <v>64</v>
      </c>
      <c r="P24" s="206" t="s">
        <v>714</v>
      </c>
      <c r="Q24" s="208">
        <v>1895</v>
      </c>
      <c r="R24" s="206" t="s">
        <v>64</v>
      </c>
      <c r="S24" s="206" t="s">
        <v>64</v>
      </c>
      <c r="T24" s="206" t="s">
        <v>717</v>
      </c>
      <c r="U24" s="219" t="s">
        <v>283</v>
      </c>
      <c r="V24" s="206" t="s">
        <v>64</v>
      </c>
      <c r="W24" s="206" t="s">
        <v>64</v>
      </c>
      <c r="X24" s="206" t="s">
        <v>720</v>
      </c>
      <c r="Y24" s="207" t="s">
        <v>276</v>
      </c>
      <c r="Z24" s="207" t="s">
        <v>775</v>
      </c>
      <c r="AA24" s="207" t="s">
        <v>161</v>
      </c>
      <c r="AB24" s="254" t="s">
        <v>273</v>
      </c>
      <c r="AC24" s="254" t="s">
        <v>273</v>
      </c>
      <c r="AD24" s="254" t="s">
        <v>273</v>
      </c>
      <c r="AE24" s="254" t="s">
        <v>273</v>
      </c>
      <c r="AF24" s="254" t="s">
        <v>273</v>
      </c>
      <c r="AG24" s="268" t="s">
        <v>284</v>
      </c>
      <c r="AH24" s="213" t="s">
        <v>776</v>
      </c>
      <c r="AI24" s="214" t="s">
        <v>771</v>
      </c>
    </row>
    <row r="25" ht="28.5" customHeight="1" s="5" customFormat="1">
      <c r="A25" s="220" t="s">
        <v>154</v>
      </c>
      <c r="B25" s="257" t="s">
        <v>339</v>
      </c>
      <c r="C25" s="222" t="s">
        <v>777</v>
      </c>
      <c r="D25" s="165"/>
      <c r="E25" s="220" t="s">
        <v>64</v>
      </c>
      <c r="F25" s="220" t="s">
        <v>706</v>
      </c>
      <c r="G25" s="220" t="s">
        <v>707</v>
      </c>
      <c r="H25" s="220" t="s">
        <v>64</v>
      </c>
      <c r="I25" s="220" t="s">
        <v>64</v>
      </c>
      <c r="J25" s="220" t="s">
        <v>711</v>
      </c>
      <c r="K25" s="220" t="s">
        <v>711</v>
      </c>
      <c r="L25" s="220" t="s">
        <v>711</v>
      </c>
      <c r="M25" s="220" t="s">
        <v>64</v>
      </c>
      <c r="N25" s="220" t="s">
        <v>714</v>
      </c>
      <c r="O25" s="220" t="s">
        <v>714</v>
      </c>
      <c r="P25" s="220" t="s">
        <v>714</v>
      </c>
      <c r="Q25" s="220" t="s">
        <v>64</v>
      </c>
      <c r="R25" s="220" t="s">
        <v>717</v>
      </c>
      <c r="S25" s="220" t="s">
        <v>717</v>
      </c>
      <c r="T25" s="220" t="s">
        <v>717</v>
      </c>
      <c r="U25" s="220" t="s">
        <v>64</v>
      </c>
      <c r="V25" s="220" t="s">
        <v>720</v>
      </c>
      <c r="W25" s="220" t="s">
        <v>720</v>
      </c>
      <c r="X25" s="220" t="s">
        <v>720</v>
      </c>
      <c r="Y25" s="220" t="s">
        <v>64</v>
      </c>
      <c r="Z25" s="220" t="s">
        <v>64</v>
      </c>
      <c r="AA25" s="220" t="s">
        <v>64</v>
      </c>
      <c r="AB25" s="220" t="s">
        <v>64</v>
      </c>
      <c r="AC25" s="220" t="s">
        <v>64</v>
      </c>
      <c r="AD25" s="220" t="s">
        <v>64</v>
      </c>
      <c r="AE25" s="220" t="s">
        <v>64</v>
      </c>
      <c r="AF25" s="220" t="s">
        <v>64</v>
      </c>
      <c r="AG25" s="202" t="s">
        <v>339</v>
      </c>
      <c r="AH25" s="224" t="s">
        <v>778</v>
      </c>
      <c r="AI25" s="225" t="s">
        <v>342</v>
      </c>
    </row>
    <row r="26" ht="34.5" customHeight="1" s="5" customFormat="1">
      <c r="A26" s="226" t="s">
        <v>154</v>
      </c>
      <c r="B26" s="257" t="s">
        <v>339</v>
      </c>
      <c r="C26" s="227" t="s">
        <v>779</v>
      </c>
      <c r="D26" s="165"/>
      <c r="E26" s="226" t="s">
        <v>64</v>
      </c>
      <c r="F26" s="226" t="s">
        <v>706</v>
      </c>
      <c r="G26" s="226" t="s">
        <v>707</v>
      </c>
      <c r="H26" s="226" t="s">
        <v>64</v>
      </c>
      <c r="I26" s="226" t="s">
        <v>64</v>
      </c>
      <c r="J26" s="226" t="s">
        <v>780</v>
      </c>
      <c r="K26" s="226" t="s">
        <v>780</v>
      </c>
      <c r="L26" s="226" t="s">
        <v>780</v>
      </c>
      <c r="M26" s="229" t="s">
        <v>780</v>
      </c>
      <c r="N26" s="226" t="s">
        <v>781</v>
      </c>
      <c r="O26" s="226" t="s">
        <v>781</v>
      </c>
      <c r="P26" s="226" t="s">
        <v>781</v>
      </c>
      <c r="Q26" s="229" t="s">
        <v>781</v>
      </c>
      <c r="R26" s="226" t="s">
        <v>64</v>
      </c>
      <c r="S26" s="226" t="s">
        <v>64</v>
      </c>
      <c r="T26" s="226" t="s">
        <v>64</v>
      </c>
      <c r="U26" s="229" t="s">
        <v>64</v>
      </c>
      <c r="V26" s="226" t="s">
        <v>64</v>
      </c>
      <c r="W26" s="226" t="s">
        <v>64</v>
      </c>
      <c r="X26" s="226" t="s">
        <v>64</v>
      </c>
      <c r="Y26" s="226" t="s">
        <v>64</v>
      </c>
      <c r="Z26" s="226" t="s">
        <v>64</v>
      </c>
      <c r="AA26" s="226" t="s">
        <v>64</v>
      </c>
      <c r="AB26" s="226" t="s">
        <v>64</v>
      </c>
      <c r="AC26" s="226" t="s">
        <v>64</v>
      </c>
      <c r="AD26" s="226" t="s">
        <v>64</v>
      </c>
      <c r="AE26" s="226" t="s">
        <v>64</v>
      </c>
      <c r="AF26" s="226" t="s">
        <v>64</v>
      </c>
      <c r="AG26" s="202" t="s">
        <v>339</v>
      </c>
      <c r="AH26" s="230" t="s">
        <v>782</v>
      </c>
      <c r="AI26" s="231" t="s">
        <v>347</v>
      </c>
    </row>
    <row r="28" ht="14.25" customHeight="1" s="5" customFormat="1">
      <c r="A28" s="232" t="s">
        <v>440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30" ht="18" customHeight="1" s="5" customFormat="1">
      <c r="A30" s="233" t="s">
        <v>349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 ht="15.75" customHeight="1" s="5" customFormat="1">
      <c r="A31" s="234" t="s">
        <v>350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 ht="15.75" customHeight="1" s="5" customFormat="1">
      <c r="A32" s="24"/>
      <c r="B32" s="157" t="s">
        <v>351</v>
      </c>
      <c r="C32" s="157" t="s">
        <v>352</v>
      </c>
      <c r="D32" s="52"/>
      <c r="E32" s="157" t="s">
        <v>353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 ht="20.25" customHeight="1" s="5" customFormat="1">
      <c r="A33" s="235" t="s">
        <v>151</v>
      </c>
      <c r="B33" s="236">
        <f>'Current Rents'!E17</f>
        <v>935</v>
      </c>
      <c r="C33" s="240">
        <v>786</v>
      </c>
      <c r="D33" s="5"/>
      <c r="E33" s="275">
        <f t="shared" si="0" ref="E33:E35">B33-C33</f>
        <v>149</v>
      </c>
      <c r="F33" s="161" t="str">
        <f>IF(E33&lt;-75,"LOOK INTO INCREASING THE RENT!","")</f>
        <v/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 ht="20.25" customHeight="1" s="5" customFormat="1">
      <c r="A34" s="235" t="s">
        <v>152</v>
      </c>
      <c r="B34" s="236">
        <f>'Current Rents'!F17</f>
        <v>1073</v>
      </c>
      <c r="C34" s="240">
        <v>1298</v>
      </c>
      <c r="D34" s="5"/>
      <c r="E34" s="258">
        <f t="shared" si="0"/>
        <v>-225</v>
      </c>
      <c r="F34" s="161" t="str">
        <f>IF(E34&lt;-75,"LOOK INTO INCREASING THE RENT!","")</f>
        <v>LOOK INTO INCREASING THE RENT!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 ht="20.25" customHeight="1" s="5" customFormat="1">
      <c r="A35" s="235" t="s">
        <v>155</v>
      </c>
      <c r="B35" s="236">
        <f>'Current Rents'!G17</f>
        <v>1147</v>
      </c>
      <c r="C35" s="276" t="s">
        <v>64</v>
      </c>
      <c r="D35" s="5"/>
      <c r="E35" s="258" t="e">
        <f t="shared" si="0"/>
        <v>#VALUE!</v>
      </c>
      <c r="F35" s="161" t="e">
        <f>IF(E35&lt;-75,"LOOK INTO INCREASING THE RENT!","")</f>
        <v>#VALUE!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</sheetData>
  <mergeCells>
    <mergeCell ref="AG9:AI9"/>
    <mergeCell ref="C14:D14"/>
    <mergeCell ref="A12:AI12"/>
    <mergeCell ref="C32:D32"/>
    <mergeCell ref="A31:H31"/>
    <mergeCell ref="C26:D26"/>
    <mergeCell ref="C18:D18"/>
    <mergeCell ref="C17:D17"/>
    <mergeCell ref="C13:D13"/>
    <mergeCell ref="D19:D24"/>
    <mergeCell ref="A11:AI11"/>
    <mergeCell ref="A30:H30"/>
    <mergeCell ref="A10:AI10"/>
    <mergeCell ref="C16:D16"/>
    <mergeCell ref="C15:D15"/>
    <mergeCell ref="A28:AI28"/>
    <mergeCell ref="A9:AF9"/>
    <mergeCell ref="C25:D25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FB2D7F8-9951-787E-4E68-32D6E80D19E8}" mc:Ignorable="x14ac xr xr2 xr3">
  <dimension ref="A1:AJ36"/>
  <sheetViews>
    <sheetView topLeftCell="A1" workbookViewId="0">
      <pane ySplit="1" topLeftCell="A19" activePane="bottomLeft" state="frozen"/>
      <selection pane="bottomLeft" activeCell="A30" sqref="A30:E30"/>
    </sheetView>
  </sheetViews>
  <sheetFormatPr defaultRowHeight="15" defaultColWidth="9.140625" customHeight="1"/>
  <cols>
    <col min="1" max="1" style="5" width="10.8515625" customWidth="1"/>
    <col min="2" max="2" style="5" width="20.140625" customWidth="1"/>
    <col min="3" max="3" style="5" width="50.421875" customWidth="1"/>
    <col min="4" max="4" style="5" width="2.8515625" customWidth="1"/>
    <col min="5" max="5" style="5" width="23.28125" customWidth="1"/>
    <col min="6" max="6" style="5" width="14.421875" customWidth="1"/>
    <col min="7" max="7" style="5" width="7.140625" customWidth="1"/>
    <col min="8" max="8" style="5" width="9.00390625" customWidth="1"/>
    <col min="9" max="9" style="5" width="11.140625" customWidth="1"/>
    <col min="10" max="10" style="5" width="6.8515625" hidden="1" customWidth="1"/>
    <col min="11" max="11" style="5" width="13.00390625" hidden="1" customWidth="1"/>
    <col min="12" max="12" style="5" width="5.28125" hidden="1" customWidth="1"/>
    <col min="13" max="13" style="5" width="17.57421875" customWidth="1"/>
    <col min="14" max="14" style="5" width="6.8515625" hidden="1" customWidth="1"/>
    <col min="15" max="15" style="5" width="13.00390625" hidden="1" customWidth="1"/>
    <col min="16" max="16" style="5" width="5.28125" hidden="1" customWidth="1"/>
    <col min="17" max="17" style="5" width="20.421875" customWidth="1"/>
    <col min="18" max="18" style="5" width="6.8515625" hidden="1" customWidth="1"/>
    <col min="19" max="19" style="5" width="13.00390625" hidden="1" customWidth="1"/>
    <col min="20" max="20" style="5" width="5.28125" hidden="1" customWidth="1"/>
    <col min="21" max="21" style="5" width="20.28125" customWidth="1"/>
    <col min="22" max="22" style="5" width="6.8515625" hidden="1" customWidth="1"/>
    <col min="23" max="23" style="5" width="13.00390625" hidden="1" customWidth="1"/>
    <col min="24" max="24" style="5" width="5.28125" hidden="1" customWidth="1"/>
    <col min="25" max="25" style="5" width="15.28125" customWidth="1"/>
    <col min="26" max="33" style="5" width="9.28125" customWidth="1"/>
    <col min="34" max="34" style="5" width="31.28125" customWidth="1"/>
    <col min="35" max="35" style="5" width="65.7109375" customWidth="1"/>
    <col min="36" max="36" style="5" width="58.14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15" customHeight="1" s="5" customFormat="1" hidden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5" customHeight="1" s="5" customFormat="1" hidden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15" customHeight="1" s="5" customFormat="1" hidden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21.75" customHeight="1" s="5" customFormat="1" hidden="1"/>
    <row r="7" ht="21.75" customHeight="1" s="5" customFormat="1" hidden="1"/>
    <row r="8" ht="8.25" customHeight="1" s="5" customFormat="1" hidden="1"/>
    <row r="9" ht="36" customHeight="1" s="5" customFormat="1">
      <c r="A9" s="163" t="s">
        <v>783</v>
      </c>
      <c r="B9" s="164"/>
      <c r="C9" s="164"/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5"/>
      <c r="AH9" s="262" t="s">
        <v>784</v>
      </c>
      <c r="AI9" s="164"/>
      <c r="AJ9" s="165"/>
    </row>
    <row r="10" ht="18" customHeight="1" s="5" customFormat="1">
      <c r="A10" s="241" t="s">
        <v>785</v>
      </c>
      <c r="B10" s="164"/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5"/>
    </row>
    <row r="11" ht="14.25" customHeight="1" s="5" customFormat="1">
      <c r="A11" s="170" t="s">
        <v>231</v>
      </c>
      <c r="B11" s="164"/>
      <c r="C11" s="164"/>
      <c r="D11" s="164"/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  <c r="AA11" s="164"/>
      <c r="AB11" s="164"/>
      <c r="AC11" s="164"/>
      <c r="AD11" s="164"/>
      <c r="AE11" s="164"/>
      <c r="AF11" s="164"/>
      <c r="AG11" s="164"/>
      <c r="AH11" s="164"/>
      <c r="AI11" s="164"/>
      <c r="AJ11" s="165"/>
    </row>
    <row r="12" ht="25.5" customHeight="1" s="5" customFormat="1">
      <c r="A12" s="171" t="s">
        <v>232</v>
      </c>
      <c r="B12" s="164"/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4"/>
      <c r="AH12" s="164"/>
      <c r="AI12" s="164"/>
      <c r="AJ12" s="165"/>
    </row>
    <row r="13" ht="25.5" customHeight="1" s="5" customFormat="1">
      <c r="A13" s="243" t="s">
        <v>233</v>
      </c>
      <c r="B13" s="243" t="s">
        <v>234</v>
      </c>
      <c r="C13" s="243" t="s">
        <v>3</v>
      </c>
      <c r="D13" s="165"/>
      <c r="E13" s="243" t="s">
        <v>235</v>
      </c>
      <c r="F13" s="243" t="s">
        <v>236</v>
      </c>
      <c r="G13" s="244" t="s">
        <v>237</v>
      </c>
      <c r="H13" s="244" t="s">
        <v>238</v>
      </c>
      <c r="I13" s="244" t="s">
        <v>239</v>
      </c>
      <c r="J13" s="244" t="s">
        <v>444</v>
      </c>
      <c r="K13" s="244" t="s">
        <v>445</v>
      </c>
      <c r="L13" s="244" t="s">
        <v>446</v>
      </c>
      <c r="M13" s="245" t="s">
        <v>447</v>
      </c>
      <c r="N13" s="244" t="s">
        <v>240</v>
      </c>
      <c r="O13" s="244" t="s">
        <v>241</v>
      </c>
      <c r="P13" s="244" t="s">
        <v>242</v>
      </c>
      <c r="Q13" s="245" t="s">
        <v>360</v>
      </c>
      <c r="R13" s="244" t="s">
        <v>244</v>
      </c>
      <c r="S13" s="244" t="s">
        <v>245</v>
      </c>
      <c r="T13" s="244" t="s">
        <v>246</v>
      </c>
      <c r="U13" s="245" t="s">
        <v>361</v>
      </c>
      <c r="V13" s="244" t="s">
        <v>697</v>
      </c>
      <c r="W13" s="244" t="s">
        <v>698</v>
      </c>
      <c r="X13" s="244" t="s">
        <v>699</v>
      </c>
      <c r="Y13" s="245" t="s">
        <v>700</v>
      </c>
      <c r="Z13" s="247" t="s">
        <v>6</v>
      </c>
      <c r="AA13" s="247" t="s">
        <v>248</v>
      </c>
      <c r="AB13" s="247" t="s">
        <v>249</v>
      </c>
      <c r="AC13" s="247" t="s">
        <v>250</v>
      </c>
      <c r="AD13" s="247" t="s">
        <v>251</v>
      </c>
      <c r="AE13" s="247" t="s">
        <v>252</v>
      </c>
      <c r="AF13" s="247" t="s">
        <v>253</v>
      </c>
      <c r="AG13" s="247" t="s">
        <v>254</v>
      </c>
      <c r="AH13" s="248" t="s">
        <v>255</v>
      </c>
      <c r="AI13" s="249" t="s">
        <v>256</v>
      </c>
      <c r="AJ13" s="249" t="s">
        <v>257</v>
      </c>
    </row>
    <row r="14" ht="21.75" customHeight="1" s="5" customFormat="1">
      <c r="A14" s="180" t="s">
        <v>258</v>
      </c>
      <c r="B14" s="277" t="s">
        <v>259</v>
      </c>
      <c r="C14" s="277" t="s">
        <v>786</v>
      </c>
      <c r="D14" s="165"/>
      <c r="E14" s="183" t="s">
        <v>787</v>
      </c>
      <c r="F14" s="183" t="s">
        <v>788</v>
      </c>
      <c r="G14" s="183" t="s">
        <v>707</v>
      </c>
      <c r="H14" s="183" t="s">
        <v>789</v>
      </c>
      <c r="I14" s="183" t="s">
        <v>265</v>
      </c>
      <c r="J14" s="183" t="s">
        <v>790</v>
      </c>
      <c r="K14" s="183" t="s">
        <v>791</v>
      </c>
      <c r="L14" s="183" t="s">
        <v>792</v>
      </c>
      <c r="M14" s="184">
        <f>'Current Rents'!D18</f>
        <v>1074</v>
      </c>
      <c r="N14" s="183" t="s">
        <v>709</v>
      </c>
      <c r="O14" s="183" t="s">
        <v>710</v>
      </c>
      <c r="P14" s="183" t="s">
        <v>793</v>
      </c>
      <c r="Q14" s="184">
        <f>'Current Rents'!E18</f>
        <v>1166</v>
      </c>
      <c r="R14" s="183" t="s">
        <v>712</v>
      </c>
      <c r="S14" s="183" t="s">
        <v>713</v>
      </c>
      <c r="T14" s="183" t="s">
        <v>794</v>
      </c>
      <c r="U14" s="184">
        <f>'Current Rents'!F18</f>
        <v>1290</v>
      </c>
      <c r="V14" s="183" t="s">
        <v>715</v>
      </c>
      <c r="W14" s="183" t="s">
        <v>716</v>
      </c>
      <c r="X14" s="183" t="s">
        <v>795</v>
      </c>
      <c r="Y14" s="184">
        <f>'Current Rents'!G18</f>
        <v>1433</v>
      </c>
      <c r="Z14" s="183">
        <v>68</v>
      </c>
      <c r="AA14" s="183">
        <v>1985</v>
      </c>
      <c r="AB14" s="183" t="s">
        <v>462</v>
      </c>
      <c r="AC14" s="186" t="s">
        <v>272</v>
      </c>
      <c r="AD14" s="187" t="s">
        <v>273</v>
      </c>
      <c r="AE14" s="187" t="s">
        <v>273</v>
      </c>
      <c r="AF14" s="187" t="s">
        <v>273</v>
      </c>
      <c r="AG14" s="187" t="s">
        <v>273</v>
      </c>
      <c r="AH14" s="181" t="s">
        <v>259</v>
      </c>
      <c r="AI14" s="188" t="s">
        <v>796</v>
      </c>
      <c r="AJ14" s="189" t="s">
        <v>275</v>
      </c>
    </row>
    <row r="15" ht="21.75" customHeight="1" s="5" customFormat="1">
      <c r="A15" s="190" t="s">
        <v>276</v>
      </c>
      <c r="B15" s="251" t="s">
        <v>277</v>
      </c>
      <c r="C15" s="192" t="s">
        <v>797</v>
      </c>
      <c r="D15" s="165"/>
      <c r="E15" s="194" t="s">
        <v>798</v>
      </c>
      <c r="F15" s="194" t="s">
        <v>799</v>
      </c>
      <c r="G15" s="194" t="s">
        <v>707</v>
      </c>
      <c r="H15" s="194" t="s">
        <v>800</v>
      </c>
      <c r="I15" s="194" t="s">
        <v>801</v>
      </c>
      <c r="J15" s="194" t="s">
        <v>790</v>
      </c>
      <c r="K15" s="194" t="s">
        <v>791</v>
      </c>
      <c r="L15" s="194" t="s">
        <v>792</v>
      </c>
      <c r="M15" s="190" t="s">
        <v>283</v>
      </c>
      <c r="N15" s="194" t="s">
        <v>709</v>
      </c>
      <c r="O15" s="194" t="s">
        <v>710</v>
      </c>
      <c r="P15" s="194" t="s">
        <v>793</v>
      </c>
      <c r="Q15" s="190" t="s">
        <v>283</v>
      </c>
      <c r="R15" s="194" t="s">
        <v>712</v>
      </c>
      <c r="S15" s="194" t="s">
        <v>713</v>
      </c>
      <c r="T15" s="194" t="s">
        <v>794</v>
      </c>
      <c r="U15" s="190" t="s">
        <v>283</v>
      </c>
      <c r="V15" s="194" t="s">
        <v>715</v>
      </c>
      <c r="W15" s="194" t="s">
        <v>716</v>
      </c>
      <c r="X15" s="194" t="s">
        <v>795</v>
      </c>
      <c r="Y15" s="190" t="s">
        <v>283</v>
      </c>
      <c r="Z15" s="194">
        <v>32</v>
      </c>
      <c r="AA15" s="194">
        <v>1987</v>
      </c>
      <c r="AB15" s="194">
        <v>2</v>
      </c>
      <c r="AC15" s="195" t="s">
        <v>272</v>
      </c>
      <c r="AD15" s="196" t="s">
        <v>273</v>
      </c>
      <c r="AE15" s="196" t="s">
        <v>273</v>
      </c>
      <c r="AF15" s="196" t="s">
        <v>273</v>
      </c>
      <c r="AG15" s="196" t="s">
        <v>273</v>
      </c>
      <c r="AH15" s="268" t="s">
        <v>284</v>
      </c>
      <c r="AI15" s="198" t="s">
        <v>802</v>
      </c>
      <c r="AJ15" s="199" t="s">
        <v>638</v>
      </c>
    </row>
    <row r="16" ht="21.75" customHeight="1" s="5" customFormat="1">
      <c r="A16" s="190" t="s">
        <v>210</v>
      </c>
      <c r="B16" s="251" t="s">
        <v>277</v>
      </c>
      <c r="C16" s="192" t="s">
        <v>803</v>
      </c>
      <c r="D16" s="165"/>
      <c r="E16" s="194" t="s">
        <v>804</v>
      </c>
      <c r="F16" s="194" t="s">
        <v>805</v>
      </c>
      <c r="G16" s="194" t="s">
        <v>707</v>
      </c>
      <c r="H16" s="194" t="s">
        <v>64</v>
      </c>
      <c r="I16" s="194" t="s">
        <v>64</v>
      </c>
      <c r="J16" s="194" t="s">
        <v>790</v>
      </c>
      <c r="K16" s="194" t="s">
        <v>791</v>
      </c>
      <c r="L16" s="194" t="s">
        <v>792</v>
      </c>
      <c r="M16" s="190" t="s">
        <v>283</v>
      </c>
      <c r="N16" s="194" t="s">
        <v>709</v>
      </c>
      <c r="O16" s="194" t="s">
        <v>710</v>
      </c>
      <c r="P16" s="194" t="s">
        <v>793</v>
      </c>
      <c r="Q16" s="190" t="s">
        <v>283</v>
      </c>
      <c r="R16" s="194" t="s">
        <v>712</v>
      </c>
      <c r="S16" s="194" t="s">
        <v>713</v>
      </c>
      <c r="T16" s="194" t="s">
        <v>794</v>
      </c>
      <c r="U16" s="190" t="s">
        <v>283</v>
      </c>
      <c r="V16" s="194" t="s">
        <v>715</v>
      </c>
      <c r="W16" s="194" t="s">
        <v>716</v>
      </c>
      <c r="X16" s="194" t="s">
        <v>795</v>
      </c>
      <c r="Y16" s="190" t="s">
        <v>283</v>
      </c>
      <c r="Z16" s="194">
        <v>52</v>
      </c>
      <c r="AA16" s="194">
        <v>1988</v>
      </c>
      <c r="AB16" s="194">
        <v>3</v>
      </c>
      <c r="AC16" s="195" t="s">
        <v>272</v>
      </c>
      <c r="AD16" s="196" t="s">
        <v>273</v>
      </c>
      <c r="AE16" s="196" t="s">
        <v>273</v>
      </c>
      <c r="AF16" s="196" t="s">
        <v>273</v>
      </c>
      <c r="AG16" s="196" t="s">
        <v>273</v>
      </c>
      <c r="AH16" s="268" t="s">
        <v>284</v>
      </c>
      <c r="AI16" s="198" t="s">
        <v>806</v>
      </c>
      <c r="AJ16" s="199" t="s">
        <v>638</v>
      </c>
    </row>
    <row r="17" ht="21.75" customHeight="1" s="5" customFormat="1">
      <c r="A17" s="190" t="s">
        <v>181</v>
      </c>
      <c r="B17" s="251" t="s">
        <v>277</v>
      </c>
      <c r="C17" s="192" t="s">
        <v>807</v>
      </c>
      <c r="D17" s="165"/>
      <c r="E17" s="194" t="s">
        <v>808</v>
      </c>
      <c r="F17" s="194" t="s">
        <v>809</v>
      </c>
      <c r="G17" s="194" t="s">
        <v>707</v>
      </c>
      <c r="H17" s="194" t="s">
        <v>810</v>
      </c>
      <c r="I17" s="194" t="s">
        <v>811</v>
      </c>
      <c r="J17" s="194" t="s">
        <v>790</v>
      </c>
      <c r="K17" s="194" t="s">
        <v>791</v>
      </c>
      <c r="L17" s="194" t="s">
        <v>792</v>
      </c>
      <c r="M17" s="190" t="s">
        <v>283</v>
      </c>
      <c r="N17" s="194" t="s">
        <v>709</v>
      </c>
      <c r="O17" s="194" t="s">
        <v>710</v>
      </c>
      <c r="P17" s="194" t="s">
        <v>793</v>
      </c>
      <c r="Q17" s="190" t="s">
        <v>283</v>
      </c>
      <c r="R17" s="194" t="s">
        <v>712</v>
      </c>
      <c r="S17" s="194" t="s">
        <v>713</v>
      </c>
      <c r="T17" s="194" t="s">
        <v>794</v>
      </c>
      <c r="U17" s="190" t="s">
        <v>283</v>
      </c>
      <c r="V17" s="194" t="s">
        <v>715</v>
      </c>
      <c r="W17" s="194" t="s">
        <v>716</v>
      </c>
      <c r="X17" s="194" t="s">
        <v>795</v>
      </c>
      <c r="Y17" s="190" t="s">
        <v>283</v>
      </c>
      <c r="Z17" s="194">
        <v>24</v>
      </c>
      <c r="AA17" s="194">
        <v>1987</v>
      </c>
      <c r="AB17" s="194">
        <v>2</v>
      </c>
      <c r="AC17" s="195" t="s">
        <v>272</v>
      </c>
      <c r="AD17" s="196" t="s">
        <v>273</v>
      </c>
      <c r="AE17" s="196" t="s">
        <v>273</v>
      </c>
      <c r="AF17" s="196" t="s">
        <v>273</v>
      </c>
      <c r="AG17" s="196" t="s">
        <v>273</v>
      </c>
      <c r="AH17" s="268" t="s">
        <v>284</v>
      </c>
      <c r="AI17" s="198" t="s">
        <v>812</v>
      </c>
      <c r="AJ17" s="199" t="s">
        <v>638</v>
      </c>
    </row>
    <row r="18" ht="21.75" customHeight="1" s="5" customFormat="1">
      <c r="A18" s="190" t="s">
        <v>320</v>
      </c>
      <c r="B18" s="251" t="s">
        <v>277</v>
      </c>
      <c r="C18" s="192" t="s">
        <v>813</v>
      </c>
      <c r="D18" s="165"/>
      <c r="E18" s="194" t="s">
        <v>814</v>
      </c>
      <c r="F18" s="194" t="s">
        <v>815</v>
      </c>
      <c r="G18" s="194" t="s">
        <v>707</v>
      </c>
      <c r="H18" s="194" t="s">
        <v>816</v>
      </c>
      <c r="I18" s="194" t="s">
        <v>817</v>
      </c>
      <c r="J18" s="194" t="s">
        <v>790</v>
      </c>
      <c r="K18" s="194" t="s">
        <v>791</v>
      </c>
      <c r="L18" s="194" t="s">
        <v>792</v>
      </c>
      <c r="M18" s="190" t="s">
        <v>283</v>
      </c>
      <c r="N18" s="194" t="s">
        <v>709</v>
      </c>
      <c r="O18" s="194" t="s">
        <v>710</v>
      </c>
      <c r="P18" s="194" t="s">
        <v>793</v>
      </c>
      <c r="Q18" s="190" t="s">
        <v>283</v>
      </c>
      <c r="R18" s="194" t="s">
        <v>712</v>
      </c>
      <c r="S18" s="194" t="s">
        <v>713</v>
      </c>
      <c r="T18" s="194" t="s">
        <v>794</v>
      </c>
      <c r="U18" s="190" t="s">
        <v>283</v>
      </c>
      <c r="V18" s="194" t="s">
        <v>715</v>
      </c>
      <c r="W18" s="194" t="s">
        <v>716</v>
      </c>
      <c r="X18" s="194" t="s">
        <v>795</v>
      </c>
      <c r="Y18" s="190" t="s">
        <v>283</v>
      </c>
      <c r="Z18" s="194">
        <v>24</v>
      </c>
      <c r="AA18" s="194">
        <v>1987</v>
      </c>
      <c r="AB18" s="194">
        <v>2</v>
      </c>
      <c r="AC18" s="195" t="s">
        <v>272</v>
      </c>
      <c r="AD18" s="196" t="s">
        <v>273</v>
      </c>
      <c r="AE18" s="196" t="s">
        <v>273</v>
      </c>
      <c r="AF18" s="196" t="s">
        <v>273</v>
      </c>
      <c r="AG18" s="196" t="s">
        <v>273</v>
      </c>
      <c r="AH18" s="268" t="s">
        <v>284</v>
      </c>
      <c r="AI18" s="198" t="s">
        <v>818</v>
      </c>
      <c r="AJ18" s="199" t="s">
        <v>638</v>
      </c>
    </row>
    <row r="19" ht="26.25" customHeight="1" s="5" customFormat="1">
      <c r="A19" s="201" t="s">
        <v>276</v>
      </c>
      <c r="B19" s="202" t="s">
        <v>300</v>
      </c>
      <c r="C19" s="215" t="s">
        <v>819</v>
      </c>
      <c r="D19" s="253" t="s">
        <v>302</v>
      </c>
      <c r="E19" s="205" t="s">
        <v>820</v>
      </c>
      <c r="F19" s="205" t="s">
        <v>809</v>
      </c>
      <c r="G19" s="205" t="s">
        <v>707</v>
      </c>
      <c r="H19" s="205" t="s">
        <v>821</v>
      </c>
      <c r="I19" s="205" t="s">
        <v>822</v>
      </c>
      <c r="J19" s="206" t="s">
        <v>64</v>
      </c>
      <c r="K19" s="206" t="s">
        <v>64</v>
      </c>
      <c r="L19" s="206" t="s">
        <v>64</v>
      </c>
      <c r="M19" s="219" t="s">
        <v>64</v>
      </c>
      <c r="N19" s="206" t="s">
        <v>64</v>
      </c>
      <c r="O19" s="206" t="s">
        <v>64</v>
      </c>
      <c r="P19" s="206" t="s">
        <v>64</v>
      </c>
      <c r="Q19" s="208">
        <v>815</v>
      </c>
      <c r="R19" s="206" t="s">
        <v>64</v>
      </c>
      <c r="S19" s="206" t="s">
        <v>64</v>
      </c>
      <c r="T19" s="206" t="s">
        <v>64</v>
      </c>
      <c r="U19" s="208">
        <v>975</v>
      </c>
      <c r="V19" s="206" t="s">
        <v>64</v>
      </c>
      <c r="W19" s="206" t="s">
        <v>64</v>
      </c>
      <c r="X19" s="206" t="s">
        <v>64</v>
      </c>
      <c r="Y19" s="219" t="s">
        <v>64</v>
      </c>
      <c r="Z19" s="205" t="s">
        <v>64</v>
      </c>
      <c r="AA19" s="205" t="s">
        <v>64</v>
      </c>
      <c r="AB19" s="205" t="s">
        <v>64</v>
      </c>
      <c r="AC19" s="201" t="s">
        <v>64</v>
      </c>
      <c r="AD19" s="201" t="s">
        <v>64</v>
      </c>
      <c r="AE19" s="210" t="s">
        <v>273</v>
      </c>
      <c r="AF19" s="201" t="s">
        <v>64</v>
      </c>
      <c r="AG19" s="201" t="s">
        <v>64</v>
      </c>
      <c r="AH19" s="268" t="s">
        <v>284</v>
      </c>
      <c r="AI19" s="213" t="s">
        <v>823</v>
      </c>
      <c r="AJ19" s="214" t="s">
        <v>824</v>
      </c>
    </row>
    <row r="20" ht="26.25" customHeight="1" s="5" customFormat="1">
      <c r="A20" s="201" t="s">
        <v>210</v>
      </c>
      <c r="B20" s="202" t="s">
        <v>300</v>
      </c>
      <c r="C20" s="215" t="s">
        <v>825</v>
      </c>
      <c r="D20" s="216"/>
      <c r="E20" s="205" t="s">
        <v>826</v>
      </c>
      <c r="F20" s="205" t="s">
        <v>809</v>
      </c>
      <c r="G20" s="205" t="s">
        <v>707</v>
      </c>
      <c r="H20" s="205" t="s">
        <v>821</v>
      </c>
      <c r="I20" s="205" t="s">
        <v>827</v>
      </c>
      <c r="J20" s="206" t="s">
        <v>64</v>
      </c>
      <c r="K20" s="206" t="s">
        <v>64</v>
      </c>
      <c r="L20" s="206" t="s">
        <v>64</v>
      </c>
      <c r="M20" s="219" t="s">
        <v>64</v>
      </c>
      <c r="N20" s="206" t="s">
        <v>64</v>
      </c>
      <c r="O20" s="206" t="s">
        <v>64</v>
      </c>
      <c r="P20" s="206" t="s">
        <v>64</v>
      </c>
      <c r="Q20" s="208">
        <v>1100</v>
      </c>
      <c r="R20" s="206" t="s">
        <v>64</v>
      </c>
      <c r="S20" s="206" t="s">
        <v>64</v>
      </c>
      <c r="T20" s="206" t="s">
        <v>64</v>
      </c>
      <c r="U20" s="219" t="s">
        <v>64</v>
      </c>
      <c r="V20" s="206" t="s">
        <v>64</v>
      </c>
      <c r="W20" s="206" t="s">
        <v>64</v>
      </c>
      <c r="X20" s="206" t="s">
        <v>64</v>
      </c>
      <c r="Y20" s="219" t="s">
        <v>64</v>
      </c>
      <c r="Z20" s="205" t="s">
        <v>64</v>
      </c>
      <c r="AA20" s="205" t="s">
        <v>64</v>
      </c>
      <c r="AB20" s="205" t="s">
        <v>64</v>
      </c>
      <c r="AC20" s="201" t="s">
        <v>64</v>
      </c>
      <c r="AD20" s="201" t="s">
        <v>64</v>
      </c>
      <c r="AE20" s="210" t="s">
        <v>273</v>
      </c>
      <c r="AF20" s="201" t="s">
        <v>64</v>
      </c>
      <c r="AG20" s="201" t="s">
        <v>64</v>
      </c>
      <c r="AH20" s="268" t="s">
        <v>284</v>
      </c>
      <c r="AI20" s="213" t="s">
        <v>828</v>
      </c>
      <c r="AJ20" s="214" t="s">
        <v>824</v>
      </c>
    </row>
    <row r="21" ht="26.25" customHeight="1" s="5" customFormat="1">
      <c r="A21" s="201" t="s">
        <v>181</v>
      </c>
      <c r="B21" s="202" t="s">
        <v>300</v>
      </c>
      <c r="C21" s="215" t="s">
        <v>829</v>
      </c>
      <c r="D21" s="216"/>
      <c r="E21" s="205" t="s">
        <v>830</v>
      </c>
      <c r="F21" s="205" t="s">
        <v>809</v>
      </c>
      <c r="G21" s="205" t="s">
        <v>707</v>
      </c>
      <c r="H21" s="205" t="s">
        <v>831</v>
      </c>
      <c r="I21" s="205" t="s">
        <v>832</v>
      </c>
      <c r="J21" s="206" t="s">
        <v>64</v>
      </c>
      <c r="K21" s="206" t="s">
        <v>64</v>
      </c>
      <c r="L21" s="206" t="s">
        <v>64</v>
      </c>
      <c r="M21" s="219" t="s">
        <v>64</v>
      </c>
      <c r="N21" s="206" t="s">
        <v>64</v>
      </c>
      <c r="O21" s="206" t="s">
        <v>64</v>
      </c>
      <c r="P21" s="206" t="s">
        <v>64</v>
      </c>
      <c r="Q21" s="208">
        <v>1100</v>
      </c>
      <c r="R21" s="206" t="s">
        <v>64</v>
      </c>
      <c r="S21" s="206" t="s">
        <v>64</v>
      </c>
      <c r="T21" s="206" t="s">
        <v>64</v>
      </c>
      <c r="U21" s="219" t="s">
        <v>64</v>
      </c>
      <c r="V21" s="206" t="s">
        <v>64</v>
      </c>
      <c r="W21" s="206" t="s">
        <v>64</v>
      </c>
      <c r="X21" s="206" t="s">
        <v>64</v>
      </c>
      <c r="Y21" s="219" t="s">
        <v>64</v>
      </c>
      <c r="Z21" s="205" t="s">
        <v>64</v>
      </c>
      <c r="AA21" s="205" t="s">
        <v>64</v>
      </c>
      <c r="AB21" s="205" t="s">
        <v>64</v>
      </c>
      <c r="AC21" s="201" t="s">
        <v>64</v>
      </c>
      <c r="AD21" s="201" t="s">
        <v>64</v>
      </c>
      <c r="AE21" s="210" t="s">
        <v>273</v>
      </c>
      <c r="AF21" s="201" t="s">
        <v>64</v>
      </c>
      <c r="AG21" s="201" t="s">
        <v>64</v>
      </c>
      <c r="AH21" s="268" t="s">
        <v>284</v>
      </c>
      <c r="AI21" s="213" t="s">
        <v>833</v>
      </c>
      <c r="AJ21" s="214" t="s">
        <v>824</v>
      </c>
    </row>
    <row r="22" ht="26.25" customHeight="1" s="5" customFormat="1">
      <c r="A22" s="201" t="s">
        <v>320</v>
      </c>
      <c r="B22" s="202" t="s">
        <v>300</v>
      </c>
      <c r="C22" s="215" t="s">
        <v>834</v>
      </c>
      <c r="D22" s="216"/>
      <c r="E22" s="205" t="s">
        <v>835</v>
      </c>
      <c r="F22" s="205" t="s">
        <v>836</v>
      </c>
      <c r="G22" s="205" t="s">
        <v>707</v>
      </c>
      <c r="H22" s="205" t="s">
        <v>837</v>
      </c>
      <c r="I22" s="205" t="s">
        <v>838</v>
      </c>
      <c r="J22" s="206" t="s">
        <v>64</v>
      </c>
      <c r="K22" s="206" t="s">
        <v>64</v>
      </c>
      <c r="L22" s="206" t="s">
        <v>64</v>
      </c>
      <c r="M22" s="219" t="s">
        <v>64</v>
      </c>
      <c r="N22" s="206" t="s">
        <v>64</v>
      </c>
      <c r="O22" s="206" t="s">
        <v>64</v>
      </c>
      <c r="P22" s="206" t="s">
        <v>64</v>
      </c>
      <c r="Q22" s="208">
        <v>1183</v>
      </c>
      <c r="R22" s="206" t="s">
        <v>64</v>
      </c>
      <c r="S22" s="206" t="s">
        <v>64</v>
      </c>
      <c r="T22" s="206" t="s">
        <v>64</v>
      </c>
      <c r="U22" s="208">
        <v>1697</v>
      </c>
      <c r="V22" s="206" t="s">
        <v>64</v>
      </c>
      <c r="W22" s="206" t="s">
        <v>64</v>
      </c>
      <c r="X22" s="206" t="s">
        <v>64</v>
      </c>
      <c r="Y22" s="219" t="s">
        <v>64</v>
      </c>
      <c r="Z22" s="205" t="s">
        <v>64</v>
      </c>
      <c r="AA22" s="205" t="s">
        <v>64</v>
      </c>
      <c r="AB22" s="205" t="s">
        <v>64</v>
      </c>
      <c r="AC22" s="201" t="s">
        <v>64</v>
      </c>
      <c r="AD22" s="201" t="s">
        <v>64</v>
      </c>
      <c r="AE22" s="210" t="s">
        <v>273</v>
      </c>
      <c r="AF22" s="201" t="s">
        <v>64</v>
      </c>
      <c r="AG22" s="201" t="s">
        <v>64</v>
      </c>
      <c r="AH22" s="268" t="s">
        <v>284</v>
      </c>
      <c r="AI22" s="213" t="s">
        <v>839</v>
      </c>
      <c r="AJ22" s="214" t="s">
        <v>824</v>
      </c>
    </row>
    <row r="23" ht="26.25" customHeight="1" s="5" customFormat="1">
      <c r="A23" s="201" t="s">
        <v>326</v>
      </c>
      <c r="B23" s="202" t="s">
        <v>300</v>
      </c>
      <c r="C23" s="215" t="s">
        <v>840</v>
      </c>
      <c r="D23" s="216"/>
      <c r="E23" s="205" t="s">
        <v>841</v>
      </c>
      <c r="F23" s="205" t="s">
        <v>809</v>
      </c>
      <c r="G23" s="205" t="s">
        <v>707</v>
      </c>
      <c r="H23" s="205" t="s">
        <v>842</v>
      </c>
      <c r="I23" s="205" t="s">
        <v>843</v>
      </c>
      <c r="J23" s="206" t="s">
        <v>64</v>
      </c>
      <c r="K23" s="206" t="s">
        <v>64</v>
      </c>
      <c r="L23" s="206" t="s">
        <v>64</v>
      </c>
      <c r="M23" s="219" t="s">
        <v>64</v>
      </c>
      <c r="N23" s="206" t="s">
        <v>64</v>
      </c>
      <c r="O23" s="206" t="s">
        <v>64</v>
      </c>
      <c r="P23" s="206" t="s">
        <v>64</v>
      </c>
      <c r="Q23" s="208">
        <v>1002</v>
      </c>
      <c r="R23" s="206" t="s">
        <v>64</v>
      </c>
      <c r="S23" s="206" t="s">
        <v>64</v>
      </c>
      <c r="T23" s="206" t="s">
        <v>64</v>
      </c>
      <c r="U23" s="219" t="s">
        <v>64</v>
      </c>
      <c r="V23" s="206" t="s">
        <v>64</v>
      </c>
      <c r="W23" s="206" t="s">
        <v>64</v>
      </c>
      <c r="X23" s="206" t="s">
        <v>64</v>
      </c>
      <c r="Y23" s="219" t="s">
        <v>64</v>
      </c>
      <c r="Z23" s="205" t="s">
        <v>64</v>
      </c>
      <c r="AA23" s="205" t="s">
        <v>64</v>
      </c>
      <c r="AB23" s="205" t="s">
        <v>64</v>
      </c>
      <c r="AC23" s="201" t="s">
        <v>64</v>
      </c>
      <c r="AD23" s="201" t="s">
        <v>64</v>
      </c>
      <c r="AE23" s="210" t="s">
        <v>273</v>
      </c>
      <c r="AF23" s="201" t="s">
        <v>64</v>
      </c>
      <c r="AG23" s="201" t="s">
        <v>64</v>
      </c>
      <c r="AH23" s="268" t="s">
        <v>284</v>
      </c>
      <c r="AI23" s="213" t="s">
        <v>844</v>
      </c>
      <c r="AJ23" s="214" t="s">
        <v>824</v>
      </c>
    </row>
    <row r="24" ht="26.25" customHeight="1" s="5" customFormat="1">
      <c r="A24" s="201" t="s">
        <v>205</v>
      </c>
      <c r="B24" s="202" t="s">
        <v>300</v>
      </c>
      <c r="C24" s="215" t="s">
        <v>845</v>
      </c>
      <c r="D24" s="218"/>
      <c r="E24" s="205" t="s">
        <v>846</v>
      </c>
      <c r="F24" s="205" t="s">
        <v>836</v>
      </c>
      <c r="G24" s="205" t="s">
        <v>707</v>
      </c>
      <c r="H24" s="205" t="s">
        <v>837</v>
      </c>
      <c r="I24" s="205" t="s">
        <v>847</v>
      </c>
      <c r="J24" s="206" t="s">
        <v>64</v>
      </c>
      <c r="K24" s="206" t="s">
        <v>64</v>
      </c>
      <c r="L24" s="206" t="s">
        <v>64</v>
      </c>
      <c r="M24" s="219" t="s">
        <v>64</v>
      </c>
      <c r="N24" s="206" t="s">
        <v>64</v>
      </c>
      <c r="O24" s="206" t="s">
        <v>64</v>
      </c>
      <c r="P24" s="206" t="s">
        <v>64</v>
      </c>
      <c r="Q24" s="208">
        <v>1045</v>
      </c>
      <c r="R24" s="206" t="s">
        <v>64</v>
      </c>
      <c r="S24" s="206" t="s">
        <v>64</v>
      </c>
      <c r="T24" s="206" t="s">
        <v>64</v>
      </c>
      <c r="U24" s="208">
        <v>1450</v>
      </c>
      <c r="V24" s="206" t="s">
        <v>64</v>
      </c>
      <c r="W24" s="206" t="s">
        <v>64</v>
      </c>
      <c r="X24" s="206" t="s">
        <v>64</v>
      </c>
      <c r="Y24" s="219" t="s">
        <v>64</v>
      </c>
      <c r="Z24" s="205" t="s">
        <v>64</v>
      </c>
      <c r="AA24" s="205" t="s">
        <v>64</v>
      </c>
      <c r="AB24" s="205" t="s">
        <v>64</v>
      </c>
      <c r="AC24" s="201" t="s">
        <v>64</v>
      </c>
      <c r="AD24" s="201" t="s">
        <v>64</v>
      </c>
      <c r="AE24" s="210" t="s">
        <v>273</v>
      </c>
      <c r="AF24" s="201" t="s">
        <v>64</v>
      </c>
      <c r="AG24" s="201" t="s">
        <v>64</v>
      </c>
      <c r="AH24" s="268" t="s">
        <v>284</v>
      </c>
      <c r="AI24" s="213" t="s">
        <v>848</v>
      </c>
      <c r="AJ24" s="214" t="s">
        <v>824</v>
      </c>
    </row>
    <row r="25" ht="28.5" customHeight="1" s="5" customFormat="1">
      <c r="A25" s="220" t="s">
        <v>154</v>
      </c>
      <c r="B25" s="257" t="s">
        <v>339</v>
      </c>
      <c r="C25" s="222" t="s">
        <v>849</v>
      </c>
      <c r="D25" s="165"/>
      <c r="E25" s="220" t="s">
        <v>64</v>
      </c>
      <c r="F25" s="220" t="s">
        <v>788</v>
      </c>
      <c r="G25" s="220" t="s">
        <v>707</v>
      </c>
      <c r="H25" s="220" t="s">
        <v>64</v>
      </c>
      <c r="I25" s="220" t="s">
        <v>64</v>
      </c>
      <c r="J25" s="220" t="s">
        <v>792</v>
      </c>
      <c r="K25" s="220" t="s">
        <v>792</v>
      </c>
      <c r="L25" s="220" t="s">
        <v>792</v>
      </c>
      <c r="M25" s="220" t="s">
        <v>64</v>
      </c>
      <c r="N25" s="220" t="s">
        <v>793</v>
      </c>
      <c r="O25" s="220" t="s">
        <v>793</v>
      </c>
      <c r="P25" s="220" t="s">
        <v>793</v>
      </c>
      <c r="Q25" s="220" t="s">
        <v>64</v>
      </c>
      <c r="R25" s="220" t="s">
        <v>794</v>
      </c>
      <c r="S25" s="220" t="s">
        <v>794</v>
      </c>
      <c r="T25" s="220" t="s">
        <v>794</v>
      </c>
      <c r="U25" s="220" t="s">
        <v>64</v>
      </c>
      <c r="V25" s="220" t="s">
        <v>795</v>
      </c>
      <c r="W25" s="220" t="s">
        <v>795</v>
      </c>
      <c r="X25" s="220" t="s">
        <v>795</v>
      </c>
      <c r="Y25" s="220" t="s">
        <v>64</v>
      </c>
      <c r="Z25" s="220" t="s">
        <v>64</v>
      </c>
      <c r="AA25" s="220" t="s">
        <v>64</v>
      </c>
      <c r="AB25" s="220" t="s">
        <v>64</v>
      </c>
      <c r="AC25" s="220" t="s">
        <v>64</v>
      </c>
      <c r="AD25" s="220" t="s">
        <v>64</v>
      </c>
      <c r="AE25" s="220" t="s">
        <v>64</v>
      </c>
      <c r="AF25" s="220" t="s">
        <v>64</v>
      </c>
      <c r="AG25" s="220" t="s">
        <v>64</v>
      </c>
      <c r="AH25" s="202" t="s">
        <v>339</v>
      </c>
      <c r="AI25" s="224" t="s">
        <v>850</v>
      </c>
      <c r="AJ25" s="225" t="s">
        <v>342</v>
      </c>
    </row>
    <row r="26" ht="34.5" customHeight="1" s="5" customFormat="1">
      <c r="A26" s="226" t="s">
        <v>154</v>
      </c>
      <c r="B26" s="257" t="s">
        <v>339</v>
      </c>
      <c r="C26" s="227" t="s">
        <v>851</v>
      </c>
      <c r="D26" s="165"/>
      <c r="E26" s="226" t="s">
        <v>64</v>
      </c>
      <c r="F26" s="226" t="s">
        <v>788</v>
      </c>
      <c r="G26" s="226" t="s">
        <v>707</v>
      </c>
      <c r="H26" s="226" t="s">
        <v>64</v>
      </c>
      <c r="I26" s="226" t="s">
        <v>64</v>
      </c>
      <c r="J26" s="226" t="s">
        <v>64</v>
      </c>
      <c r="K26" s="226" t="s">
        <v>64</v>
      </c>
      <c r="L26" s="226" t="s">
        <v>64</v>
      </c>
      <c r="M26" s="229" t="s">
        <v>64</v>
      </c>
      <c r="N26" s="226">
        <v>1041</v>
      </c>
      <c r="O26" s="226">
        <v>1041</v>
      </c>
      <c r="P26" s="226">
        <v>1041</v>
      </c>
      <c r="Q26" s="278">
        <v>1041</v>
      </c>
      <c r="R26" s="279">
        <v>1374</v>
      </c>
      <c r="S26" s="279">
        <v>1374</v>
      </c>
      <c r="T26" s="279">
        <v>1374</v>
      </c>
      <c r="U26" s="278">
        <v>1374</v>
      </c>
      <c r="V26" s="226" t="s">
        <v>64</v>
      </c>
      <c r="W26" s="226" t="s">
        <v>64</v>
      </c>
      <c r="X26" s="226" t="s">
        <v>64</v>
      </c>
      <c r="Y26" s="229" t="s">
        <v>64</v>
      </c>
      <c r="Z26" s="226" t="s">
        <v>64</v>
      </c>
      <c r="AA26" s="226" t="s">
        <v>64</v>
      </c>
      <c r="AB26" s="226" t="s">
        <v>64</v>
      </c>
      <c r="AC26" s="226" t="s">
        <v>64</v>
      </c>
      <c r="AD26" s="226" t="s">
        <v>64</v>
      </c>
      <c r="AE26" s="226" t="s">
        <v>64</v>
      </c>
      <c r="AF26" s="226" t="s">
        <v>64</v>
      </c>
      <c r="AG26" s="226" t="s">
        <v>64</v>
      </c>
      <c r="AH26" s="202" t="s">
        <v>339</v>
      </c>
      <c r="AI26" s="230" t="s">
        <v>852</v>
      </c>
      <c r="AJ26" s="231" t="s">
        <v>347</v>
      </c>
    </row>
    <row r="28" ht="14.25" customHeight="1" s="5" customFormat="1">
      <c r="A28" s="232" t="s">
        <v>440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</row>
    <row r="30" ht="18" customHeight="1" s="5" customFormat="1">
      <c r="A30" s="233" t="s">
        <v>349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</row>
    <row r="31" ht="15.75" customHeight="1" s="5" customFormat="1">
      <c r="A31" s="234" t="s">
        <v>350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</row>
    <row r="32" ht="15.75" customHeight="1" s="5" customFormat="1">
      <c r="A32" s="24"/>
      <c r="B32" s="157" t="s">
        <v>351</v>
      </c>
      <c r="C32" s="157" t="s">
        <v>352</v>
      </c>
      <c r="D32" s="52"/>
      <c r="E32" s="157" t="s">
        <v>353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</row>
    <row r="33" ht="20.25" customHeight="1" s="5" customFormat="1">
      <c r="A33" s="235" t="s">
        <v>160</v>
      </c>
      <c r="B33" s="280">
        <f>'Current Rents'!D18</f>
        <v>1074</v>
      </c>
      <c r="C33" s="281" t="s">
        <v>64</v>
      </c>
      <c r="D33" s="282"/>
      <c r="E33" s="283" t="e">
        <f t="shared" si="0" ref="E33:E36">B33-C33</f>
        <v>#VALUE!</v>
      </c>
      <c r="F33" s="161" t="e">
        <f>IF(E33&lt;-75,"LOOK INTO INCREASING THE RENT!","")</f>
        <v>#VALUE!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</row>
    <row r="34" ht="20.25" customHeight="1" s="5" customFormat="1">
      <c r="A34" s="235" t="s">
        <v>151</v>
      </c>
      <c r="B34" s="280">
        <f>'Current Rents'!E18</f>
        <v>1166</v>
      </c>
      <c r="C34" s="281">
        <v>1041</v>
      </c>
      <c r="D34" s="282"/>
      <c r="E34" s="284">
        <f t="shared" si="0"/>
        <v>125</v>
      </c>
      <c r="F34" s="161" t="str">
        <f>IF(E34&lt;-75,"LOOK INTO INCREASING THE RENT!","")</f>
        <v/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</row>
    <row r="35" ht="20.25" customHeight="1" s="5" customFormat="1">
      <c r="A35" s="235" t="s">
        <v>152</v>
      </c>
      <c r="B35" s="280">
        <f>'Current Rents'!F18</f>
        <v>1290</v>
      </c>
      <c r="C35" s="281">
        <v>1374</v>
      </c>
      <c r="D35" s="282"/>
      <c r="E35" s="283">
        <f t="shared" si="0"/>
        <v>-84</v>
      </c>
      <c r="F35" s="161" t="str">
        <f>IF(E35&lt;-75,"LOOK INTO INCREASING THE RENT!","")</f>
        <v>LOOK INTO INCREASING THE RENT!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</row>
    <row r="36" ht="20.25" customHeight="1" s="5" customFormat="1">
      <c r="A36" s="235" t="s">
        <v>155</v>
      </c>
      <c r="B36" s="280">
        <f>'Current Rents'!G18</f>
        <v>1433</v>
      </c>
      <c r="C36" s="281" t="s">
        <v>64</v>
      </c>
      <c r="D36" s="282"/>
      <c r="E36" s="283" t="e">
        <f t="shared" si="0"/>
        <v>#VALUE!</v>
      </c>
      <c r="F36" s="161" t="e">
        <f>IF(E36&lt;-75,"LOOK INTO INCREASING THE RENT!","")</f>
        <v>#VALUE!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</row>
  </sheetData>
  <mergeCells>
    <mergeCell ref="C14:D14"/>
    <mergeCell ref="A10:AJ10"/>
    <mergeCell ref="AH9:AJ9"/>
    <mergeCell ref="C32:D32"/>
    <mergeCell ref="A31:H31"/>
    <mergeCell ref="C26:D26"/>
    <mergeCell ref="C18:D18"/>
    <mergeCell ref="A11:AJ11"/>
    <mergeCell ref="C13:D13"/>
    <mergeCell ref="C17:D17"/>
    <mergeCell ref="D19:D24"/>
    <mergeCell ref="A30:H30"/>
    <mergeCell ref="C16:D16"/>
    <mergeCell ref="A28:AJ28"/>
    <mergeCell ref="A9:AG9"/>
    <mergeCell ref="C15:D15"/>
    <mergeCell ref="A12:AJ12"/>
    <mergeCell ref="C25:D25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F13F4B8-0278-00D8-EEA1-023F2502FB18}" mc:Ignorable="x14ac xr xr2 xr3">
  <dimension ref="A1:AB41"/>
  <sheetViews>
    <sheetView topLeftCell="A1" workbookViewId="0">
      <pane ySplit="1" topLeftCell="A20" activePane="bottomLeft" state="frozen"/>
      <selection pane="bottomLeft" activeCell="A35" sqref="A35:XFD39"/>
    </sheetView>
  </sheetViews>
  <sheetFormatPr defaultRowHeight="15" defaultColWidth="9.140625" customHeight="1"/>
  <cols>
    <col min="1" max="1" style="5" width="9.8515625" customWidth="1"/>
    <col min="2" max="2" style="5" width="19.140625" customWidth="1"/>
    <col min="3" max="3" style="5" width="47.140625" customWidth="1"/>
    <col min="4" max="4" style="5" width="2.8515625" customWidth="1"/>
    <col min="5" max="5" style="5" width="31.421875" customWidth="1"/>
    <col min="6" max="6" style="5" width="10.7109375" customWidth="1"/>
    <col min="7" max="9" style="5" width="8.7109375" customWidth="1"/>
    <col min="10" max="10" style="5" width="6.8515625" hidden="1" customWidth="1"/>
    <col min="11" max="11" style="5" width="13.00390625" hidden="1" customWidth="1"/>
    <col min="12" max="12" style="5" width="5.28125" hidden="1" customWidth="1"/>
    <col min="13" max="13" style="5" width="21.140625" customWidth="1"/>
    <col min="14" max="14" style="5" width="6.8515625" hidden="1" customWidth="1"/>
    <col min="15" max="15" style="5" width="13.00390625" hidden="1" customWidth="1"/>
    <col min="16" max="16" style="5" width="5.28125" hidden="1" customWidth="1"/>
    <col min="17" max="17" style="5" width="20.00390625" customWidth="1"/>
    <col min="18" max="25" style="5" width="10.28125" customWidth="1"/>
    <col min="26" max="26" style="5" width="26.00390625" customWidth="1"/>
    <col min="27" max="27" style="5" width="65.7109375" customWidth="1"/>
    <col min="28" max="28" style="5" width="53.42187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5" customHeight="1" s="5" customForma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5" customHeight="1" s="5" customForma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5" customHeight="1" s="5" customForma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21.75" customHeight="1" s="5" customFormat="1"/>
    <row r="7" ht="21.75" customHeight="1" s="5" customFormat="1"/>
    <row r="8" ht="8.25" customHeight="1" s="5" customFormat="1"/>
    <row r="9" ht="36" customHeight="1" s="5" customFormat="1">
      <c r="A9" s="163" t="s">
        <v>853</v>
      </c>
      <c r="B9" s="164"/>
      <c r="C9" s="164"/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5"/>
      <c r="Z9" s="262" t="s">
        <v>854</v>
      </c>
      <c r="AA9" s="164"/>
      <c r="AB9" s="165"/>
    </row>
    <row r="10" ht="18" customHeight="1" s="5" customFormat="1">
      <c r="A10" s="241" t="s">
        <v>855</v>
      </c>
      <c r="B10" s="164"/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5"/>
    </row>
    <row r="11" ht="14.25" customHeight="1" s="5" customFormat="1">
      <c r="A11" s="170" t="s">
        <v>231</v>
      </c>
      <c r="B11" s="164"/>
      <c r="C11" s="164"/>
      <c r="D11" s="164"/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  <c r="AA11" s="164"/>
      <c r="AB11" s="165"/>
    </row>
    <row r="12" ht="25.5" customHeight="1" s="5" customFormat="1">
      <c r="A12" s="285" t="s">
        <v>232</v>
      </c>
      <c r="B12" s="164"/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5"/>
    </row>
    <row r="13" ht="25.5" customHeight="1" s="5" customFormat="1">
      <c r="A13" s="243" t="s">
        <v>233</v>
      </c>
      <c r="B13" s="243" t="s">
        <v>234</v>
      </c>
      <c r="C13" s="243" t="s">
        <v>3</v>
      </c>
      <c r="D13" s="165"/>
      <c r="E13" s="243" t="s">
        <v>235</v>
      </c>
      <c r="F13" s="243" t="s">
        <v>236</v>
      </c>
      <c r="G13" s="244" t="s">
        <v>237</v>
      </c>
      <c r="H13" s="244" t="s">
        <v>238</v>
      </c>
      <c r="I13" s="244" t="s">
        <v>239</v>
      </c>
      <c r="J13" s="244" t="s">
        <v>240</v>
      </c>
      <c r="K13" s="244" t="s">
        <v>241</v>
      </c>
      <c r="L13" s="244" t="s">
        <v>242</v>
      </c>
      <c r="M13" s="245" t="s">
        <v>360</v>
      </c>
      <c r="N13" s="244" t="s">
        <v>244</v>
      </c>
      <c r="O13" s="244" t="s">
        <v>245</v>
      </c>
      <c r="P13" s="244" t="s">
        <v>246</v>
      </c>
      <c r="Q13" s="245" t="s">
        <v>361</v>
      </c>
      <c r="R13" s="247" t="s">
        <v>6</v>
      </c>
      <c r="S13" s="247" t="s">
        <v>248</v>
      </c>
      <c r="T13" s="247" t="s">
        <v>249</v>
      </c>
      <c r="U13" s="247" t="s">
        <v>250</v>
      </c>
      <c r="V13" s="247" t="s">
        <v>251</v>
      </c>
      <c r="W13" s="247" t="s">
        <v>252</v>
      </c>
      <c r="X13" s="247" t="s">
        <v>253</v>
      </c>
      <c r="Y13" s="247" t="s">
        <v>254</v>
      </c>
      <c r="Z13" s="248" t="s">
        <v>255</v>
      </c>
      <c r="AA13" s="249" t="s">
        <v>256</v>
      </c>
      <c r="AB13" s="249" t="s">
        <v>257</v>
      </c>
    </row>
    <row r="14" ht="21.75" customHeight="1" s="5" customFormat="1">
      <c r="A14" s="180" t="s">
        <v>258</v>
      </c>
      <c r="B14" s="181" t="s">
        <v>259</v>
      </c>
      <c r="C14" s="250" t="s">
        <v>856</v>
      </c>
      <c r="D14" s="165"/>
      <c r="E14" s="183" t="s">
        <v>706</v>
      </c>
      <c r="F14" s="183" t="s">
        <v>706</v>
      </c>
      <c r="G14" s="183" t="s">
        <v>707</v>
      </c>
      <c r="H14" s="183" t="s">
        <v>708</v>
      </c>
      <c r="I14" s="183" t="s">
        <v>265</v>
      </c>
      <c r="J14" s="183" t="s">
        <v>709</v>
      </c>
      <c r="K14" s="183" t="s">
        <v>710</v>
      </c>
      <c r="L14" s="183" t="s">
        <v>711</v>
      </c>
      <c r="M14" s="184">
        <f>'Current Rents'!E19</f>
        <v>1346</v>
      </c>
      <c r="N14" s="183" t="s">
        <v>712</v>
      </c>
      <c r="O14" s="183" t="s">
        <v>713</v>
      </c>
      <c r="P14" s="183" t="s">
        <v>714</v>
      </c>
      <c r="Q14" s="184">
        <f>'Current Rents'!F19</f>
        <v>1465</v>
      </c>
      <c r="R14" s="183">
        <v>168</v>
      </c>
      <c r="S14" s="183">
        <v>1975</v>
      </c>
      <c r="T14" s="183" t="s">
        <v>462</v>
      </c>
      <c r="U14" s="186" t="s">
        <v>272</v>
      </c>
      <c r="V14" s="187" t="s">
        <v>273</v>
      </c>
      <c r="W14" s="187" t="s">
        <v>273</v>
      </c>
      <c r="X14" s="187" t="s">
        <v>273</v>
      </c>
      <c r="Y14" s="187" t="s">
        <v>273</v>
      </c>
      <c r="Z14" s="181" t="s">
        <v>259</v>
      </c>
      <c r="AA14" s="188" t="s">
        <v>857</v>
      </c>
      <c r="AB14" s="189" t="s">
        <v>275</v>
      </c>
    </row>
    <row r="15" ht="21.75" customHeight="1" s="5" customFormat="1">
      <c r="A15" s="190" t="s">
        <v>276</v>
      </c>
      <c r="B15" s="251" t="s">
        <v>277</v>
      </c>
      <c r="C15" s="192" t="s">
        <v>858</v>
      </c>
      <c r="D15" s="165"/>
      <c r="E15" s="194" t="s">
        <v>859</v>
      </c>
      <c r="F15" s="194" t="s">
        <v>706</v>
      </c>
      <c r="G15" s="194" t="s">
        <v>707</v>
      </c>
      <c r="H15" s="194" t="s">
        <v>708</v>
      </c>
      <c r="I15" s="194" t="s">
        <v>323</v>
      </c>
      <c r="J15" s="194" t="s">
        <v>709</v>
      </c>
      <c r="K15" s="194" t="s">
        <v>710</v>
      </c>
      <c r="L15" s="194" t="s">
        <v>711</v>
      </c>
      <c r="M15" s="190" t="s">
        <v>283</v>
      </c>
      <c r="N15" s="194" t="s">
        <v>712</v>
      </c>
      <c r="O15" s="194" t="s">
        <v>713</v>
      </c>
      <c r="P15" s="194" t="s">
        <v>714</v>
      </c>
      <c r="Q15" s="190" t="s">
        <v>283</v>
      </c>
      <c r="R15" s="194">
        <v>160</v>
      </c>
      <c r="S15" s="194">
        <v>1975</v>
      </c>
      <c r="T15" s="194">
        <v>0</v>
      </c>
      <c r="U15" s="195" t="s">
        <v>272</v>
      </c>
      <c r="V15" s="196" t="s">
        <v>273</v>
      </c>
      <c r="W15" s="196" t="s">
        <v>273</v>
      </c>
      <c r="X15" s="196" t="s">
        <v>273</v>
      </c>
      <c r="Y15" s="196" t="s">
        <v>273</v>
      </c>
      <c r="Z15" s="268" t="s">
        <v>284</v>
      </c>
      <c r="AA15" s="198" t="s">
        <v>860</v>
      </c>
      <c r="AB15" s="199" t="s">
        <v>728</v>
      </c>
    </row>
    <row r="16" ht="21.75" customHeight="1" s="5" customFormat="1">
      <c r="A16" s="190" t="s">
        <v>210</v>
      </c>
      <c r="B16" s="251" t="s">
        <v>277</v>
      </c>
      <c r="C16" s="192" t="s">
        <v>861</v>
      </c>
      <c r="D16" s="165"/>
      <c r="E16" s="194" t="s">
        <v>862</v>
      </c>
      <c r="F16" s="194" t="s">
        <v>731</v>
      </c>
      <c r="G16" s="194" t="s">
        <v>707</v>
      </c>
      <c r="H16" s="194" t="s">
        <v>732</v>
      </c>
      <c r="I16" s="194" t="s">
        <v>733</v>
      </c>
      <c r="J16" s="194" t="s">
        <v>709</v>
      </c>
      <c r="K16" s="194" t="s">
        <v>710</v>
      </c>
      <c r="L16" s="194" t="s">
        <v>711</v>
      </c>
      <c r="M16" s="190" t="s">
        <v>283</v>
      </c>
      <c r="N16" s="194" t="s">
        <v>712</v>
      </c>
      <c r="O16" s="194" t="s">
        <v>713</v>
      </c>
      <c r="P16" s="194" t="s">
        <v>714</v>
      </c>
      <c r="Q16" s="190" t="s">
        <v>283</v>
      </c>
      <c r="R16" s="194">
        <v>150</v>
      </c>
      <c r="S16" s="194">
        <v>1976</v>
      </c>
      <c r="T16" s="194">
        <v>1</v>
      </c>
      <c r="U16" s="195" t="s">
        <v>272</v>
      </c>
      <c r="V16" s="196" t="s">
        <v>273</v>
      </c>
      <c r="W16" s="196" t="s">
        <v>273</v>
      </c>
      <c r="X16" s="196" t="s">
        <v>273</v>
      </c>
      <c r="Y16" s="196" t="s">
        <v>273</v>
      </c>
      <c r="Z16" s="269" t="s">
        <v>564</v>
      </c>
      <c r="AA16" s="198" t="s">
        <v>863</v>
      </c>
      <c r="AB16" s="199" t="s">
        <v>286</v>
      </c>
    </row>
    <row r="17" ht="21.75" customHeight="1" s="5" customFormat="1">
      <c r="A17" s="190" t="s">
        <v>181</v>
      </c>
      <c r="B17" s="251" t="s">
        <v>277</v>
      </c>
      <c r="C17" s="192" t="s">
        <v>864</v>
      </c>
      <c r="D17" s="165"/>
      <c r="E17" s="194" t="s">
        <v>865</v>
      </c>
      <c r="F17" s="194" t="s">
        <v>866</v>
      </c>
      <c r="G17" s="194" t="s">
        <v>707</v>
      </c>
      <c r="H17" s="194" t="s">
        <v>867</v>
      </c>
      <c r="I17" s="194" t="s">
        <v>742</v>
      </c>
      <c r="J17" s="194" t="s">
        <v>709</v>
      </c>
      <c r="K17" s="194" t="s">
        <v>710</v>
      </c>
      <c r="L17" s="194" t="s">
        <v>711</v>
      </c>
      <c r="M17" s="190" t="s">
        <v>283</v>
      </c>
      <c r="N17" s="194" t="s">
        <v>712</v>
      </c>
      <c r="O17" s="194" t="s">
        <v>713</v>
      </c>
      <c r="P17" s="194" t="s">
        <v>714</v>
      </c>
      <c r="Q17" s="190" t="s">
        <v>283</v>
      </c>
      <c r="R17" s="194">
        <v>172</v>
      </c>
      <c r="S17" s="194">
        <v>1974</v>
      </c>
      <c r="T17" s="194">
        <v>1</v>
      </c>
      <c r="U17" s="195" t="s">
        <v>272</v>
      </c>
      <c r="V17" s="196" t="s">
        <v>273</v>
      </c>
      <c r="W17" s="196" t="s">
        <v>273</v>
      </c>
      <c r="X17" s="196" t="s">
        <v>273</v>
      </c>
      <c r="Y17" s="196" t="s">
        <v>273</v>
      </c>
      <c r="Z17" s="269" t="s">
        <v>564</v>
      </c>
      <c r="AA17" s="198" t="s">
        <v>868</v>
      </c>
      <c r="AB17" s="199" t="s">
        <v>869</v>
      </c>
    </row>
    <row r="18" ht="21.75" customHeight="1" s="5" customFormat="1">
      <c r="A18" s="190" t="s">
        <v>320</v>
      </c>
      <c r="B18" s="251" t="s">
        <v>277</v>
      </c>
      <c r="C18" s="192" t="s">
        <v>870</v>
      </c>
      <c r="D18" s="165"/>
      <c r="E18" s="194" t="s">
        <v>871</v>
      </c>
      <c r="F18" s="194" t="s">
        <v>706</v>
      </c>
      <c r="G18" s="194" t="s">
        <v>707</v>
      </c>
      <c r="H18" s="194" t="s">
        <v>708</v>
      </c>
      <c r="I18" s="194" t="s">
        <v>330</v>
      </c>
      <c r="J18" s="194" t="s">
        <v>709</v>
      </c>
      <c r="K18" s="194" t="s">
        <v>710</v>
      </c>
      <c r="L18" s="194" t="s">
        <v>711</v>
      </c>
      <c r="M18" s="190" t="s">
        <v>283</v>
      </c>
      <c r="N18" s="194" t="s">
        <v>712</v>
      </c>
      <c r="O18" s="194" t="s">
        <v>713</v>
      </c>
      <c r="P18" s="194" t="s">
        <v>714</v>
      </c>
      <c r="Q18" s="190" t="s">
        <v>283</v>
      </c>
      <c r="R18" s="194">
        <v>156</v>
      </c>
      <c r="S18" s="194">
        <v>1977</v>
      </c>
      <c r="T18" s="194">
        <v>2</v>
      </c>
      <c r="U18" s="195" t="s">
        <v>272</v>
      </c>
      <c r="V18" s="196" t="s">
        <v>273</v>
      </c>
      <c r="W18" s="196" t="s">
        <v>273</v>
      </c>
      <c r="X18" s="196" t="s">
        <v>273</v>
      </c>
      <c r="Y18" s="196" t="s">
        <v>273</v>
      </c>
      <c r="Z18" s="268" t="s">
        <v>284</v>
      </c>
      <c r="AA18" s="198" t="s">
        <v>872</v>
      </c>
      <c r="AB18" s="199" t="s">
        <v>286</v>
      </c>
    </row>
    <row r="19" ht="26.25" customHeight="1" s="5" customFormat="1">
      <c r="A19" s="201" t="s">
        <v>276</v>
      </c>
      <c r="B19" s="202" t="s">
        <v>300</v>
      </c>
      <c r="C19" s="215" t="s">
        <v>751</v>
      </c>
      <c r="D19" s="253" t="s">
        <v>302</v>
      </c>
      <c r="E19" s="205" t="s">
        <v>752</v>
      </c>
      <c r="F19" s="205" t="s">
        <v>706</v>
      </c>
      <c r="G19" s="205" t="s">
        <v>707</v>
      </c>
      <c r="H19" s="205" t="s">
        <v>708</v>
      </c>
      <c r="I19" s="205" t="s">
        <v>592</v>
      </c>
      <c r="J19" s="206" t="s">
        <v>64</v>
      </c>
      <c r="K19" s="206" t="s">
        <v>64</v>
      </c>
      <c r="L19" s="206" t="s">
        <v>64</v>
      </c>
      <c r="M19" s="219" t="s">
        <v>64</v>
      </c>
      <c r="N19" s="206" t="s">
        <v>64</v>
      </c>
      <c r="O19" s="206" t="s">
        <v>64</v>
      </c>
      <c r="P19" s="206" t="s">
        <v>64</v>
      </c>
      <c r="Q19" s="208">
        <v>850</v>
      </c>
      <c r="R19" s="205" t="s">
        <v>64</v>
      </c>
      <c r="S19" s="205" t="s">
        <v>64</v>
      </c>
      <c r="T19" s="205" t="s">
        <v>64</v>
      </c>
      <c r="U19" s="201" t="s">
        <v>64</v>
      </c>
      <c r="V19" s="201" t="s">
        <v>64</v>
      </c>
      <c r="W19" s="210" t="s">
        <v>273</v>
      </c>
      <c r="X19" s="201" t="s">
        <v>64</v>
      </c>
      <c r="Y19" s="201" t="s">
        <v>64</v>
      </c>
      <c r="Z19" s="268" t="s">
        <v>284</v>
      </c>
      <c r="AA19" s="213" t="s">
        <v>873</v>
      </c>
      <c r="AB19" s="214" t="s">
        <v>824</v>
      </c>
    </row>
    <row r="20" ht="26.25" customHeight="1" s="5" customFormat="1">
      <c r="A20" s="201" t="s">
        <v>210</v>
      </c>
      <c r="B20" s="202" t="s">
        <v>300</v>
      </c>
      <c r="C20" s="215" t="s">
        <v>755</v>
      </c>
      <c r="D20" s="216"/>
      <c r="E20" s="205" t="s">
        <v>756</v>
      </c>
      <c r="F20" s="205" t="s">
        <v>706</v>
      </c>
      <c r="G20" s="205" t="s">
        <v>707</v>
      </c>
      <c r="H20" s="205" t="s">
        <v>708</v>
      </c>
      <c r="I20" s="205" t="s">
        <v>323</v>
      </c>
      <c r="J20" s="206" t="s">
        <v>64</v>
      </c>
      <c r="K20" s="206" t="s">
        <v>64</v>
      </c>
      <c r="L20" s="206" t="s">
        <v>64</v>
      </c>
      <c r="M20" s="219" t="s">
        <v>64</v>
      </c>
      <c r="N20" s="206" t="s">
        <v>64</v>
      </c>
      <c r="O20" s="206" t="s">
        <v>64</v>
      </c>
      <c r="P20" s="206" t="s">
        <v>64</v>
      </c>
      <c r="Q20" s="208">
        <v>815</v>
      </c>
      <c r="R20" s="205" t="s">
        <v>64</v>
      </c>
      <c r="S20" s="205" t="s">
        <v>64</v>
      </c>
      <c r="T20" s="205" t="s">
        <v>64</v>
      </c>
      <c r="U20" s="201" t="s">
        <v>64</v>
      </c>
      <c r="V20" s="201" t="s">
        <v>64</v>
      </c>
      <c r="W20" s="210" t="s">
        <v>273</v>
      </c>
      <c r="X20" s="201" t="s">
        <v>64</v>
      </c>
      <c r="Y20" s="201" t="s">
        <v>64</v>
      </c>
      <c r="Z20" s="268" t="s">
        <v>284</v>
      </c>
      <c r="AA20" s="213" t="s">
        <v>874</v>
      </c>
      <c r="AB20" s="214" t="s">
        <v>824</v>
      </c>
    </row>
    <row r="21" ht="26.25" customHeight="1" s="5" customFormat="1">
      <c r="A21" s="201" t="s">
        <v>181</v>
      </c>
      <c r="B21" s="202" t="s">
        <v>300</v>
      </c>
      <c r="C21" s="215" t="s">
        <v>762</v>
      </c>
      <c r="D21" s="216"/>
      <c r="E21" s="205" t="s">
        <v>763</v>
      </c>
      <c r="F21" s="205" t="s">
        <v>706</v>
      </c>
      <c r="G21" s="205" t="s">
        <v>707</v>
      </c>
      <c r="H21" s="205" t="s">
        <v>708</v>
      </c>
      <c r="I21" s="205" t="s">
        <v>499</v>
      </c>
      <c r="J21" s="206" t="s">
        <v>64</v>
      </c>
      <c r="K21" s="206" t="s">
        <v>64</v>
      </c>
      <c r="L21" s="206" t="s">
        <v>64</v>
      </c>
      <c r="M21" s="219" t="s">
        <v>64</v>
      </c>
      <c r="N21" s="206" t="s">
        <v>64</v>
      </c>
      <c r="O21" s="206" t="s">
        <v>64</v>
      </c>
      <c r="P21" s="206" t="s">
        <v>64</v>
      </c>
      <c r="Q21" s="208">
        <v>730</v>
      </c>
      <c r="R21" s="205" t="s">
        <v>64</v>
      </c>
      <c r="S21" s="205" t="s">
        <v>64</v>
      </c>
      <c r="T21" s="205" t="s">
        <v>64</v>
      </c>
      <c r="U21" s="201" t="s">
        <v>64</v>
      </c>
      <c r="V21" s="201" t="s">
        <v>64</v>
      </c>
      <c r="W21" s="210" t="s">
        <v>273</v>
      </c>
      <c r="X21" s="201" t="s">
        <v>64</v>
      </c>
      <c r="Y21" s="201" t="s">
        <v>64</v>
      </c>
      <c r="Z21" s="268" t="s">
        <v>284</v>
      </c>
      <c r="AA21" s="213" t="s">
        <v>875</v>
      </c>
      <c r="AB21" s="214" t="s">
        <v>824</v>
      </c>
    </row>
    <row r="22" ht="26.25" customHeight="1" s="5" customFormat="1">
      <c r="A22" s="201" t="s">
        <v>320</v>
      </c>
      <c r="B22" s="202" t="s">
        <v>300</v>
      </c>
      <c r="C22" s="215" t="s">
        <v>758</v>
      </c>
      <c r="D22" s="216"/>
      <c r="E22" s="205" t="s">
        <v>759</v>
      </c>
      <c r="F22" s="205" t="s">
        <v>706</v>
      </c>
      <c r="G22" s="205" t="s">
        <v>707</v>
      </c>
      <c r="H22" s="205" t="s">
        <v>708</v>
      </c>
      <c r="I22" s="205" t="s">
        <v>330</v>
      </c>
      <c r="J22" s="206" t="s">
        <v>64</v>
      </c>
      <c r="K22" s="206" t="s">
        <v>64</v>
      </c>
      <c r="L22" s="206" t="s">
        <v>64</v>
      </c>
      <c r="M22" s="219" t="s">
        <v>64</v>
      </c>
      <c r="N22" s="206" t="s">
        <v>64</v>
      </c>
      <c r="O22" s="206" t="s">
        <v>64</v>
      </c>
      <c r="P22" s="206" t="s">
        <v>64</v>
      </c>
      <c r="Q22" s="208">
        <v>850</v>
      </c>
      <c r="R22" s="205" t="s">
        <v>64</v>
      </c>
      <c r="S22" s="205" t="s">
        <v>64</v>
      </c>
      <c r="T22" s="205" t="s">
        <v>64</v>
      </c>
      <c r="U22" s="201" t="s">
        <v>64</v>
      </c>
      <c r="V22" s="201" t="s">
        <v>64</v>
      </c>
      <c r="W22" s="210" t="s">
        <v>273</v>
      </c>
      <c r="X22" s="201" t="s">
        <v>64</v>
      </c>
      <c r="Y22" s="201" t="s">
        <v>64</v>
      </c>
      <c r="Z22" s="268" t="s">
        <v>284</v>
      </c>
      <c r="AA22" s="213" t="s">
        <v>876</v>
      </c>
      <c r="AB22" s="214" t="s">
        <v>824</v>
      </c>
    </row>
    <row r="23" ht="26.25" customHeight="1" s="5" customFormat="1">
      <c r="A23" s="201" t="s">
        <v>326</v>
      </c>
      <c r="B23" s="202" t="s">
        <v>300</v>
      </c>
      <c r="C23" s="215" t="s">
        <v>877</v>
      </c>
      <c r="D23" s="216"/>
      <c r="E23" s="205" t="s">
        <v>878</v>
      </c>
      <c r="F23" s="205" t="s">
        <v>706</v>
      </c>
      <c r="G23" s="205" t="s">
        <v>707</v>
      </c>
      <c r="H23" s="205" t="s">
        <v>708</v>
      </c>
      <c r="I23" s="205" t="s">
        <v>774</v>
      </c>
      <c r="J23" s="206" t="s">
        <v>64</v>
      </c>
      <c r="K23" s="206" t="s">
        <v>64</v>
      </c>
      <c r="L23" s="206" t="s">
        <v>64</v>
      </c>
      <c r="M23" s="219" t="s">
        <v>64</v>
      </c>
      <c r="N23" s="206" t="s">
        <v>64</v>
      </c>
      <c r="O23" s="206" t="s">
        <v>64</v>
      </c>
      <c r="P23" s="206" t="s">
        <v>64</v>
      </c>
      <c r="Q23" s="208">
        <v>1289</v>
      </c>
      <c r="R23" s="205">
        <v>1</v>
      </c>
      <c r="S23" s="205" t="s">
        <v>64</v>
      </c>
      <c r="T23" s="205" t="s">
        <v>64</v>
      </c>
      <c r="U23" s="201" t="s">
        <v>64</v>
      </c>
      <c r="V23" s="201" t="s">
        <v>64</v>
      </c>
      <c r="W23" s="210" t="s">
        <v>273</v>
      </c>
      <c r="X23" s="201" t="s">
        <v>64</v>
      </c>
      <c r="Y23" s="201" t="s">
        <v>64</v>
      </c>
      <c r="Z23" s="268" t="s">
        <v>284</v>
      </c>
      <c r="AA23" s="213" t="s">
        <v>879</v>
      </c>
      <c r="AB23" s="214" t="s">
        <v>824</v>
      </c>
    </row>
    <row r="24" ht="26.25" customHeight="1" s="5" customFormat="1">
      <c r="A24" s="201" t="s">
        <v>205</v>
      </c>
      <c r="B24" s="202" t="s">
        <v>300</v>
      </c>
      <c r="C24" s="215" t="s">
        <v>880</v>
      </c>
      <c r="D24" s="218"/>
      <c r="E24" s="205" t="s">
        <v>766</v>
      </c>
      <c r="F24" s="205" t="s">
        <v>706</v>
      </c>
      <c r="G24" s="205" t="s">
        <v>707</v>
      </c>
      <c r="H24" s="205" t="s">
        <v>708</v>
      </c>
      <c r="I24" s="205" t="s">
        <v>881</v>
      </c>
      <c r="J24" s="206" t="s">
        <v>64</v>
      </c>
      <c r="K24" s="206" t="s">
        <v>64</v>
      </c>
      <c r="L24" s="206" t="s">
        <v>64</v>
      </c>
      <c r="M24" s="219" t="s">
        <v>64</v>
      </c>
      <c r="N24" s="206" t="s">
        <v>64</v>
      </c>
      <c r="O24" s="206" t="s">
        <v>64</v>
      </c>
      <c r="P24" s="206" t="s">
        <v>64</v>
      </c>
      <c r="Q24" s="208">
        <v>1150</v>
      </c>
      <c r="R24" s="205">
        <v>1</v>
      </c>
      <c r="S24" s="205" t="s">
        <v>64</v>
      </c>
      <c r="T24" s="205" t="s">
        <v>64</v>
      </c>
      <c r="U24" s="201" t="s">
        <v>64</v>
      </c>
      <c r="V24" s="201" t="s">
        <v>64</v>
      </c>
      <c r="W24" s="210" t="s">
        <v>273</v>
      </c>
      <c r="X24" s="201" t="s">
        <v>64</v>
      </c>
      <c r="Y24" s="201" t="s">
        <v>64</v>
      </c>
      <c r="Z24" s="268" t="s">
        <v>284</v>
      </c>
      <c r="AA24" s="213" t="s">
        <v>882</v>
      </c>
      <c r="AB24" s="214" t="s">
        <v>824</v>
      </c>
    </row>
    <row r="25" ht="28.5" customHeight="1" s="5" customFormat="1">
      <c r="A25" s="220" t="s">
        <v>154</v>
      </c>
      <c r="B25" s="257" t="s">
        <v>339</v>
      </c>
      <c r="C25" s="222" t="s">
        <v>777</v>
      </c>
      <c r="D25" s="165"/>
      <c r="E25" s="220" t="s">
        <v>64</v>
      </c>
      <c r="F25" s="220" t="s">
        <v>706</v>
      </c>
      <c r="G25" s="220" t="s">
        <v>707</v>
      </c>
      <c r="H25" s="220" t="s">
        <v>64</v>
      </c>
      <c r="I25" s="220" t="s">
        <v>64</v>
      </c>
      <c r="J25" s="220" t="s">
        <v>711</v>
      </c>
      <c r="K25" s="220" t="s">
        <v>711</v>
      </c>
      <c r="L25" s="220" t="s">
        <v>711</v>
      </c>
      <c r="M25" s="220" t="s">
        <v>64</v>
      </c>
      <c r="N25" s="220" t="s">
        <v>714</v>
      </c>
      <c r="O25" s="220" t="s">
        <v>714</v>
      </c>
      <c r="P25" s="220" t="s">
        <v>714</v>
      </c>
      <c r="Q25" s="220" t="s">
        <v>64</v>
      </c>
      <c r="R25" s="220" t="s">
        <v>64</v>
      </c>
      <c r="S25" s="220" t="s">
        <v>64</v>
      </c>
      <c r="T25" s="220" t="s">
        <v>64</v>
      </c>
      <c r="U25" s="220" t="s">
        <v>64</v>
      </c>
      <c r="V25" s="220" t="s">
        <v>64</v>
      </c>
      <c r="W25" s="220" t="s">
        <v>64</v>
      </c>
      <c r="X25" s="220" t="s">
        <v>64</v>
      </c>
      <c r="Y25" s="220" t="s">
        <v>64</v>
      </c>
      <c r="Z25" s="202" t="s">
        <v>339</v>
      </c>
      <c r="AA25" s="224" t="s">
        <v>883</v>
      </c>
      <c r="AB25" s="225" t="s">
        <v>342</v>
      </c>
    </row>
    <row r="26" ht="34.5" customHeight="1" s="5" customFormat="1">
      <c r="A26" s="226" t="s">
        <v>154</v>
      </c>
      <c r="B26" s="257" t="s">
        <v>339</v>
      </c>
      <c r="C26" s="227" t="s">
        <v>779</v>
      </c>
      <c r="D26" s="165"/>
      <c r="E26" s="226" t="s">
        <v>64</v>
      </c>
      <c r="F26" s="226" t="s">
        <v>706</v>
      </c>
      <c r="G26" s="226" t="s">
        <v>707</v>
      </c>
      <c r="H26" s="226" t="s">
        <v>64</v>
      </c>
      <c r="I26" s="226" t="s">
        <v>64</v>
      </c>
      <c r="J26" s="226" t="s">
        <v>64</v>
      </c>
      <c r="K26" s="226" t="s">
        <v>64</v>
      </c>
      <c r="L26" s="226" t="s">
        <v>64</v>
      </c>
      <c r="M26" s="229" t="s">
        <v>64</v>
      </c>
      <c r="N26" s="226">
        <v>786</v>
      </c>
      <c r="O26" s="226">
        <v>786</v>
      </c>
      <c r="P26" s="226">
        <v>786</v>
      </c>
      <c r="Q26" s="286">
        <f>AVERAGE(Q19:Q24)</f>
        <v>947.333333333333</v>
      </c>
      <c r="R26" s="226" t="s">
        <v>64</v>
      </c>
      <c r="S26" s="226" t="s">
        <v>64</v>
      </c>
      <c r="T26" s="226" t="s">
        <v>64</v>
      </c>
      <c r="U26" s="226" t="s">
        <v>64</v>
      </c>
      <c r="V26" s="226" t="s">
        <v>64</v>
      </c>
      <c r="W26" s="226" t="s">
        <v>64</v>
      </c>
      <c r="X26" s="226" t="s">
        <v>64</v>
      </c>
      <c r="Y26" s="226" t="s">
        <v>64</v>
      </c>
      <c r="Z26" s="202" t="s">
        <v>339</v>
      </c>
      <c r="AA26" s="230" t="s">
        <v>884</v>
      </c>
      <c r="AB26" s="231" t="s">
        <v>347</v>
      </c>
    </row>
    <row r="28" ht="14.25" customHeight="1" s="5" customFormat="1">
      <c r="A28" s="232" t="s">
        <v>440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30" ht="18" customHeight="1" s="5" customFormat="1">
      <c r="A30" s="233" t="s">
        <v>349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ht="15.75" customHeight="1" s="5" customFormat="1">
      <c r="A31" s="234" t="s">
        <v>350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ht="15.75" customHeight="1" s="5" customFormat="1">
      <c r="A32" s="24"/>
      <c r="B32" s="157" t="s">
        <v>351</v>
      </c>
      <c r="C32" s="157" t="s">
        <v>352</v>
      </c>
      <c r="D32" s="52"/>
      <c r="E32" s="157" t="s">
        <v>353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ht="20.25" customHeight="1" s="5" customFormat="1">
      <c r="A33" s="235" t="s">
        <v>151</v>
      </c>
      <c r="B33" s="287">
        <f>'Current Rents'!E19</f>
        <v>1346</v>
      </c>
      <c r="C33" s="276" t="s">
        <v>64</v>
      </c>
      <c r="D33" s="5"/>
      <c r="E33" s="258" t="e">
        <f>B33-C33</f>
        <v>#VALUE!</v>
      </c>
      <c r="F33" s="161" t="e">
        <f>IF(E33&lt;-75,"LOOK INTO INCREASING THE RENT!","")</f>
        <v>#VALUE!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ht="20.25" customHeight="1" s="5" customFormat="1">
      <c r="A34" s="235" t="s">
        <v>152</v>
      </c>
      <c r="B34" s="287">
        <f>'Current Rents'!F19</f>
        <v>1465</v>
      </c>
      <c r="C34" s="288">
        <f>Q26</f>
        <v>947.333333333333</v>
      </c>
      <c r="D34" s="5"/>
      <c r="E34" s="239">
        <f>C34-B34</f>
        <v>-517.666666666667</v>
      </c>
      <c r="F34" s="161" t="str">
        <f>IF(E34&lt;-75,"LOOK INTO INCREASING THE RENT!","")</f>
        <v>LOOK INTO INCREASING THE RENT!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</sheetData>
  <mergeCells>
    <mergeCell ref="C26:D26"/>
    <mergeCell ref="C32:D32"/>
    <mergeCell ref="C17:D17"/>
    <mergeCell ref="C16:D16"/>
    <mergeCell ref="A10:AB10"/>
    <mergeCell ref="C18:D18"/>
    <mergeCell ref="A12:AB12"/>
    <mergeCell ref="D19:D24"/>
    <mergeCell ref="A11:AB11"/>
    <mergeCell ref="C33:D33"/>
    <mergeCell ref="C14:D14"/>
    <mergeCell ref="C13:D13"/>
    <mergeCell ref="C25:D25"/>
    <mergeCell ref="A9:Y9"/>
    <mergeCell ref="C34:D34"/>
    <mergeCell ref="A31:H31"/>
    <mergeCell ref="A30:H30"/>
    <mergeCell ref="C15:D15"/>
    <mergeCell ref="Z9:AB9"/>
    <mergeCell ref="A28:AB28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F00F76F-6CAC-CF38-2F33-1A2341BDE75E}" mc:Ignorable="x14ac xr xr2 xr3">
  <dimension ref="A1:AA30"/>
  <sheetViews>
    <sheetView topLeftCell="A1" workbookViewId="0">
      <pane ySplit="1" topLeftCell="A16" activePane="bottomLeft" state="frozen"/>
      <selection pane="bottomLeft" activeCell="A27" sqref="A27:E27"/>
    </sheetView>
  </sheetViews>
  <sheetFormatPr defaultRowHeight="15" defaultColWidth="9.140625" customHeight="1"/>
  <cols>
    <col min="1" max="1" style="5" width="7.421875" customWidth="1"/>
    <col min="2" max="2" style="5" width="15.00390625" customWidth="1"/>
    <col min="3" max="3" style="5" width="43.421875" customWidth="1"/>
    <col min="4" max="4" style="5" width="2.8515625" customWidth="1"/>
    <col min="5" max="5" style="5" width="27.00390625" customWidth="1"/>
    <col min="6" max="6" style="5" width="14.8515625" customWidth="1"/>
    <col min="7" max="7" style="5" width="5.00390625" customWidth="1"/>
    <col min="8" max="8" style="5" width="6.7109375" customWidth="1"/>
    <col min="9" max="9" style="5" width="12.00390625" customWidth="1"/>
    <col min="10" max="10" style="5" width="6.8515625" hidden="1" customWidth="1"/>
    <col min="11" max="11" style="5" width="13.00390625" hidden="1" customWidth="1"/>
    <col min="12" max="12" style="5" width="5.28125" hidden="1" customWidth="1"/>
    <col min="13" max="13" style="5" width="6.8515625" hidden="1" customWidth="1"/>
    <col min="14" max="14" style="5" width="13.00390625" hidden="1" customWidth="1"/>
    <col min="15" max="15" style="5" width="5.28125" hidden="1" customWidth="1"/>
    <col min="16" max="16" style="5" width="18.8515625" customWidth="1"/>
    <col min="17" max="19" style="5" width="9.28125" customWidth="1"/>
    <col min="20" max="20" style="5" width="13.28125" customWidth="1"/>
    <col min="21" max="21" style="5" width="13.140625" customWidth="1"/>
    <col min="22" max="24" style="5" width="9.28125" customWidth="1"/>
    <col min="25" max="25" style="5" width="25.28125" customWidth="1"/>
    <col min="26" max="26" style="5" width="65.7109375" customWidth="1"/>
    <col min="27" max="27" style="5" width="53.42187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21.75" customHeight="1" s="5" customFormat="1"/>
    <row r="4" ht="21.75" customHeight="1" s="5" customFormat="1"/>
    <row r="5" ht="8.25" customHeight="1" s="5" customFormat="1"/>
    <row r="6" ht="36" customHeight="1" s="5" customFormat="1">
      <c r="A6" s="163" t="s">
        <v>885</v>
      </c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5"/>
      <c r="Y6" s="262" t="s">
        <v>886</v>
      </c>
      <c r="Z6" s="164"/>
      <c r="AA6" s="165"/>
    </row>
    <row r="7" ht="18" customHeight="1" s="5" customFormat="1">
      <c r="A7" s="241" t="s">
        <v>887</v>
      </c>
      <c r="B7" s="164"/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5"/>
    </row>
    <row r="8" ht="14.25" customHeight="1" s="5" customFormat="1">
      <c r="A8" s="170" t="s">
        <v>888</v>
      </c>
      <c r="B8" s="164"/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  <c r="AA8" s="165"/>
    </row>
    <row r="9" ht="52.5" customHeight="1" s="5" customFormat="1">
      <c r="A9" s="285" t="s">
        <v>232</v>
      </c>
      <c r="B9" s="164"/>
      <c r="C9" s="164"/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5"/>
    </row>
    <row r="10" ht="25.5" customHeight="1" s="5" customFormat="1">
      <c r="A10" s="243" t="s">
        <v>233</v>
      </c>
      <c r="B10" s="243" t="s">
        <v>234</v>
      </c>
      <c r="C10" s="243" t="s">
        <v>3</v>
      </c>
      <c r="D10" s="165"/>
      <c r="E10" s="243" t="s">
        <v>235</v>
      </c>
      <c r="F10" s="243" t="s">
        <v>236</v>
      </c>
      <c r="G10" s="244" t="s">
        <v>237</v>
      </c>
      <c r="H10" s="244" t="s">
        <v>238</v>
      </c>
      <c r="I10" s="244" t="s">
        <v>239</v>
      </c>
      <c r="J10" s="244" t="s">
        <v>444</v>
      </c>
      <c r="K10" s="244" t="s">
        <v>445</v>
      </c>
      <c r="L10" s="244" t="s">
        <v>446</v>
      </c>
      <c r="M10" s="244" t="s">
        <v>240</v>
      </c>
      <c r="N10" s="244" t="s">
        <v>241</v>
      </c>
      <c r="O10" s="244" t="s">
        <v>242</v>
      </c>
      <c r="P10" s="245" t="s">
        <v>360</v>
      </c>
      <c r="Q10" s="247" t="s">
        <v>6</v>
      </c>
      <c r="R10" s="247" t="s">
        <v>248</v>
      </c>
      <c r="S10" s="247" t="s">
        <v>249</v>
      </c>
      <c r="T10" s="289" t="s">
        <v>250</v>
      </c>
      <c r="U10" s="289" t="s">
        <v>251</v>
      </c>
      <c r="V10" s="247" t="s">
        <v>252</v>
      </c>
      <c r="W10" s="247" t="s">
        <v>253</v>
      </c>
      <c r="X10" s="247" t="s">
        <v>254</v>
      </c>
      <c r="Y10" s="248" t="s">
        <v>255</v>
      </c>
      <c r="Z10" s="249" t="s">
        <v>256</v>
      </c>
      <c r="AA10" s="249" t="s">
        <v>257</v>
      </c>
    </row>
    <row r="11" ht="21.75" customHeight="1" s="5" customFormat="1">
      <c r="A11" s="180" t="s">
        <v>258</v>
      </c>
      <c r="B11" s="181" t="s">
        <v>259</v>
      </c>
      <c r="C11" s="182" t="s">
        <v>889</v>
      </c>
      <c r="D11" s="169"/>
      <c r="E11" s="183" t="s">
        <v>890</v>
      </c>
      <c r="F11" s="183" t="s">
        <v>891</v>
      </c>
      <c r="G11" s="183" t="s">
        <v>892</v>
      </c>
      <c r="H11" s="183" t="s">
        <v>893</v>
      </c>
      <c r="I11" s="183" t="s">
        <v>265</v>
      </c>
      <c r="J11" s="183" t="s">
        <v>894</v>
      </c>
      <c r="K11" s="183" t="s">
        <v>894</v>
      </c>
      <c r="L11" s="183" t="s">
        <v>895</v>
      </c>
      <c r="M11" s="183" t="s">
        <v>894</v>
      </c>
      <c r="N11" s="183" t="s">
        <v>894</v>
      </c>
      <c r="O11" s="183" t="s">
        <v>896</v>
      </c>
      <c r="P11" s="184">
        <f>'Current Rents'!E20</f>
        <v>1400</v>
      </c>
      <c r="Q11" s="183">
        <v>160</v>
      </c>
      <c r="R11" s="183">
        <v>1996</v>
      </c>
      <c r="S11" s="183" t="s">
        <v>462</v>
      </c>
      <c r="T11" s="187" t="s">
        <v>897</v>
      </c>
      <c r="U11" s="187" t="s">
        <v>273</v>
      </c>
      <c r="V11" s="187" t="s">
        <v>273</v>
      </c>
      <c r="W11" s="187" t="s">
        <v>273</v>
      </c>
      <c r="X11" s="187" t="s">
        <v>273</v>
      </c>
      <c r="Y11" s="181" t="s">
        <v>259</v>
      </c>
      <c r="Z11" s="188" t="s">
        <v>898</v>
      </c>
      <c r="AA11" s="189" t="s">
        <v>275</v>
      </c>
    </row>
    <row r="12" ht="21.75" customHeight="1" s="5" customFormat="1">
      <c r="A12" s="190" t="s">
        <v>276</v>
      </c>
      <c r="B12" s="191" t="s">
        <v>277</v>
      </c>
      <c r="C12" s="192" t="s">
        <v>899</v>
      </c>
      <c r="D12" s="165"/>
      <c r="E12" s="193" t="s">
        <v>900</v>
      </c>
      <c r="F12" s="194" t="s">
        <v>901</v>
      </c>
      <c r="G12" s="194" t="s">
        <v>892</v>
      </c>
      <c r="H12" s="194" t="s">
        <v>902</v>
      </c>
      <c r="I12" s="194" t="s">
        <v>903</v>
      </c>
      <c r="J12" s="194" t="s">
        <v>64</v>
      </c>
      <c r="K12" s="194" t="s">
        <v>64</v>
      </c>
      <c r="L12" s="194" t="s">
        <v>895</v>
      </c>
      <c r="M12" s="194" t="s">
        <v>64</v>
      </c>
      <c r="N12" s="194" t="s">
        <v>64</v>
      </c>
      <c r="O12" s="194" t="s">
        <v>896</v>
      </c>
      <c r="P12" s="190" t="s">
        <v>283</v>
      </c>
      <c r="Q12" s="194">
        <v>160</v>
      </c>
      <c r="R12" s="194">
        <v>1996</v>
      </c>
      <c r="S12" s="194">
        <v>0</v>
      </c>
      <c r="T12" s="195" t="s">
        <v>272</v>
      </c>
      <c r="U12" s="196" t="s">
        <v>273</v>
      </c>
      <c r="V12" s="196" t="s">
        <v>273</v>
      </c>
      <c r="W12" s="196" t="s">
        <v>273</v>
      </c>
      <c r="X12" s="196" t="s">
        <v>273</v>
      </c>
      <c r="Y12" s="268" t="s">
        <v>284</v>
      </c>
      <c r="Z12" s="198" t="s">
        <v>904</v>
      </c>
      <c r="AA12" s="199" t="s">
        <v>638</v>
      </c>
    </row>
    <row r="13" ht="21.75" customHeight="1" s="5" customFormat="1">
      <c r="A13" s="190" t="s">
        <v>210</v>
      </c>
      <c r="B13" s="191" t="s">
        <v>277</v>
      </c>
      <c r="C13" s="192" t="s">
        <v>905</v>
      </c>
      <c r="D13" s="165"/>
      <c r="E13" s="193" t="s">
        <v>906</v>
      </c>
      <c r="F13" s="194" t="s">
        <v>907</v>
      </c>
      <c r="G13" s="194" t="s">
        <v>892</v>
      </c>
      <c r="H13" s="194" t="s">
        <v>908</v>
      </c>
      <c r="I13" s="194" t="s">
        <v>909</v>
      </c>
      <c r="J13" s="194" t="s">
        <v>64</v>
      </c>
      <c r="K13" s="194" t="s">
        <v>64</v>
      </c>
      <c r="L13" s="194" t="s">
        <v>895</v>
      </c>
      <c r="M13" s="194" t="s">
        <v>64</v>
      </c>
      <c r="N13" s="194" t="s">
        <v>64</v>
      </c>
      <c r="O13" s="194" t="s">
        <v>896</v>
      </c>
      <c r="P13" s="252">
        <v>1031</v>
      </c>
      <c r="Q13" s="194">
        <v>150</v>
      </c>
      <c r="R13" s="194">
        <v>1996</v>
      </c>
      <c r="S13" s="194">
        <v>0</v>
      </c>
      <c r="T13" s="195" t="s">
        <v>272</v>
      </c>
      <c r="U13" s="196" t="s">
        <v>273</v>
      </c>
      <c r="V13" s="196" t="s">
        <v>273</v>
      </c>
      <c r="W13" s="196" t="s">
        <v>273</v>
      </c>
      <c r="X13" s="196" t="s">
        <v>273</v>
      </c>
      <c r="Y13" s="268" t="s">
        <v>284</v>
      </c>
      <c r="Z13" s="198" t="s">
        <v>910</v>
      </c>
      <c r="AA13" s="199" t="s">
        <v>638</v>
      </c>
    </row>
    <row r="14" ht="21.75" customHeight="1" s="5" customFormat="1">
      <c r="A14" s="190" t="s">
        <v>181</v>
      </c>
      <c r="B14" s="191" t="s">
        <v>277</v>
      </c>
      <c r="C14" s="192" t="s">
        <v>911</v>
      </c>
      <c r="D14" s="165"/>
      <c r="E14" s="193" t="s">
        <v>912</v>
      </c>
      <c r="F14" s="194" t="s">
        <v>891</v>
      </c>
      <c r="G14" s="194" t="s">
        <v>892</v>
      </c>
      <c r="H14" s="194" t="s">
        <v>913</v>
      </c>
      <c r="I14" s="194" t="s">
        <v>914</v>
      </c>
      <c r="J14" s="194" t="s">
        <v>64</v>
      </c>
      <c r="K14" s="194" t="s">
        <v>64</v>
      </c>
      <c r="L14" s="194" t="s">
        <v>895</v>
      </c>
      <c r="M14" s="194" t="s">
        <v>64</v>
      </c>
      <c r="N14" s="194" t="s">
        <v>64</v>
      </c>
      <c r="O14" s="194" t="s">
        <v>896</v>
      </c>
      <c r="P14" s="190" t="s">
        <v>283</v>
      </c>
      <c r="Q14" s="194">
        <v>102</v>
      </c>
      <c r="R14" s="194">
        <v>1996</v>
      </c>
      <c r="S14" s="194">
        <v>0</v>
      </c>
      <c r="T14" s="195" t="s">
        <v>272</v>
      </c>
      <c r="U14" s="196" t="s">
        <v>273</v>
      </c>
      <c r="V14" s="196" t="s">
        <v>273</v>
      </c>
      <c r="W14" s="196" t="s">
        <v>273</v>
      </c>
      <c r="X14" s="196" t="s">
        <v>273</v>
      </c>
      <c r="Y14" s="268" t="s">
        <v>284</v>
      </c>
      <c r="Z14" s="198" t="s">
        <v>915</v>
      </c>
      <c r="AA14" s="199" t="s">
        <v>638</v>
      </c>
    </row>
    <row r="15" ht="21.75" customHeight="1" s="5" customFormat="1">
      <c r="A15" s="190" t="s">
        <v>320</v>
      </c>
      <c r="B15" s="191" t="s">
        <v>277</v>
      </c>
      <c r="C15" s="192" t="s">
        <v>916</v>
      </c>
      <c r="D15" s="165"/>
      <c r="E15" s="193" t="s">
        <v>917</v>
      </c>
      <c r="F15" s="194" t="s">
        <v>907</v>
      </c>
      <c r="G15" s="194" t="s">
        <v>892</v>
      </c>
      <c r="H15" s="194" t="s">
        <v>908</v>
      </c>
      <c r="I15" s="194" t="s">
        <v>918</v>
      </c>
      <c r="J15" s="194" t="s">
        <v>64</v>
      </c>
      <c r="K15" s="194" t="s">
        <v>64</v>
      </c>
      <c r="L15" s="194" t="s">
        <v>895</v>
      </c>
      <c r="M15" s="194" t="s">
        <v>64</v>
      </c>
      <c r="N15" s="194" t="s">
        <v>64</v>
      </c>
      <c r="O15" s="194" t="s">
        <v>896</v>
      </c>
      <c r="P15" s="190" t="s">
        <v>283</v>
      </c>
      <c r="Q15" s="194">
        <v>124</v>
      </c>
      <c r="R15" s="194">
        <v>1996</v>
      </c>
      <c r="S15" s="194">
        <v>0</v>
      </c>
      <c r="T15" s="195" t="s">
        <v>272</v>
      </c>
      <c r="U15" s="196" t="s">
        <v>273</v>
      </c>
      <c r="V15" s="196" t="s">
        <v>273</v>
      </c>
      <c r="W15" s="196" t="s">
        <v>273</v>
      </c>
      <c r="X15" s="196" t="s">
        <v>273</v>
      </c>
      <c r="Y15" s="268" t="s">
        <v>284</v>
      </c>
      <c r="Z15" s="198" t="s">
        <v>919</v>
      </c>
      <c r="AA15" s="199" t="s">
        <v>638</v>
      </c>
    </row>
    <row r="16" ht="26.25" customHeight="1" s="5" customFormat="1">
      <c r="A16" s="201" t="s">
        <v>276</v>
      </c>
      <c r="B16" s="202" t="s">
        <v>300</v>
      </c>
      <c r="C16" s="203" t="s">
        <v>920</v>
      </c>
      <c r="D16" s="204" t="s">
        <v>302</v>
      </c>
      <c r="E16" s="205" t="s">
        <v>921</v>
      </c>
      <c r="F16" s="205" t="s">
        <v>891</v>
      </c>
      <c r="G16" s="205" t="s">
        <v>892</v>
      </c>
      <c r="H16" s="205" t="s">
        <v>893</v>
      </c>
      <c r="I16" s="205" t="s">
        <v>376</v>
      </c>
      <c r="J16" s="206" t="s">
        <v>64</v>
      </c>
      <c r="K16" s="206" t="s">
        <v>64</v>
      </c>
      <c r="L16" s="206" t="s">
        <v>895</v>
      </c>
      <c r="M16" s="206" t="s">
        <v>64</v>
      </c>
      <c r="N16" s="206" t="s">
        <v>64</v>
      </c>
      <c r="O16" s="206" t="s">
        <v>896</v>
      </c>
      <c r="P16" s="219" t="s">
        <v>64</v>
      </c>
      <c r="Q16" s="205" t="s">
        <v>64</v>
      </c>
      <c r="R16" s="205">
        <v>1994</v>
      </c>
      <c r="S16" s="205">
        <v>2</v>
      </c>
      <c r="T16" s="210" t="s">
        <v>273</v>
      </c>
      <c r="U16" s="201" t="s">
        <v>507</v>
      </c>
      <c r="V16" s="201" t="s">
        <v>507</v>
      </c>
      <c r="W16" s="201" t="s">
        <v>507</v>
      </c>
      <c r="X16" s="201" t="s">
        <v>507</v>
      </c>
      <c r="Y16" s="268" t="s">
        <v>284</v>
      </c>
      <c r="Z16" s="213" t="s">
        <v>922</v>
      </c>
      <c r="AA16" s="214" t="s">
        <v>923</v>
      </c>
    </row>
    <row r="17" ht="26.25" customHeight="1" s="5" customFormat="1">
      <c r="A17" s="201" t="s">
        <v>210</v>
      </c>
      <c r="B17" s="202" t="s">
        <v>300</v>
      </c>
      <c r="C17" s="215" t="s">
        <v>924</v>
      </c>
      <c r="D17" s="216"/>
      <c r="E17" s="205" t="s">
        <v>925</v>
      </c>
      <c r="F17" s="205" t="s">
        <v>891</v>
      </c>
      <c r="G17" s="205" t="s">
        <v>892</v>
      </c>
      <c r="H17" s="205" t="s">
        <v>893</v>
      </c>
      <c r="I17" s="205" t="s">
        <v>323</v>
      </c>
      <c r="J17" s="206" t="s">
        <v>64</v>
      </c>
      <c r="K17" s="206" t="s">
        <v>64</v>
      </c>
      <c r="L17" s="206" t="s">
        <v>895</v>
      </c>
      <c r="M17" s="206" t="s">
        <v>64</v>
      </c>
      <c r="N17" s="206" t="s">
        <v>64</v>
      </c>
      <c r="O17" s="206" t="s">
        <v>896</v>
      </c>
      <c r="P17" s="208">
        <v>1175</v>
      </c>
      <c r="Q17" s="205" t="s">
        <v>64</v>
      </c>
      <c r="R17" s="205">
        <v>1995</v>
      </c>
      <c r="S17" s="205">
        <v>1</v>
      </c>
      <c r="T17" s="210" t="s">
        <v>273</v>
      </c>
      <c r="U17" s="201" t="s">
        <v>507</v>
      </c>
      <c r="V17" s="201" t="s">
        <v>507</v>
      </c>
      <c r="W17" s="201" t="s">
        <v>507</v>
      </c>
      <c r="X17" s="201" t="s">
        <v>507</v>
      </c>
      <c r="Y17" s="268" t="s">
        <v>284</v>
      </c>
      <c r="Z17" s="213" t="s">
        <v>926</v>
      </c>
      <c r="AA17" s="214" t="s">
        <v>927</v>
      </c>
    </row>
    <row r="18" ht="26.25" customHeight="1" s="5" customFormat="1">
      <c r="A18" s="201" t="s">
        <v>181</v>
      </c>
      <c r="B18" s="202" t="s">
        <v>300</v>
      </c>
      <c r="C18" s="215" t="s">
        <v>928</v>
      </c>
      <c r="D18" s="216"/>
      <c r="E18" s="205" t="s">
        <v>929</v>
      </c>
      <c r="F18" s="205" t="s">
        <v>891</v>
      </c>
      <c r="G18" s="205" t="s">
        <v>892</v>
      </c>
      <c r="H18" s="205" t="s">
        <v>893</v>
      </c>
      <c r="I18" s="205" t="s">
        <v>930</v>
      </c>
      <c r="J18" s="206" t="s">
        <v>64</v>
      </c>
      <c r="K18" s="206" t="s">
        <v>64</v>
      </c>
      <c r="L18" s="206" t="s">
        <v>895</v>
      </c>
      <c r="M18" s="206" t="s">
        <v>64</v>
      </c>
      <c r="N18" s="206" t="s">
        <v>64</v>
      </c>
      <c r="O18" s="206" t="s">
        <v>896</v>
      </c>
      <c r="P18" s="208">
        <v>1095</v>
      </c>
      <c r="Q18" s="205" t="s">
        <v>64</v>
      </c>
      <c r="R18" s="205">
        <v>1996</v>
      </c>
      <c r="S18" s="205">
        <v>0</v>
      </c>
      <c r="T18" s="210" t="s">
        <v>273</v>
      </c>
      <c r="U18" s="201" t="s">
        <v>507</v>
      </c>
      <c r="V18" s="201" t="s">
        <v>507</v>
      </c>
      <c r="W18" s="201" t="s">
        <v>507</v>
      </c>
      <c r="X18" s="201" t="s">
        <v>507</v>
      </c>
      <c r="Y18" s="268" t="s">
        <v>284</v>
      </c>
      <c r="Z18" s="213" t="s">
        <v>931</v>
      </c>
      <c r="AA18" s="214" t="s">
        <v>932</v>
      </c>
    </row>
    <row r="19" ht="26.25" customHeight="1" s="5" customFormat="1">
      <c r="A19" s="201" t="s">
        <v>320</v>
      </c>
      <c r="B19" s="202" t="s">
        <v>300</v>
      </c>
      <c r="C19" s="215" t="s">
        <v>933</v>
      </c>
      <c r="D19" s="216"/>
      <c r="E19" s="205" t="s">
        <v>934</v>
      </c>
      <c r="F19" s="205" t="s">
        <v>891</v>
      </c>
      <c r="G19" s="205" t="s">
        <v>892</v>
      </c>
      <c r="H19" s="205" t="s">
        <v>893</v>
      </c>
      <c r="I19" s="205" t="s">
        <v>323</v>
      </c>
      <c r="J19" s="206" t="s">
        <v>64</v>
      </c>
      <c r="K19" s="206" t="s">
        <v>64</v>
      </c>
      <c r="L19" s="206" t="s">
        <v>895</v>
      </c>
      <c r="M19" s="206" t="s">
        <v>64</v>
      </c>
      <c r="N19" s="206" t="s">
        <v>64</v>
      </c>
      <c r="O19" s="206" t="s">
        <v>896</v>
      </c>
      <c r="P19" s="208">
        <v>1109</v>
      </c>
      <c r="Q19" s="205" t="s">
        <v>64</v>
      </c>
      <c r="R19" s="205">
        <v>1998</v>
      </c>
      <c r="S19" s="205">
        <v>2</v>
      </c>
      <c r="T19" s="210" t="s">
        <v>273</v>
      </c>
      <c r="U19" s="201" t="s">
        <v>507</v>
      </c>
      <c r="V19" s="201" t="s">
        <v>507</v>
      </c>
      <c r="W19" s="201" t="s">
        <v>507</v>
      </c>
      <c r="X19" s="201" t="s">
        <v>507</v>
      </c>
      <c r="Y19" s="268" t="s">
        <v>284</v>
      </c>
      <c r="Z19" s="213" t="s">
        <v>935</v>
      </c>
      <c r="AA19" s="214" t="s">
        <v>936</v>
      </c>
    </row>
    <row r="20" ht="26.25" customHeight="1" s="5" customFormat="1">
      <c r="A20" s="201" t="s">
        <v>326</v>
      </c>
      <c r="B20" s="202" t="s">
        <v>300</v>
      </c>
      <c r="C20" s="215" t="s">
        <v>937</v>
      </c>
      <c r="D20" s="216"/>
      <c r="E20" s="205" t="s">
        <v>938</v>
      </c>
      <c r="F20" s="205" t="s">
        <v>891</v>
      </c>
      <c r="G20" s="205" t="s">
        <v>892</v>
      </c>
      <c r="H20" s="205" t="s">
        <v>893</v>
      </c>
      <c r="I20" s="205" t="s">
        <v>930</v>
      </c>
      <c r="J20" s="206" t="s">
        <v>64</v>
      </c>
      <c r="K20" s="206" t="s">
        <v>64</v>
      </c>
      <c r="L20" s="206" t="s">
        <v>895</v>
      </c>
      <c r="M20" s="206" t="s">
        <v>64</v>
      </c>
      <c r="N20" s="206" t="s">
        <v>64</v>
      </c>
      <c r="O20" s="206" t="s">
        <v>896</v>
      </c>
      <c r="P20" s="208">
        <v>1025</v>
      </c>
      <c r="Q20" s="205" t="s">
        <v>64</v>
      </c>
      <c r="R20" s="205">
        <v>1997</v>
      </c>
      <c r="S20" s="205">
        <v>1</v>
      </c>
      <c r="T20" s="201" t="s">
        <v>64</v>
      </c>
      <c r="U20" s="201" t="s">
        <v>64</v>
      </c>
      <c r="V20" s="201" t="s">
        <v>64</v>
      </c>
      <c r="W20" s="201" t="s">
        <v>64</v>
      </c>
      <c r="X20" s="201" t="s">
        <v>64</v>
      </c>
      <c r="Y20" s="268" t="s">
        <v>284</v>
      </c>
      <c r="Z20" s="213" t="s">
        <v>939</v>
      </c>
      <c r="AA20" s="214" t="s">
        <v>940</v>
      </c>
    </row>
    <row r="21" ht="26.25" customHeight="1" s="5" customFormat="1">
      <c r="A21" s="201" t="s">
        <v>205</v>
      </c>
      <c r="B21" s="202" t="s">
        <v>300</v>
      </c>
      <c r="C21" s="215" t="s">
        <v>941</v>
      </c>
      <c r="D21" s="218"/>
      <c r="E21" s="205" t="s">
        <v>942</v>
      </c>
      <c r="F21" s="205" t="s">
        <v>891</v>
      </c>
      <c r="G21" s="205" t="s">
        <v>892</v>
      </c>
      <c r="H21" s="205" t="s">
        <v>893</v>
      </c>
      <c r="I21" s="205" t="s">
        <v>525</v>
      </c>
      <c r="J21" s="206" t="s">
        <v>64</v>
      </c>
      <c r="K21" s="206" t="s">
        <v>64</v>
      </c>
      <c r="L21" s="206" t="s">
        <v>895</v>
      </c>
      <c r="M21" s="206" t="s">
        <v>64</v>
      </c>
      <c r="N21" s="206" t="s">
        <v>64</v>
      </c>
      <c r="O21" s="206" t="s">
        <v>896</v>
      </c>
      <c r="P21" s="208">
        <v>1030</v>
      </c>
      <c r="Q21" s="205" t="s">
        <v>64</v>
      </c>
      <c r="R21" s="205">
        <v>1993</v>
      </c>
      <c r="S21" s="205">
        <v>3</v>
      </c>
      <c r="T21" s="201" t="s">
        <v>64</v>
      </c>
      <c r="U21" s="201" t="s">
        <v>64</v>
      </c>
      <c r="V21" s="201" t="s">
        <v>64</v>
      </c>
      <c r="W21" s="201" t="s">
        <v>64</v>
      </c>
      <c r="X21" s="201" t="s">
        <v>64</v>
      </c>
      <c r="Y21" s="268" t="s">
        <v>284</v>
      </c>
      <c r="Z21" s="213" t="s">
        <v>943</v>
      </c>
      <c r="AA21" s="214" t="s">
        <v>944</v>
      </c>
    </row>
    <row r="22" ht="28.5" customHeight="1" s="5" customFormat="1">
      <c r="A22" s="220" t="s">
        <v>154</v>
      </c>
      <c r="B22" s="257" t="s">
        <v>339</v>
      </c>
      <c r="C22" s="222" t="s">
        <v>945</v>
      </c>
      <c r="D22" s="165"/>
      <c r="E22" s="220" t="s">
        <v>64</v>
      </c>
      <c r="F22" s="220" t="s">
        <v>891</v>
      </c>
      <c r="G22" s="220" t="s">
        <v>892</v>
      </c>
      <c r="H22" s="220" t="s">
        <v>64</v>
      </c>
      <c r="I22" s="220" t="s">
        <v>64</v>
      </c>
      <c r="J22" s="220" t="s">
        <v>895</v>
      </c>
      <c r="K22" s="220" t="s">
        <v>895</v>
      </c>
      <c r="L22" s="220" t="s">
        <v>895</v>
      </c>
      <c r="M22" s="220" t="s">
        <v>896</v>
      </c>
      <c r="N22" s="220" t="s">
        <v>896</v>
      </c>
      <c r="O22" s="220" t="s">
        <v>896</v>
      </c>
      <c r="P22" s="220" t="s">
        <v>64</v>
      </c>
      <c r="Q22" s="220" t="s">
        <v>64</v>
      </c>
      <c r="R22" s="220" t="s">
        <v>64</v>
      </c>
      <c r="S22" s="220" t="s">
        <v>64</v>
      </c>
      <c r="T22" s="220" t="s">
        <v>64</v>
      </c>
      <c r="U22" s="220" t="s">
        <v>64</v>
      </c>
      <c r="V22" s="220" t="s">
        <v>64</v>
      </c>
      <c r="W22" s="220" t="s">
        <v>64</v>
      </c>
      <c r="X22" s="220" t="s">
        <v>64</v>
      </c>
      <c r="Y22" s="202" t="s">
        <v>339</v>
      </c>
      <c r="Z22" s="224" t="s">
        <v>946</v>
      </c>
      <c r="AA22" s="225" t="s">
        <v>342</v>
      </c>
    </row>
    <row r="23" ht="34.5" customHeight="1" s="5" customFormat="1">
      <c r="A23" s="226" t="s">
        <v>154</v>
      </c>
      <c r="B23" s="257" t="s">
        <v>339</v>
      </c>
      <c r="C23" s="227" t="s">
        <v>947</v>
      </c>
      <c r="D23" s="165"/>
      <c r="E23" s="226" t="s">
        <v>64</v>
      </c>
      <c r="F23" s="226" t="s">
        <v>891</v>
      </c>
      <c r="G23" s="226" t="s">
        <v>892</v>
      </c>
      <c r="H23" s="226" t="s">
        <v>64</v>
      </c>
      <c r="I23" s="226" t="s">
        <v>64</v>
      </c>
      <c r="J23" s="226">
        <v>952</v>
      </c>
      <c r="K23" s="226">
        <v>952</v>
      </c>
      <c r="L23" s="226">
        <v>952</v>
      </c>
      <c r="M23" s="226">
        <v>1087</v>
      </c>
      <c r="N23" s="226">
        <v>1087</v>
      </c>
      <c r="O23" s="226">
        <v>1087</v>
      </c>
      <c r="P23" s="229">
        <v>1087</v>
      </c>
      <c r="Q23" s="226" t="s">
        <v>64</v>
      </c>
      <c r="R23" s="226" t="s">
        <v>64</v>
      </c>
      <c r="S23" s="226" t="s">
        <v>64</v>
      </c>
      <c r="T23" s="226" t="s">
        <v>64</v>
      </c>
      <c r="U23" s="226" t="s">
        <v>64</v>
      </c>
      <c r="V23" s="226" t="s">
        <v>64</v>
      </c>
      <c r="W23" s="226" t="s">
        <v>64</v>
      </c>
      <c r="X23" s="226" t="s">
        <v>64</v>
      </c>
      <c r="Y23" s="202" t="s">
        <v>339</v>
      </c>
      <c r="Z23" s="230" t="s">
        <v>948</v>
      </c>
      <c r="AA23" s="231" t="s">
        <v>347</v>
      </c>
    </row>
    <row r="25" ht="14.25" customHeight="1" s="5" customFormat="1">
      <c r="A25" s="232" t="s">
        <v>440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7" ht="18" customHeight="1" s="5" customFormat="1">
      <c r="A27" s="233" t="s">
        <v>349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 s="5" customFormat="1">
      <c r="A28" s="234" t="s">
        <v>350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 s="5" customFormat="1">
      <c r="A29" s="24"/>
      <c r="B29" s="157" t="s">
        <v>351</v>
      </c>
      <c r="C29" s="157" t="s">
        <v>352</v>
      </c>
      <c r="D29" s="52"/>
      <c r="E29" s="157" t="s">
        <v>353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20.25" customHeight="1" s="5" customFormat="1">
      <c r="A30" s="235" t="s">
        <v>151</v>
      </c>
      <c r="B30" s="287">
        <f>'Current Rents'!E20</f>
        <v>1400</v>
      </c>
      <c r="C30" s="290">
        <v>1087</v>
      </c>
      <c r="D30" s="5"/>
      <c r="E30" s="291">
        <f>B30-C30</f>
        <v>313</v>
      </c>
      <c r="F30" s="161" t="str">
        <f>IF(E30&lt;-75,"LOOK INTO INCREASING THE RENT!","")</f>
        <v/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</sheetData>
  <mergeCells>
    <mergeCell ref="A8:AA8"/>
    <mergeCell ref="A9:AA9"/>
    <mergeCell ref="C22:D22"/>
    <mergeCell ref="C12:D12"/>
    <mergeCell ref="A27:H27"/>
    <mergeCell ref="C11:D11"/>
    <mergeCell ref="A7:AA7"/>
    <mergeCell ref="A25:AA25"/>
    <mergeCell ref="C14:D14"/>
    <mergeCell ref="A28:H28"/>
    <mergeCell ref="C23:D23"/>
    <mergeCell ref="A6:X6"/>
    <mergeCell ref="C13:D13"/>
    <mergeCell ref="C29:D29"/>
    <mergeCell ref="Y6:AA6"/>
    <mergeCell ref="C10:D10"/>
    <mergeCell ref="C30:D30"/>
    <mergeCell ref="C15:D15"/>
    <mergeCell ref="D16:D21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334FDA8-81E1-C208-884A-DD9B8490FB08}" mc:Ignorable="x14ac xr xr2 xr3">
  <dimension ref="A1:AX502"/>
  <sheetViews>
    <sheetView topLeftCell="A1" workbookViewId="0">
      <pane ySplit="1" topLeftCell="A18" activePane="bottomLeft" state="frozen"/>
      <selection pane="bottomLeft" activeCell="O27" sqref="O27"/>
    </sheetView>
  </sheetViews>
  <sheetFormatPr defaultRowHeight="21.75" defaultColWidth="9.140625" customHeight="1"/>
  <cols>
    <col min="1" max="1" style="5" width="6.8515625" customWidth="1"/>
    <col min="2" max="2" style="5" width="13.8515625" customWidth="1"/>
    <col min="3" max="3" style="5" width="36.57421875" customWidth="1"/>
    <col min="4" max="4" style="5" width="2.8515625" customWidth="1"/>
    <col min="5" max="5" style="5" width="18.28125" customWidth="1"/>
    <col min="6" max="6" style="5" width="28.28125" customWidth="1"/>
    <col min="7" max="7" style="5" width="2.8515625" customWidth="1"/>
    <col min="8" max="8" style="5" width="6.28125" customWidth="1"/>
    <col min="9" max="9" style="5" width="6.57421875" customWidth="1"/>
    <col min="10" max="10" style="5" width="6.8515625" hidden="1" customWidth="1"/>
    <col min="11" max="11" style="5" width="6.8515625" customWidth="1"/>
    <col min="12" max="12" style="5" width="5.28125" hidden="1" customWidth="1"/>
    <col min="13" max="13" style="5" width="8.00390625" customWidth="1"/>
    <col min="14" max="14" style="5" width="6.8515625" hidden="1" customWidth="1"/>
    <col min="15" max="15" style="5" width="6.8515625" customWidth="1"/>
    <col min="16" max="16" style="5" width="5.28125" hidden="1" customWidth="1"/>
    <col min="17" max="17" style="5" width="9.00390625" customWidth="1"/>
    <col min="18" max="18" style="5" width="4.7109375" customWidth="1"/>
    <col min="19" max="19" style="5" width="6.140625" customWidth="1"/>
    <col min="20" max="20" style="5" width="5.28125" customWidth="1"/>
    <col min="21" max="21" style="5" width="4.8515625" customWidth="1"/>
    <col min="22" max="25" style="5" width="7.28125" customWidth="1"/>
    <col min="26" max="26" style="5" width="20.57421875" customWidth="1"/>
    <col min="27" max="27" style="5" width="48.57421875" customWidth="1"/>
    <col min="28" max="28" style="5" width="52.42187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ht="21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ht="15" customHeight="1" s="5" customForma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5" customHeight="1" s="5" customForma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5" customHeight="1" s="5" customForma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21.75" customHeight="1" s="5" customFormat="1"/>
    <row r="7" ht="21.75" customHeight="1" s="5" customFormat="1"/>
    <row r="8" ht="8.25" customHeight="1" s="5" customFormat="1"/>
    <row r="9" ht="36" customHeight="1" s="5" customFormat="1">
      <c r="A9" s="163" t="s">
        <v>949</v>
      </c>
      <c r="B9" s="164"/>
      <c r="C9" s="164"/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5"/>
      <c r="Z9" s="262" t="s">
        <v>950</v>
      </c>
      <c r="AA9" s="164"/>
      <c r="AB9" s="165"/>
    </row>
    <row r="10" ht="18" customHeight="1" s="5" customFormat="1">
      <c r="A10" s="241" t="s">
        <v>951</v>
      </c>
      <c r="B10" s="164"/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5"/>
    </row>
    <row r="11" ht="14.25" customHeight="1" s="5" customFormat="1">
      <c r="A11" s="170" t="s">
        <v>952</v>
      </c>
      <c r="B11" s="164"/>
      <c r="C11" s="164"/>
      <c r="D11" s="164"/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  <c r="AA11" s="164"/>
      <c r="AB11" s="165"/>
    </row>
    <row r="12" ht="25.5" customHeight="1" s="5" customFormat="1">
      <c r="A12" s="171" t="s">
        <v>232</v>
      </c>
      <c r="B12" s="164"/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5"/>
    </row>
    <row r="13" ht="25.5" customHeight="1" s="5" customFormat="1">
      <c r="A13" s="243" t="s">
        <v>233</v>
      </c>
      <c r="B13" s="243" t="s">
        <v>234</v>
      </c>
      <c r="C13" s="243" t="s">
        <v>3</v>
      </c>
      <c r="D13" s="165"/>
      <c r="E13" s="243" t="s">
        <v>235</v>
      </c>
      <c r="F13" s="243" t="s">
        <v>236</v>
      </c>
      <c r="G13" s="244" t="s">
        <v>237</v>
      </c>
      <c r="H13" s="244" t="s">
        <v>238</v>
      </c>
      <c r="I13" s="244" t="s">
        <v>239</v>
      </c>
      <c r="J13" s="244" t="s">
        <v>240</v>
      </c>
      <c r="K13" s="244" t="s">
        <v>241</v>
      </c>
      <c r="L13" s="244" t="s">
        <v>242</v>
      </c>
      <c r="M13" s="248" t="s">
        <v>360</v>
      </c>
      <c r="N13" s="244" t="s">
        <v>697</v>
      </c>
      <c r="O13" s="244" t="s">
        <v>698</v>
      </c>
      <c r="P13" s="244" t="s">
        <v>699</v>
      </c>
      <c r="Q13" s="248" t="s">
        <v>700</v>
      </c>
      <c r="R13" s="247" t="s">
        <v>6</v>
      </c>
      <c r="S13" s="247" t="s">
        <v>248</v>
      </c>
      <c r="T13" s="247" t="s">
        <v>249</v>
      </c>
      <c r="U13" s="247" t="s">
        <v>250</v>
      </c>
      <c r="V13" s="247" t="s">
        <v>251</v>
      </c>
      <c r="W13" s="247" t="s">
        <v>252</v>
      </c>
      <c r="X13" s="247" t="s">
        <v>253</v>
      </c>
      <c r="Y13" s="247" t="s">
        <v>254</v>
      </c>
      <c r="Z13" s="248" t="s">
        <v>255</v>
      </c>
      <c r="AA13" s="249" t="s">
        <v>256</v>
      </c>
      <c r="AB13" s="249" t="s">
        <v>257</v>
      </c>
    </row>
    <row r="14" ht="21.75" customHeight="1" s="5" customFormat="1">
      <c r="A14" s="180" t="s">
        <v>258</v>
      </c>
      <c r="B14" s="181" t="s">
        <v>259</v>
      </c>
      <c r="C14" s="250" t="s">
        <v>953</v>
      </c>
      <c r="D14" s="165"/>
      <c r="E14" s="183" t="s">
        <v>954</v>
      </c>
      <c r="F14" s="183" t="s">
        <v>955</v>
      </c>
      <c r="G14" s="183" t="s">
        <v>956</v>
      </c>
      <c r="H14" s="183" t="s">
        <v>957</v>
      </c>
      <c r="I14" s="183" t="s">
        <v>265</v>
      </c>
      <c r="J14" s="183" t="s">
        <v>958</v>
      </c>
      <c r="K14" s="183" t="s">
        <v>959</v>
      </c>
      <c r="L14" s="183" t="s">
        <v>960</v>
      </c>
      <c r="M14" s="184">
        <f>'Current Rents'!E21</f>
        <v>964</v>
      </c>
      <c r="N14" s="183" t="s">
        <v>961</v>
      </c>
      <c r="O14" s="183" t="s">
        <v>962</v>
      </c>
      <c r="P14" s="183" t="s">
        <v>963</v>
      </c>
      <c r="Q14" s="184">
        <f>'Current Rents'!G21</f>
        <v>1221</v>
      </c>
      <c r="R14" s="183">
        <v>66</v>
      </c>
      <c r="S14" s="183">
        <v>1997</v>
      </c>
      <c r="T14" s="183" t="s">
        <v>462</v>
      </c>
      <c r="U14" s="187" t="s">
        <v>273</v>
      </c>
      <c r="V14" s="187" t="s">
        <v>273</v>
      </c>
      <c r="W14" s="187" t="s">
        <v>273</v>
      </c>
      <c r="X14" s="187" t="s">
        <v>273</v>
      </c>
      <c r="Y14" s="187" t="s">
        <v>273</v>
      </c>
      <c r="Z14" s="181" t="s">
        <v>259</v>
      </c>
      <c r="AA14" s="188" t="s">
        <v>964</v>
      </c>
      <c r="AB14" s="189" t="s">
        <v>275</v>
      </c>
    </row>
    <row r="15" ht="21.75" customHeight="1" s="5" customFormat="1">
      <c r="A15" s="190" t="s">
        <v>276</v>
      </c>
      <c r="B15" s="251" t="s">
        <v>277</v>
      </c>
      <c r="C15" s="192" t="s">
        <v>47</v>
      </c>
      <c r="D15" s="165"/>
      <c r="E15" s="194" t="s">
        <v>965</v>
      </c>
      <c r="F15" s="194" t="s">
        <v>955</v>
      </c>
      <c r="G15" s="194" t="s">
        <v>956</v>
      </c>
      <c r="H15" s="194" t="s">
        <v>957</v>
      </c>
      <c r="I15" s="194" t="s">
        <v>305</v>
      </c>
      <c r="J15" s="194" t="s">
        <v>958</v>
      </c>
      <c r="K15" s="194" t="s">
        <v>959</v>
      </c>
      <c r="L15" s="194" t="s">
        <v>960</v>
      </c>
      <c r="M15" s="190" t="s">
        <v>283</v>
      </c>
      <c r="N15" s="194" t="s">
        <v>961</v>
      </c>
      <c r="O15" s="194" t="s">
        <v>962</v>
      </c>
      <c r="P15" s="194" t="s">
        <v>963</v>
      </c>
      <c r="Q15" s="190" t="s">
        <v>283</v>
      </c>
      <c r="R15" s="194">
        <v>66</v>
      </c>
      <c r="S15" s="194">
        <v>1997</v>
      </c>
      <c r="T15" s="194">
        <v>0</v>
      </c>
      <c r="U15" s="195" t="s">
        <v>272</v>
      </c>
      <c r="V15" s="196" t="s">
        <v>273</v>
      </c>
      <c r="W15" s="196" t="s">
        <v>273</v>
      </c>
      <c r="X15" s="196" t="s">
        <v>273</v>
      </c>
      <c r="Y15" s="196" t="s">
        <v>273</v>
      </c>
      <c r="Z15" s="268" t="s">
        <v>284</v>
      </c>
      <c r="AA15" s="198" t="s">
        <v>966</v>
      </c>
      <c r="AB15" s="199" t="s">
        <v>967</v>
      </c>
    </row>
    <row r="16" ht="21.75" customHeight="1" s="5" customFormat="1">
      <c r="A16" s="190" t="s">
        <v>210</v>
      </c>
      <c r="B16" s="251" t="s">
        <v>277</v>
      </c>
      <c r="C16" s="192" t="s">
        <v>52</v>
      </c>
      <c r="D16" s="165"/>
      <c r="E16" s="194" t="s">
        <v>968</v>
      </c>
      <c r="F16" s="194" t="s">
        <v>969</v>
      </c>
      <c r="G16" s="194" t="s">
        <v>956</v>
      </c>
      <c r="H16" s="194" t="s">
        <v>970</v>
      </c>
      <c r="I16" s="194" t="s">
        <v>971</v>
      </c>
      <c r="J16" s="194" t="s">
        <v>958</v>
      </c>
      <c r="K16" s="194" t="s">
        <v>959</v>
      </c>
      <c r="L16" s="194" t="s">
        <v>960</v>
      </c>
      <c r="M16" s="190" t="s">
        <v>283</v>
      </c>
      <c r="N16" s="194" t="s">
        <v>961</v>
      </c>
      <c r="O16" s="194" t="s">
        <v>962</v>
      </c>
      <c r="P16" s="194" t="s">
        <v>963</v>
      </c>
      <c r="Q16" s="252">
        <v>1641</v>
      </c>
      <c r="R16" s="194">
        <v>61</v>
      </c>
      <c r="S16" s="194">
        <v>1997</v>
      </c>
      <c r="T16" s="194">
        <v>0</v>
      </c>
      <c r="U16" s="195" t="s">
        <v>272</v>
      </c>
      <c r="V16" s="196" t="s">
        <v>273</v>
      </c>
      <c r="W16" s="196" t="s">
        <v>273</v>
      </c>
      <c r="X16" s="196" t="s">
        <v>273</v>
      </c>
      <c r="Y16" s="196" t="s">
        <v>273</v>
      </c>
      <c r="Z16" s="268" t="s">
        <v>284</v>
      </c>
      <c r="AA16" s="198" t="s">
        <v>972</v>
      </c>
      <c r="AB16" s="199" t="s">
        <v>967</v>
      </c>
    </row>
    <row r="17" ht="21.75" customHeight="1" s="5" customFormat="1">
      <c r="A17" s="190" t="s">
        <v>181</v>
      </c>
      <c r="B17" s="251" t="s">
        <v>277</v>
      </c>
      <c r="C17" s="192" t="s">
        <v>973</v>
      </c>
      <c r="D17" s="165"/>
      <c r="E17" s="194" t="s">
        <v>974</v>
      </c>
      <c r="F17" s="194" t="s">
        <v>955</v>
      </c>
      <c r="G17" s="194" t="s">
        <v>956</v>
      </c>
      <c r="H17" s="194" t="s">
        <v>957</v>
      </c>
      <c r="I17" s="194" t="s">
        <v>975</v>
      </c>
      <c r="J17" s="194" t="s">
        <v>958</v>
      </c>
      <c r="K17" s="194" t="s">
        <v>959</v>
      </c>
      <c r="L17" s="194" t="s">
        <v>960</v>
      </c>
      <c r="M17" s="252">
        <v>1270</v>
      </c>
      <c r="N17" s="194" t="s">
        <v>961</v>
      </c>
      <c r="O17" s="194" t="s">
        <v>962</v>
      </c>
      <c r="P17" s="194" t="s">
        <v>963</v>
      </c>
      <c r="Q17" s="252">
        <v>1650</v>
      </c>
      <c r="R17" s="194">
        <v>80</v>
      </c>
      <c r="S17" s="194">
        <v>1998</v>
      </c>
      <c r="T17" s="194">
        <v>1</v>
      </c>
      <c r="U17" s="195" t="s">
        <v>272</v>
      </c>
      <c r="V17" s="196" t="s">
        <v>273</v>
      </c>
      <c r="W17" s="196" t="s">
        <v>273</v>
      </c>
      <c r="X17" s="196" t="s">
        <v>273</v>
      </c>
      <c r="Y17" s="196" t="s">
        <v>273</v>
      </c>
      <c r="Z17" s="268" t="s">
        <v>284</v>
      </c>
      <c r="AA17" s="198" t="s">
        <v>976</v>
      </c>
      <c r="AB17" s="199" t="s">
        <v>967</v>
      </c>
    </row>
    <row r="18" ht="21.75" customHeight="1" s="5" customFormat="1">
      <c r="A18" s="190" t="s">
        <v>320</v>
      </c>
      <c r="B18" s="251" t="s">
        <v>277</v>
      </c>
      <c r="C18" s="192" t="s">
        <v>977</v>
      </c>
      <c r="D18" s="165"/>
      <c r="E18" s="194" t="s">
        <v>978</v>
      </c>
      <c r="F18" s="194" t="s">
        <v>979</v>
      </c>
      <c r="G18" s="194" t="s">
        <v>956</v>
      </c>
      <c r="H18" s="194" t="s">
        <v>980</v>
      </c>
      <c r="I18" s="194" t="s">
        <v>981</v>
      </c>
      <c r="J18" s="194" t="s">
        <v>958</v>
      </c>
      <c r="K18" s="194" t="s">
        <v>959</v>
      </c>
      <c r="L18" s="194" t="s">
        <v>960</v>
      </c>
      <c r="M18" s="190" t="s">
        <v>283</v>
      </c>
      <c r="N18" s="194" t="s">
        <v>961</v>
      </c>
      <c r="O18" s="194" t="s">
        <v>962</v>
      </c>
      <c r="P18" s="194" t="s">
        <v>963</v>
      </c>
      <c r="Q18" s="190" t="s">
        <v>283</v>
      </c>
      <c r="R18" s="194">
        <v>56</v>
      </c>
      <c r="S18" s="194">
        <v>1997</v>
      </c>
      <c r="T18" s="194">
        <v>0</v>
      </c>
      <c r="U18" s="195" t="s">
        <v>272</v>
      </c>
      <c r="V18" s="196" t="s">
        <v>273</v>
      </c>
      <c r="W18" s="196" t="s">
        <v>273</v>
      </c>
      <c r="X18" s="196" t="s">
        <v>273</v>
      </c>
      <c r="Y18" s="196" t="s">
        <v>273</v>
      </c>
      <c r="Z18" s="292" t="s">
        <v>982</v>
      </c>
      <c r="AA18" s="198" t="s">
        <v>983</v>
      </c>
      <c r="AB18" s="199" t="s">
        <v>967</v>
      </c>
    </row>
    <row r="19" ht="26.25" customHeight="1" s="5" customFormat="1">
      <c r="A19" s="201" t="s">
        <v>276</v>
      </c>
      <c r="B19" s="202" t="s">
        <v>300</v>
      </c>
      <c r="C19" s="215" t="s">
        <v>55</v>
      </c>
      <c r="D19" s="253" t="s">
        <v>302</v>
      </c>
      <c r="E19" s="205" t="s">
        <v>984</v>
      </c>
      <c r="F19" s="205" t="s">
        <v>955</v>
      </c>
      <c r="G19" s="205" t="s">
        <v>956</v>
      </c>
      <c r="H19" s="205" t="s">
        <v>957</v>
      </c>
      <c r="I19" s="205" t="s">
        <v>598</v>
      </c>
      <c r="J19" s="206" t="s">
        <v>64</v>
      </c>
      <c r="K19" s="206" t="s">
        <v>64</v>
      </c>
      <c r="L19" s="206" t="s">
        <v>64</v>
      </c>
      <c r="M19" s="208">
        <v>1430</v>
      </c>
      <c r="N19" s="206" t="s">
        <v>64</v>
      </c>
      <c r="O19" s="206" t="s">
        <v>64</v>
      </c>
      <c r="P19" s="206" t="s">
        <v>64</v>
      </c>
      <c r="Q19" s="219" t="s">
        <v>64</v>
      </c>
      <c r="R19" s="205" t="s">
        <v>64</v>
      </c>
      <c r="S19" s="205">
        <v>2005</v>
      </c>
      <c r="T19" s="205" t="s">
        <v>64</v>
      </c>
      <c r="U19" s="201" t="s">
        <v>64</v>
      </c>
      <c r="V19" s="201" t="s">
        <v>507</v>
      </c>
      <c r="W19" s="201" t="s">
        <v>507</v>
      </c>
      <c r="X19" s="201" t="s">
        <v>507</v>
      </c>
      <c r="Y19" s="201" t="s">
        <v>507</v>
      </c>
      <c r="Z19" s="268" t="s">
        <v>284</v>
      </c>
      <c r="AA19" s="213" t="s">
        <v>985</v>
      </c>
      <c r="AB19" s="214" t="s">
        <v>986</v>
      </c>
    </row>
    <row r="20" ht="26.25" customHeight="1" s="5" customFormat="1">
      <c r="A20" s="201" t="s">
        <v>210</v>
      </c>
      <c r="B20" s="202" t="s">
        <v>300</v>
      </c>
      <c r="C20" s="215" t="s">
        <v>987</v>
      </c>
      <c r="D20" s="216"/>
      <c r="E20" s="205" t="s">
        <v>988</v>
      </c>
      <c r="F20" s="205" t="s">
        <v>955</v>
      </c>
      <c r="G20" s="205" t="s">
        <v>956</v>
      </c>
      <c r="H20" s="205" t="s">
        <v>957</v>
      </c>
      <c r="I20" s="205" t="s">
        <v>305</v>
      </c>
      <c r="J20" s="206" t="s">
        <v>64</v>
      </c>
      <c r="K20" s="206" t="s">
        <v>64</v>
      </c>
      <c r="L20" s="206" t="s">
        <v>64</v>
      </c>
      <c r="M20" s="208">
        <v>1497</v>
      </c>
      <c r="N20" s="206" t="s">
        <v>64</v>
      </c>
      <c r="O20" s="206" t="s">
        <v>64</v>
      </c>
      <c r="P20" s="206" t="s">
        <v>64</v>
      </c>
      <c r="Q20" s="219" t="s">
        <v>64</v>
      </c>
      <c r="R20" s="205" t="s">
        <v>64</v>
      </c>
      <c r="S20" s="205">
        <v>2010</v>
      </c>
      <c r="T20" s="205" t="s">
        <v>64</v>
      </c>
      <c r="U20" s="201" t="s">
        <v>64</v>
      </c>
      <c r="V20" s="201" t="s">
        <v>507</v>
      </c>
      <c r="W20" s="201" t="s">
        <v>507</v>
      </c>
      <c r="X20" s="201" t="s">
        <v>507</v>
      </c>
      <c r="Y20" s="201" t="s">
        <v>507</v>
      </c>
      <c r="Z20" s="268" t="s">
        <v>284</v>
      </c>
      <c r="AA20" s="213" t="s">
        <v>989</v>
      </c>
      <c r="AB20" s="214" t="s">
        <v>990</v>
      </c>
    </row>
    <row r="21" ht="26.25" customHeight="1" s="5" customFormat="1">
      <c r="A21" s="201" t="s">
        <v>181</v>
      </c>
      <c r="B21" s="202" t="s">
        <v>300</v>
      </c>
      <c r="C21" s="215" t="s">
        <v>991</v>
      </c>
      <c r="D21" s="216"/>
      <c r="E21" s="205" t="s">
        <v>992</v>
      </c>
      <c r="F21" s="205" t="s">
        <v>955</v>
      </c>
      <c r="G21" s="205" t="s">
        <v>956</v>
      </c>
      <c r="H21" s="205" t="s">
        <v>957</v>
      </c>
      <c r="I21" s="205" t="s">
        <v>323</v>
      </c>
      <c r="J21" s="206" t="s">
        <v>64</v>
      </c>
      <c r="K21" s="206" t="s">
        <v>64</v>
      </c>
      <c r="L21" s="206" t="s">
        <v>64</v>
      </c>
      <c r="M21" s="208">
        <v>1424</v>
      </c>
      <c r="N21" s="206" t="s">
        <v>64</v>
      </c>
      <c r="O21" s="206" t="s">
        <v>64</v>
      </c>
      <c r="P21" s="206" t="s">
        <v>64</v>
      </c>
      <c r="Q21" s="219" t="s">
        <v>64</v>
      </c>
      <c r="R21" s="205" t="s">
        <v>64</v>
      </c>
      <c r="S21" s="205">
        <v>2008</v>
      </c>
      <c r="T21" s="205" t="s">
        <v>64</v>
      </c>
      <c r="U21" s="201" t="s">
        <v>64</v>
      </c>
      <c r="V21" s="201" t="s">
        <v>507</v>
      </c>
      <c r="W21" s="201" t="s">
        <v>507</v>
      </c>
      <c r="X21" s="201" t="s">
        <v>507</v>
      </c>
      <c r="Y21" s="201" t="s">
        <v>507</v>
      </c>
      <c r="Z21" s="293" t="s">
        <v>298</v>
      </c>
      <c r="AA21" s="213" t="s">
        <v>993</v>
      </c>
      <c r="AB21" s="214" t="s">
        <v>994</v>
      </c>
    </row>
    <row r="22" ht="26.25" customHeight="1" s="5" customFormat="1">
      <c r="A22" s="201" t="s">
        <v>320</v>
      </c>
      <c r="B22" s="202" t="s">
        <v>300</v>
      </c>
      <c r="C22" s="215" t="s">
        <v>995</v>
      </c>
      <c r="D22" s="216"/>
      <c r="E22" s="205" t="s">
        <v>996</v>
      </c>
      <c r="F22" s="205" t="s">
        <v>955</v>
      </c>
      <c r="G22" s="205" t="s">
        <v>956</v>
      </c>
      <c r="H22" s="205" t="s">
        <v>957</v>
      </c>
      <c r="I22" s="205" t="s">
        <v>767</v>
      </c>
      <c r="J22" s="206" t="s">
        <v>64</v>
      </c>
      <c r="K22" s="206" t="s">
        <v>64</v>
      </c>
      <c r="L22" s="206" t="s">
        <v>64</v>
      </c>
      <c r="M22" s="208">
        <v>1559</v>
      </c>
      <c r="N22" s="206" t="s">
        <v>64</v>
      </c>
      <c r="O22" s="206" t="s">
        <v>64</v>
      </c>
      <c r="P22" s="206" t="s">
        <v>64</v>
      </c>
      <c r="Q22" s="219" t="s">
        <v>64</v>
      </c>
      <c r="R22" s="205" t="s">
        <v>64</v>
      </c>
      <c r="S22" s="205">
        <v>2012</v>
      </c>
      <c r="T22" s="205" t="s">
        <v>64</v>
      </c>
      <c r="U22" s="201" t="s">
        <v>64</v>
      </c>
      <c r="V22" s="201" t="s">
        <v>507</v>
      </c>
      <c r="W22" s="201" t="s">
        <v>507</v>
      </c>
      <c r="X22" s="201" t="s">
        <v>507</v>
      </c>
      <c r="Y22" s="201" t="s">
        <v>507</v>
      </c>
      <c r="Z22" s="293" t="s">
        <v>298</v>
      </c>
      <c r="AA22" s="213" t="s">
        <v>997</v>
      </c>
      <c r="AB22" s="214" t="s">
        <v>998</v>
      </c>
    </row>
    <row r="23" ht="26.25" customHeight="1" s="5" customFormat="1">
      <c r="A23" s="201" t="s">
        <v>326</v>
      </c>
      <c r="B23" s="202" t="s">
        <v>300</v>
      </c>
      <c r="C23" s="215" t="s">
        <v>999</v>
      </c>
      <c r="D23" s="216"/>
      <c r="E23" s="205" t="s">
        <v>1000</v>
      </c>
      <c r="F23" s="205" t="s">
        <v>955</v>
      </c>
      <c r="G23" s="205" t="s">
        <v>956</v>
      </c>
      <c r="H23" s="205" t="s">
        <v>957</v>
      </c>
      <c r="I23" s="205" t="s">
        <v>592</v>
      </c>
      <c r="J23" s="206" t="s">
        <v>64</v>
      </c>
      <c r="K23" s="206" t="s">
        <v>64</v>
      </c>
      <c r="L23" s="206" t="s">
        <v>64</v>
      </c>
      <c r="M23" s="208">
        <v>1505</v>
      </c>
      <c r="N23" s="206" t="s">
        <v>64</v>
      </c>
      <c r="O23" s="206" t="s">
        <v>64</v>
      </c>
      <c r="P23" s="206" t="s">
        <v>64</v>
      </c>
      <c r="Q23" s="219" t="s">
        <v>64</v>
      </c>
      <c r="R23" s="205" t="s">
        <v>64</v>
      </c>
      <c r="S23" s="205">
        <v>2000</v>
      </c>
      <c r="T23" s="205" t="s">
        <v>64</v>
      </c>
      <c r="U23" s="201" t="s">
        <v>64</v>
      </c>
      <c r="V23" s="201" t="s">
        <v>64</v>
      </c>
      <c r="W23" s="201" t="s">
        <v>64</v>
      </c>
      <c r="X23" s="201" t="s">
        <v>64</v>
      </c>
      <c r="Y23" s="201" t="s">
        <v>64</v>
      </c>
      <c r="Z23" s="268" t="s">
        <v>284</v>
      </c>
      <c r="AA23" s="213" t="s">
        <v>1001</v>
      </c>
      <c r="AB23" s="214" t="s">
        <v>986</v>
      </c>
    </row>
    <row r="24" ht="26.25" customHeight="1" s="5" customFormat="1">
      <c r="A24" s="201" t="s">
        <v>205</v>
      </c>
      <c r="B24" s="202" t="s">
        <v>300</v>
      </c>
      <c r="C24" s="215" t="s">
        <v>1002</v>
      </c>
      <c r="D24" s="218"/>
      <c r="E24" s="205" t="s">
        <v>1003</v>
      </c>
      <c r="F24" s="205" t="s">
        <v>955</v>
      </c>
      <c r="G24" s="205" t="s">
        <v>956</v>
      </c>
      <c r="H24" s="205" t="s">
        <v>957</v>
      </c>
      <c r="I24" s="205" t="s">
        <v>499</v>
      </c>
      <c r="J24" s="206" t="s">
        <v>64</v>
      </c>
      <c r="K24" s="206" t="s">
        <v>64</v>
      </c>
      <c r="L24" s="206" t="s">
        <v>64</v>
      </c>
      <c r="M24" s="208">
        <v>1328</v>
      </c>
      <c r="N24" s="206" t="s">
        <v>64</v>
      </c>
      <c r="O24" s="206" t="s">
        <v>64</v>
      </c>
      <c r="P24" s="206" t="s">
        <v>64</v>
      </c>
      <c r="Q24" s="219" t="s">
        <v>64</v>
      </c>
      <c r="R24" s="205" t="s">
        <v>64</v>
      </c>
      <c r="S24" s="205">
        <v>2003</v>
      </c>
      <c r="T24" s="205" t="s">
        <v>64</v>
      </c>
      <c r="U24" s="201" t="s">
        <v>64</v>
      </c>
      <c r="V24" s="201" t="s">
        <v>64</v>
      </c>
      <c r="W24" s="201" t="s">
        <v>64</v>
      </c>
      <c r="X24" s="201" t="s">
        <v>64</v>
      </c>
      <c r="Y24" s="201" t="s">
        <v>64</v>
      </c>
      <c r="Z24" s="268" t="s">
        <v>284</v>
      </c>
      <c r="AA24" s="213" t="s">
        <v>1004</v>
      </c>
      <c r="AB24" s="214" t="s">
        <v>986</v>
      </c>
    </row>
    <row r="25" ht="28.5" customHeight="1" s="5" customFormat="1">
      <c r="A25" s="220" t="s">
        <v>154</v>
      </c>
      <c r="B25" s="257" t="s">
        <v>339</v>
      </c>
      <c r="C25" s="222" t="s">
        <v>1005</v>
      </c>
      <c r="D25" s="165"/>
      <c r="E25" s="220" t="s">
        <v>64</v>
      </c>
      <c r="F25" s="220" t="s">
        <v>955</v>
      </c>
      <c r="G25" s="220" t="s">
        <v>956</v>
      </c>
      <c r="H25" s="220" t="s">
        <v>64</v>
      </c>
      <c r="I25" s="220" t="s">
        <v>64</v>
      </c>
      <c r="J25" s="220" t="s">
        <v>960</v>
      </c>
      <c r="K25" s="220" t="s">
        <v>960</v>
      </c>
      <c r="L25" s="220" t="s">
        <v>960</v>
      </c>
      <c r="M25" s="220" t="s">
        <v>64</v>
      </c>
      <c r="N25" s="220" t="s">
        <v>963</v>
      </c>
      <c r="O25" s="220" t="s">
        <v>963</v>
      </c>
      <c r="P25" s="220" t="s">
        <v>963</v>
      </c>
      <c r="Q25" s="220" t="s">
        <v>64</v>
      </c>
      <c r="R25" s="220" t="s">
        <v>64</v>
      </c>
      <c r="S25" s="220" t="s">
        <v>64</v>
      </c>
      <c r="T25" s="220" t="s">
        <v>64</v>
      </c>
      <c r="U25" s="220" t="s">
        <v>64</v>
      </c>
      <c r="V25" s="220" t="s">
        <v>64</v>
      </c>
      <c r="W25" s="220" t="s">
        <v>64</v>
      </c>
      <c r="X25" s="220" t="s">
        <v>64</v>
      </c>
      <c r="Y25" s="220" t="s">
        <v>64</v>
      </c>
      <c r="Z25" s="202" t="s">
        <v>339</v>
      </c>
      <c r="AA25" s="224" t="s">
        <v>1006</v>
      </c>
      <c r="AB25" s="225" t="s">
        <v>342</v>
      </c>
    </row>
    <row r="26" ht="34.5" customHeight="1" s="5" customFormat="1">
      <c r="A26" s="226" t="s">
        <v>154</v>
      </c>
      <c r="B26" s="257" t="s">
        <v>339</v>
      </c>
      <c r="C26" s="227" t="s">
        <v>1007</v>
      </c>
      <c r="D26" s="165"/>
      <c r="E26" s="226" t="s">
        <v>64</v>
      </c>
      <c r="F26" s="226" t="s">
        <v>955</v>
      </c>
      <c r="G26" s="226" t="s">
        <v>956</v>
      </c>
      <c r="H26" s="226" t="s">
        <v>64</v>
      </c>
      <c r="I26" s="226" t="s">
        <v>64</v>
      </c>
      <c r="J26" s="226">
        <v>1457</v>
      </c>
      <c r="K26" s="226">
        <v>1457</v>
      </c>
      <c r="L26" s="226">
        <v>1457</v>
      </c>
      <c r="M26" s="229">
        <v>1457</v>
      </c>
      <c r="N26" s="226" t="s">
        <v>64</v>
      </c>
      <c r="O26" s="226" t="s">
        <v>64</v>
      </c>
      <c r="P26" s="226" t="s">
        <v>64</v>
      </c>
      <c r="Q26" s="229" t="s">
        <v>64</v>
      </c>
      <c r="R26" s="226" t="s">
        <v>64</v>
      </c>
      <c r="S26" s="226" t="s">
        <v>64</v>
      </c>
      <c r="T26" s="226" t="s">
        <v>64</v>
      </c>
      <c r="U26" s="226" t="s">
        <v>64</v>
      </c>
      <c r="V26" s="226" t="s">
        <v>64</v>
      </c>
      <c r="W26" s="226" t="s">
        <v>64</v>
      </c>
      <c r="X26" s="226" t="s">
        <v>64</v>
      </c>
      <c r="Y26" s="226" t="s">
        <v>64</v>
      </c>
      <c r="Z26" s="202" t="s">
        <v>339</v>
      </c>
      <c r="AA26" s="230" t="s">
        <v>1008</v>
      </c>
      <c r="AB26" s="231" t="s">
        <v>347</v>
      </c>
    </row>
    <row r="28" ht="14.25" customHeight="1" s="5" customFormat="1">
      <c r="A28" s="232" t="s">
        <v>440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30" ht="18" customHeight="1" s="5" customFormat="1">
      <c r="A30" s="233" t="s">
        <v>349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ht="15.75" customHeight="1" s="5" customFormat="1">
      <c r="A31" s="234" t="s">
        <v>350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ht="15.75" customHeight="1" s="5" customFormat="1">
      <c r="A32" s="24"/>
      <c r="B32" s="157" t="s">
        <v>351</v>
      </c>
      <c r="C32" s="157" t="s">
        <v>352</v>
      </c>
      <c r="D32" s="52"/>
      <c r="E32" s="157" t="s">
        <v>353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ht="20.25" customHeight="1" s="5" customFormat="1">
      <c r="A33" s="235" t="s">
        <v>151</v>
      </c>
      <c r="B33" s="287">
        <f>'Current Rents'!E21</f>
        <v>964</v>
      </c>
      <c r="C33" s="290">
        <v>1457</v>
      </c>
      <c r="D33" s="294"/>
      <c r="E33" s="239">
        <f>'Current Rents'!F17-1457</f>
        <v>-384</v>
      </c>
      <c r="F33" s="161" t="str">
        <f>IF(E33&lt;-75,"LOOK INTO INCREASING THE RENT!","")</f>
        <v>LOOK INTO INCREASING THE RENT!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ht="20.25" customHeight="1" s="5" customFormat="1">
      <c r="A34" s="235" t="s">
        <v>155</v>
      </c>
      <c r="B34" s="287">
        <f>'Current Rents'!G21</f>
        <v>1221</v>
      </c>
      <c r="C34" s="290" t="s">
        <v>64</v>
      </c>
      <c r="D34" s="294"/>
      <c r="E34" s="258" t="e">
        <f>B34-C34</f>
        <v>#VALUE!</v>
      </c>
      <c r="F34" s="161" t="e">
        <f>IF(E34&lt;-75,"LOOK INTO INCREASING THE RENT!","")</f>
        <v>#VALUE!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</sheetData>
  <mergeCells>
    <mergeCell ref="A9:Y9"/>
    <mergeCell ref="C14:D14"/>
    <mergeCell ref="C32:D32"/>
    <mergeCell ref="C26:D26"/>
    <mergeCell ref="A31:H31"/>
    <mergeCell ref="C18:D18"/>
    <mergeCell ref="C17:D17"/>
    <mergeCell ref="C13:D13"/>
    <mergeCell ref="A12:AB12"/>
    <mergeCell ref="D19:D24"/>
    <mergeCell ref="A30:H30"/>
    <mergeCell ref="C16:D16"/>
    <mergeCell ref="C15:D15"/>
    <mergeCell ref="A11:AB11"/>
    <mergeCell ref="A10:AB10"/>
    <mergeCell ref="C25:D25"/>
    <mergeCell ref="Z9:AB9"/>
    <mergeCell ref="A28:AB28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07DD659-DF28-58DA-9CE8-85FA3B921D38}" mc:Ignorable="x14ac xr xr2 xr3"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style="5" width="9.00390625" customWidth="1"/>
    <col min="2" max="2" style="5" width="18.57421875" customWidth="1"/>
    <col min="3" max="3" style="5" width="42.00390625" customWidth="1"/>
    <col min="4" max="4" style="5" width="4.7109375" customWidth="1"/>
    <col min="5" max="5" style="5" width="31.00390625" customWidth="1"/>
    <col min="6" max="6" style="5" width="14.28125" customWidth="1"/>
    <col min="7" max="7" style="5" width="9.28125" customWidth="1"/>
    <col min="8" max="9" style="5" width="13.00390625" customWidth="1"/>
    <col min="10" max="10" style="5" width="7.00390625" hidden="1" customWidth="1"/>
    <col min="11" max="11" style="5" width="13.00390625" customWidth="1"/>
    <col min="12" max="12" style="5" width="5.28125" hidden="1" customWidth="1"/>
    <col min="13" max="13" style="5" width="16.7109375" customWidth="1"/>
    <col min="14" max="14" style="5" width="7.00390625" hidden="1" customWidth="1"/>
    <col min="15" max="15" style="5" width="13.00390625" customWidth="1"/>
    <col min="16" max="16" style="5" width="5.28125" hidden="1" customWidth="1"/>
    <col min="17" max="17" style="5" width="16.7109375" customWidth="1"/>
    <col min="18" max="18" style="5" width="9.421875" customWidth="1"/>
    <col min="19" max="25" style="5" width="13.00390625" customWidth="1"/>
    <col min="26" max="26" style="5" width="24.57421875" customWidth="1"/>
    <col min="27" max="27" style="5" width="55.7109375" customWidth="1"/>
    <col min="28" max="28" style="5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36" customHeight="1" s="5" customFormat="1">
      <c r="A3" s="295" t="s">
        <v>1009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296" t="s">
        <v>1010</v>
      </c>
      <c r="AA3" s="5"/>
      <c r="AB3" s="5"/>
    </row>
    <row r="4" ht="18" customHeight="1" s="5" customFormat="1">
      <c r="A4" s="297" t="s">
        <v>1011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ht="14.25" customHeight="1" s="5" customFormat="1">
      <c r="A5" s="298" t="s">
        <v>1012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ht="25.5" customHeight="1" s="5" customFormat="1">
      <c r="A6" s="299" t="s">
        <v>1013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ht="25.5" customHeight="1" s="5" customFormat="1">
      <c r="A7" s="300" t="s">
        <v>233</v>
      </c>
      <c r="B7" s="300" t="s">
        <v>234</v>
      </c>
      <c r="C7" s="300" t="s">
        <v>3</v>
      </c>
      <c r="D7" s="5"/>
      <c r="E7" s="300" t="s">
        <v>235</v>
      </c>
      <c r="F7" s="300" t="s">
        <v>236</v>
      </c>
      <c r="G7" s="300" t="s">
        <v>237</v>
      </c>
      <c r="H7" s="300" t="s">
        <v>238</v>
      </c>
      <c r="I7" s="300" t="s">
        <v>239</v>
      </c>
      <c r="J7" s="300" t="s">
        <v>240</v>
      </c>
      <c r="K7" s="300" t="s">
        <v>241</v>
      </c>
      <c r="L7" s="300" t="s">
        <v>242</v>
      </c>
      <c r="M7" s="301" t="s">
        <v>360</v>
      </c>
      <c r="N7" s="300" t="s">
        <v>697</v>
      </c>
      <c r="O7" s="300" t="s">
        <v>698</v>
      </c>
      <c r="P7" s="300" t="s">
        <v>699</v>
      </c>
      <c r="Q7" s="301" t="s">
        <v>700</v>
      </c>
      <c r="R7" s="300" t="s">
        <v>6</v>
      </c>
      <c r="S7" s="300" t="s">
        <v>248</v>
      </c>
      <c r="T7" s="300" t="s">
        <v>249</v>
      </c>
      <c r="U7" s="300" t="s">
        <v>250</v>
      </c>
      <c r="V7" s="300" t="s">
        <v>251</v>
      </c>
      <c r="W7" s="300" t="s">
        <v>252</v>
      </c>
      <c r="X7" s="300" t="s">
        <v>253</v>
      </c>
      <c r="Y7" s="300" t="s">
        <v>254</v>
      </c>
      <c r="Z7" s="301" t="s">
        <v>255</v>
      </c>
      <c r="AA7" s="300" t="s">
        <v>256</v>
      </c>
      <c r="AB7" s="300" t="s">
        <v>257</v>
      </c>
    </row>
    <row r="8" ht="21.75" customHeight="1" s="5" customFormat="1">
      <c r="A8" s="302" t="s">
        <v>258</v>
      </c>
      <c r="B8" s="303" t="s">
        <v>259</v>
      </c>
      <c r="C8" s="304" t="s">
        <v>1014</v>
      </c>
      <c r="D8" s="5"/>
      <c r="E8" s="304" t="s">
        <v>968</v>
      </c>
      <c r="F8" s="305" t="s">
        <v>969</v>
      </c>
      <c r="G8" s="305" t="s">
        <v>956</v>
      </c>
      <c r="H8" s="305" t="s">
        <v>970</v>
      </c>
      <c r="I8" s="305" t="s">
        <v>265</v>
      </c>
      <c r="J8" s="305" t="s">
        <v>958</v>
      </c>
      <c r="K8" s="305" t="s">
        <v>959</v>
      </c>
      <c r="L8" s="305" t="s">
        <v>960</v>
      </c>
      <c r="M8" s="306">
        <f>'Current Rents'!E22</f>
        <v>964</v>
      </c>
      <c r="N8" s="305" t="s">
        <v>961</v>
      </c>
      <c r="O8" s="305" t="s">
        <v>962</v>
      </c>
      <c r="P8" s="305" t="s">
        <v>963</v>
      </c>
      <c r="Q8" s="306">
        <f>'Current Rents'!G22</f>
        <v>1221</v>
      </c>
      <c r="R8" s="305" t="s">
        <v>1015</v>
      </c>
      <c r="S8" s="305" t="s">
        <v>1016</v>
      </c>
      <c r="T8" s="305">
        <v>0</v>
      </c>
      <c r="U8" s="305" t="s">
        <v>273</v>
      </c>
      <c r="V8" s="305" t="s">
        <v>273</v>
      </c>
      <c r="W8" s="305" t="s">
        <v>273</v>
      </c>
      <c r="X8" s="305" t="s">
        <v>273</v>
      </c>
      <c r="Y8" s="305" t="s">
        <v>273</v>
      </c>
      <c r="Z8" s="303" t="s">
        <v>259</v>
      </c>
      <c r="AA8" s="307" t="s">
        <v>1017</v>
      </c>
      <c r="AB8" s="304" t="s">
        <v>275</v>
      </c>
    </row>
    <row r="9" ht="21.75" customHeight="1" s="5" customFormat="1">
      <c r="A9" s="308" t="s">
        <v>276</v>
      </c>
      <c r="B9" s="309" t="s">
        <v>277</v>
      </c>
      <c r="C9" s="310" t="s">
        <v>47</v>
      </c>
      <c r="D9" s="5"/>
      <c r="E9" s="311" t="s">
        <v>965</v>
      </c>
      <c r="F9" s="308" t="s">
        <v>955</v>
      </c>
      <c r="G9" s="308" t="s">
        <v>956</v>
      </c>
      <c r="H9" s="308" t="s">
        <v>957</v>
      </c>
      <c r="I9" s="308" t="s">
        <v>1018</v>
      </c>
      <c r="J9" s="308" t="s">
        <v>958</v>
      </c>
      <c r="K9" s="308" t="s">
        <v>959</v>
      </c>
      <c r="L9" s="308" t="s">
        <v>960</v>
      </c>
      <c r="M9" s="308" t="s">
        <v>283</v>
      </c>
      <c r="N9" s="308" t="s">
        <v>961</v>
      </c>
      <c r="O9" s="308" t="s">
        <v>962</v>
      </c>
      <c r="P9" s="308" t="s">
        <v>963</v>
      </c>
      <c r="Q9" s="308" t="s">
        <v>283</v>
      </c>
      <c r="R9" s="308" t="s">
        <v>1019</v>
      </c>
      <c r="S9" s="308" t="s">
        <v>1016</v>
      </c>
      <c r="T9" s="308" t="s">
        <v>462</v>
      </c>
      <c r="U9" s="308" t="s">
        <v>272</v>
      </c>
      <c r="V9" s="308" t="s">
        <v>273</v>
      </c>
      <c r="W9" s="308" t="s">
        <v>273</v>
      </c>
      <c r="X9" s="308" t="s">
        <v>273</v>
      </c>
      <c r="Y9" s="308" t="s">
        <v>273</v>
      </c>
      <c r="Z9" s="312" t="s">
        <v>284</v>
      </c>
      <c r="AA9" s="313" t="s">
        <v>1020</v>
      </c>
      <c r="AB9" s="311" t="s">
        <v>967</v>
      </c>
    </row>
    <row r="10" ht="21.75" customHeight="1" s="5" customFormat="1">
      <c r="A10" s="308" t="s">
        <v>210</v>
      </c>
      <c r="B10" s="309" t="s">
        <v>277</v>
      </c>
      <c r="C10" s="310" t="s">
        <v>977</v>
      </c>
      <c r="D10" s="5"/>
      <c r="E10" s="311" t="s">
        <v>978</v>
      </c>
      <c r="F10" s="308" t="s">
        <v>979</v>
      </c>
      <c r="G10" s="308" t="s">
        <v>956</v>
      </c>
      <c r="H10" s="308" t="s">
        <v>980</v>
      </c>
      <c r="I10" s="308" t="s">
        <v>1021</v>
      </c>
      <c r="J10" s="308" t="s">
        <v>958</v>
      </c>
      <c r="K10" s="308" t="s">
        <v>959</v>
      </c>
      <c r="L10" s="308" t="s">
        <v>960</v>
      </c>
      <c r="M10" s="308" t="s">
        <v>283</v>
      </c>
      <c r="N10" s="308" t="s">
        <v>961</v>
      </c>
      <c r="O10" s="308" t="s">
        <v>962</v>
      </c>
      <c r="P10" s="308" t="s">
        <v>963</v>
      </c>
      <c r="Q10" s="308" t="s">
        <v>283</v>
      </c>
      <c r="R10" s="308" t="s">
        <v>203</v>
      </c>
      <c r="S10" s="308" t="s">
        <v>1016</v>
      </c>
      <c r="T10" s="308" t="s">
        <v>462</v>
      </c>
      <c r="U10" s="308" t="s">
        <v>272</v>
      </c>
      <c r="V10" s="308" t="s">
        <v>273</v>
      </c>
      <c r="W10" s="308" t="s">
        <v>273</v>
      </c>
      <c r="X10" s="308" t="s">
        <v>273</v>
      </c>
      <c r="Y10" s="308" t="s">
        <v>273</v>
      </c>
      <c r="Z10" s="314" t="s">
        <v>298</v>
      </c>
      <c r="AA10" s="313" t="s">
        <v>1022</v>
      </c>
      <c r="AB10" s="311" t="s">
        <v>967</v>
      </c>
    </row>
    <row r="11" ht="21.75" customHeight="1" s="5" customFormat="1">
      <c r="A11" s="308" t="s">
        <v>181</v>
      </c>
      <c r="B11" s="309" t="s">
        <v>277</v>
      </c>
      <c r="C11" s="310" t="s">
        <v>973</v>
      </c>
      <c r="D11" s="5"/>
      <c r="E11" s="311" t="s">
        <v>974</v>
      </c>
      <c r="F11" s="308" t="s">
        <v>955</v>
      </c>
      <c r="G11" s="308" t="s">
        <v>956</v>
      </c>
      <c r="H11" s="308" t="s">
        <v>957</v>
      </c>
      <c r="I11" s="308" t="s">
        <v>1023</v>
      </c>
      <c r="J11" s="308" t="s">
        <v>958</v>
      </c>
      <c r="K11" s="308" t="s">
        <v>959</v>
      </c>
      <c r="L11" s="308" t="s">
        <v>960</v>
      </c>
      <c r="M11" s="308" t="s">
        <v>1024</v>
      </c>
      <c r="N11" s="308" t="s">
        <v>961</v>
      </c>
      <c r="O11" s="308" t="s">
        <v>962</v>
      </c>
      <c r="P11" s="308" t="s">
        <v>963</v>
      </c>
      <c r="Q11" s="308" t="s">
        <v>1025</v>
      </c>
      <c r="R11" s="308" t="s">
        <v>1026</v>
      </c>
      <c r="S11" s="308" t="s">
        <v>1027</v>
      </c>
      <c r="T11" s="308" t="s">
        <v>276</v>
      </c>
      <c r="U11" s="308" t="s">
        <v>272</v>
      </c>
      <c r="V11" s="308" t="s">
        <v>273</v>
      </c>
      <c r="W11" s="308" t="s">
        <v>273</v>
      </c>
      <c r="X11" s="308" t="s">
        <v>273</v>
      </c>
      <c r="Y11" s="308" t="s">
        <v>273</v>
      </c>
      <c r="Z11" s="312" t="s">
        <v>284</v>
      </c>
      <c r="AA11" s="313" t="s">
        <v>1028</v>
      </c>
      <c r="AB11" s="311" t="s">
        <v>967</v>
      </c>
    </row>
    <row r="12" ht="21.75" customHeight="1" s="5" customFormat="1">
      <c r="A12" s="308" t="s">
        <v>320</v>
      </c>
      <c r="B12" s="309" t="s">
        <v>277</v>
      </c>
      <c r="C12" s="310" t="s">
        <v>1029</v>
      </c>
      <c r="D12" s="5"/>
      <c r="E12" s="311" t="s">
        <v>1030</v>
      </c>
      <c r="F12" s="308" t="s">
        <v>1031</v>
      </c>
      <c r="G12" s="308" t="s">
        <v>956</v>
      </c>
      <c r="H12" s="308" t="s">
        <v>1032</v>
      </c>
      <c r="I12" s="308" t="s">
        <v>1033</v>
      </c>
      <c r="J12" s="308" t="s">
        <v>958</v>
      </c>
      <c r="K12" s="308" t="s">
        <v>959</v>
      </c>
      <c r="L12" s="308" t="s">
        <v>960</v>
      </c>
      <c r="M12" s="308" t="s">
        <v>283</v>
      </c>
      <c r="N12" s="308" t="s">
        <v>961</v>
      </c>
      <c r="O12" s="308" t="s">
        <v>962</v>
      </c>
      <c r="P12" s="308" t="s">
        <v>963</v>
      </c>
      <c r="Q12" s="308" t="s">
        <v>283</v>
      </c>
      <c r="R12" s="308" t="s">
        <v>469</v>
      </c>
      <c r="S12" s="308" t="s">
        <v>1034</v>
      </c>
      <c r="T12" s="308" t="s">
        <v>276</v>
      </c>
      <c r="U12" s="308" t="s">
        <v>272</v>
      </c>
      <c r="V12" s="308" t="s">
        <v>273</v>
      </c>
      <c r="W12" s="308" t="s">
        <v>273</v>
      </c>
      <c r="X12" s="308" t="s">
        <v>273</v>
      </c>
      <c r="Y12" s="308" t="s">
        <v>273</v>
      </c>
      <c r="Z12" s="314" t="s">
        <v>298</v>
      </c>
      <c r="AA12" s="313" t="s">
        <v>1035</v>
      </c>
      <c r="AB12" s="311" t="s">
        <v>967</v>
      </c>
    </row>
    <row r="13" ht="24.75" customHeight="1" s="5" customFormat="1">
      <c r="A13" s="315" t="s">
        <v>276</v>
      </c>
      <c r="B13" s="316" t="s">
        <v>300</v>
      </c>
      <c r="C13" s="317" t="s">
        <v>1036</v>
      </c>
      <c r="D13" s="318" t="s">
        <v>302</v>
      </c>
      <c r="E13" s="319" t="s">
        <v>1037</v>
      </c>
      <c r="F13" s="320" t="s">
        <v>969</v>
      </c>
      <c r="G13" s="320" t="s">
        <v>956</v>
      </c>
      <c r="H13" s="320" t="s">
        <v>970</v>
      </c>
      <c r="I13" s="320" t="s">
        <v>323</v>
      </c>
      <c r="J13" s="320" t="s">
        <v>1038</v>
      </c>
      <c r="K13" s="320" t="s">
        <v>1038</v>
      </c>
      <c r="L13" s="320" t="s">
        <v>1038</v>
      </c>
      <c r="M13" s="321">
        <v>1247</v>
      </c>
      <c r="N13" s="320" t="s">
        <v>1038</v>
      </c>
      <c r="O13" s="320" t="s">
        <v>1038</v>
      </c>
      <c r="P13" s="320" t="s">
        <v>1038</v>
      </c>
      <c r="Q13" s="322" t="s">
        <v>1038</v>
      </c>
      <c r="R13" s="320" t="s">
        <v>1038</v>
      </c>
      <c r="S13" s="320">
        <v>2015</v>
      </c>
      <c r="T13" s="320" t="s">
        <v>1038</v>
      </c>
      <c r="U13" s="320" t="s">
        <v>1039</v>
      </c>
      <c r="V13" s="320" t="s">
        <v>986</v>
      </c>
      <c r="W13" s="320" t="s">
        <v>507</v>
      </c>
      <c r="X13" s="320" t="s">
        <v>507</v>
      </c>
      <c r="Y13" s="320" t="s">
        <v>507</v>
      </c>
      <c r="Z13" s="323" t="s">
        <v>284</v>
      </c>
      <c r="AA13" s="324" t="s">
        <v>1040</v>
      </c>
      <c r="AB13" s="319" t="s">
        <v>1041</v>
      </c>
    </row>
    <row r="14" ht="24.75" customHeight="1" s="5" customFormat="1">
      <c r="A14" s="315" t="s">
        <v>210</v>
      </c>
      <c r="B14" s="316" t="s">
        <v>300</v>
      </c>
      <c r="C14" s="317" t="s">
        <v>1042</v>
      </c>
      <c r="D14" s="5"/>
      <c r="E14" s="319" t="s">
        <v>1043</v>
      </c>
      <c r="F14" s="320" t="s">
        <v>969</v>
      </c>
      <c r="G14" s="320" t="s">
        <v>956</v>
      </c>
      <c r="H14" s="320" t="s">
        <v>970</v>
      </c>
      <c r="I14" s="320" t="s">
        <v>930</v>
      </c>
      <c r="J14" s="320" t="s">
        <v>1038</v>
      </c>
      <c r="K14" s="320" t="s">
        <v>1038</v>
      </c>
      <c r="L14" s="320" t="s">
        <v>1038</v>
      </c>
      <c r="M14" s="321">
        <v>1525</v>
      </c>
      <c r="N14" s="320" t="s">
        <v>1038</v>
      </c>
      <c r="O14" s="320" t="s">
        <v>1038</v>
      </c>
      <c r="P14" s="320" t="s">
        <v>1038</v>
      </c>
      <c r="Q14" s="322" t="s">
        <v>1038</v>
      </c>
      <c r="R14" s="320" t="s">
        <v>1038</v>
      </c>
      <c r="S14" s="320">
        <v>2018</v>
      </c>
      <c r="T14" s="320" t="s">
        <v>1038</v>
      </c>
      <c r="U14" s="320" t="s">
        <v>1044</v>
      </c>
      <c r="V14" s="320" t="s">
        <v>986</v>
      </c>
      <c r="W14" s="320" t="s">
        <v>507</v>
      </c>
      <c r="X14" s="320" t="s">
        <v>507</v>
      </c>
      <c r="Y14" s="320" t="s">
        <v>507</v>
      </c>
      <c r="Z14" s="323" t="s">
        <v>284</v>
      </c>
      <c r="AA14" s="324" t="s">
        <v>1045</v>
      </c>
      <c r="AB14" s="319" t="s">
        <v>1046</v>
      </c>
    </row>
    <row r="15" ht="24.75" customHeight="1" s="5" customFormat="1">
      <c r="A15" s="315" t="s">
        <v>181</v>
      </c>
      <c r="B15" s="316" t="s">
        <v>300</v>
      </c>
      <c r="C15" s="317" t="s">
        <v>1047</v>
      </c>
      <c r="D15" s="5"/>
      <c r="E15" s="319" t="s">
        <v>1048</v>
      </c>
      <c r="F15" s="320" t="s">
        <v>969</v>
      </c>
      <c r="G15" s="320" t="s">
        <v>956</v>
      </c>
      <c r="H15" s="320" t="s">
        <v>970</v>
      </c>
      <c r="I15" s="320" t="s">
        <v>499</v>
      </c>
      <c r="J15" s="320" t="s">
        <v>1038</v>
      </c>
      <c r="K15" s="320" t="s">
        <v>1038</v>
      </c>
      <c r="L15" s="320" t="s">
        <v>1038</v>
      </c>
      <c r="M15" s="321">
        <v>1395</v>
      </c>
      <c r="N15" s="320" t="s">
        <v>1038</v>
      </c>
      <c r="O15" s="320" t="s">
        <v>1038</v>
      </c>
      <c r="P15" s="320" t="s">
        <v>1038</v>
      </c>
      <c r="Q15" s="322" t="s">
        <v>1038</v>
      </c>
      <c r="R15" s="320" t="s">
        <v>1038</v>
      </c>
      <c r="S15" s="320">
        <v>2016</v>
      </c>
      <c r="T15" s="320" t="s">
        <v>1038</v>
      </c>
      <c r="U15" s="320" t="s">
        <v>1049</v>
      </c>
      <c r="V15" s="320" t="s">
        <v>986</v>
      </c>
      <c r="W15" s="320" t="s">
        <v>507</v>
      </c>
      <c r="X15" s="320" t="s">
        <v>507</v>
      </c>
      <c r="Y15" s="320" t="s">
        <v>507</v>
      </c>
      <c r="Z15" s="323" t="s">
        <v>284</v>
      </c>
      <c r="AA15" s="324" t="s">
        <v>1050</v>
      </c>
      <c r="AB15" s="319" t="s">
        <v>1051</v>
      </c>
    </row>
    <row r="16" ht="24.75" customHeight="1" s="5" customFormat="1">
      <c r="A16" s="315" t="s">
        <v>320</v>
      </c>
      <c r="B16" s="316" t="s">
        <v>300</v>
      </c>
      <c r="C16" s="317" t="s">
        <v>1052</v>
      </c>
      <c r="D16" s="5"/>
      <c r="E16" s="319" t="s">
        <v>1053</v>
      </c>
      <c r="F16" s="320" t="s">
        <v>969</v>
      </c>
      <c r="G16" s="320" t="s">
        <v>956</v>
      </c>
      <c r="H16" s="320" t="s">
        <v>970</v>
      </c>
      <c r="I16" s="320" t="s">
        <v>1054</v>
      </c>
      <c r="J16" s="320" t="s">
        <v>1038</v>
      </c>
      <c r="K16" s="320" t="s">
        <v>1038</v>
      </c>
      <c r="L16" s="320" t="s">
        <v>1038</v>
      </c>
      <c r="M16" s="321">
        <v>1349</v>
      </c>
      <c r="N16" s="320" t="s">
        <v>1038</v>
      </c>
      <c r="O16" s="320" t="s">
        <v>1038</v>
      </c>
      <c r="P16" s="320" t="s">
        <v>1038</v>
      </c>
      <c r="Q16" s="322" t="s">
        <v>1038</v>
      </c>
      <c r="R16" s="320" t="s">
        <v>1038</v>
      </c>
      <c r="S16" s="320">
        <v>2012</v>
      </c>
      <c r="T16" s="320" t="s">
        <v>1038</v>
      </c>
      <c r="U16" s="320" t="s">
        <v>1055</v>
      </c>
      <c r="V16" s="320" t="s">
        <v>986</v>
      </c>
      <c r="W16" s="320" t="s">
        <v>507</v>
      </c>
      <c r="X16" s="320" t="s">
        <v>507</v>
      </c>
      <c r="Y16" s="320" t="s">
        <v>507</v>
      </c>
      <c r="Z16" s="323" t="s">
        <v>284</v>
      </c>
      <c r="AA16" s="324" t="s">
        <v>1056</v>
      </c>
      <c r="AB16" s="319" t="s">
        <v>1057</v>
      </c>
    </row>
    <row r="17" ht="28.5" customHeight="1" s="5" customFormat="1">
      <c r="A17" s="325" t="s">
        <v>154</v>
      </c>
      <c r="B17" s="326" t="s">
        <v>339</v>
      </c>
      <c r="C17" s="327" t="s">
        <v>1058</v>
      </c>
      <c r="D17" s="5"/>
      <c r="E17" s="325" t="s">
        <v>64</v>
      </c>
      <c r="F17" s="325" t="s">
        <v>969</v>
      </c>
      <c r="G17" s="325" t="s">
        <v>956</v>
      </c>
      <c r="H17" s="325"/>
      <c r="I17" s="325"/>
      <c r="J17" s="325" t="s">
        <v>64</v>
      </c>
      <c r="K17" s="325" t="s">
        <v>64</v>
      </c>
      <c r="L17" s="325" t="s">
        <v>960</v>
      </c>
      <c r="M17" s="325" t="s">
        <v>960</v>
      </c>
      <c r="N17" s="325" t="s">
        <v>64</v>
      </c>
      <c r="O17" s="325" t="s">
        <v>64</v>
      </c>
      <c r="P17" s="325" t="s">
        <v>963</v>
      </c>
      <c r="Q17" s="325" t="s">
        <v>963</v>
      </c>
      <c r="R17" s="325"/>
      <c r="S17" s="325"/>
      <c r="T17" s="325"/>
      <c r="U17" s="325"/>
      <c r="V17" s="325"/>
      <c r="W17" s="325"/>
      <c r="X17" s="325"/>
      <c r="Y17" s="325"/>
      <c r="Z17" s="316" t="s">
        <v>339</v>
      </c>
      <c r="AA17" s="328" t="s">
        <v>1059</v>
      </c>
      <c r="AB17" s="328" t="s">
        <v>342</v>
      </c>
    </row>
    <row r="18" ht="34.5" customHeight="1" s="5" customFormat="1">
      <c r="A18" s="329" t="s">
        <v>154</v>
      </c>
      <c r="B18" s="326" t="s">
        <v>339</v>
      </c>
      <c r="C18" s="330" t="s">
        <v>1060</v>
      </c>
      <c r="D18" s="5"/>
      <c r="E18" s="329" t="s">
        <v>64</v>
      </c>
      <c r="F18" s="329" t="s">
        <v>969</v>
      </c>
      <c r="G18" s="329" t="s">
        <v>956</v>
      </c>
      <c r="H18" s="329"/>
      <c r="I18" s="329"/>
      <c r="J18" s="329"/>
      <c r="K18" s="329"/>
      <c r="L18" s="329"/>
      <c r="M18" s="331">
        <v>1379</v>
      </c>
      <c r="N18" s="329"/>
      <c r="O18" s="329"/>
      <c r="P18" s="329"/>
      <c r="Q18" s="331"/>
      <c r="R18" s="329"/>
      <c r="S18" s="329"/>
      <c r="T18" s="329"/>
      <c r="U18" s="329"/>
      <c r="V18" s="329"/>
      <c r="W18" s="329"/>
      <c r="X18" s="329"/>
      <c r="Y18" s="329"/>
      <c r="Z18" s="316" t="s">
        <v>339</v>
      </c>
      <c r="AA18" s="332" t="s">
        <v>1061</v>
      </c>
      <c r="AB18" s="332" t="s">
        <v>1062</v>
      </c>
    </row>
    <row r="20" ht="14.25" customHeight="1" s="5" customFormat="1">
      <c r="A20" s="333" t="s">
        <v>1063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2" ht="18" customHeight="1" s="5" customFormat="1">
      <c r="A22" s="334" t="s">
        <v>349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ht="15.75" customHeight="1" s="5" customFormat="1">
      <c r="A23" s="335" t="s">
        <v>1064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ht="15.75" customHeight="1" s="5" customFormat="1">
      <c r="A24" s="5"/>
      <c r="B24" s="336" t="s">
        <v>351</v>
      </c>
      <c r="C24" s="336" t="s">
        <v>352</v>
      </c>
      <c r="D24" s="5"/>
      <c r="E24" s="336" t="s">
        <v>353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ht="20.25" customHeight="1" s="5" customFormat="1">
      <c r="A25" s="337" t="s">
        <v>151</v>
      </c>
      <c r="B25" s="338">
        <f>'Current Rents'!E22</f>
        <v>964</v>
      </c>
      <c r="C25" s="339">
        <v>1379</v>
      </c>
      <c r="D25" s="5"/>
      <c r="E25" s="340">
        <f t="shared" si="0" ref="E25:E26">B25-C25</f>
        <v>-415</v>
      </c>
      <c r="F25" s="161" t="str">
        <f>IF(E25&lt;-75,"LOOK INTO INCREASING THE RENT!","")</f>
        <v>LOOK INTO INCREASING THE RENT!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ht="20.25" customHeight="1" s="5" customFormat="1">
      <c r="A26" s="337" t="s">
        <v>155</v>
      </c>
      <c r="B26" s="338">
        <f>'Current Rents'!G22</f>
        <v>1221</v>
      </c>
      <c r="C26" s="339">
        <v>0</v>
      </c>
      <c r="D26" s="5"/>
      <c r="E26" s="340">
        <f t="shared" si="0"/>
        <v>1221</v>
      </c>
      <c r="F26" s="161" t="str">
        <f>IF(E26&lt;-75,"LOOK INTO INCREASING THE RENT!","")</f>
        <v/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</sheetData>
  <mergeCells>
    <mergeCell ref="Z3:AB3"/>
    <mergeCell ref="A4:AB4"/>
    <mergeCell ref="A23:H23"/>
    <mergeCell ref="C8:D8"/>
    <mergeCell ref="C9:D9"/>
    <mergeCell ref="C12:D12"/>
    <mergeCell ref="C18:D18"/>
    <mergeCell ref="C17:D17"/>
    <mergeCell ref="A22:H22"/>
    <mergeCell ref="C10:D10"/>
    <mergeCell ref="C7:D7"/>
    <mergeCell ref="A3:Y3"/>
    <mergeCell ref="A20:AB20"/>
    <mergeCell ref="C24:D24"/>
    <mergeCell ref="C11:D11"/>
    <mergeCell ref="A5:AB5"/>
    <mergeCell ref="D13:D16"/>
    <mergeCell ref="A6:AB6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A2C8F2C-4069-F2C8-16AA-074B46BE0DD8}" mc:Ignorable="x14ac xr xr2 xr3"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style="5" width="9.00390625" customWidth="1"/>
    <col min="2" max="2" style="5" width="18.57421875" customWidth="1"/>
    <col min="3" max="3" style="5" width="42.00390625" customWidth="1"/>
    <col min="4" max="4" style="5" width="4.7109375" customWidth="1"/>
    <col min="5" max="5" style="5" width="31.00390625" customWidth="1"/>
    <col min="6" max="6" style="5" width="14.28125" customWidth="1"/>
    <col min="7" max="7" style="5" width="9.28125" customWidth="1"/>
    <col min="8" max="9" style="5" width="13.00390625" customWidth="1"/>
    <col min="10" max="10" style="5" width="7.00390625" hidden="1" customWidth="1"/>
    <col min="11" max="11" style="5" width="13.00390625" customWidth="1"/>
    <col min="12" max="12" style="5" width="5.28125" hidden="1" customWidth="1"/>
    <col min="13" max="13" style="5" width="16.7109375" customWidth="1"/>
    <col min="14" max="14" style="5" width="7.00390625" hidden="1" customWidth="1"/>
    <col min="15" max="15" style="5" width="13.00390625" customWidth="1"/>
    <col min="16" max="16" style="5" width="5.28125" hidden="1" customWidth="1"/>
    <col min="17" max="17" style="5" width="16.7109375" customWidth="1"/>
    <col min="18" max="18" style="5" width="7.00390625" hidden="1" customWidth="1"/>
    <col min="19" max="19" style="5" width="13.00390625" customWidth="1"/>
    <col min="20" max="20" style="5" width="5.28125" hidden="1" customWidth="1"/>
    <col min="21" max="21" style="5" width="16.7109375" customWidth="1"/>
    <col min="22" max="22" style="5" width="9.421875" customWidth="1"/>
    <col min="23" max="29" style="5" width="13.00390625" customWidth="1"/>
    <col min="30" max="30" style="5" width="24.57421875" customWidth="1"/>
    <col min="31" max="31" style="5" width="55.7109375" customWidth="1"/>
    <col min="32" max="32" style="5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36" customHeight="1" s="5" customFormat="1">
      <c r="A3" s="295" t="s">
        <v>1065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296" t="s">
        <v>1066</v>
      </c>
      <c r="AE3" s="5"/>
      <c r="AF3" s="5"/>
    </row>
    <row r="4" ht="18" customHeight="1" s="5" customFormat="1">
      <c r="A4" s="297" t="s">
        <v>1067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14.25" customHeight="1" s="5" customFormat="1">
      <c r="A5" s="298" t="s">
        <v>1012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25.5" customHeight="1" s="5" customFormat="1">
      <c r="A6" s="299" t="s">
        <v>1013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25.5" customHeight="1" s="5" customFormat="1">
      <c r="A7" s="300" t="s">
        <v>233</v>
      </c>
      <c r="B7" s="300" t="s">
        <v>234</v>
      </c>
      <c r="C7" s="300" t="s">
        <v>3</v>
      </c>
      <c r="D7" s="5"/>
      <c r="E7" s="300" t="s">
        <v>235</v>
      </c>
      <c r="F7" s="300" t="s">
        <v>236</v>
      </c>
      <c r="G7" s="300" t="s">
        <v>237</v>
      </c>
      <c r="H7" s="300" t="s">
        <v>238</v>
      </c>
      <c r="I7" s="300" t="s">
        <v>239</v>
      </c>
      <c r="J7" s="300" t="s">
        <v>444</v>
      </c>
      <c r="K7" s="300" t="s">
        <v>445</v>
      </c>
      <c r="L7" s="300" t="s">
        <v>446</v>
      </c>
      <c r="M7" s="301" t="s">
        <v>447</v>
      </c>
      <c r="N7" s="300" t="s">
        <v>240</v>
      </c>
      <c r="O7" s="300" t="s">
        <v>241</v>
      </c>
      <c r="P7" s="300" t="s">
        <v>242</v>
      </c>
      <c r="Q7" s="301" t="s">
        <v>360</v>
      </c>
      <c r="R7" s="300" t="s">
        <v>244</v>
      </c>
      <c r="S7" s="300" t="s">
        <v>245</v>
      </c>
      <c r="T7" s="300" t="s">
        <v>246</v>
      </c>
      <c r="U7" s="301" t="s">
        <v>361</v>
      </c>
      <c r="V7" s="300" t="s">
        <v>6</v>
      </c>
      <c r="W7" s="300" t="s">
        <v>248</v>
      </c>
      <c r="X7" s="300" t="s">
        <v>249</v>
      </c>
      <c r="Y7" s="300" t="s">
        <v>250</v>
      </c>
      <c r="Z7" s="300" t="s">
        <v>251</v>
      </c>
      <c r="AA7" s="300" t="s">
        <v>252</v>
      </c>
      <c r="AB7" s="300" t="s">
        <v>253</v>
      </c>
      <c r="AC7" s="300" t="s">
        <v>254</v>
      </c>
      <c r="AD7" s="301" t="s">
        <v>255</v>
      </c>
      <c r="AE7" s="300" t="s">
        <v>256</v>
      </c>
      <c r="AF7" s="300" t="s">
        <v>257</v>
      </c>
    </row>
    <row r="8" ht="21.75" customHeight="1" s="5" customFormat="1">
      <c r="A8" s="302" t="s">
        <v>258</v>
      </c>
      <c r="B8" s="303" t="s">
        <v>259</v>
      </c>
      <c r="C8" s="304" t="s">
        <v>1068</v>
      </c>
      <c r="D8" s="5"/>
      <c r="E8" s="304" t="s">
        <v>1069</v>
      </c>
      <c r="F8" s="305" t="s">
        <v>955</v>
      </c>
      <c r="G8" s="305" t="s">
        <v>956</v>
      </c>
      <c r="H8" s="305" t="s">
        <v>957</v>
      </c>
      <c r="I8" s="305" t="s">
        <v>265</v>
      </c>
      <c r="J8" s="305" t="s">
        <v>1070</v>
      </c>
      <c r="K8" s="305" t="s">
        <v>1071</v>
      </c>
      <c r="L8" s="305" t="s">
        <v>1072</v>
      </c>
      <c r="M8" s="306">
        <f>'Current Rents'!D23</f>
        <v>1198</v>
      </c>
      <c r="N8" s="305" t="s">
        <v>958</v>
      </c>
      <c r="O8" s="305" t="s">
        <v>959</v>
      </c>
      <c r="P8" s="305" t="s">
        <v>960</v>
      </c>
      <c r="Q8" s="306">
        <f>'Current Rents'!E23</f>
        <v>1430</v>
      </c>
      <c r="R8" s="305" t="s">
        <v>1073</v>
      </c>
      <c r="S8" s="305" t="s">
        <v>1074</v>
      </c>
      <c r="T8" s="305" t="s">
        <v>1075</v>
      </c>
      <c r="U8" s="306">
        <f>'Current Rents'!F23</f>
        <v>1656</v>
      </c>
      <c r="V8" s="305" t="s">
        <v>635</v>
      </c>
      <c r="W8" s="305" t="s">
        <v>1076</v>
      </c>
      <c r="X8" s="305">
        <v>0</v>
      </c>
      <c r="Y8" s="305" t="s">
        <v>273</v>
      </c>
      <c r="Z8" s="305" t="s">
        <v>273</v>
      </c>
      <c r="AA8" s="305" t="s">
        <v>273</v>
      </c>
      <c r="AB8" s="305" t="s">
        <v>273</v>
      </c>
      <c r="AC8" s="305" t="s">
        <v>272</v>
      </c>
      <c r="AD8" s="303" t="s">
        <v>259</v>
      </c>
      <c r="AE8" s="307" t="s">
        <v>1077</v>
      </c>
      <c r="AF8" s="304" t="s">
        <v>275</v>
      </c>
    </row>
    <row r="9" ht="21.75" customHeight="1" s="5" customFormat="1">
      <c r="A9" s="308" t="s">
        <v>276</v>
      </c>
      <c r="B9" s="309" t="s">
        <v>277</v>
      </c>
      <c r="C9" s="310" t="s">
        <v>1078</v>
      </c>
      <c r="D9" s="5"/>
      <c r="E9" s="311" t="s">
        <v>1079</v>
      </c>
      <c r="F9" s="308" t="s">
        <v>1080</v>
      </c>
      <c r="G9" s="308" t="s">
        <v>956</v>
      </c>
      <c r="H9" s="308" t="s">
        <v>1081</v>
      </c>
      <c r="I9" s="308" t="s">
        <v>1082</v>
      </c>
      <c r="J9" s="308" t="s">
        <v>1070</v>
      </c>
      <c r="K9" s="308" t="s">
        <v>1071</v>
      </c>
      <c r="L9" s="308" t="s">
        <v>1072</v>
      </c>
      <c r="M9" s="308" t="s">
        <v>283</v>
      </c>
      <c r="N9" s="308" t="s">
        <v>958</v>
      </c>
      <c r="O9" s="308" t="s">
        <v>959</v>
      </c>
      <c r="P9" s="308" t="s">
        <v>960</v>
      </c>
      <c r="Q9" s="308" t="s">
        <v>283</v>
      </c>
      <c r="R9" s="308" t="s">
        <v>1073</v>
      </c>
      <c r="S9" s="308" t="s">
        <v>1074</v>
      </c>
      <c r="T9" s="308" t="s">
        <v>1075</v>
      </c>
      <c r="U9" s="308" t="s">
        <v>283</v>
      </c>
      <c r="V9" s="308" t="s">
        <v>1083</v>
      </c>
      <c r="W9" s="308" t="s">
        <v>1076</v>
      </c>
      <c r="X9" s="308" t="s">
        <v>462</v>
      </c>
      <c r="Y9" s="308" t="s">
        <v>272</v>
      </c>
      <c r="Z9" s="308" t="s">
        <v>273</v>
      </c>
      <c r="AA9" s="308" t="s">
        <v>273</v>
      </c>
      <c r="AB9" s="308" t="s">
        <v>273</v>
      </c>
      <c r="AC9" s="308" t="s">
        <v>273</v>
      </c>
      <c r="AD9" s="314" t="s">
        <v>298</v>
      </c>
      <c r="AE9" s="313" t="s">
        <v>1084</v>
      </c>
      <c r="AF9" s="311" t="s">
        <v>967</v>
      </c>
    </row>
    <row r="10" ht="21.75" customHeight="1" s="5" customFormat="1">
      <c r="A10" s="308" t="s">
        <v>210</v>
      </c>
      <c r="B10" s="309" t="s">
        <v>277</v>
      </c>
      <c r="C10" s="310" t="s">
        <v>1085</v>
      </c>
      <c r="D10" s="5"/>
      <c r="E10" s="311" t="s">
        <v>1086</v>
      </c>
      <c r="F10" s="308" t="s">
        <v>1087</v>
      </c>
      <c r="G10" s="308" t="s">
        <v>956</v>
      </c>
      <c r="H10" s="308"/>
      <c r="I10" s="308" t="s">
        <v>64</v>
      </c>
      <c r="J10" s="308" t="s">
        <v>1070</v>
      </c>
      <c r="K10" s="308" t="s">
        <v>1071</v>
      </c>
      <c r="L10" s="308" t="s">
        <v>1072</v>
      </c>
      <c r="M10" s="308" t="s">
        <v>1088</v>
      </c>
      <c r="N10" s="308" t="s">
        <v>958</v>
      </c>
      <c r="O10" s="308" t="s">
        <v>959</v>
      </c>
      <c r="P10" s="308" t="s">
        <v>960</v>
      </c>
      <c r="Q10" s="308" t="s">
        <v>1089</v>
      </c>
      <c r="R10" s="308" t="s">
        <v>1073</v>
      </c>
      <c r="S10" s="308" t="s">
        <v>1074</v>
      </c>
      <c r="T10" s="308" t="s">
        <v>1075</v>
      </c>
      <c r="U10" s="308" t="s">
        <v>1090</v>
      </c>
      <c r="V10" s="308" t="s">
        <v>635</v>
      </c>
      <c r="W10" s="308" t="s">
        <v>1091</v>
      </c>
      <c r="X10" s="308" t="s">
        <v>276</v>
      </c>
      <c r="Y10" s="308" t="s">
        <v>272</v>
      </c>
      <c r="Z10" s="308" t="s">
        <v>273</v>
      </c>
      <c r="AA10" s="308" t="s">
        <v>273</v>
      </c>
      <c r="AB10" s="308" t="s">
        <v>273</v>
      </c>
      <c r="AC10" s="308" t="s">
        <v>273</v>
      </c>
      <c r="AD10" s="341" t="s">
        <v>982</v>
      </c>
      <c r="AE10" s="313" t="s">
        <v>1092</v>
      </c>
      <c r="AF10" s="311" t="s">
        <v>967</v>
      </c>
    </row>
    <row r="11" ht="21.75" customHeight="1" s="5" customFormat="1">
      <c r="A11" s="308" t="s">
        <v>181</v>
      </c>
      <c r="B11" s="309" t="s">
        <v>277</v>
      </c>
      <c r="C11" s="310" t="s">
        <v>1093</v>
      </c>
      <c r="D11" s="5"/>
      <c r="E11" s="311" t="s">
        <v>1094</v>
      </c>
      <c r="F11" s="308" t="s">
        <v>1095</v>
      </c>
      <c r="G11" s="308" t="s">
        <v>956</v>
      </c>
      <c r="H11" s="308"/>
      <c r="I11" s="308" t="s">
        <v>64</v>
      </c>
      <c r="J11" s="308" t="s">
        <v>1070</v>
      </c>
      <c r="K11" s="308" t="s">
        <v>1071</v>
      </c>
      <c r="L11" s="308" t="s">
        <v>1072</v>
      </c>
      <c r="M11" s="308" t="s">
        <v>283</v>
      </c>
      <c r="N11" s="308" t="s">
        <v>958</v>
      </c>
      <c r="O11" s="308" t="s">
        <v>959</v>
      </c>
      <c r="P11" s="308" t="s">
        <v>960</v>
      </c>
      <c r="Q11" s="308" t="s">
        <v>283</v>
      </c>
      <c r="R11" s="308" t="s">
        <v>1073</v>
      </c>
      <c r="S11" s="308" t="s">
        <v>1074</v>
      </c>
      <c r="T11" s="308" t="s">
        <v>1075</v>
      </c>
      <c r="U11" s="308" t="s">
        <v>283</v>
      </c>
      <c r="V11" s="308" t="s">
        <v>1096</v>
      </c>
      <c r="W11" s="308" t="s">
        <v>1076</v>
      </c>
      <c r="X11" s="308" t="s">
        <v>462</v>
      </c>
      <c r="Y11" s="308" t="s">
        <v>272</v>
      </c>
      <c r="Z11" s="308" t="s">
        <v>273</v>
      </c>
      <c r="AA11" s="308" t="s">
        <v>273</v>
      </c>
      <c r="AB11" s="308" t="s">
        <v>273</v>
      </c>
      <c r="AC11" s="308" t="s">
        <v>273</v>
      </c>
      <c r="AD11" s="341" t="s">
        <v>982</v>
      </c>
      <c r="AE11" s="313" t="s">
        <v>1097</v>
      </c>
      <c r="AF11" s="311" t="s">
        <v>967</v>
      </c>
    </row>
    <row r="12" ht="21.75" customHeight="1" s="5" customFormat="1">
      <c r="A12" s="308" t="s">
        <v>320</v>
      </c>
      <c r="B12" s="309" t="s">
        <v>277</v>
      </c>
      <c r="C12" s="310" t="s">
        <v>973</v>
      </c>
      <c r="D12" s="5"/>
      <c r="E12" s="311" t="s">
        <v>974</v>
      </c>
      <c r="F12" s="308" t="s">
        <v>955</v>
      </c>
      <c r="G12" s="308" t="s">
        <v>956</v>
      </c>
      <c r="H12" s="308" t="s">
        <v>957</v>
      </c>
      <c r="I12" s="308" t="s">
        <v>975</v>
      </c>
      <c r="J12" s="308" t="s">
        <v>1070</v>
      </c>
      <c r="K12" s="308" t="s">
        <v>1071</v>
      </c>
      <c r="L12" s="308" t="s">
        <v>1072</v>
      </c>
      <c r="M12" s="308" t="s">
        <v>1098</v>
      </c>
      <c r="N12" s="308" t="s">
        <v>958</v>
      </c>
      <c r="O12" s="308" t="s">
        <v>959</v>
      </c>
      <c r="P12" s="308" t="s">
        <v>960</v>
      </c>
      <c r="Q12" s="308" t="s">
        <v>1024</v>
      </c>
      <c r="R12" s="308" t="s">
        <v>1073</v>
      </c>
      <c r="S12" s="308" t="s">
        <v>1074</v>
      </c>
      <c r="T12" s="308" t="s">
        <v>1075</v>
      </c>
      <c r="U12" s="308" t="s">
        <v>1099</v>
      </c>
      <c r="V12" s="308" t="s">
        <v>1026</v>
      </c>
      <c r="W12" s="308" t="s">
        <v>1027</v>
      </c>
      <c r="X12" s="308" t="s">
        <v>181</v>
      </c>
      <c r="Y12" s="308" t="s">
        <v>272</v>
      </c>
      <c r="Z12" s="308" t="s">
        <v>273</v>
      </c>
      <c r="AA12" s="308" t="s">
        <v>273</v>
      </c>
      <c r="AB12" s="308" t="s">
        <v>273</v>
      </c>
      <c r="AC12" s="308" t="s">
        <v>273</v>
      </c>
      <c r="AD12" s="312" t="s">
        <v>284</v>
      </c>
      <c r="AE12" s="313" t="s">
        <v>1100</v>
      </c>
      <c r="AF12" s="311" t="s">
        <v>967</v>
      </c>
    </row>
    <row r="13" ht="24.75" customHeight="1" s="5" customFormat="1">
      <c r="A13" s="315" t="s">
        <v>276</v>
      </c>
      <c r="B13" s="316" t="s">
        <v>300</v>
      </c>
      <c r="C13" s="317" t="s">
        <v>987</v>
      </c>
      <c r="D13" s="318" t="s">
        <v>302</v>
      </c>
      <c r="E13" s="319" t="s">
        <v>988</v>
      </c>
      <c r="F13" s="320" t="s">
        <v>955</v>
      </c>
      <c r="G13" s="320" t="s">
        <v>956</v>
      </c>
      <c r="H13" s="320" t="s">
        <v>957</v>
      </c>
      <c r="I13" s="320" t="s">
        <v>305</v>
      </c>
      <c r="J13" s="320" t="s">
        <v>1038</v>
      </c>
      <c r="K13" s="320" t="s">
        <v>1038</v>
      </c>
      <c r="L13" s="320" t="s">
        <v>1072</v>
      </c>
      <c r="M13" s="321">
        <v>867</v>
      </c>
      <c r="N13" s="320" t="s">
        <v>1038</v>
      </c>
      <c r="O13" s="320" t="s">
        <v>1038</v>
      </c>
      <c r="P13" s="320" t="s">
        <v>1038</v>
      </c>
      <c r="Q13" s="321">
        <v>1497</v>
      </c>
      <c r="R13" s="320" t="s">
        <v>1038</v>
      </c>
      <c r="S13" s="320" t="s">
        <v>1038</v>
      </c>
      <c r="T13" s="320" t="s">
        <v>1038</v>
      </c>
      <c r="U13" s="321">
        <v>1725</v>
      </c>
      <c r="V13" s="320" t="s">
        <v>551</v>
      </c>
      <c r="W13" s="320" t="s">
        <v>1101</v>
      </c>
      <c r="X13" s="320" t="s">
        <v>210</v>
      </c>
      <c r="Y13" s="320" t="s">
        <v>507</v>
      </c>
      <c r="Z13" s="320" t="s">
        <v>507</v>
      </c>
      <c r="AA13" s="320" t="s">
        <v>507</v>
      </c>
      <c r="AB13" s="320" t="s">
        <v>507</v>
      </c>
      <c r="AC13" s="320" t="s">
        <v>507</v>
      </c>
      <c r="AD13" s="323" t="s">
        <v>284</v>
      </c>
      <c r="AE13" s="324" t="s">
        <v>1102</v>
      </c>
      <c r="AF13" s="319" t="s">
        <v>1103</v>
      </c>
    </row>
    <row r="14" ht="24.75" customHeight="1" s="5" customFormat="1">
      <c r="A14" s="315" t="s">
        <v>210</v>
      </c>
      <c r="B14" s="316" t="s">
        <v>300</v>
      </c>
      <c r="C14" s="317" t="s">
        <v>991</v>
      </c>
      <c r="D14" s="5"/>
      <c r="E14" s="319" t="s">
        <v>992</v>
      </c>
      <c r="F14" s="320" t="s">
        <v>955</v>
      </c>
      <c r="G14" s="320" t="s">
        <v>956</v>
      </c>
      <c r="H14" s="320" t="s">
        <v>957</v>
      </c>
      <c r="I14" s="320" t="s">
        <v>598</v>
      </c>
      <c r="J14" s="320" t="s">
        <v>1038</v>
      </c>
      <c r="K14" s="320" t="s">
        <v>1038</v>
      </c>
      <c r="L14" s="320" t="s">
        <v>1038</v>
      </c>
      <c r="M14" s="321">
        <v>1074</v>
      </c>
      <c r="N14" s="320" t="s">
        <v>1038</v>
      </c>
      <c r="O14" s="320" t="s">
        <v>1038</v>
      </c>
      <c r="P14" s="320" t="s">
        <v>1038</v>
      </c>
      <c r="Q14" s="321">
        <v>1424</v>
      </c>
      <c r="R14" s="320" t="s">
        <v>1038</v>
      </c>
      <c r="S14" s="320" t="s">
        <v>1038</v>
      </c>
      <c r="T14" s="320" t="s">
        <v>1075</v>
      </c>
      <c r="U14" s="321">
        <v>1375</v>
      </c>
      <c r="V14" s="320" t="s">
        <v>578</v>
      </c>
      <c r="W14" s="320" t="s">
        <v>636</v>
      </c>
      <c r="X14" s="320" t="s">
        <v>276</v>
      </c>
      <c r="Y14" s="320" t="s">
        <v>507</v>
      </c>
      <c r="Z14" s="320" t="s">
        <v>507</v>
      </c>
      <c r="AA14" s="320" t="s">
        <v>507</v>
      </c>
      <c r="AB14" s="320" t="s">
        <v>507</v>
      </c>
      <c r="AC14" s="320" t="s">
        <v>507</v>
      </c>
      <c r="AD14" s="323" t="s">
        <v>284</v>
      </c>
      <c r="AE14" s="324" t="s">
        <v>1104</v>
      </c>
      <c r="AF14" s="319" t="s">
        <v>990</v>
      </c>
    </row>
    <row r="15" ht="24.75" customHeight="1" s="5" customFormat="1">
      <c r="A15" s="315" t="s">
        <v>181</v>
      </c>
      <c r="B15" s="316" t="s">
        <v>300</v>
      </c>
      <c r="C15" s="317" t="s">
        <v>995</v>
      </c>
      <c r="D15" s="5"/>
      <c r="E15" s="319" t="s">
        <v>996</v>
      </c>
      <c r="F15" s="320" t="s">
        <v>955</v>
      </c>
      <c r="G15" s="320" t="s">
        <v>956</v>
      </c>
      <c r="H15" s="320" t="s">
        <v>957</v>
      </c>
      <c r="I15" s="320" t="s">
        <v>323</v>
      </c>
      <c r="J15" s="320" t="s">
        <v>1038</v>
      </c>
      <c r="K15" s="320" t="s">
        <v>1038</v>
      </c>
      <c r="L15" s="320" t="s">
        <v>1038</v>
      </c>
      <c r="M15" s="321">
        <v>1304</v>
      </c>
      <c r="N15" s="320" t="s">
        <v>1038</v>
      </c>
      <c r="O15" s="320" t="s">
        <v>1038</v>
      </c>
      <c r="P15" s="320" t="s">
        <v>1038</v>
      </c>
      <c r="Q15" s="321">
        <v>1559</v>
      </c>
      <c r="R15" s="320" t="s">
        <v>1038</v>
      </c>
      <c r="S15" s="320" t="s">
        <v>1038</v>
      </c>
      <c r="T15" s="320" t="s">
        <v>1075</v>
      </c>
      <c r="U15" s="321">
        <v>1325</v>
      </c>
      <c r="V15" s="320" t="s">
        <v>475</v>
      </c>
      <c r="W15" s="320" t="s">
        <v>629</v>
      </c>
      <c r="X15" s="320" t="s">
        <v>210</v>
      </c>
      <c r="Y15" s="320" t="s">
        <v>507</v>
      </c>
      <c r="Z15" s="320" t="s">
        <v>507</v>
      </c>
      <c r="AA15" s="320" t="s">
        <v>507</v>
      </c>
      <c r="AB15" s="320" t="s">
        <v>507</v>
      </c>
      <c r="AC15" s="320" t="s">
        <v>507</v>
      </c>
      <c r="AD15" s="342" t="s">
        <v>298</v>
      </c>
      <c r="AE15" s="324" t="s">
        <v>1105</v>
      </c>
      <c r="AF15" s="319" t="s">
        <v>994</v>
      </c>
    </row>
    <row r="16" ht="24.75" customHeight="1" s="5" customFormat="1">
      <c r="A16" s="315" t="s">
        <v>320</v>
      </c>
      <c r="B16" s="316" t="s">
        <v>300</v>
      </c>
      <c r="C16" s="317" t="s">
        <v>999</v>
      </c>
      <c r="D16" s="5"/>
      <c r="E16" s="319" t="s">
        <v>1000</v>
      </c>
      <c r="F16" s="320" t="s">
        <v>955</v>
      </c>
      <c r="G16" s="320" t="s">
        <v>956</v>
      </c>
      <c r="H16" s="320" t="s">
        <v>957</v>
      </c>
      <c r="I16" s="320" t="s">
        <v>767</v>
      </c>
      <c r="J16" s="320" t="s">
        <v>1038</v>
      </c>
      <c r="K16" s="320" t="s">
        <v>1038</v>
      </c>
      <c r="L16" s="320" t="s">
        <v>1038</v>
      </c>
      <c r="M16" s="321">
        <v>1014</v>
      </c>
      <c r="N16" s="320" t="s">
        <v>1038</v>
      </c>
      <c r="O16" s="320" t="s">
        <v>1038</v>
      </c>
      <c r="P16" s="320" t="s">
        <v>1038</v>
      </c>
      <c r="Q16" s="321">
        <v>1505</v>
      </c>
      <c r="R16" s="320" t="s">
        <v>1038</v>
      </c>
      <c r="S16" s="320" t="s">
        <v>1038</v>
      </c>
      <c r="T16" s="320" t="s">
        <v>1075</v>
      </c>
      <c r="U16" s="321">
        <v>1400</v>
      </c>
      <c r="V16" s="320" t="s">
        <v>1026</v>
      </c>
      <c r="W16" s="320" t="s">
        <v>1091</v>
      </c>
      <c r="X16" s="320" t="s">
        <v>276</v>
      </c>
      <c r="Y16" s="320" t="s">
        <v>507</v>
      </c>
      <c r="Z16" s="320" t="s">
        <v>507</v>
      </c>
      <c r="AA16" s="320" t="s">
        <v>507</v>
      </c>
      <c r="AB16" s="320" t="s">
        <v>507</v>
      </c>
      <c r="AC16" s="320" t="s">
        <v>507</v>
      </c>
      <c r="AD16" s="342" t="s">
        <v>298</v>
      </c>
      <c r="AE16" s="324" t="s">
        <v>1106</v>
      </c>
      <c r="AF16" s="319" t="s">
        <v>1051</v>
      </c>
    </row>
    <row r="17" ht="28.5" customHeight="1" s="5" customFormat="1">
      <c r="A17" s="325" t="s">
        <v>154</v>
      </c>
      <c r="B17" s="326" t="s">
        <v>339</v>
      </c>
      <c r="C17" s="327" t="s">
        <v>1107</v>
      </c>
      <c r="D17" s="5"/>
      <c r="E17" s="325" t="s">
        <v>64</v>
      </c>
      <c r="F17" s="325" t="s">
        <v>955</v>
      </c>
      <c r="G17" s="325" t="s">
        <v>956</v>
      </c>
      <c r="H17" s="325"/>
      <c r="I17" s="325"/>
      <c r="J17" s="325" t="s">
        <v>64</v>
      </c>
      <c r="K17" s="325" t="s">
        <v>64</v>
      </c>
      <c r="L17" s="325" t="s">
        <v>1072</v>
      </c>
      <c r="M17" s="325" t="s">
        <v>1072</v>
      </c>
      <c r="N17" s="325" t="s">
        <v>64</v>
      </c>
      <c r="O17" s="325" t="s">
        <v>64</v>
      </c>
      <c r="P17" s="325" t="s">
        <v>960</v>
      </c>
      <c r="Q17" s="325" t="s">
        <v>960</v>
      </c>
      <c r="R17" s="325" t="s">
        <v>64</v>
      </c>
      <c r="S17" s="325" t="s">
        <v>64</v>
      </c>
      <c r="T17" s="325" t="s">
        <v>1075</v>
      </c>
      <c r="U17" s="325" t="s">
        <v>1075</v>
      </c>
      <c r="V17" s="325"/>
      <c r="W17" s="325"/>
      <c r="X17" s="325"/>
      <c r="Y17" s="325"/>
      <c r="Z17" s="325"/>
      <c r="AA17" s="325"/>
      <c r="AB17" s="325"/>
      <c r="AC17" s="325"/>
      <c r="AD17" s="316" t="s">
        <v>339</v>
      </c>
      <c r="AE17" s="328" t="s">
        <v>1108</v>
      </c>
      <c r="AF17" s="328" t="s">
        <v>342</v>
      </c>
    </row>
    <row r="18" ht="34.5" customHeight="1" s="5" customFormat="1">
      <c r="A18" s="329" t="s">
        <v>154</v>
      </c>
      <c r="B18" s="326" t="s">
        <v>339</v>
      </c>
      <c r="C18" s="330" t="s">
        <v>1109</v>
      </c>
      <c r="D18" s="5"/>
      <c r="E18" s="329" t="s">
        <v>64</v>
      </c>
      <c r="F18" s="329" t="s">
        <v>955</v>
      </c>
      <c r="G18" s="329" t="s">
        <v>956</v>
      </c>
      <c r="H18" s="329"/>
      <c r="I18" s="329"/>
      <c r="J18" s="329"/>
      <c r="K18" s="329"/>
      <c r="L18" s="329"/>
      <c r="M18" s="331">
        <v>1065</v>
      </c>
      <c r="N18" s="329"/>
      <c r="O18" s="329"/>
      <c r="P18" s="329"/>
      <c r="Q18" s="331">
        <v>1496</v>
      </c>
      <c r="R18" s="329"/>
      <c r="S18" s="329"/>
      <c r="T18" s="329"/>
      <c r="U18" s="331">
        <v>1456</v>
      </c>
      <c r="V18" s="329"/>
      <c r="W18" s="329"/>
      <c r="X18" s="329"/>
      <c r="Y18" s="329"/>
      <c r="Z18" s="329"/>
      <c r="AA18" s="329"/>
      <c r="AB18" s="329"/>
      <c r="AC18" s="329"/>
      <c r="AD18" s="316" t="s">
        <v>339</v>
      </c>
      <c r="AE18" s="332" t="s">
        <v>1061</v>
      </c>
      <c r="AF18" s="332" t="s">
        <v>1062</v>
      </c>
    </row>
    <row r="20" ht="14.25" customHeight="1" s="5" customFormat="1">
      <c r="A20" s="333" t="s">
        <v>1063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2" ht="18" customHeight="1" s="5" customFormat="1">
      <c r="A22" s="334" t="s">
        <v>349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ht="15.75" customHeight="1" s="5" customFormat="1">
      <c r="A23" s="335" t="s">
        <v>1064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ht="15.75" customHeight="1" s="5" customFormat="1">
      <c r="A24" s="5"/>
      <c r="B24" s="336" t="s">
        <v>351</v>
      </c>
      <c r="C24" s="336" t="s">
        <v>352</v>
      </c>
      <c r="D24" s="5"/>
      <c r="E24" s="336" t="s">
        <v>353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ht="20.25" customHeight="1" s="5" customFormat="1">
      <c r="A25" s="337" t="s">
        <v>160</v>
      </c>
      <c r="B25" s="338">
        <f>'Current Rents'!D23</f>
        <v>1198</v>
      </c>
      <c r="C25" s="339">
        <v>1065</v>
      </c>
      <c r="D25" s="5"/>
      <c r="E25" s="340">
        <f t="shared" si="0" ref="E25:E27">B25-C25</f>
        <v>133</v>
      </c>
      <c r="F25" s="161" t="str">
        <f>IF(E25&lt;-75,"LOOK INTO INCREASING THE RENT!","")</f>
        <v/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ht="20.25" customHeight="1" s="5" customFormat="1">
      <c r="A26" s="337" t="s">
        <v>151</v>
      </c>
      <c r="B26" s="338">
        <f>'Current Rents'!E23</f>
        <v>1430</v>
      </c>
      <c r="C26" s="339">
        <v>1496</v>
      </c>
      <c r="D26" s="5"/>
      <c r="E26" s="340">
        <f t="shared" si="0"/>
        <v>-66</v>
      </c>
      <c r="F26" s="161" t="str">
        <f>IF(E26&lt;-75,"LOOK INTO INCREASING THE RENT!","")</f>
        <v/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ht="20.25" customHeight="1" s="5" customFormat="1">
      <c r="A27" s="337" t="s">
        <v>152</v>
      </c>
      <c r="B27" s="338">
        <f>'Current Rents'!F23</f>
        <v>1656</v>
      </c>
      <c r="C27" s="339">
        <v>1456</v>
      </c>
      <c r="D27" s="5"/>
      <c r="E27" s="340">
        <f t="shared" si="0"/>
        <v>200</v>
      </c>
      <c r="F27" s="161" t="str">
        <f>IF(E27&lt;-75,"LOOK INTO INCREASING THE RENT!","")</f>
        <v/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</sheetData>
  <mergeCells>
    <mergeCell ref="AD3:AF3"/>
    <mergeCell ref="A23:H23"/>
    <mergeCell ref="A3:AC3"/>
    <mergeCell ref="C8:D8"/>
    <mergeCell ref="C9:D9"/>
    <mergeCell ref="C12:D12"/>
    <mergeCell ref="C17:D17"/>
    <mergeCell ref="C18:D18"/>
    <mergeCell ref="A22:H22"/>
    <mergeCell ref="C7:D7"/>
    <mergeCell ref="A20:AF20"/>
    <mergeCell ref="A6:AF6"/>
    <mergeCell ref="A5:AF5"/>
    <mergeCell ref="C24:D24"/>
    <mergeCell ref="C11:D11"/>
    <mergeCell ref="D13:D16"/>
    <mergeCell ref="C10:D10"/>
    <mergeCell ref="A4:AF4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48D8188-9F78-3968-6199-35CF3A586348}" mc:Ignorable="x14ac xr xr2 xr3"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style="5" width="9.00390625" customWidth="1"/>
    <col min="2" max="2" style="5" width="18.57421875" customWidth="1"/>
    <col min="3" max="3" style="5" width="42.00390625" customWidth="1"/>
    <col min="4" max="4" style="5" width="4.7109375" customWidth="1"/>
    <col min="5" max="5" style="5" width="31.00390625" customWidth="1"/>
    <col min="6" max="6" style="5" width="14.28125" customWidth="1"/>
    <col min="7" max="7" style="5" width="9.28125" customWidth="1"/>
    <col min="8" max="9" style="5" width="13.00390625" customWidth="1"/>
    <col min="10" max="10" style="5" width="7.00390625" hidden="1" customWidth="1"/>
    <col min="11" max="11" style="5" width="13.00390625" customWidth="1"/>
    <col min="12" max="12" style="5" width="5.28125" hidden="1" customWidth="1"/>
    <col min="13" max="13" style="5" width="16.7109375" customWidth="1"/>
    <col min="14" max="14" style="5" width="7.00390625" hidden="1" customWidth="1"/>
    <col min="15" max="15" style="5" width="13.00390625" customWidth="1"/>
    <col min="16" max="16" style="5" width="5.28125" hidden="1" customWidth="1"/>
    <col min="17" max="17" style="5" width="16.7109375" customWidth="1"/>
    <col min="18" max="18" style="5" width="7.00390625" hidden="1" customWidth="1"/>
    <col min="19" max="19" style="5" width="13.00390625" customWidth="1"/>
    <col min="20" max="20" style="5" width="5.28125" hidden="1" customWidth="1"/>
    <col min="21" max="21" style="5" width="16.7109375" customWidth="1"/>
    <col min="22" max="22" style="5" width="9.421875" customWidth="1"/>
    <col min="23" max="29" style="5" width="13.00390625" customWidth="1"/>
    <col min="30" max="30" style="5" width="24.57421875" customWidth="1"/>
    <col min="31" max="31" style="5" width="55.7109375" customWidth="1"/>
    <col min="32" max="32" style="5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36" customHeight="1" s="5" customFormat="1">
      <c r="A3" s="295" t="s">
        <v>1110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296" t="s">
        <v>1111</v>
      </c>
      <c r="AE3" s="5"/>
      <c r="AF3" s="5"/>
    </row>
    <row r="4" ht="18" customHeight="1" s="5" customFormat="1">
      <c r="A4" s="297" t="s">
        <v>1112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14.25" customHeight="1" s="5" customFormat="1">
      <c r="A5" s="298" t="s">
        <v>1012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25.5" customHeight="1" s="5" customFormat="1">
      <c r="A6" s="299" t="s">
        <v>1013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25.5" customHeight="1" s="5" customFormat="1">
      <c r="A7" s="300" t="s">
        <v>233</v>
      </c>
      <c r="B7" s="300" t="s">
        <v>234</v>
      </c>
      <c r="C7" s="300" t="s">
        <v>3</v>
      </c>
      <c r="D7" s="5"/>
      <c r="E7" s="300" t="s">
        <v>235</v>
      </c>
      <c r="F7" s="300" t="s">
        <v>236</v>
      </c>
      <c r="G7" s="300" t="s">
        <v>237</v>
      </c>
      <c r="H7" s="300" t="s">
        <v>238</v>
      </c>
      <c r="I7" s="300" t="s">
        <v>239</v>
      </c>
      <c r="J7" s="300" t="s">
        <v>444</v>
      </c>
      <c r="K7" s="300" t="s">
        <v>445</v>
      </c>
      <c r="L7" s="300" t="s">
        <v>446</v>
      </c>
      <c r="M7" s="301" t="s">
        <v>447</v>
      </c>
      <c r="N7" s="300" t="s">
        <v>240</v>
      </c>
      <c r="O7" s="300" t="s">
        <v>241</v>
      </c>
      <c r="P7" s="300" t="s">
        <v>242</v>
      </c>
      <c r="Q7" s="301" t="s">
        <v>360</v>
      </c>
      <c r="R7" s="300" t="s">
        <v>244</v>
      </c>
      <c r="S7" s="300" t="s">
        <v>245</v>
      </c>
      <c r="T7" s="300" t="s">
        <v>246</v>
      </c>
      <c r="U7" s="301" t="s">
        <v>361</v>
      </c>
      <c r="V7" s="300" t="s">
        <v>6</v>
      </c>
      <c r="W7" s="300" t="s">
        <v>248</v>
      </c>
      <c r="X7" s="300" t="s">
        <v>249</v>
      </c>
      <c r="Y7" s="300" t="s">
        <v>250</v>
      </c>
      <c r="Z7" s="300" t="s">
        <v>251</v>
      </c>
      <c r="AA7" s="300" t="s">
        <v>252</v>
      </c>
      <c r="AB7" s="300" t="s">
        <v>253</v>
      </c>
      <c r="AC7" s="300" t="s">
        <v>254</v>
      </c>
      <c r="AD7" s="301" t="s">
        <v>255</v>
      </c>
      <c r="AE7" s="300" t="s">
        <v>256</v>
      </c>
      <c r="AF7" s="300" t="s">
        <v>257</v>
      </c>
    </row>
    <row r="8" ht="21.75" customHeight="1" s="5" customFormat="1">
      <c r="A8" s="302" t="s">
        <v>258</v>
      </c>
      <c r="B8" s="303" t="s">
        <v>259</v>
      </c>
      <c r="C8" s="304" t="s">
        <v>1113</v>
      </c>
      <c r="D8" s="5"/>
      <c r="E8" s="304" t="s">
        <v>1114</v>
      </c>
      <c r="F8" s="305" t="s">
        <v>969</v>
      </c>
      <c r="G8" s="305" t="s">
        <v>956</v>
      </c>
      <c r="H8" s="305" t="s">
        <v>970</v>
      </c>
      <c r="I8" s="305" t="s">
        <v>265</v>
      </c>
      <c r="J8" s="305" t="s">
        <v>1070</v>
      </c>
      <c r="K8" s="305" t="s">
        <v>1071</v>
      </c>
      <c r="L8" s="305" t="s">
        <v>1072</v>
      </c>
      <c r="M8" s="306">
        <f>'Current Rents'!D24</f>
        <v>1210</v>
      </c>
      <c r="N8" s="305" t="s">
        <v>958</v>
      </c>
      <c r="O8" s="305" t="s">
        <v>959</v>
      </c>
      <c r="P8" s="305" t="s">
        <v>960</v>
      </c>
      <c r="Q8" s="306">
        <f>'Current Rents'!E24</f>
        <v>1450</v>
      </c>
      <c r="R8" s="305" t="s">
        <v>1073</v>
      </c>
      <c r="S8" s="305" t="s">
        <v>1074</v>
      </c>
      <c r="T8" s="305" t="s">
        <v>1075</v>
      </c>
      <c r="U8" s="306">
        <f>'Current Rents'!F24</f>
        <v>1700</v>
      </c>
      <c r="V8" s="305" t="s">
        <v>180</v>
      </c>
      <c r="W8" s="305" t="s">
        <v>1027</v>
      </c>
      <c r="X8" s="305">
        <v>0</v>
      </c>
      <c r="Y8" s="305" t="s">
        <v>897</v>
      </c>
      <c r="Z8" s="305" t="s">
        <v>273</v>
      </c>
      <c r="AA8" s="305" t="s">
        <v>273</v>
      </c>
      <c r="AB8" s="305" t="s">
        <v>273</v>
      </c>
      <c r="AC8" s="305" t="s">
        <v>273</v>
      </c>
      <c r="AD8" s="303" t="s">
        <v>259</v>
      </c>
      <c r="AE8" s="307" t="s">
        <v>1115</v>
      </c>
      <c r="AF8" s="304" t="s">
        <v>275</v>
      </c>
    </row>
    <row r="9" ht="21.75" customHeight="1" s="5" customFormat="1">
      <c r="A9" s="308" t="s">
        <v>276</v>
      </c>
      <c r="B9" s="309" t="s">
        <v>277</v>
      </c>
      <c r="C9" s="310" t="s">
        <v>52</v>
      </c>
      <c r="D9" s="5"/>
      <c r="E9" s="311" t="s">
        <v>968</v>
      </c>
      <c r="F9" s="308" t="s">
        <v>969</v>
      </c>
      <c r="G9" s="308" t="s">
        <v>956</v>
      </c>
      <c r="H9" s="308" t="s">
        <v>970</v>
      </c>
      <c r="I9" s="308" t="s">
        <v>1116</v>
      </c>
      <c r="J9" s="308" t="s">
        <v>1070</v>
      </c>
      <c r="K9" s="308" t="s">
        <v>1071</v>
      </c>
      <c r="L9" s="308" t="s">
        <v>1072</v>
      </c>
      <c r="M9" s="308" t="s">
        <v>283</v>
      </c>
      <c r="N9" s="308" t="s">
        <v>958</v>
      </c>
      <c r="O9" s="308" t="s">
        <v>959</v>
      </c>
      <c r="P9" s="308" t="s">
        <v>960</v>
      </c>
      <c r="Q9" s="308" t="s">
        <v>283</v>
      </c>
      <c r="R9" s="308" t="s">
        <v>1073</v>
      </c>
      <c r="S9" s="308" t="s">
        <v>1074</v>
      </c>
      <c r="T9" s="308" t="s">
        <v>1075</v>
      </c>
      <c r="U9" s="308" t="s">
        <v>283</v>
      </c>
      <c r="V9" s="308" t="s">
        <v>1015</v>
      </c>
      <c r="W9" s="308" t="s">
        <v>1016</v>
      </c>
      <c r="X9" s="308" t="s">
        <v>276</v>
      </c>
      <c r="Y9" s="308" t="s">
        <v>272</v>
      </c>
      <c r="Z9" s="308" t="s">
        <v>273</v>
      </c>
      <c r="AA9" s="308" t="s">
        <v>273</v>
      </c>
      <c r="AB9" s="308" t="s">
        <v>273</v>
      </c>
      <c r="AC9" s="308" t="s">
        <v>273</v>
      </c>
      <c r="AD9" s="312" t="s">
        <v>284</v>
      </c>
      <c r="AE9" s="313" t="s">
        <v>1117</v>
      </c>
      <c r="AF9" s="311" t="s">
        <v>967</v>
      </c>
    </row>
    <row r="10" ht="21.75" customHeight="1" s="5" customFormat="1">
      <c r="A10" s="308" t="s">
        <v>210</v>
      </c>
      <c r="B10" s="309" t="s">
        <v>277</v>
      </c>
      <c r="C10" s="310" t="s">
        <v>973</v>
      </c>
      <c r="D10" s="5"/>
      <c r="E10" s="311" t="s">
        <v>974</v>
      </c>
      <c r="F10" s="308" t="s">
        <v>955</v>
      </c>
      <c r="G10" s="308" t="s">
        <v>956</v>
      </c>
      <c r="H10" s="308" t="s">
        <v>957</v>
      </c>
      <c r="I10" s="308" t="s">
        <v>1023</v>
      </c>
      <c r="J10" s="308" t="s">
        <v>1070</v>
      </c>
      <c r="K10" s="308" t="s">
        <v>1071</v>
      </c>
      <c r="L10" s="308" t="s">
        <v>1072</v>
      </c>
      <c r="M10" s="308" t="s">
        <v>1098</v>
      </c>
      <c r="N10" s="308" t="s">
        <v>958</v>
      </c>
      <c r="O10" s="308" t="s">
        <v>959</v>
      </c>
      <c r="P10" s="308" t="s">
        <v>960</v>
      </c>
      <c r="Q10" s="308" t="s">
        <v>1024</v>
      </c>
      <c r="R10" s="308" t="s">
        <v>1073</v>
      </c>
      <c r="S10" s="308" t="s">
        <v>1074</v>
      </c>
      <c r="T10" s="308" t="s">
        <v>1075</v>
      </c>
      <c r="U10" s="308" t="s">
        <v>1099</v>
      </c>
      <c r="V10" s="308" t="s">
        <v>1026</v>
      </c>
      <c r="W10" s="308" t="s">
        <v>1027</v>
      </c>
      <c r="X10" s="308" t="s">
        <v>462</v>
      </c>
      <c r="Y10" s="308" t="s">
        <v>272</v>
      </c>
      <c r="Z10" s="308" t="s">
        <v>273</v>
      </c>
      <c r="AA10" s="308" t="s">
        <v>273</v>
      </c>
      <c r="AB10" s="308" t="s">
        <v>273</v>
      </c>
      <c r="AC10" s="308" t="s">
        <v>273</v>
      </c>
      <c r="AD10" s="312" t="s">
        <v>284</v>
      </c>
      <c r="AE10" s="313" t="s">
        <v>1118</v>
      </c>
      <c r="AF10" s="311" t="s">
        <v>967</v>
      </c>
    </row>
    <row r="11" ht="21.75" customHeight="1" s="5" customFormat="1">
      <c r="A11" s="308" t="s">
        <v>181</v>
      </c>
      <c r="B11" s="309" t="s">
        <v>277</v>
      </c>
      <c r="C11" s="310" t="s">
        <v>47</v>
      </c>
      <c r="D11" s="5"/>
      <c r="E11" s="311" t="s">
        <v>965</v>
      </c>
      <c r="F11" s="308" t="s">
        <v>955</v>
      </c>
      <c r="G11" s="308" t="s">
        <v>956</v>
      </c>
      <c r="H11" s="308" t="s">
        <v>957</v>
      </c>
      <c r="I11" s="308" t="s">
        <v>1018</v>
      </c>
      <c r="J11" s="308" t="s">
        <v>1070</v>
      </c>
      <c r="K11" s="308" t="s">
        <v>1071</v>
      </c>
      <c r="L11" s="308" t="s">
        <v>1072</v>
      </c>
      <c r="M11" s="308" t="s">
        <v>283</v>
      </c>
      <c r="N11" s="308" t="s">
        <v>958</v>
      </c>
      <c r="O11" s="308" t="s">
        <v>959</v>
      </c>
      <c r="P11" s="308" t="s">
        <v>960</v>
      </c>
      <c r="Q11" s="308" t="s">
        <v>283</v>
      </c>
      <c r="R11" s="308" t="s">
        <v>1073</v>
      </c>
      <c r="S11" s="308" t="s">
        <v>1074</v>
      </c>
      <c r="T11" s="308" t="s">
        <v>1075</v>
      </c>
      <c r="U11" s="308" t="s">
        <v>283</v>
      </c>
      <c r="V11" s="308" t="s">
        <v>1019</v>
      </c>
      <c r="W11" s="308" t="s">
        <v>1016</v>
      </c>
      <c r="X11" s="308" t="s">
        <v>276</v>
      </c>
      <c r="Y11" s="308" t="s">
        <v>272</v>
      </c>
      <c r="Z11" s="308" t="s">
        <v>273</v>
      </c>
      <c r="AA11" s="308" t="s">
        <v>273</v>
      </c>
      <c r="AB11" s="308" t="s">
        <v>273</v>
      </c>
      <c r="AC11" s="308" t="s">
        <v>273</v>
      </c>
      <c r="AD11" s="312" t="s">
        <v>284</v>
      </c>
      <c r="AE11" s="313" t="s">
        <v>1119</v>
      </c>
      <c r="AF11" s="311" t="s">
        <v>967</v>
      </c>
    </row>
    <row r="12" ht="21.75" customHeight="1" s="5" customFormat="1">
      <c r="A12" s="308" t="s">
        <v>320</v>
      </c>
      <c r="B12" s="309" t="s">
        <v>277</v>
      </c>
      <c r="C12" s="310" t="s">
        <v>1120</v>
      </c>
      <c r="D12" s="5"/>
      <c r="E12" s="311" t="s">
        <v>1121</v>
      </c>
      <c r="F12" s="308" t="s">
        <v>1031</v>
      </c>
      <c r="G12" s="308" t="s">
        <v>956</v>
      </c>
      <c r="H12" s="308" t="s">
        <v>1122</v>
      </c>
      <c r="I12" s="308" t="s">
        <v>1123</v>
      </c>
      <c r="J12" s="308" t="s">
        <v>1070</v>
      </c>
      <c r="K12" s="308" t="s">
        <v>1071</v>
      </c>
      <c r="L12" s="308" t="s">
        <v>1072</v>
      </c>
      <c r="M12" s="308" t="s">
        <v>283</v>
      </c>
      <c r="N12" s="308" t="s">
        <v>958</v>
      </c>
      <c r="O12" s="308" t="s">
        <v>959</v>
      </c>
      <c r="P12" s="308" t="s">
        <v>960</v>
      </c>
      <c r="Q12" s="308" t="s">
        <v>283</v>
      </c>
      <c r="R12" s="308" t="s">
        <v>1073</v>
      </c>
      <c r="S12" s="308" t="s">
        <v>1074</v>
      </c>
      <c r="T12" s="308" t="s">
        <v>1075</v>
      </c>
      <c r="U12" s="308" t="s">
        <v>283</v>
      </c>
      <c r="V12" s="308" t="s">
        <v>1124</v>
      </c>
      <c r="W12" s="308" t="s">
        <v>1027</v>
      </c>
      <c r="X12" s="308" t="s">
        <v>462</v>
      </c>
      <c r="Y12" s="308" t="s">
        <v>272</v>
      </c>
      <c r="Z12" s="308" t="s">
        <v>273</v>
      </c>
      <c r="AA12" s="308" t="s">
        <v>273</v>
      </c>
      <c r="AB12" s="308" t="s">
        <v>273</v>
      </c>
      <c r="AC12" s="308" t="s">
        <v>273</v>
      </c>
      <c r="AD12" s="314" t="s">
        <v>298</v>
      </c>
      <c r="AE12" s="313" t="s">
        <v>1125</v>
      </c>
      <c r="AF12" s="311" t="s">
        <v>967</v>
      </c>
    </row>
    <row r="13" ht="24.75" customHeight="1" s="5" customFormat="1">
      <c r="A13" s="315" t="s">
        <v>276</v>
      </c>
      <c r="B13" s="316" t="s">
        <v>300</v>
      </c>
      <c r="C13" s="317" t="s">
        <v>1126</v>
      </c>
      <c r="D13" s="318" t="s">
        <v>302</v>
      </c>
      <c r="E13" s="319" t="s">
        <v>1127</v>
      </c>
      <c r="F13" s="320" t="s">
        <v>969</v>
      </c>
      <c r="G13" s="320" t="s">
        <v>956</v>
      </c>
      <c r="H13" s="320" t="s">
        <v>970</v>
      </c>
      <c r="I13" s="320" t="s">
        <v>881</v>
      </c>
      <c r="J13" s="320" t="s">
        <v>1038</v>
      </c>
      <c r="K13" s="320" t="s">
        <v>1038</v>
      </c>
      <c r="L13" s="320" t="s">
        <v>1038</v>
      </c>
      <c r="M13" s="321">
        <v>1254</v>
      </c>
      <c r="N13" s="320" t="s">
        <v>1038</v>
      </c>
      <c r="O13" s="320" t="s">
        <v>1038</v>
      </c>
      <c r="P13" s="320" t="s">
        <v>1038</v>
      </c>
      <c r="Q13" s="321">
        <v>1998</v>
      </c>
      <c r="R13" s="320" t="s">
        <v>1038</v>
      </c>
      <c r="S13" s="320" t="s">
        <v>1038</v>
      </c>
      <c r="T13" s="320" t="s">
        <v>1075</v>
      </c>
      <c r="U13" s="321">
        <v>1450</v>
      </c>
      <c r="V13" s="320" t="s">
        <v>64</v>
      </c>
      <c r="W13" s="320" t="s">
        <v>1027</v>
      </c>
      <c r="X13" s="320" t="s">
        <v>462</v>
      </c>
      <c r="Y13" s="320" t="s">
        <v>507</v>
      </c>
      <c r="Z13" s="320" t="s">
        <v>507</v>
      </c>
      <c r="AA13" s="320" t="s">
        <v>507</v>
      </c>
      <c r="AB13" s="320" t="s">
        <v>507</v>
      </c>
      <c r="AC13" s="320" t="s">
        <v>507</v>
      </c>
      <c r="AD13" s="323" t="s">
        <v>284</v>
      </c>
      <c r="AE13" s="324" t="s">
        <v>1128</v>
      </c>
      <c r="AF13" s="319" t="s">
        <v>1129</v>
      </c>
    </row>
    <row r="14" ht="24.75" customHeight="1" s="5" customFormat="1">
      <c r="A14" s="315" t="s">
        <v>210</v>
      </c>
      <c r="B14" s="316" t="s">
        <v>300</v>
      </c>
      <c r="C14" s="317" t="s">
        <v>1130</v>
      </c>
      <c r="D14" s="5"/>
      <c r="E14" s="319" t="s">
        <v>1131</v>
      </c>
      <c r="F14" s="320" t="s">
        <v>969</v>
      </c>
      <c r="G14" s="320" t="s">
        <v>956</v>
      </c>
      <c r="H14" s="320" t="s">
        <v>970</v>
      </c>
      <c r="I14" s="320" t="s">
        <v>774</v>
      </c>
      <c r="J14" s="320" t="s">
        <v>1038</v>
      </c>
      <c r="K14" s="320" t="s">
        <v>1038</v>
      </c>
      <c r="L14" s="320" t="s">
        <v>1038</v>
      </c>
      <c r="M14" s="321">
        <v>1447</v>
      </c>
      <c r="N14" s="320" t="s">
        <v>1038</v>
      </c>
      <c r="O14" s="320" t="s">
        <v>1038</v>
      </c>
      <c r="P14" s="320" t="s">
        <v>1038</v>
      </c>
      <c r="Q14" s="321">
        <v>1970</v>
      </c>
      <c r="R14" s="320" t="s">
        <v>1038</v>
      </c>
      <c r="S14" s="320" t="s">
        <v>1038</v>
      </c>
      <c r="T14" s="320" t="s">
        <v>1075</v>
      </c>
      <c r="U14" s="321">
        <v>1400</v>
      </c>
      <c r="V14" s="320" t="s">
        <v>1026</v>
      </c>
      <c r="W14" s="320" t="s">
        <v>1016</v>
      </c>
      <c r="X14" s="320" t="s">
        <v>276</v>
      </c>
      <c r="Y14" s="320" t="s">
        <v>507</v>
      </c>
      <c r="Z14" s="320" t="s">
        <v>507</v>
      </c>
      <c r="AA14" s="320" t="s">
        <v>507</v>
      </c>
      <c r="AB14" s="320" t="s">
        <v>507</v>
      </c>
      <c r="AC14" s="320" t="s">
        <v>507</v>
      </c>
      <c r="AD14" s="323" t="s">
        <v>284</v>
      </c>
      <c r="AE14" s="324" t="s">
        <v>1132</v>
      </c>
      <c r="AF14" s="319" t="s">
        <v>1046</v>
      </c>
    </row>
    <row r="15" ht="24.75" customHeight="1" s="5" customFormat="1">
      <c r="A15" s="315" t="s">
        <v>181</v>
      </c>
      <c r="B15" s="316" t="s">
        <v>300</v>
      </c>
      <c r="C15" s="317" t="s">
        <v>1036</v>
      </c>
      <c r="D15" s="5"/>
      <c r="E15" s="319" t="s">
        <v>1037</v>
      </c>
      <c r="F15" s="320" t="s">
        <v>969</v>
      </c>
      <c r="G15" s="320" t="s">
        <v>956</v>
      </c>
      <c r="H15" s="320" t="s">
        <v>970</v>
      </c>
      <c r="I15" s="320" t="s">
        <v>767</v>
      </c>
      <c r="J15" s="320" t="s">
        <v>1038</v>
      </c>
      <c r="K15" s="320" t="s">
        <v>1038</v>
      </c>
      <c r="L15" s="320" t="s">
        <v>1038</v>
      </c>
      <c r="M15" s="321">
        <v>1136</v>
      </c>
      <c r="N15" s="320" t="s">
        <v>1038</v>
      </c>
      <c r="O15" s="320" t="s">
        <v>1038</v>
      </c>
      <c r="P15" s="320" t="s">
        <v>1038</v>
      </c>
      <c r="Q15" s="321">
        <v>1247</v>
      </c>
      <c r="R15" s="320" t="s">
        <v>1038</v>
      </c>
      <c r="S15" s="320" t="s">
        <v>1038</v>
      </c>
      <c r="T15" s="320" t="s">
        <v>1075</v>
      </c>
      <c r="U15" s="321">
        <v>1475</v>
      </c>
      <c r="V15" s="320" t="s">
        <v>475</v>
      </c>
      <c r="W15" s="320" t="s">
        <v>636</v>
      </c>
      <c r="X15" s="320" t="s">
        <v>210</v>
      </c>
      <c r="Y15" s="320" t="s">
        <v>507</v>
      </c>
      <c r="Z15" s="320" t="s">
        <v>507</v>
      </c>
      <c r="AA15" s="320" t="s">
        <v>507</v>
      </c>
      <c r="AB15" s="320" t="s">
        <v>507</v>
      </c>
      <c r="AC15" s="320" t="s">
        <v>507</v>
      </c>
      <c r="AD15" s="323" t="s">
        <v>284</v>
      </c>
      <c r="AE15" s="324" t="s">
        <v>1133</v>
      </c>
      <c r="AF15" s="319" t="s">
        <v>1051</v>
      </c>
    </row>
    <row r="16" ht="24.75" customHeight="1" s="5" customFormat="1">
      <c r="A16" s="315" t="s">
        <v>320</v>
      </c>
      <c r="B16" s="316" t="s">
        <v>300</v>
      </c>
      <c r="C16" s="317" t="s">
        <v>1134</v>
      </c>
      <c r="D16" s="5"/>
      <c r="E16" s="319" t="s">
        <v>1135</v>
      </c>
      <c r="F16" s="320" t="s">
        <v>969</v>
      </c>
      <c r="G16" s="320" t="s">
        <v>956</v>
      </c>
      <c r="H16" s="320" t="s">
        <v>970</v>
      </c>
      <c r="I16" s="320" t="s">
        <v>499</v>
      </c>
      <c r="J16" s="320" t="s">
        <v>1038</v>
      </c>
      <c r="K16" s="320" t="s">
        <v>1038</v>
      </c>
      <c r="L16" s="320" t="s">
        <v>1038</v>
      </c>
      <c r="M16" s="321">
        <v>1215</v>
      </c>
      <c r="N16" s="320" t="s">
        <v>1038</v>
      </c>
      <c r="O16" s="320" t="s">
        <v>1038</v>
      </c>
      <c r="P16" s="320" t="s">
        <v>1038</v>
      </c>
      <c r="Q16" s="321">
        <v>2105</v>
      </c>
      <c r="R16" s="320" t="s">
        <v>1038</v>
      </c>
      <c r="S16" s="320" t="s">
        <v>1038</v>
      </c>
      <c r="T16" s="320" t="s">
        <v>1075</v>
      </c>
      <c r="U16" s="321">
        <v>1475</v>
      </c>
      <c r="V16" s="320" t="s">
        <v>469</v>
      </c>
      <c r="W16" s="320" t="s">
        <v>1016</v>
      </c>
      <c r="X16" s="320" t="s">
        <v>276</v>
      </c>
      <c r="Y16" s="320" t="s">
        <v>507</v>
      </c>
      <c r="Z16" s="320" t="s">
        <v>507</v>
      </c>
      <c r="AA16" s="320" t="s">
        <v>507</v>
      </c>
      <c r="AB16" s="320" t="s">
        <v>507</v>
      </c>
      <c r="AC16" s="320" t="s">
        <v>507</v>
      </c>
      <c r="AD16" s="323" t="s">
        <v>284</v>
      </c>
      <c r="AE16" s="324" t="s">
        <v>1136</v>
      </c>
      <c r="AF16" s="319" t="s">
        <v>1051</v>
      </c>
    </row>
    <row r="17" ht="28.5" customHeight="1" s="5" customFormat="1">
      <c r="A17" s="325" t="s">
        <v>154</v>
      </c>
      <c r="B17" s="326" t="s">
        <v>339</v>
      </c>
      <c r="C17" s="327" t="s">
        <v>1058</v>
      </c>
      <c r="D17" s="5"/>
      <c r="E17" s="325" t="s">
        <v>64</v>
      </c>
      <c r="F17" s="325" t="s">
        <v>969</v>
      </c>
      <c r="G17" s="325" t="s">
        <v>956</v>
      </c>
      <c r="H17" s="325"/>
      <c r="I17" s="325"/>
      <c r="J17" s="325" t="s">
        <v>64</v>
      </c>
      <c r="K17" s="325" t="s">
        <v>64</v>
      </c>
      <c r="L17" s="325" t="s">
        <v>1072</v>
      </c>
      <c r="M17" s="325" t="s">
        <v>1072</v>
      </c>
      <c r="N17" s="325" t="s">
        <v>64</v>
      </c>
      <c r="O17" s="325" t="s">
        <v>64</v>
      </c>
      <c r="P17" s="325" t="s">
        <v>960</v>
      </c>
      <c r="Q17" s="325" t="s">
        <v>960</v>
      </c>
      <c r="R17" s="325" t="s">
        <v>64</v>
      </c>
      <c r="S17" s="325" t="s">
        <v>64</v>
      </c>
      <c r="T17" s="325" t="s">
        <v>1075</v>
      </c>
      <c r="U17" s="325" t="s">
        <v>1075</v>
      </c>
      <c r="V17" s="325"/>
      <c r="W17" s="325"/>
      <c r="X17" s="325"/>
      <c r="Y17" s="325"/>
      <c r="Z17" s="325"/>
      <c r="AA17" s="325"/>
      <c r="AB17" s="325"/>
      <c r="AC17" s="325"/>
      <c r="AD17" s="316" t="s">
        <v>339</v>
      </c>
      <c r="AE17" s="328" t="s">
        <v>1059</v>
      </c>
      <c r="AF17" s="328" t="s">
        <v>342</v>
      </c>
    </row>
    <row r="18" ht="34.5" customHeight="1" s="5" customFormat="1">
      <c r="A18" s="329" t="s">
        <v>154</v>
      </c>
      <c r="B18" s="326" t="s">
        <v>339</v>
      </c>
      <c r="C18" s="330" t="s">
        <v>1060</v>
      </c>
      <c r="D18" s="5"/>
      <c r="E18" s="329" t="s">
        <v>64</v>
      </c>
      <c r="F18" s="329" t="s">
        <v>969</v>
      </c>
      <c r="G18" s="329" t="s">
        <v>956</v>
      </c>
      <c r="H18" s="329"/>
      <c r="I18" s="329"/>
      <c r="J18" s="329"/>
      <c r="K18" s="329"/>
      <c r="L18" s="329"/>
      <c r="M18" s="331">
        <v>1263</v>
      </c>
      <c r="N18" s="329"/>
      <c r="O18" s="329"/>
      <c r="P18" s="329"/>
      <c r="Q18" s="331">
        <v>1830</v>
      </c>
      <c r="R18" s="329"/>
      <c r="S18" s="329"/>
      <c r="T18" s="329"/>
      <c r="U18" s="331">
        <v>1450</v>
      </c>
      <c r="V18" s="329"/>
      <c r="W18" s="329"/>
      <c r="X18" s="329"/>
      <c r="Y18" s="329"/>
      <c r="Z18" s="329"/>
      <c r="AA18" s="329"/>
      <c r="AB18" s="329"/>
      <c r="AC18" s="329"/>
      <c r="AD18" s="316" t="s">
        <v>339</v>
      </c>
      <c r="AE18" s="332" t="s">
        <v>1061</v>
      </c>
      <c r="AF18" s="332" t="s">
        <v>1062</v>
      </c>
    </row>
    <row r="20" ht="14.25" customHeight="1" s="5" customFormat="1">
      <c r="A20" s="333" t="s">
        <v>1063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2" ht="18" customHeight="1" s="5" customFormat="1">
      <c r="A22" s="334" t="s">
        <v>349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ht="15.75" customHeight="1" s="5" customFormat="1">
      <c r="A23" s="335" t="s">
        <v>1064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ht="15.75" customHeight="1" s="5" customFormat="1">
      <c r="A24" s="5"/>
      <c r="B24" s="336" t="s">
        <v>351</v>
      </c>
      <c r="C24" s="336" t="s">
        <v>352</v>
      </c>
      <c r="D24" s="5"/>
      <c r="E24" s="336" t="s">
        <v>353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ht="20.25" customHeight="1" s="5" customFormat="1">
      <c r="A25" s="337" t="s">
        <v>160</v>
      </c>
      <c r="B25" s="338">
        <f>'Current Rents'!D24</f>
        <v>1210</v>
      </c>
      <c r="C25" s="339">
        <v>1263</v>
      </c>
      <c r="D25" s="5"/>
      <c r="E25" s="340">
        <f t="shared" si="0" ref="E25:E27">B25-C25</f>
        <v>-53</v>
      </c>
      <c r="F25" s="161" t="str">
        <f>IF(E25&lt;-75,"LOOK INTO INCREASING THE RENT!","")</f>
        <v/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ht="20.25" customHeight="1" s="5" customFormat="1">
      <c r="A26" s="337" t="s">
        <v>151</v>
      </c>
      <c r="B26" s="338">
        <f>'Current Rents'!E24</f>
        <v>1450</v>
      </c>
      <c r="C26" s="339">
        <v>1830</v>
      </c>
      <c r="D26" s="5"/>
      <c r="E26" s="340">
        <f t="shared" si="0"/>
        <v>-380</v>
      </c>
      <c r="F26" s="161" t="str">
        <f>IF(E26&lt;-75,"LOOK INTO INCREASING THE RENT!","")</f>
        <v>LOOK INTO INCREASING THE RENT!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ht="20.25" customHeight="1" s="5" customFormat="1">
      <c r="A27" s="337" t="s">
        <v>152</v>
      </c>
      <c r="B27" s="338">
        <f>'Current Rents'!F24</f>
        <v>1700</v>
      </c>
      <c r="C27" s="339">
        <v>1450</v>
      </c>
      <c r="D27" s="5"/>
      <c r="E27" s="340">
        <f t="shared" si="0"/>
        <v>250</v>
      </c>
      <c r="F27" s="161" t="str">
        <f>IF(E27&lt;-75,"LOOK INTO INCREASING THE RENT!","")</f>
        <v/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</sheetData>
  <mergeCells>
    <mergeCell ref="AD3:AF3"/>
    <mergeCell ref="A23:H23"/>
    <mergeCell ref="A3:AC3"/>
    <mergeCell ref="C8:D8"/>
    <mergeCell ref="C9:D9"/>
    <mergeCell ref="C12:D12"/>
    <mergeCell ref="C17:D17"/>
    <mergeCell ref="C18:D18"/>
    <mergeCell ref="A22:H22"/>
    <mergeCell ref="C7:D7"/>
    <mergeCell ref="A20:AF20"/>
    <mergeCell ref="A6:AF6"/>
    <mergeCell ref="A5:AF5"/>
    <mergeCell ref="C24:D24"/>
    <mergeCell ref="C11:D11"/>
    <mergeCell ref="D13:D16"/>
    <mergeCell ref="C10:D10"/>
    <mergeCell ref="A4:AF4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25539F8-1BB5-17E8-9874-6932605996B8}" mc:Ignorable="x14ac xr xr2 xr3">
  <dimension ref="A1:AB25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style="5" width="9.00390625" customWidth="1"/>
    <col min="2" max="2" style="5" width="18.57421875" customWidth="1"/>
    <col min="3" max="3" style="5" width="42.00390625" customWidth="1"/>
    <col min="4" max="4" style="5" width="4.7109375" customWidth="1"/>
    <col min="5" max="5" style="5" width="31.00390625" customWidth="1"/>
    <col min="6" max="6" style="5" width="14.28125" customWidth="1"/>
    <col min="7" max="7" style="5" width="9.28125" customWidth="1"/>
    <col min="8" max="9" style="5" width="13.00390625" customWidth="1"/>
    <col min="10" max="10" style="5" width="7.00390625" hidden="1" customWidth="1"/>
    <col min="11" max="11" style="5" width="13.00390625" customWidth="1"/>
    <col min="12" max="12" style="5" width="5.28125" hidden="1" customWidth="1"/>
    <col min="13" max="13" style="5" width="16.7109375" customWidth="1"/>
    <col min="14" max="14" style="5" width="7.00390625" hidden="1" customWidth="1"/>
    <col min="15" max="15" style="5" width="13.00390625" customWidth="1"/>
    <col min="16" max="16" style="5" width="5.28125" hidden="1" customWidth="1"/>
    <col min="17" max="17" style="5" width="16.7109375" customWidth="1"/>
    <col min="18" max="18" style="5" width="9.421875" customWidth="1"/>
    <col min="19" max="25" style="5" width="13.00390625" customWidth="1"/>
    <col min="26" max="26" style="5" width="24.57421875" customWidth="1"/>
    <col min="27" max="27" style="5" width="55.7109375" customWidth="1"/>
    <col min="28" max="28" style="5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36" customHeight="1" s="5" customFormat="1">
      <c r="A3" s="295" t="s">
        <v>1137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296" t="s">
        <v>1138</v>
      </c>
      <c r="AA3" s="5"/>
      <c r="AB3" s="5"/>
    </row>
    <row r="4" ht="18" customHeight="1" s="5" customFormat="1">
      <c r="A4" s="297" t="s">
        <v>1139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ht="14.25" customHeight="1" s="5" customFormat="1">
      <c r="A5" s="298" t="s">
        <v>1012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ht="25.5" customHeight="1" s="5" customFormat="1">
      <c r="A6" s="299" t="s">
        <v>1013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ht="25.5" customHeight="1" s="5" customFormat="1">
      <c r="A7" s="300" t="s">
        <v>233</v>
      </c>
      <c r="B7" s="300" t="s">
        <v>234</v>
      </c>
      <c r="C7" s="300" t="s">
        <v>3</v>
      </c>
      <c r="D7" s="5"/>
      <c r="E7" s="300" t="s">
        <v>235</v>
      </c>
      <c r="F7" s="300" t="s">
        <v>236</v>
      </c>
      <c r="G7" s="300" t="s">
        <v>237</v>
      </c>
      <c r="H7" s="300" t="s">
        <v>238</v>
      </c>
      <c r="I7" s="300" t="s">
        <v>239</v>
      </c>
      <c r="J7" s="300" t="s">
        <v>240</v>
      </c>
      <c r="K7" s="300" t="s">
        <v>241</v>
      </c>
      <c r="L7" s="300" t="s">
        <v>242</v>
      </c>
      <c r="M7" s="301" t="s">
        <v>360</v>
      </c>
      <c r="N7" s="300" t="s">
        <v>244</v>
      </c>
      <c r="O7" s="300" t="s">
        <v>245</v>
      </c>
      <c r="P7" s="300" t="s">
        <v>246</v>
      </c>
      <c r="Q7" s="301" t="s">
        <v>361</v>
      </c>
      <c r="R7" s="300" t="s">
        <v>6</v>
      </c>
      <c r="S7" s="300" t="s">
        <v>248</v>
      </c>
      <c r="T7" s="300" t="s">
        <v>249</v>
      </c>
      <c r="U7" s="300" t="s">
        <v>250</v>
      </c>
      <c r="V7" s="300" t="s">
        <v>251</v>
      </c>
      <c r="W7" s="300" t="s">
        <v>252</v>
      </c>
      <c r="X7" s="300" t="s">
        <v>253</v>
      </c>
      <c r="Y7" s="300" t="s">
        <v>254</v>
      </c>
      <c r="Z7" s="301" t="s">
        <v>255</v>
      </c>
      <c r="AA7" s="300" t="s">
        <v>256</v>
      </c>
      <c r="AB7" s="300" t="s">
        <v>257</v>
      </c>
    </row>
    <row r="8" ht="21.75" customHeight="1" s="5" customFormat="1">
      <c r="A8" s="302" t="s">
        <v>258</v>
      </c>
      <c r="B8" s="303" t="s">
        <v>259</v>
      </c>
      <c r="C8" s="304" t="s">
        <v>1140</v>
      </c>
      <c r="D8" s="5"/>
      <c r="E8" s="304" t="s">
        <v>1141</v>
      </c>
      <c r="F8" s="305" t="s">
        <v>1141</v>
      </c>
      <c r="G8" s="305" t="s">
        <v>956</v>
      </c>
      <c r="H8" s="305" t="s">
        <v>1142</v>
      </c>
      <c r="I8" s="305" t="s">
        <v>265</v>
      </c>
      <c r="J8" s="305" t="s">
        <v>545</v>
      </c>
      <c r="K8" s="305" t="s">
        <v>546</v>
      </c>
      <c r="L8" s="305" t="s">
        <v>1143</v>
      </c>
      <c r="M8" s="306">
        <f>'Current Rents'!E25</f>
        <v>1402</v>
      </c>
      <c r="N8" s="305" t="s">
        <v>548</v>
      </c>
      <c r="O8" s="305" t="s">
        <v>549</v>
      </c>
      <c r="P8" s="305" t="s">
        <v>1144</v>
      </c>
      <c r="Q8" s="306">
        <f>'Current Rents'!F25</f>
        <v>1679</v>
      </c>
      <c r="R8" s="305" t="s">
        <v>1145</v>
      </c>
      <c r="S8" s="305" t="s">
        <v>400</v>
      </c>
      <c r="T8" s="305">
        <v>0</v>
      </c>
      <c r="U8" s="305" t="s">
        <v>272</v>
      </c>
      <c r="V8" s="305" t="s">
        <v>273</v>
      </c>
      <c r="W8" s="305" t="s">
        <v>273</v>
      </c>
      <c r="X8" s="305" t="s">
        <v>273</v>
      </c>
      <c r="Y8" s="305" t="s">
        <v>273</v>
      </c>
      <c r="Z8" s="303" t="s">
        <v>259</v>
      </c>
      <c r="AA8" s="307" t="s">
        <v>1146</v>
      </c>
      <c r="AB8" s="304" t="s">
        <v>275</v>
      </c>
    </row>
    <row r="9" ht="21.75" customHeight="1" s="5" customFormat="1">
      <c r="A9" s="308" t="s">
        <v>276</v>
      </c>
      <c r="B9" s="309" t="s">
        <v>277</v>
      </c>
      <c r="C9" s="310" t="s">
        <v>1147</v>
      </c>
      <c r="D9" s="5"/>
      <c r="E9" s="311" t="s">
        <v>1148</v>
      </c>
      <c r="F9" s="308" t="s">
        <v>1149</v>
      </c>
      <c r="G9" s="308" t="s">
        <v>956</v>
      </c>
      <c r="H9" s="308" t="s">
        <v>1150</v>
      </c>
      <c r="I9" s="308" t="s">
        <v>64</v>
      </c>
      <c r="J9" s="308" t="s">
        <v>545</v>
      </c>
      <c r="K9" s="308" t="s">
        <v>546</v>
      </c>
      <c r="L9" s="308" t="s">
        <v>1143</v>
      </c>
      <c r="M9" s="308" t="s">
        <v>283</v>
      </c>
      <c r="N9" s="308" t="s">
        <v>548</v>
      </c>
      <c r="O9" s="308" t="s">
        <v>549</v>
      </c>
      <c r="P9" s="308" t="s">
        <v>1144</v>
      </c>
      <c r="Q9" s="308" t="s">
        <v>283</v>
      </c>
      <c r="R9" s="308" t="s">
        <v>219</v>
      </c>
      <c r="S9" s="308" t="s">
        <v>1151</v>
      </c>
      <c r="T9" s="308" t="s">
        <v>769</v>
      </c>
      <c r="U9" s="308" t="s">
        <v>272</v>
      </c>
      <c r="V9" s="308" t="s">
        <v>273</v>
      </c>
      <c r="W9" s="308" t="s">
        <v>273</v>
      </c>
      <c r="X9" s="308" t="s">
        <v>273</v>
      </c>
      <c r="Y9" s="308" t="s">
        <v>273</v>
      </c>
      <c r="Z9" s="341" t="s">
        <v>982</v>
      </c>
      <c r="AA9" s="313" t="s">
        <v>1152</v>
      </c>
      <c r="AB9" s="311" t="s">
        <v>967</v>
      </c>
    </row>
    <row r="10" ht="21.75" customHeight="1" s="5" customFormat="1">
      <c r="A10" s="308" t="s">
        <v>210</v>
      </c>
      <c r="B10" s="309" t="s">
        <v>277</v>
      </c>
      <c r="C10" s="310" t="s">
        <v>1153</v>
      </c>
      <c r="D10" s="5"/>
      <c r="E10" s="311" t="s">
        <v>1154</v>
      </c>
      <c r="F10" s="308" t="s">
        <v>1155</v>
      </c>
      <c r="G10" s="308" t="s">
        <v>956</v>
      </c>
      <c r="H10" s="308"/>
      <c r="I10" s="308" t="s">
        <v>64</v>
      </c>
      <c r="J10" s="308" t="s">
        <v>545</v>
      </c>
      <c r="K10" s="308" t="s">
        <v>546</v>
      </c>
      <c r="L10" s="308" t="s">
        <v>1143</v>
      </c>
      <c r="M10" s="308" t="s">
        <v>283</v>
      </c>
      <c r="N10" s="308" t="s">
        <v>548</v>
      </c>
      <c r="O10" s="308" t="s">
        <v>549</v>
      </c>
      <c r="P10" s="308" t="s">
        <v>1144</v>
      </c>
      <c r="Q10" s="308" t="s">
        <v>283</v>
      </c>
      <c r="R10" s="308" t="s">
        <v>276</v>
      </c>
      <c r="S10" s="308" t="s">
        <v>1151</v>
      </c>
      <c r="T10" s="308" t="s">
        <v>769</v>
      </c>
      <c r="U10" s="308" t="s">
        <v>272</v>
      </c>
      <c r="V10" s="308" t="s">
        <v>273</v>
      </c>
      <c r="W10" s="308" t="s">
        <v>273</v>
      </c>
      <c r="X10" s="308" t="s">
        <v>273</v>
      </c>
      <c r="Y10" s="308" t="s">
        <v>273</v>
      </c>
      <c r="Z10" s="341" t="s">
        <v>982</v>
      </c>
      <c r="AA10" s="313" t="s">
        <v>1156</v>
      </c>
      <c r="AB10" s="311" t="s">
        <v>967</v>
      </c>
    </row>
    <row r="11" ht="21.75" customHeight="1" s="5" customFormat="1">
      <c r="A11" s="308" t="s">
        <v>181</v>
      </c>
      <c r="B11" s="309" t="s">
        <v>277</v>
      </c>
      <c r="C11" s="310" t="s">
        <v>1157</v>
      </c>
      <c r="D11" s="5"/>
      <c r="E11" s="311" t="s">
        <v>1158</v>
      </c>
      <c r="F11" s="308" t="s">
        <v>1159</v>
      </c>
      <c r="G11" s="308" t="s">
        <v>956</v>
      </c>
      <c r="H11" s="308" t="s">
        <v>1160</v>
      </c>
      <c r="I11" s="308" t="s">
        <v>1161</v>
      </c>
      <c r="J11" s="308" t="s">
        <v>545</v>
      </c>
      <c r="K11" s="308" t="s">
        <v>546</v>
      </c>
      <c r="L11" s="308" t="s">
        <v>1143</v>
      </c>
      <c r="M11" s="308" t="s">
        <v>283</v>
      </c>
      <c r="N11" s="308" t="s">
        <v>548</v>
      </c>
      <c r="O11" s="308" t="s">
        <v>549</v>
      </c>
      <c r="P11" s="308" t="s">
        <v>1144</v>
      </c>
      <c r="Q11" s="308" t="s">
        <v>283</v>
      </c>
      <c r="R11" s="308" t="s">
        <v>1162</v>
      </c>
      <c r="S11" s="308" t="s">
        <v>1151</v>
      </c>
      <c r="T11" s="308" t="s">
        <v>769</v>
      </c>
      <c r="U11" s="308" t="s">
        <v>272</v>
      </c>
      <c r="V11" s="308" t="s">
        <v>273</v>
      </c>
      <c r="W11" s="308" t="s">
        <v>273</v>
      </c>
      <c r="X11" s="308" t="s">
        <v>273</v>
      </c>
      <c r="Y11" s="308" t="s">
        <v>273</v>
      </c>
      <c r="Z11" s="312" t="s">
        <v>1163</v>
      </c>
      <c r="AA11" s="313" t="s">
        <v>1164</v>
      </c>
      <c r="AB11" s="311" t="s">
        <v>967</v>
      </c>
    </row>
    <row r="12" ht="24.75" customHeight="1" s="5" customFormat="1">
      <c r="A12" s="315" t="s">
        <v>276</v>
      </c>
      <c r="B12" s="316" t="s">
        <v>300</v>
      </c>
      <c r="C12" s="317" t="s">
        <v>1165</v>
      </c>
      <c r="D12" s="318" t="s">
        <v>302</v>
      </c>
      <c r="E12" s="319" t="s">
        <v>1166</v>
      </c>
      <c r="F12" s="320" t="s">
        <v>1141</v>
      </c>
      <c r="G12" s="320" t="s">
        <v>956</v>
      </c>
      <c r="H12" s="320" t="s">
        <v>1142</v>
      </c>
      <c r="I12" s="320" t="s">
        <v>330</v>
      </c>
      <c r="J12" s="320" t="s">
        <v>1038</v>
      </c>
      <c r="K12" s="320" t="s">
        <v>1038</v>
      </c>
      <c r="L12" s="320" t="s">
        <v>1038</v>
      </c>
      <c r="M12" s="321">
        <v>1220</v>
      </c>
      <c r="N12" s="320" t="s">
        <v>1038</v>
      </c>
      <c r="O12" s="320" t="s">
        <v>1038</v>
      </c>
      <c r="P12" s="320" t="s">
        <v>1144</v>
      </c>
      <c r="Q12" s="321">
        <v>1600</v>
      </c>
      <c r="R12" s="320" t="s">
        <v>64</v>
      </c>
      <c r="S12" s="320" t="s">
        <v>400</v>
      </c>
      <c r="T12" s="320" t="s">
        <v>462</v>
      </c>
      <c r="U12" s="320" t="s">
        <v>507</v>
      </c>
      <c r="V12" s="320" t="s">
        <v>507</v>
      </c>
      <c r="W12" s="320" t="s">
        <v>507</v>
      </c>
      <c r="X12" s="320" t="s">
        <v>507</v>
      </c>
      <c r="Y12" s="320" t="s">
        <v>507</v>
      </c>
      <c r="Z12" s="323" t="s">
        <v>284</v>
      </c>
      <c r="AA12" s="324" t="s">
        <v>1167</v>
      </c>
      <c r="AB12" s="319" t="s">
        <v>1168</v>
      </c>
    </row>
    <row r="13" ht="24.75" customHeight="1" s="5" customFormat="1">
      <c r="A13" s="315" t="s">
        <v>210</v>
      </c>
      <c r="B13" s="316" t="s">
        <v>300</v>
      </c>
      <c r="C13" s="317" t="s">
        <v>1169</v>
      </c>
      <c r="D13" s="5"/>
      <c r="E13" s="319" t="s">
        <v>1170</v>
      </c>
      <c r="F13" s="320" t="s">
        <v>1141</v>
      </c>
      <c r="G13" s="320" t="s">
        <v>956</v>
      </c>
      <c r="H13" s="320" t="s">
        <v>1142</v>
      </c>
      <c r="I13" s="320" t="s">
        <v>1171</v>
      </c>
      <c r="J13" s="320" t="s">
        <v>1038</v>
      </c>
      <c r="K13" s="320" t="s">
        <v>1038</v>
      </c>
      <c r="L13" s="320" t="s">
        <v>1038</v>
      </c>
      <c r="M13" s="321">
        <v>1205</v>
      </c>
      <c r="N13" s="320" t="s">
        <v>1038</v>
      </c>
      <c r="O13" s="320" t="s">
        <v>1038</v>
      </c>
      <c r="P13" s="320" t="s">
        <v>1038</v>
      </c>
      <c r="Q13" s="321">
        <v>1545</v>
      </c>
      <c r="R13" s="320" t="s">
        <v>64</v>
      </c>
      <c r="S13" s="320" t="s">
        <v>390</v>
      </c>
      <c r="T13" s="320" t="s">
        <v>181</v>
      </c>
      <c r="U13" s="320" t="s">
        <v>507</v>
      </c>
      <c r="V13" s="320" t="s">
        <v>507</v>
      </c>
      <c r="W13" s="320" t="s">
        <v>507</v>
      </c>
      <c r="X13" s="320" t="s">
        <v>507</v>
      </c>
      <c r="Y13" s="320" t="s">
        <v>507</v>
      </c>
      <c r="Z13" s="323" t="s">
        <v>284</v>
      </c>
      <c r="AA13" s="324" t="s">
        <v>1172</v>
      </c>
      <c r="AB13" s="319" t="s">
        <v>1173</v>
      </c>
    </row>
    <row r="14" ht="24.75" customHeight="1" s="5" customFormat="1">
      <c r="A14" s="315" t="s">
        <v>181</v>
      </c>
      <c r="B14" s="316" t="s">
        <v>300</v>
      </c>
      <c r="C14" s="317" t="s">
        <v>1174</v>
      </c>
      <c r="D14" s="5"/>
      <c r="E14" s="319" t="s">
        <v>1175</v>
      </c>
      <c r="F14" s="320" t="s">
        <v>1141</v>
      </c>
      <c r="G14" s="320" t="s">
        <v>956</v>
      </c>
      <c r="H14" s="320" t="s">
        <v>1142</v>
      </c>
      <c r="I14" s="320" t="s">
        <v>499</v>
      </c>
      <c r="J14" s="320" t="s">
        <v>1038</v>
      </c>
      <c r="K14" s="320" t="s">
        <v>1038</v>
      </c>
      <c r="L14" s="320" t="s">
        <v>1038</v>
      </c>
      <c r="M14" s="321">
        <v>1045</v>
      </c>
      <c r="N14" s="320" t="s">
        <v>1038</v>
      </c>
      <c r="O14" s="320" t="s">
        <v>1038</v>
      </c>
      <c r="P14" s="320" t="s">
        <v>1038</v>
      </c>
      <c r="Q14" s="321">
        <v>1550</v>
      </c>
      <c r="R14" s="320" t="s">
        <v>64</v>
      </c>
      <c r="S14" s="320" t="s">
        <v>760</v>
      </c>
      <c r="T14" s="320" t="s">
        <v>210</v>
      </c>
      <c r="U14" s="320" t="s">
        <v>507</v>
      </c>
      <c r="V14" s="320" t="s">
        <v>507</v>
      </c>
      <c r="W14" s="320" t="s">
        <v>507</v>
      </c>
      <c r="X14" s="320" t="s">
        <v>507</v>
      </c>
      <c r="Y14" s="320" t="s">
        <v>507</v>
      </c>
      <c r="Z14" s="323" t="s">
        <v>284</v>
      </c>
      <c r="AA14" s="324" t="s">
        <v>1176</v>
      </c>
      <c r="AB14" s="319" t="s">
        <v>1173</v>
      </c>
    </row>
    <row r="15" ht="24.75" customHeight="1" s="5" customFormat="1">
      <c r="A15" s="315" t="s">
        <v>320</v>
      </c>
      <c r="B15" s="316" t="s">
        <v>300</v>
      </c>
      <c r="C15" s="317" t="s">
        <v>1177</v>
      </c>
      <c r="D15" s="5"/>
      <c r="E15" s="319" t="s">
        <v>1178</v>
      </c>
      <c r="F15" s="320" t="s">
        <v>1141</v>
      </c>
      <c r="G15" s="320" t="s">
        <v>956</v>
      </c>
      <c r="H15" s="320" t="s">
        <v>1142</v>
      </c>
      <c r="I15" s="320" t="s">
        <v>305</v>
      </c>
      <c r="J15" s="320" t="s">
        <v>1038</v>
      </c>
      <c r="K15" s="320" t="s">
        <v>1038</v>
      </c>
      <c r="L15" s="320" t="s">
        <v>1038</v>
      </c>
      <c r="M15" s="321">
        <v>1395</v>
      </c>
      <c r="N15" s="320" t="s">
        <v>1038</v>
      </c>
      <c r="O15" s="320" t="s">
        <v>1038</v>
      </c>
      <c r="P15" s="320" t="s">
        <v>1144</v>
      </c>
      <c r="Q15" s="321">
        <v>1350</v>
      </c>
      <c r="R15" s="320" t="s">
        <v>64</v>
      </c>
      <c r="S15" s="320" t="s">
        <v>760</v>
      </c>
      <c r="T15" s="320" t="s">
        <v>210</v>
      </c>
      <c r="U15" s="320" t="s">
        <v>507</v>
      </c>
      <c r="V15" s="320" t="s">
        <v>507</v>
      </c>
      <c r="W15" s="320" t="s">
        <v>507</v>
      </c>
      <c r="X15" s="320" t="s">
        <v>507</v>
      </c>
      <c r="Y15" s="320" t="s">
        <v>507</v>
      </c>
      <c r="Z15" s="323" t="s">
        <v>284</v>
      </c>
      <c r="AA15" s="324" t="s">
        <v>1179</v>
      </c>
      <c r="AB15" s="319" t="s">
        <v>1173</v>
      </c>
    </row>
    <row r="16" ht="28.5" customHeight="1" s="5" customFormat="1">
      <c r="A16" s="325" t="s">
        <v>154</v>
      </c>
      <c r="B16" s="326" t="s">
        <v>339</v>
      </c>
      <c r="C16" s="327" t="s">
        <v>1180</v>
      </c>
      <c r="D16" s="5"/>
      <c r="E16" s="325" t="s">
        <v>64</v>
      </c>
      <c r="F16" s="325" t="s">
        <v>1141</v>
      </c>
      <c r="G16" s="325" t="s">
        <v>956</v>
      </c>
      <c r="H16" s="325"/>
      <c r="I16" s="325"/>
      <c r="J16" s="325" t="s">
        <v>64</v>
      </c>
      <c r="K16" s="325" t="s">
        <v>64</v>
      </c>
      <c r="L16" s="325" t="s">
        <v>1143</v>
      </c>
      <c r="M16" s="325" t="s">
        <v>1143</v>
      </c>
      <c r="N16" s="325" t="s">
        <v>64</v>
      </c>
      <c r="O16" s="325" t="s">
        <v>64</v>
      </c>
      <c r="P16" s="325" t="s">
        <v>1144</v>
      </c>
      <c r="Q16" s="325" t="s">
        <v>1144</v>
      </c>
      <c r="R16" s="325"/>
      <c r="S16" s="325"/>
      <c r="T16" s="325"/>
      <c r="U16" s="325"/>
      <c r="V16" s="325"/>
      <c r="W16" s="325"/>
      <c r="X16" s="325"/>
      <c r="Y16" s="325"/>
      <c r="Z16" s="316" t="s">
        <v>339</v>
      </c>
      <c r="AA16" s="328" t="s">
        <v>1181</v>
      </c>
      <c r="AB16" s="328" t="s">
        <v>342</v>
      </c>
    </row>
    <row r="17" ht="34.5" customHeight="1" s="5" customFormat="1">
      <c r="A17" s="329" t="s">
        <v>154</v>
      </c>
      <c r="B17" s="326" t="s">
        <v>339</v>
      </c>
      <c r="C17" s="330" t="s">
        <v>1182</v>
      </c>
      <c r="D17" s="5"/>
      <c r="E17" s="329" t="s">
        <v>64</v>
      </c>
      <c r="F17" s="329" t="s">
        <v>1141</v>
      </c>
      <c r="G17" s="329" t="s">
        <v>956</v>
      </c>
      <c r="H17" s="329"/>
      <c r="I17" s="329"/>
      <c r="J17" s="329"/>
      <c r="K17" s="329"/>
      <c r="L17" s="329"/>
      <c r="M17" s="331">
        <v>1216</v>
      </c>
      <c r="N17" s="329"/>
      <c r="O17" s="329"/>
      <c r="P17" s="329"/>
      <c r="Q17" s="331">
        <v>1511</v>
      </c>
      <c r="R17" s="329"/>
      <c r="S17" s="329"/>
      <c r="T17" s="329"/>
      <c r="U17" s="329"/>
      <c r="V17" s="329"/>
      <c r="W17" s="329"/>
      <c r="X17" s="329"/>
      <c r="Y17" s="329"/>
      <c r="Z17" s="316" t="s">
        <v>339</v>
      </c>
      <c r="AA17" s="332" t="s">
        <v>1061</v>
      </c>
      <c r="AB17" s="332" t="s">
        <v>1062</v>
      </c>
    </row>
    <row r="19" ht="14.25" customHeight="1" s="5" customFormat="1">
      <c r="A19" s="333" t="s">
        <v>1063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1" ht="18" customHeight="1" s="5" customFormat="1">
      <c r="A21" s="334" t="s">
        <v>349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ht="15.75" customHeight="1" s="5" customFormat="1">
      <c r="A22" s="335" t="s">
        <v>1064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ht="15.75" customHeight="1" s="5" customFormat="1">
      <c r="A23" s="5"/>
      <c r="B23" s="336" t="s">
        <v>351</v>
      </c>
      <c r="C23" s="336" t="s">
        <v>352</v>
      </c>
      <c r="D23" s="5"/>
      <c r="E23" s="336" t="s">
        <v>353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ht="20.25" customHeight="1" s="5" customFormat="1">
      <c r="A24" s="337" t="s">
        <v>151</v>
      </c>
      <c r="B24" s="338">
        <f>'Current Rents'!E25</f>
        <v>1402</v>
      </c>
      <c r="C24" s="339">
        <v>1216</v>
      </c>
      <c r="D24" s="5"/>
      <c r="E24" s="340">
        <f t="shared" si="0" ref="E24:E25">B24-C24</f>
        <v>186</v>
      </c>
      <c r="F24" s="161" t="str">
        <f>IF(E24&lt;-75,"LOOK INTO INCREASING THE RENT!","")</f>
        <v/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ht="20.25" customHeight="1" s="5" customFormat="1">
      <c r="A25" s="337" t="s">
        <v>152</v>
      </c>
      <c r="B25" s="338">
        <f>'Current Rents'!F25</f>
        <v>1679</v>
      </c>
      <c r="C25" s="339">
        <v>1511</v>
      </c>
      <c r="D25" s="5"/>
      <c r="E25" s="340">
        <f t="shared" si="0"/>
        <v>168</v>
      </c>
      <c r="F25" s="161" t="str">
        <f>IF(E25&lt;-75,"LOOK INTO INCREASING THE RENT!","")</f>
        <v/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</sheetData>
  <mergeCells>
    <mergeCell ref="Z3:AB3"/>
    <mergeCell ref="A4:AB4"/>
    <mergeCell ref="C8:D8"/>
    <mergeCell ref="C9:D9"/>
    <mergeCell ref="C23:D23"/>
    <mergeCell ref="C10:D10"/>
    <mergeCell ref="C17:D17"/>
    <mergeCell ref="A22:H22"/>
    <mergeCell ref="C7:D7"/>
    <mergeCell ref="A3:Y3"/>
    <mergeCell ref="C16:D16"/>
    <mergeCell ref="A21:H21"/>
    <mergeCell ref="A19:AB19"/>
    <mergeCell ref="C11:D11"/>
    <mergeCell ref="A5:AB5"/>
    <mergeCell ref="D12:D15"/>
    <mergeCell ref="A6:AB6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91A36DE-5928-C769-C50E-33820465AF08}" mc:Ignorable="x14ac xr xr2 xr3"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style="5" width="9.00390625" customWidth="1"/>
    <col min="2" max="2" style="5" width="18.57421875" customWidth="1"/>
    <col min="3" max="3" style="5" width="42.00390625" customWidth="1"/>
    <col min="4" max="4" style="5" width="4.7109375" customWidth="1"/>
    <col min="5" max="5" style="5" width="31.00390625" customWidth="1"/>
    <col min="6" max="6" style="5" width="14.28125" customWidth="1"/>
    <col min="7" max="7" style="5" width="9.28125" customWidth="1"/>
    <col min="8" max="9" style="5" width="13.00390625" customWidth="1"/>
    <col min="10" max="10" style="5" width="7.00390625" hidden="1" customWidth="1"/>
    <col min="11" max="11" style="5" width="13.00390625" customWidth="1"/>
    <col min="12" max="12" style="5" width="5.28125" hidden="1" customWidth="1"/>
    <col min="13" max="13" style="5" width="16.7109375" customWidth="1"/>
    <col min="14" max="14" style="5" width="7.00390625" hidden="1" customWidth="1"/>
    <col min="15" max="15" style="5" width="13.00390625" customWidth="1"/>
    <col min="16" max="16" style="5" width="5.28125" hidden="1" customWidth="1"/>
    <col min="17" max="17" style="5" width="16.7109375" customWidth="1"/>
    <col min="18" max="18" style="5" width="7.00390625" hidden="1" customWidth="1"/>
    <col min="19" max="19" style="5" width="13.00390625" customWidth="1"/>
    <col min="20" max="20" style="5" width="5.28125" hidden="1" customWidth="1"/>
    <col min="21" max="21" style="5" width="16.7109375" customWidth="1"/>
    <col min="22" max="22" style="5" width="7.00390625" hidden="1" customWidth="1"/>
    <col min="23" max="23" style="5" width="13.00390625" customWidth="1"/>
    <col min="24" max="24" style="5" width="5.28125" hidden="1" customWidth="1"/>
    <col min="25" max="25" style="5" width="16.7109375" customWidth="1"/>
    <col min="26" max="26" style="5" width="9.421875" customWidth="1"/>
    <col min="27" max="33" style="5" width="13.00390625" customWidth="1"/>
    <col min="34" max="34" style="5" width="24.57421875" customWidth="1"/>
    <col min="35" max="35" style="5" width="55.7109375" customWidth="1"/>
    <col min="36" max="36" style="5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36" customHeight="1" s="5" customFormat="1">
      <c r="A3" s="295" t="s">
        <v>1183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296" t="s">
        <v>1184</v>
      </c>
      <c r="AI3" s="5"/>
      <c r="AJ3" s="5"/>
    </row>
    <row r="4" ht="18" customHeight="1" s="5" customFormat="1">
      <c r="A4" s="297" t="s">
        <v>1185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14.25" customHeight="1" s="5" customFormat="1">
      <c r="A5" s="298" t="s">
        <v>1012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ht="25.5" customHeight="1" s="5" customFormat="1">
      <c r="A6" s="299" t="s">
        <v>1013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ht="25.5" customHeight="1" s="5" customFormat="1">
      <c r="A7" s="300" t="s">
        <v>233</v>
      </c>
      <c r="B7" s="300" t="s">
        <v>234</v>
      </c>
      <c r="C7" s="300" t="s">
        <v>3</v>
      </c>
      <c r="D7" s="5"/>
      <c r="E7" s="300" t="s">
        <v>235</v>
      </c>
      <c r="F7" s="300" t="s">
        <v>236</v>
      </c>
      <c r="G7" s="300" t="s">
        <v>237</v>
      </c>
      <c r="H7" s="300" t="s">
        <v>238</v>
      </c>
      <c r="I7" s="300" t="s">
        <v>239</v>
      </c>
      <c r="J7" s="300" t="s">
        <v>444</v>
      </c>
      <c r="K7" s="300" t="s">
        <v>445</v>
      </c>
      <c r="L7" s="300" t="s">
        <v>446</v>
      </c>
      <c r="M7" s="301" t="s">
        <v>447</v>
      </c>
      <c r="N7" s="300" t="s">
        <v>240</v>
      </c>
      <c r="O7" s="300" t="s">
        <v>241</v>
      </c>
      <c r="P7" s="300" t="s">
        <v>242</v>
      </c>
      <c r="Q7" s="301" t="s">
        <v>360</v>
      </c>
      <c r="R7" s="300" t="s">
        <v>244</v>
      </c>
      <c r="S7" s="300" t="s">
        <v>245</v>
      </c>
      <c r="T7" s="300" t="s">
        <v>246</v>
      </c>
      <c r="U7" s="301" t="s">
        <v>361</v>
      </c>
      <c r="V7" s="300" t="s">
        <v>697</v>
      </c>
      <c r="W7" s="300" t="s">
        <v>698</v>
      </c>
      <c r="X7" s="300" t="s">
        <v>699</v>
      </c>
      <c r="Y7" s="301" t="s">
        <v>700</v>
      </c>
      <c r="Z7" s="300" t="s">
        <v>6</v>
      </c>
      <c r="AA7" s="300" t="s">
        <v>248</v>
      </c>
      <c r="AB7" s="300" t="s">
        <v>249</v>
      </c>
      <c r="AC7" s="300" t="s">
        <v>250</v>
      </c>
      <c r="AD7" s="300" t="s">
        <v>251</v>
      </c>
      <c r="AE7" s="300" t="s">
        <v>252</v>
      </c>
      <c r="AF7" s="300" t="s">
        <v>253</v>
      </c>
      <c r="AG7" s="300" t="s">
        <v>254</v>
      </c>
      <c r="AH7" s="301" t="s">
        <v>255</v>
      </c>
      <c r="AI7" s="300" t="s">
        <v>256</v>
      </c>
      <c r="AJ7" s="300" t="s">
        <v>257</v>
      </c>
    </row>
    <row r="8" ht="21.75" customHeight="1" s="5" customFormat="1">
      <c r="A8" s="302" t="s">
        <v>258</v>
      </c>
      <c r="B8" s="303" t="s">
        <v>259</v>
      </c>
      <c r="C8" s="304" t="s">
        <v>1186</v>
      </c>
      <c r="D8" s="5"/>
      <c r="E8" s="304" t="s">
        <v>1187</v>
      </c>
      <c r="F8" s="305" t="s">
        <v>1188</v>
      </c>
      <c r="G8" s="305" t="s">
        <v>1189</v>
      </c>
      <c r="H8" s="305" t="s">
        <v>1190</v>
      </c>
      <c r="I8" s="305" t="s">
        <v>265</v>
      </c>
      <c r="J8" s="305" t="s">
        <v>1191</v>
      </c>
      <c r="K8" s="305" t="s">
        <v>1192</v>
      </c>
      <c r="L8" s="305" t="s">
        <v>453</v>
      </c>
      <c r="M8" s="306">
        <f>'Current Rents'!D26</f>
        <v>1221</v>
      </c>
      <c r="N8" s="305" t="s">
        <v>1193</v>
      </c>
      <c r="O8" s="305" t="s">
        <v>1194</v>
      </c>
      <c r="P8" s="305" t="s">
        <v>456</v>
      </c>
      <c r="Q8" s="306">
        <f>'Current Rents'!E26</f>
        <v>1563</v>
      </c>
      <c r="R8" s="305" t="s">
        <v>1195</v>
      </c>
      <c r="S8" s="305" t="s">
        <v>1196</v>
      </c>
      <c r="T8" s="305" t="s">
        <v>459</v>
      </c>
      <c r="U8" s="306">
        <f>'Current Rents'!F26</f>
        <v>1820</v>
      </c>
      <c r="V8" s="305" t="s">
        <v>1197</v>
      </c>
      <c r="W8" s="305" t="s">
        <v>1198</v>
      </c>
      <c r="X8" s="305" t="s">
        <v>1199</v>
      </c>
      <c r="Y8" s="306">
        <f>'Current Rents'!G26</f>
        <v>2128</v>
      </c>
      <c r="Z8" s="305" t="s">
        <v>64</v>
      </c>
      <c r="AA8" s="305" t="s">
        <v>1200</v>
      </c>
      <c r="AB8" s="305">
        <v>0</v>
      </c>
      <c r="AC8" s="305" t="s">
        <v>272</v>
      </c>
      <c r="AD8" s="305" t="s">
        <v>273</v>
      </c>
      <c r="AE8" s="305" t="s">
        <v>273</v>
      </c>
      <c r="AF8" s="305" t="s">
        <v>273</v>
      </c>
      <c r="AG8" s="305" t="s">
        <v>273</v>
      </c>
      <c r="AH8" s="303" t="s">
        <v>259</v>
      </c>
      <c r="AI8" s="307" t="s">
        <v>1201</v>
      </c>
      <c r="AJ8" s="304" t="s">
        <v>275</v>
      </c>
    </row>
    <row r="9" ht="21.75" customHeight="1" s="5" customFormat="1">
      <c r="A9" s="308" t="s">
        <v>276</v>
      </c>
      <c r="B9" s="309" t="s">
        <v>277</v>
      </c>
      <c r="C9" s="310" t="s">
        <v>1202</v>
      </c>
      <c r="D9" s="5"/>
      <c r="E9" s="311" t="s">
        <v>1203</v>
      </c>
      <c r="F9" s="308" t="s">
        <v>1188</v>
      </c>
      <c r="G9" s="308" t="s">
        <v>1189</v>
      </c>
      <c r="H9" s="308" t="s">
        <v>1204</v>
      </c>
      <c r="I9" s="308" t="s">
        <v>305</v>
      </c>
      <c r="J9" s="308" t="s">
        <v>1191</v>
      </c>
      <c r="K9" s="308" t="s">
        <v>1192</v>
      </c>
      <c r="L9" s="308" t="s">
        <v>453</v>
      </c>
      <c r="M9" s="308" t="s">
        <v>283</v>
      </c>
      <c r="N9" s="308" t="s">
        <v>1193</v>
      </c>
      <c r="O9" s="308" t="s">
        <v>1194</v>
      </c>
      <c r="P9" s="308" t="s">
        <v>456</v>
      </c>
      <c r="Q9" s="308" t="s">
        <v>283</v>
      </c>
      <c r="R9" s="308" t="s">
        <v>1195</v>
      </c>
      <c r="S9" s="308" t="s">
        <v>1196</v>
      </c>
      <c r="T9" s="308" t="s">
        <v>459</v>
      </c>
      <c r="U9" s="308" t="s">
        <v>283</v>
      </c>
      <c r="V9" s="308" t="s">
        <v>1197</v>
      </c>
      <c r="W9" s="308" t="s">
        <v>1198</v>
      </c>
      <c r="X9" s="308" t="s">
        <v>1199</v>
      </c>
      <c r="Y9" s="308" t="s">
        <v>283</v>
      </c>
      <c r="Z9" s="308" t="s">
        <v>180</v>
      </c>
      <c r="AA9" s="308" t="s">
        <v>383</v>
      </c>
      <c r="AB9" s="308" t="s">
        <v>276</v>
      </c>
      <c r="AC9" s="308" t="s">
        <v>272</v>
      </c>
      <c r="AD9" s="308" t="s">
        <v>273</v>
      </c>
      <c r="AE9" s="308" t="s">
        <v>273</v>
      </c>
      <c r="AF9" s="308" t="s">
        <v>273</v>
      </c>
      <c r="AG9" s="308" t="s">
        <v>273</v>
      </c>
      <c r="AH9" s="312" t="s">
        <v>284</v>
      </c>
      <c r="AI9" s="313" t="s">
        <v>1205</v>
      </c>
      <c r="AJ9" s="311" t="s">
        <v>286</v>
      </c>
    </row>
    <row r="10" ht="21.75" customHeight="1" s="5" customFormat="1">
      <c r="A10" s="308" t="s">
        <v>210</v>
      </c>
      <c r="B10" s="309" t="s">
        <v>277</v>
      </c>
      <c r="C10" s="310" t="s">
        <v>1206</v>
      </c>
      <c r="D10" s="5"/>
      <c r="E10" s="311" t="s">
        <v>1207</v>
      </c>
      <c r="F10" s="308" t="s">
        <v>1188</v>
      </c>
      <c r="G10" s="308" t="s">
        <v>1189</v>
      </c>
      <c r="H10" s="308" t="s">
        <v>1190</v>
      </c>
      <c r="I10" s="308" t="s">
        <v>525</v>
      </c>
      <c r="J10" s="308" t="s">
        <v>1191</v>
      </c>
      <c r="K10" s="308" t="s">
        <v>1192</v>
      </c>
      <c r="L10" s="308" t="s">
        <v>453</v>
      </c>
      <c r="M10" s="308" t="s">
        <v>283</v>
      </c>
      <c r="N10" s="308" t="s">
        <v>1193</v>
      </c>
      <c r="O10" s="308" t="s">
        <v>1194</v>
      </c>
      <c r="P10" s="308" t="s">
        <v>456</v>
      </c>
      <c r="Q10" s="308" t="s">
        <v>283</v>
      </c>
      <c r="R10" s="308" t="s">
        <v>1195</v>
      </c>
      <c r="S10" s="308" t="s">
        <v>1196</v>
      </c>
      <c r="T10" s="308" t="s">
        <v>459</v>
      </c>
      <c r="U10" s="308" t="s">
        <v>283</v>
      </c>
      <c r="V10" s="308" t="s">
        <v>1197</v>
      </c>
      <c r="W10" s="308" t="s">
        <v>1198</v>
      </c>
      <c r="X10" s="308" t="s">
        <v>1199</v>
      </c>
      <c r="Y10" s="308" t="s">
        <v>283</v>
      </c>
      <c r="Z10" s="308" t="s">
        <v>475</v>
      </c>
      <c r="AA10" s="308" t="s">
        <v>377</v>
      </c>
      <c r="AB10" s="308" t="s">
        <v>276</v>
      </c>
      <c r="AC10" s="308" t="s">
        <v>272</v>
      </c>
      <c r="AD10" s="308" t="s">
        <v>273</v>
      </c>
      <c r="AE10" s="308" t="s">
        <v>273</v>
      </c>
      <c r="AF10" s="308" t="s">
        <v>273</v>
      </c>
      <c r="AG10" s="308" t="s">
        <v>273</v>
      </c>
      <c r="AH10" s="312" t="s">
        <v>284</v>
      </c>
      <c r="AI10" s="313" t="s">
        <v>1208</v>
      </c>
      <c r="AJ10" s="311" t="s">
        <v>286</v>
      </c>
    </row>
    <row r="11" ht="21.75" customHeight="1" s="5" customFormat="1">
      <c r="A11" s="308" t="s">
        <v>181</v>
      </c>
      <c r="B11" s="309" t="s">
        <v>277</v>
      </c>
      <c r="C11" s="310" t="s">
        <v>1209</v>
      </c>
      <c r="D11" s="5"/>
      <c r="E11" s="311" t="s">
        <v>1210</v>
      </c>
      <c r="F11" s="308" t="s">
        <v>1211</v>
      </c>
      <c r="G11" s="308" t="s">
        <v>1189</v>
      </c>
      <c r="H11" s="308" t="s">
        <v>1212</v>
      </c>
      <c r="I11" s="308" t="s">
        <v>664</v>
      </c>
      <c r="J11" s="308" t="s">
        <v>1191</v>
      </c>
      <c r="K11" s="308" t="s">
        <v>1192</v>
      </c>
      <c r="L11" s="308" t="s">
        <v>453</v>
      </c>
      <c r="M11" s="308" t="s">
        <v>283</v>
      </c>
      <c r="N11" s="308" t="s">
        <v>1193</v>
      </c>
      <c r="O11" s="308" t="s">
        <v>1194</v>
      </c>
      <c r="P11" s="308" t="s">
        <v>456</v>
      </c>
      <c r="Q11" s="308" t="s">
        <v>283</v>
      </c>
      <c r="R11" s="308" t="s">
        <v>1195</v>
      </c>
      <c r="S11" s="308" t="s">
        <v>1196</v>
      </c>
      <c r="T11" s="308" t="s">
        <v>459</v>
      </c>
      <c r="U11" s="308" t="s">
        <v>283</v>
      </c>
      <c r="V11" s="308" t="s">
        <v>1197</v>
      </c>
      <c r="W11" s="308" t="s">
        <v>1198</v>
      </c>
      <c r="X11" s="308" t="s">
        <v>1199</v>
      </c>
      <c r="Y11" s="308" t="s">
        <v>283</v>
      </c>
      <c r="Z11" s="308" t="s">
        <v>489</v>
      </c>
      <c r="AA11" s="308" t="s">
        <v>390</v>
      </c>
      <c r="AB11" s="308" t="s">
        <v>210</v>
      </c>
      <c r="AC11" s="308" t="s">
        <v>272</v>
      </c>
      <c r="AD11" s="308" t="s">
        <v>273</v>
      </c>
      <c r="AE11" s="308" t="s">
        <v>273</v>
      </c>
      <c r="AF11" s="308" t="s">
        <v>273</v>
      </c>
      <c r="AG11" s="308" t="s">
        <v>273</v>
      </c>
      <c r="AH11" s="312" t="s">
        <v>284</v>
      </c>
      <c r="AI11" s="313" t="s">
        <v>1213</v>
      </c>
      <c r="AJ11" s="311" t="s">
        <v>286</v>
      </c>
    </row>
    <row r="12" ht="21.75" customHeight="1" s="5" customFormat="1">
      <c r="A12" s="308" t="s">
        <v>320</v>
      </c>
      <c r="B12" s="309" t="s">
        <v>277</v>
      </c>
      <c r="C12" s="310" t="s">
        <v>1214</v>
      </c>
      <c r="D12" s="5"/>
      <c r="E12" s="311" t="s">
        <v>1215</v>
      </c>
      <c r="F12" s="308" t="s">
        <v>1188</v>
      </c>
      <c r="G12" s="308" t="s">
        <v>1189</v>
      </c>
      <c r="H12" s="308" t="s">
        <v>1190</v>
      </c>
      <c r="I12" s="308" t="s">
        <v>499</v>
      </c>
      <c r="J12" s="308" t="s">
        <v>1191</v>
      </c>
      <c r="K12" s="308" t="s">
        <v>1192</v>
      </c>
      <c r="L12" s="308" t="s">
        <v>453</v>
      </c>
      <c r="M12" s="308" t="s">
        <v>283</v>
      </c>
      <c r="N12" s="308" t="s">
        <v>1193</v>
      </c>
      <c r="O12" s="308" t="s">
        <v>1194</v>
      </c>
      <c r="P12" s="308" t="s">
        <v>456</v>
      </c>
      <c r="Q12" s="308" t="s">
        <v>283</v>
      </c>
      <c r="R12" s="308" t="s">
        <v>1195</v>
      </c>
      <c r="S12" s="308" t="s">
        <v>1196</v>
      </c>
      <c r="T12" s="308" t="s">
        <v>459</v>
      </c>
      <c r="U12" s="308" t="s">
        <v>283</v>
      </c>
      <c r="V12" s="308" t="s">
        <v>1197</v>
      </c>
      <c r="W12" s="308" t="s">
        <v>1198</v>
      </c>
      <c r="X12" s="308" t="s">
        <v>1199</v>
      </c>
      <c r="Y12" s="308" t="s">
        <v>283</v>
      </c>
      <c r="Z12" s="308" t="s">
        <v>469</v>
      </c>
      <c r="AA12" s="308" t="s">
        <v>1200</v>
      </c>
      <c r="AB12" s="308" t="s">
        <v>462</v>
      </c>
      <c r="AC12" s="308" t="s">
        <v>272</v>
      </c>
      <c r="AD12" s="308" t="s">
        <v>273</v>
      </c>
      <c r="AE12" s="308" t="s">
        <v>273</v>
      </c>
      <c r="AF12" s="308" t="s">
        <v>273</v>
      </c>
      <c r="AG12" s="308" t="s">
        <v>273</v>
      </c>
      <c r="AH12" s="312" t="s">
        <v>284</v>
      </c>
      <c r="AI12" s="313" t="s">
        <v>1216</v>
      </c>
      <c r="AJ12" s="311" t="s">
        <v>1217</v>
      </c>
    </row>
    <row r="13" ht="24.75" customHeight="1" s="5" customFormat="1">
      <c r="A13" s="315" t="s">
        <v>276</v>
      </c>
      <c r="B13" s="316" t="s">
        <v>300</v>
      </c>
      <c r="C13" s="317" t="s">
        <v>1218</v>
      </c>
      <c r="D13" s="318" t="s">
        <v>302</v>
      </c>
      <c r="E13" s="319" t="s">
        <v>1219</v>
      </c>
      <c r="F13" s="320" t="s">
        <v>1188</v>
      </c>
      <c r="G13" s="320" t="s">
        <v>1189</v>
      </c>
      <c r="H13" s="320" t="s">
        <v>1190</v>
      </c>
      <c r="I13" s="320" t="s">
        <v>376</v>
      </c>
      <c r="J13" s="320" t="s">
        <v>1038</v>
      </c>
      <c r="K13" s="320" t="s">
        <v>1038</v>
      </c>
      <c r="L13" s="320" t="s">
        <v>1038</v>
      </c>
      <c r="M13" s="321">
        <v>1704</v>
      </c>
      <c r="N13" s="320" t="s">
        <v>1038</v>
      </c>
      <c r="O13" s="320" t="s">
        <v>1038</v>
      </c>
      <c r="P13" s="320" t="s">
        <v>1038</v>
      </c>
      <c r="Q13" s="321">
        <v>2044</v>
      </c>
      <c r="R13" s="320" t="s">
        <v>1038</v>
      </c>
      <c r="S13" s="320" t="s">
        <v>1038</v>
      </c>
      <c r="T13" s="320" t="s">
        <v>1038</v>
      </c>
      <c r="U13" s="321">
        <v>2363</v>
      </c>
      <c r="V13" s="320" t="s">
        <v>1038</v>
      </c>
      <c r="W13" s="320" t="s">
        <v>1038</v>
      </c>
      <c r="X13" s="320" t="s">
        <v>1199</v>
      </c>
      <c r="Y13" s="322" t="s">
        <v>283</v>
      </c>
      <c r="Z13" s="320" t="s">
        <v>180</v>
      </c>
      <c r="AA13" s="320" t="s">
        <v>390</v>
      </c>
      <c r="AB13" s="320" t="s">
        <v>210</v>
      </c>
      <c r="AC13" s="320" t="s">
        <v>507</v>
      </c>
      <c r="AD13" s="320" t="s">
        <v>507</v>
      </c>
      <c r="AE13" s="320" t="s">
        <v>507</v>
      </c>
      <c r="AF13" s="320" t="s">
        <v>507</v>
      </c>
      <c r="AG13" s="320" t="s">
        <v>507</v>
      </c>
      <c r="AH13" s="323" t="s">
        <v>284</v>
      </c>
      <c r="AI13" s="324" t="s">
        <v>1220</v>
      </c>
      <c r="AJ13" s="319" t="s">
        <v>1221</v>
      </c>
    </row>
    <row r="14" ht="24.75" customHeight="1" s="5" customFormat="1">
      <c r="A14" s="315" t="s">
        <v>210</v>
      </c>
      <c r="B14" s="316" t="s">
        <v>300</v>
      </c>
      <c r="C14" s="317" t="s">
        <v>1222</v>
      </c>
      <c r="D14" s="5"/>
      <c r="E14" s="319" t="s">
        <v>1222</v>
      </c>
      <c r="F14" s="320" t="s">
        <v>1188</v>
      </c>
      <c r="G14" s="320" t="s">
        <v>1189</v>
      </c>
      <c r="H14" s="320" t="s">
        <v>1204</v>
      </c>
      <c r="I14" s="320" t="s">
        <v>305</v>
      </c>
      <c r="J14" s="320" t="s">
        <v>1038</v>
      </c>
      <c r="K14" s="320" t="s">
        <v>1038</v>
      </c>
      <c r="L14" s="320" t="s">
        <v>1038</v>
      </c>
      <c r="M14" s="321">
        <v>1650</v>
      </c>
      <c r="N14" s="320" t="s">
        <v>1038</v>
      </c>
      <c r="O14" s="320" t="s">
        <v>1038</v>
      </c>
      <c r="P14" s="320" t="s">
        <v>1038</v>
      </c>
      <c r="Q14" s="321">
        <v>1850</v>
      </c>
      <c r="R14" s="320" t="s">
        <v>1038</v>
      </c>
      <c r="S14" s="320" t="s">
        <v>1038</v>
      </c>
      <c r="T14" s="320" t="s">
        <v>459</v>
      </c>
      <c r="U14" s="321">
        <v>2250</v>
      </c>
      <c r="V14" s="320" t="s">
        <v>1038</v>
      </c>
      <c r="W14" s="320" t="s">
        <v>1038</v>
      </c>
      <c r="X14" s="320" t="s">
        <v>1199</v>
      </c>
      <c r="Y14" s="322" t="s">
        <v>283</v>
      </c>
      <c r="Z14" s="320" t="s">
        <v>164</v>
      </c>
      <c r="AA14" s="320" t="s">
        <v>407</v>
      </c>
      <c r="AB14" s="320" t="s">
        <v>181</v>
      </c>
      <c r="AC14" s="320" t="s">
        <v>507</v>
      </c>
      <c r="AD14" s="320" t="s">
        <v>507</v>
      </c>
      <c r="AE14" s="320" t="s">
        <v>507</v>
      </c>
      <c r="AF14" s="320" t="s">
        <v>507</v>
      </c>
      <c r="AG14" s="320" t="s">
        <v>507</v>
      </c>
      <c r="AH14" s="323" t="s">
        <v>284</v>
      </c>
      <c r="AI14" s="324" t="s">
        <v>1223</v>
      </c>
      <c r="AJ14" s="319" t="s">
        <v>1224</v>
      </c>
    </row>
    <row r="15" ht="24.75" customHeight="1" s="5" customFormat="1">
      <c r="A15" s="315" t="s">
        <v>181</v>
      </c>
      <c r="B15" s="316" t="s">
        <v>300</v>
      </c>
      <c r="C15" s="317" t="s">
        <v>1225</v>
      </c>
      <c r="D15" s="5"/>
      <c r="E15" s="319" t="s">
        <v>1226</v>
      </c>
      <c r="F15" s="320" t="s">
        <v>1227</v>
      </c>
      <c r="G15" s="320" t="s">
        <v>1189</v>
      </c>
      <c r="H15" s="320" t="s">
        <v>1228</v>
      </c>
      <c r="I15" s="320" t="s">
        <v>330</v>
      </c>
      <c r="J15" s="320" t="s">
        <v>1038</v>
      </c>
      <c r="K15" s="320" t="s">
        <v>1038</v>
      </c>
      <c r="L15" s="320" t="s">
        <v>1038</v>
      </c>
      <c r="M15" s="321">
        <v>1795</v>
      </c>
      <c r="N15" s="320" t="s">
        <v>1038</v>
      </c>
      <c r="O15" s="320" t="s">
        <v>1038</v>
      </c>
      <c r="P15" s="320" t="s">
        <v>1038</v>
      </c>
      <c r="Q15" s="321">
        <v>2095</v>
      </c>
      <c r="R15" s="320" t="s">
        <v>1038</v>
      </c>
      <c r="S15" s="320" t="s">
        <v>1038</v>
      </c>
      <c r="T15" s="320" t="s">
        <v>459</v>
      </c>
      <c r="U15" s="321">
        <v>2500</v>
      </c>
      <c r="V15" s="320" t="s">
        <v>1038</v>
      </c>
      <c r="W15" s="320" t="s">
        <v>1038</v>
      </c>
      <c r="X15" s="320" t="s">
        <v>1199</v>
      </c>
      <c r="Y15" s="322" t="s">
        <v>283</v>
      </c>
      <c r="Z15" s="320" t="s">
        <v>475</v>
      </c>
      <c r="AA15" s="320" t="s">
        <v>377</v>
      </c>
      <c r="AB15" s="320" t="s">
        <v>276</v>
      </c>
      <c r="AC15" s="320" t="s">
        <v>507</v>
      </c>
      <c r="AD15" s="320" t="s">
        <v>507</v>
      </c>
      <c r="AE15" s="320" t="s">
        <v>507</v>
      </c>
      <c r="AF15" s="320" t="s">
        <v>507</v>
      </c>
      <c r="AG15" s="320" t="s">
        <v>507</v>
      </c>
      <c r="AH15" s="323" t="s">
        <v>284</v>
      </c>
      <c r="AI15" s="324" t="s">
        <v>1229</v>
      </c>
      <c r="AJ15" s="319" t="s">
        <v>1230</v>
      </c>
    </row>
    <row r="16" ht="24.75" customHeight="1" s="5" customFormat="1">
      <c r="A16" s="315" t="s">
        <v>320</v>
      </c>
      <c r="B16" s="316" t="s">
        <v>300</v>
      </c>
      <c r="C16" s="317" t="s">
        <v>1231</v>
      </c>
      <c r="D16" s="5"/>
      <c r="E16" s="319" t="s">
        <v>1232</v>
      </c>
      <c r="F16" s="320" t="s">
        <v>1227</v>
      </c>
      <c r="G16" s="320" t="s">
        <v>1189</v>
      </c>
      <c r="H16" s="320" t="s">
        <v>1228</v>
      </c>
      <c r="I16" s="320" t="s">
        <v>1233</v>
      </c>
      <c r="J16" s="320" t="s">
        <v>1038</v>
      </c>
      <c r="K16" s="320" t="s">
        <v>1038</v>
      </c>
      <c r="L16" s="320" t="s">
        <v>453</v>
      </c>
      <c r="M16" s="322" t="s">
        <v>283</v>
      </c>
      <c r="N16" s="320" t="s">
        <v>1038</v>
      </c>
      <c r="O16" s="320" t="s">
        <v>1038</v>
      </c>
      <c r="P16" s="320" t="s">
        <v>1038</v>
      </c>
      <c r="Q16" s="321">
        <v>2295</v>
      </c>
      <c r="R16" s="320" t="s">
        <v>1038</v>
      </c>
      <c r="S16" s="320" t="s">
        <v>1038</v>
      </c>
      <c r="T16" s="320" t="s">
        <v>459</v>
      </c>
      <c r="U16" s="321">
        <v>2600</v>
      </c>
      <c r="V16" s="320" t="s">
        <v>1038</v>
      </c>
      <c r="W16" s="320" t="s">
        <v>1038</v>
      </c>
      <c r="X16" s="320" t="s">
        <v>1199</v>
      </c>
      <c r="Y16" s="322" t="s">
        <v>283</v>
      </c>
      <c r="Z16" s="320" t="s">
        <v>520</v>
      </c>
      <c r="AA16" s="320" t="s">
        <v>372</v>
      </c>
      <c r="AB16" s="320" t="s">
        <v>210</v>
      </c>
      <c r="AC16" s="320" t="s">
        <v>507</v>
      </c>
      <c r="AD16" s="320" t="s">
        <v>507</v>
      </c>
      <c r="AE16" s="320" t="s">
        <v>507</v>
      </c>
      <c r="AF16" s="320" t="s">
        <v>507</v>
      </c>
      <c r="AG16" s="320" t="s">
        <v>507</v>
      </c>
      <c r="AH16" s="323" t="s">
        <v>284</v>
      </c>
      <c r="AI16" s="324" t="s">
        <v>1234</v>
      </c>
      <c r="AJ16" s="319" t="s">
        <v>1235</v>
      </c>
    </row>
    <row r="17" ht="28.5" customHeight="1" s="5" customFormat="1">
      <c r="A17" s="325" t="s">
        <v>154</v>
      </c>
      <c r="B17" s="326" t="s">
        <v>339</v>
      </c>
      <c r="C17" s="327" t="s">
        <v>1236</v>
      </c>
      <c r="D17" s="5"/>
      <c r="E17" s="325" t="s">
        <v>64</v>
      </c>
      <c r="F17" s="325" t="s">
        <v>1188</v>
      </c>
      <c r="G17" s="325" t="s">
        <v>1189</v>
      </c>
      <c r="H17" s="325"/>
      <c r="I17" s="325"/>
      <c r="J17" s="325" t="s">
        <v>64</v>
      </c>
      <c r="K17" s="325" t="s">
        <v>64</v>
      </c>
      <c r="L17" s="325" t="s">
        <v>453</v>
      </c>
      <c r="M17" s="325" t="s">
        <v>453</v>
      </c>
      <c r="N17" s="325" t="s">
        <v>64</v>
      </c>
      <c r="O17" s="325" t="s">
        <v>64</v>
      </c>
      <c r="P17" s="325" t="s">
        <v>456</v>
      </c>
      <c r="Q17" s="325" t="s">
        <v>456</v>
      </c>
      <c r="R17" s="325" t="s">
        <v>64</v>
      </c>
      <c r="S17" s="325" t="s">
        <v>64</v>
      </c>
      <c r="T17" s="325" t="s">
        <v>459</v>
      </c>
      <c r="U17" s="325" t="s">
        <v>459</v>
      </c>
      <c r="V17" s="325" t="s">
        <v>64</v>
      </c>
      <c r="W17" s="325" t="s">
        <v>64</v>
      </c>
      <c r="X17" s="325" t="s">
        <v>1199</v>
      </c>
      <c r="Y17" s="325" t="s">
        <v>1199</v>
      </c>
      <c r="Z17" s="325"/>
      <c r="AA17" s="325"/>
      <c r="AB17" s="325"/>
      <c r="AC17" s="325"/>
      <c r="AD17" s="325"/>
      <c r="AE17" s="325"/>
      <c r="AF17" s="325"/>
      <c r="AG17" s="325"/>
      <c r="AH17" s="316" t="s">
        <v>339</v>
      </c>
      <c r="AI17" s="328" t="s">
        <v>1237</v>
      </c>
      <c r="AJ17" s="328" t="s">
        <v>342</v>
      </c>
    </row>
    <row r="18" ht="34.5" customHeight="1" s="5" customFormat="1">
      <c r="A18" s="329" t="s">
        <v>154</v>
      </c>
      <c r="B18" s="326" t="s">
        <v>339</v>
      </c>
      <c r="C18" s="330" t="s">
        <v>1238</v>
      </c>
      <c r="D18" s="5"/>
      <c r="E18" s="329" t="s">
        <v>64</v>
      </c>
      <c r="F18" s="329" t="s">
        <v>1188</v>
      </c>
      <c r="G18" s="329" t="s">
        <v>1189</v>
      </c>
      <c r="H18" s="329"/>
      <c r="I18" s="329"/>
      <c r="J18" s="329"/>
      <c r="K18" s="329"/>
      <c r="L18" s="329"/>
      <c r="M18" s="331">
        <v>1716</v>
      </c>
      <c r="N18" s="329"/>
      <c r="O18" s="329"/>
      <c r="P18" s="329"/>
      <c r="Q18" s="331">
        <v>2071</v>
      </c>
      <c r="R18" s="329"/>
      <c r="S18" s="329"/>
      <c r="T18" s="329"/>
      <c r="U18" s="331">
        <v>2428</v>
      </c>
      <c r="V18" s="329"/>
      <c r="W18" s="329"/>
      <c r="X18" s="329"/>
      <c r="Y18" s="331"/>
      <c r="Z18" s="329"/>
      <c r="AA18" s="329"/>
      <c r="AB18" s="329"/>
      <c r="AC18" s="329"/>
      <c r="AD18" s="329"/>
      <c r="AE18" s="329"/>
      <c r="AF18" s="329"/>
      <c r="AG18" s="329"/>
      <c r="AH18" s="316" t="s">
        <v>339</v>
      </c>
      <c r="AI18" s="332" t="s">
        <v>1061</v>
      </c>
      <c r="AJ18" s="332" t="s">
        <v>1062</v>
      </c>
    </row>
    <row r="20" ht="14.25" customHeight="1" s="5" customFormat="1">
      <c r="A20" s="333" t="s">
        <v>1063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2" ht="18" customHeight="1" s="5" customFormat="1">
      <c r="A22" s="334" t="s">
        <v>349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  <row r="23" ht="15.75" customHeight="1" s="5" customFormat="1">
      <c r="A23" s="335" t="s">
        <v>1064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 ht="15.75" customHeight="1" s="5" customFormat="1">
      <c r="A24" s="5"/>
      <c r="B24" s="336" t="s">
        <v>351</v>
      </c>
      <c r="C24" s="336" t="s">
        <v>352</v>
      </c>
      <c r="D24" s="5"/>
      <c r="E24" s="336" t="s">
        <v>353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</row>
    <row r="25" ht="20.25" customHeight="1" s="5" customFormat="1">
      <c r="A25" s="337" t="s">
        <v>160</v>
      </c>
      <c r="B25" s="338">
        <f>'Current Rents'!D26</f>
        <v>1221</v>
      </c>
      <c r="C25" s="339">
        <v>1716</v>
      </c>
      <c r="D25" s="5"/>
      <c r="E25" s="340">
        <f t="shared" si="0" ref="E25:E28">B25-C25</f>
        <v>-495</v>
      </c>
      <c r="F25" s="161" t="str">
        <f>IF(E25&lt;-75,"LOOK INTO INCREASING THE RENT!","")</f>
        <v>LOOK INTO INCREASING THE RENT!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</row>
    <row r="26" ht="20.25" customHeight="1" s="5" customFormat="1">
      <c r="A26" s="337" t="s">
        <v>151</v>
      </c>
      <c r="B26" s="338">
        <f>'Current Rents'!E26</f>
        <v>1563</v>
      </c>
      <c r="C26" s="339">
        <v>2071</v>
      </c>
      <c r="D26" s="5"/>
      <c r="E26" s="340">
        <f t="shared" si="0"/>
        <v>-508</v>
      </c>
      <c r="F26" s="161" t="str">
        <f>IF(E26&lt;-75,"LOOK INTO INCREASING THE RENT!","")</f>
        <v>LOOK INTO INCREASING THE RENT!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</row>
    <row r="27" ht="20.25" customHeight="1" s="5" customFormat="1">
      <c r="A27" s="337" t="s">
        <v>152</v>
      </c>
      <c r="B27" s="338">
        <f>'Current Rents'!F26</f>
        <v>1820</v>
      </c>
      <c r="C27" s="339">
        <v>2428</v>
      </c>
      <c r="D27" s="5"/>
      <c r="E27" s="340">
        <f t="shared" si="0"/>
        <v>-608</v>
      </c>
      <c r="F27" s="161" t="str">
        <f>IF(E27&lt;-75,"LOOK INTO INCREASING THE RENT!","")</f>
        <v>LOOK INTO INCREASING THE RENT!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</row>
    <row r="28" ht="20.25" customHeight="1" s="5" customFormat="1">
      <c r="A28" s="337" t="s">
        <v>155</v>
      </c>
      <c r="B28" s="338">
        <f>'Current Rents'!G26</f>
        <v>2128</v>
      </c>
      <c r="C28" s="339">
        <v>0</v>
      </c>
      <c r="D28" s="5"/>
      <c r="E28" s="340">
        <f t="shared" si="0"/>
        <v>2128</v>
      </c>
      <c r="F28" s="161" t="str">
        <f>IF(E28&lt;-75,"LOOK INTO INCREASING THE RENT!","")</f>
        <v/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</row>
  </sheetData>
  <mergeCells>
    <mergeCell ref="A3:AG3"/>
    <mergeCell ref="A23:H23"/>
    <mergeCell ref="C8:D8"/>
    <mergeCell ref="C9:D9"/>
    <mergeCell ref="AH3:AJ3"/>
    <mergeCell ref="C12:D12"/>
    <mergeCell ref="C17:D17"/>
    <mergeCell ref="C18:D18"/>
    <mergeCell ref="A5:AJ5"/>
    <mergeCell ref="A20:AJ20"/>
    <mergeCell ref="A22:H22"/>
    <mergeCell ref="C7:D7"/>
    <mergeCell ref="A6:AJ6"/>
    <mergeCell ref="A4:AJ4"/>
    <mergeCell ref="C24:D24"/>
    <mergeCell ref="C11:D11"/>
    <mergeCell ref="D13:D16"/>
    <mergeCell ref="C10:D10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232022F-FBF8-AE58-75FA-9E2CEC282D58}" mc:Ignorable="x14ac xr xr2 xr3"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style="5" width="9.00390625" customWidth="1"/>
    <col min="2" max="2" style="5" width="18.57421875" customWidth="1"/>
    <col min="3" max="3" style="5" width="42.00390625" customWidth="1"/>
    <col min="4" max="4" style="5" width="4.7109375" customWidth="1"/>
    <col min="5" max="5" style="5" width="31.00390625" customWidth="1"/>
    <col min="6" max="6" style="5" width="14.28125" customWidth="1"/>
    <col min="7" max="7" style="5" width="9.28125" customWidth="1"/>
    <col min="8" max="9" style="5" width="13.00390625" customWidth="1"/>
    <col min="10" max="10" style="5" width="7.00390625" hidden="1" customWidth="1"/>
    <col min="11" max="11" style="5" width="13.00390625" customWidth="1"/>
    <col min="12" max="12" style="5" width="5.28125" hidden="1" customWidth="1"/>
    <col min="13" max="13" style="5" width="16.7109375" customWidth="1"/>
    <col min="14" max="14" style="5" width="7.00390625" hidden="1" customWidth="1"/>
    <col min="15" max="15" style="5" width="13.00390625" customWidth="1"/>
    <col min="16" max="16" style="5" width="5.28125" hidden="1" customWidth="1"/>
    <col min="17" max="17" style="5" width="16.7109375" customWidth="1"/>
    <col min="18" max="18" style="5" width="7.00390625" hidden="1" customWidth="1"/>
    <col min="19" max="19" style="5" width="13.00390625" customWidth="1"/>
    <col min="20" max="20" style="5" width="5.28125" hidden="1" customWidth="1"/>
    <col min="21" max="21" style="5" width="16.7109375" customWidth="1"/>
    <col min="22" max="22" style="5" width="9.421875" customWidth="1"/>
    <col min="23" max="29" style="5" width="13.00390625" customWidth="1"/>
    <col min="30" max="30" style="5" width="24.57421875" customWidth="1"/>
    <col min="31" max="31" style="5" width="55.7109375" customWidth="1"/>
    <col min="32" max="32" style="5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36" customHeight="1" s="5" customFormat="1">
      <c r="A3" s="295" t="s">
        <v>1239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296" t="s">
        <v>1240</v>
      </c>
      <c r="AE3" s="5"/>
      <c r="AF3" s="5"/>
    </row>
    <row r="4" ht="18" customHeight="1" s="5" customFormat="1">
      <c r="A4" s="297" t="s">
        <v>1241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14.25" customHeight="1" s="5" customFormat="1">
      <c r="A5" s="298" t="s">
        <v>1012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25.5" customHeight="1" s="5" customFormat="1">
      <c r="A6" s="299" t="s">
        <v>1013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25.5" customHeight="1" s="5" customFormat="1">
      <c r="A7" s="300" t="s">
        <v>233</v>
      </c>
      <c r="B7" s="300" t="s">
        <v>234</v>
      </c>
      <c r="C7" s="300" t="s">
        <v>3</v>
      </c>
      <c r="D7" s="5"/>
      <c r="E7" s="300" t="s">
        <v>235</v>
      </c>
      <c r="F7" s="300" t="s">
        <v>236</v>
      </c>
      <c r="G7" s="300" t="s">
        <v>237</v>
      </c>
      <c r="H7" s="300" t="s">
        <v>238</v>
      </c>
      <c r="I7" s="300" t="s">
        <v>239</v>
      </c>
      <c r="J7" s="300" t="s">
        <v>444</v>
      </c>
      <c r="K7" s="300" t="s">
        <v>445</v>
      </c>
      <c r="L7" s="300" t="s">
        <v>446</v>
      </c>
      <c r="M7" s="301" t="s">
        <v>447</v>
      </c>
      <c r="N7" s="300" t="s">
        <v>240</v>
      </c>
      <c r="O7" s="300" t="s">
        <v>241</v>
      </c>
      <c r="P7" s="300" t="s">
        <v>242</v>
      </c>
      <c r="Q7" s="301" t="s">
        <v>360</v>
      </c>
      <c r="R7" s="300" t="s">
        <v>244</v>
      </c>
      <c r="S7" s="300" t="s">
        <v>245</v>
      </c>
      <c r="T7" s="300" t="s">
        <v>246</v>
      </c>
      <c r="U7" s="301" t="s">
        <v>361</v>
      </c>
      <c r="V7" s="300" t="s">
        <v>6</v>
      </c>
      <c r="W7" s="300" t="s">
        <v>248</v>
      </c>
      <c r="X7" s="300" t="s">
        <v>249</v>
      </c>
      <c r="Y7" s="300" t="s">
        <v>250</v>
      </c>
      <c r="Z7" s="300" t="s">
        <v>251</v>
      </c>
      <c r="AA7" s="300" t="s">
        <v>252</v>
      </c>
      <c r="AB7" s="300" t="s">
        <v>253</v>
      </c>
      <c r="AC7" s="300" t="s">
        <v>254</v>
      </c>
      <c r="AD7" s="301" t="s">
        <v>255</v>
      </c>
      <c r="AE7" s="300" t="s">
        <v>256</v>
      </c>
      <c r="AF7" s="300" t="s">
        <v>257</v>
      </c>
    </row>
    <row r="8" ht="21.75" customHeight="1" s="5" customFormat="1">
      <c r="A8" s="302" t="s">
        <v>258</v>
      </c>
      <c r="B8" s="303" t="s">
        <v>259</v>
      </c>
      <c r="C8" s="304" t="s">
        <v>1242</v>
      </c>
      <c r="D8" s="5"/>
      <c r="E8" s="304" t="s">
        <v>1243</v>
      </c>
      <c r="F8" s="305" t="s">
        <v>1244</v>
      </c>
      <c r="G8" s="305" t="s">
        <v>1245</v>
      </c>
      <c r="H8" s="305" t="s">
        <v>1246</v>
      </c>
      <c r="I8" s="305" t="s">
        <v>265</v>
      </c>
      <c r="J8" s="305" t="s">
        <v>1247</v>
      </c>
      <c r="K8" s="305" t="s">
        <v>1248</v>
      </c>
      <c r="L8" s="305" t="s">
        <v>1249</v>
      </c>
      <c r="M8" s="306">
        <f>'Current Rents'!D27</f>
        <v>1000</v>
      </c>
      <c r="N8" s="305" t="s">
        <v>1248</v>
      </c>
      <c r="O8" s="305" t="s">
        <v>1250</v>
      </c>
      <c r="P8" s="305" t="s">
        <v>1143</v>
      </c>
      <c r="Q8" s="306">
        <f>'Current Rents'!E27</f>
        <v>1150</v>
      </c>
      <c r="R8" s="305" t="s">
        <v>1251</v>
      </c>
      <c r="S8" s="305" t="s">
        <v>1252</v>
      </c>
      <c r="T8" s="305" t="s">
        <v>1144</v>
      </c>
      <c r="U8" s="306">
        <f>'Current Rents'!F27</f>
        <v>1300</v>
      </c>
      <c r="V8" s="305" t="s">
        <v>1253</v>
      </c>
      <c r="W8" s="305" t="s">
        <v>461</v>
      </c>
      <c r="X8" s="305">
        <v>0</v>
      </c>
      <c r="Y8" s="305" t="s">
        <v>272</v>
      </c>
      <c r="Z8" s="305" t="s">
        <v>273</v>
      </c>
      <c r="AA8" s="305" t="s">
        <v>273</v>
      </c>
      <c r="AB8" s="305" t="s">
        <v>273</v>
      </c>
      <c r="AC8" s="305" t="s">
        <v>273</v>
      </c>
      <c r="AD8" s="303" t="s">
        <v>259</v>
      </c>
      <c r="AE8" s="307" t="s">
        <v>1254</v>
      </c>
      <c r="AF8" s="304" t="s">
        <v>275</v>
      </c>
    </row>
    <row r="9" ht="21.75" customHeight="1" s="5" customFormat="1">
      <c r="A9" s="308" t="s">
        <v>276</v>
      </c>
      <c r="B9" s="309" t="s">
        <v>277</v>
      </c>
      <c r="C9" s="310" t="s">
        <v>1255</v>
      </c>
      <c r="D9" s="5"/>
      <c r="E9" s="311" t="s">
        <v>1256</v>
      </c>
      <c r="F9" s="308" t="s">
        <v>1244</v>
      </c>
      <c r="G9" s="308" t="s">
        <v>1245</v>
      </c>
      <c r="H9" s="308" t="s">
        <v>1246</v>
      </c>
      <c r="I9" s="308" t="s">
        <v>394</v>
      </c>
      <c r="J9" s="308" t="s">
        <v>1247</v>
      </c>
      <c r="K9" s="308" t="s">
        <v>1248</v>
      </c>
      <c r="L9" s="308" t="s">
        <v>1249</v>
      </c>
      <c r="M9" s="308" t="s">
        <v>1257</v>
      </c>
      <c r="N9" s="308" t="s">
        <v>1248</v>
      </c>
      <c r="O9" s="308" t="s">
        <v>1250</v>
      </c>
      <c r="P9" s="308" t="s">
        <v>1143</v>
      </c>
      <c r="Q9" s="308" t="s">
        <v>1258</v>
      </c>
      <c r="R9" s="308" t="s">
        <v>1251</v>
      </c>
      <c r="S9" s="308" t="s">
        <v>1252</v>
      </c>
      <c r="T9" s="308" t="s">
        <v>1144</v>
      </c>
      <c r="U9" s="308" t="s">
        <v>283</v>
      </c>
      <c r="V9" s="308" t="s">
        <v>1259</v>
      </c>
      <c r="W9" s="308" t="s">
        <v>407</v>
      </c>
      <c r="X9" s="308" t="s">
        <v>210</v>
      </c>
      <c r="Y9" s="308" t="s">
        <v>272</v>
      </c>
      <c r="Z9" s="308" t="s">
        <v>273</v>
      </c>
      <c r="AA9" s="308" t="s">
        <v>273</v>
      </c>
      <c r="AB9" s="308" t="s">
        <v>273</v>
      </c>
      <c r="AC9" s="308" t="s">
        <v>273</v>
      </c>
      <c r="AD9" s="312" t="s">
        <v>284</v>
      </c>
      <c r="AE9" s="313" t="s">
        <v>1260</v>
      </c>
      <c r="AF9" s="311" t="s">
        <v>1261</v>
      </c>
    </row>
    <row r="10" ht="21.75" customHeight="1" s="5" customFormat="1">
      <c r="A10" s="308" t="s">
        <v>210</v>
      </c>
      <c r="B10" s="309" t="s">
        <v>277</v>
      </c>
      <c r="C10" s="310" t="s">
        <v>1262</v>
      </c>
      <c r="D10" s="5"/>
      <c r="E10" s="311" t="s">
        <v>1263</v>
      </c>
      <c r="F10" s="308" t="s">
        <v>1244</v>
      </c>
      <c r="G10" s="308" t="s">
        <v>1245</v>
      </c>
      <c r="H10" s="308" t="s">
        <v>1246</v>
      </c>
      <c r="I10" s="308" t="s">
        <v>305</v>
      </c>
      <c r="J10" s="308" t="s">
        <v>1247</v>
      </c>
      <c r="K10" s="308" t="s">
        <v>1248</v>
      </c>
      <c r="L10" s="308" t="s">
        <v>1249</v>
      </c>
      <c r="M10" s="308" t="s">
        <v>1264</v>
      </c>
      <c r="N10" s="308" t="s">
        <v>1248</v>
      </c>
      <c r="O10" s="308" t="s">
        <v>1250</v>
      </c>
      <c r="P10" s="308" t="s">
        <v>1143</v>
      </c>
      <c r="Q10" s="308" t="s">
        <v>1264</v>
      </c>
      <c r="R10" s="308" t="s">
        <v>1251</v>
      </c>
      <c r="S10" s="308" t="s">
        <v>1252</v>
      </c>
      <c r="T10" s="308" t="s">
        <v>1144</v>
      </c>
      <c r="U10" s="308" t="s">
        <v>1264</v>
      </c>
      <c r="V10" s="308" t="s">
        <v>1265</v>
      </c>
      <c r="W10" s="308" t="s">
        <v>461</v>
      </c>
      <c r="X10" s="308" t="s">
        <v>462</v>
      </c>
      <c r="Y10" s="308" t="s">
        <v>272</v>
      </c>
      <c r="Z10" s="308" t="s">
        <v>273</v>
      </c>
      <c r="AA10" s="308" t="s">
        <v>273</v>
      </c>
      <c r="AB10" s="308" t="s">
        <v>273</v>
      </c>
      <c r="AC10" s="308" t="s">
        <v>273</v>
      </c>
      <c r="AD10" s="312" t="s">
        <v>284</v>
      </c>
      <c r="AE10" s="313" t="s">
        <v>1266</v>
      </c>
      <c r="AF10" s="311" t="s">
        <v>1261</v>
      </c>
    </row>
    <row r="11" ht="21.75" customHeight="1" s="5" customFormat="1">
      <c r="A11" s="308" t="s">
        <v>181</v>
      </c>
      <c r="B11" s="309" t="s">
        <v>277</v>
      </c>
      <c r="C11" s="310" t="s">
        <v>1267</v>
      </c>
      <c r="D11" s="5"/>
      <c r="E11" s="311" t="s">
        <v>1268</v>
      </c>
      <c r="F11" s="308" t="s">
        <v>1269</v>
      </c>
      <c r="G11" s="308" t="s">
        <v>1245</v>
      </c>
      <c r="H11" s="308" t="s">
        <v>1270</v>
      </c>
      <c r="I11" s="308" t="s">
        <v>1171</v>
      </c>
      <c r="J11" s="308" t="s">
        <v>1247</v>
      </c>
      <c r="K11" s="308" t="s">
        <v>1248</v>
      </c>
      <c r="L11" s="308" t="s">
        <v>1249</v>
      </c>
      <c r="M11" s="308" t="s">
        <v>283</v>
      </c>
      <c r="N11" s="308" t="s">
        <v>1248</v>
      </c>
      <c r="O11" s="308" t="s">
        <v>1250</v>
      </c>
      <c r="P11" s="308" t="s">
        <v>1143</v>
      </c>
      <c r="Q11" s="308" t="s">
        <v>283</v>
      </c>
      <c r="R11" s="308" t="s">
        <v>1251</v>
      </c>
      <c r="S11" s="308" t="s">
        <v>1252</v>
      </c>
      <c r="T11" s="308" t="s">
        <v>1144</v>
      </c>
      <c r="U11" s="308" t="s">
        <v>283</v>
      </c>
      <c r="V11" s="308" t="s">
        <v>1271</v>
      </c>
      <c r="W11" s="308" t="s">
        <v>377</v>
      </c>
      <c r="X11" s="308" t="s">
        <v>320</v>
      </c>
      <c r="Y11" s="308" t="s">
        <v>272</v>
      </c>
      <c r="Z11" s="308" t="s">
        <v>273</v>
      </c>
      <c r="AA11" s="308" t="s">
        <v>273</v>
      </c>
      <c r="AB11" s="308" t="s">
        <v>273</v>
      </c>
      <c r="AC11" s="308" t="s">
        <v>273</v>
      </c>
      <c r="AD11" s="312" t="s">
        <v>284</v>
      </c>
      <c r="AE11" s="313" t="s">
        <v>1272</v>
      </c>
      <c r="AF11" s="311" t="s">
        <v>286</v>
      </c>
    </row>
    <row r="12" ht="21.75" customHeight="1" s="5" customFormat="1">
      <c r="A12" s="308" t="s">
        <v>320</v>
      </c>
      <c r="B12" s="309" t="s">
        <v>277</v>
      </c>
      <c r="C12" s="310" t="s">
        <v>1273</v>
      </c>
      <c r="D12" s="5"/>
      <c r="E12" s="311" t="s">
        <v>1274</v>
      </c>
      <c r="F12" s="308" t="s">
        <v>1244</v>
      </c>
      <c r="G12" s="308" t="s">
        <v>1245</v>
      </c>
      <c r="H12" s="308" t="s">
        <v>1246</v>
      </c>
      <c r="I12" s="308" t="s">
        <v>330</v>
      </c>
      <c r="J12" s="308" t="s">
        <v>1247</v>
      </c>
      <c r="K12" s="308" t="s">
        <v>1248</v>
      </c>
      <c r="L12" s="308" t="s">
        <v>1249</v>
      </c>
      <c r="M12" s="308" t="s">
        <v>283</v>
      </c>
      <c r="N12" s="308" t="s">
        <v>1248</v>
      </c>
      <c r="O12" s="308" t="s">
        <v>1250</v>
      </c>
      <c r="P12" s="308" t="s">
        <v>1143</v>
      </c>
      <c r="Q12" s="308" t="s">
        <v>283</v>
      </c>
      <c r="R12" s="308" t="s">
        <v>1251</v>
      </c>
      <c r="S12" s="308" t="s">
        <v>1252</v>
      </c>
      <c r="T12" s="308" t="s">
        <v>1144</v>
      </c>
      <c r="U12" s="308" t="s">
        <v>283</v>
      </c>
      <c r="V12" s="308" t="s">
        <v>1275</v>
      </c>
      <c r="W12" s="308" t="s">
        <v>490</v>
      </c>
      <c r="X12" s="308" t="s">
        <v>276</v>
      </c>
      <c r="Y12" s="308" t="s">
        <v>272</v>
      </c>
      <c r="Z12" s="308" t="s">
        <v>273</v>
      </c>
      <c r="AA12" s="308" t="s">
        <v>273</v>
      </c>
      <c r="AB12" s="308" t="s">
        <v>273</v>
      </c>
      <c r="AC12" s="308" t="s">
        <v>273</v>
      </c>
      <c r="AD12" s="312" t="s">
        <v>284</v>
      </c>
      <c r="AE12" s="313" t="s">
        <v>1276</v>
      </c>
      <c r="AF12" s="311" t="s">
        <v>1277</v>
      </c>
    </row>
    <row r="13" ht="24.75" customHeight="1" s="5" customFormat="1">
      <c r="A13" s="315" t="s">
        <v>276</v>
      </c>
      <c r="B13" s="316" t="s">
        <v>300</v>
      </c>
      <c r="C13" s="317" t="s">
        <v>1278</v>
      </c>
      <c r="D13" s="318" t="s">
        <v>302</v>
      </c>
      <c r="E13" s="319" t="s">
        <v>1279</v>
      </c>
      <c r="F13" s="320" t="s">
        <v>1244</v>
      </c>
      <c r="G13" s="320" t="s">
        <v>1245</v>
      </c>
      <c r="H13" s="320" t="s">
        <v>1246</v>
      </c>
      <c r="I13" s="320" t="s">
        <v>406</v>
      </c>
      <c r="J13" s="320" t="s">
        <v>1038</v>
      </c>
      <c r="K13" s="320" t="s">
        <v>1038</v>
      </c>
      <c r="L13" s="320" t="s">
        <v>1038</v>
      </c>
      <c r="M13" s="321">
        <v>1495</v>
      </c>
      <c r="N13" s="320" t="s">
        <v>1038</v>
      </c>
      <c r="O13" s="320" t="s">
        <v>1038</v>
      </c>
      <c r="P13" s="320" t="s">
        <v>1038</v>
      </c>
      <c r="Q13" s="321">
        <v>1875</v>
      </c>
      <c r="R13" s="320" t="s">
        <v>1038</v>
      </c>
      <c r="S13" s="320" t="s">
        <v>1038</v>
      </c>
      <c r="T13" s="320" t="s">
        <v>1038</v>
      </c>
      <c r="U13" s="321">
        <v>2100</v>
      </c>
      <c r="V13" s="320" t="s">
        <v>64</v>
      </c>
      <c r="W13" s="320" t="s">
        <v>461</v>
      </c>
      <c r="X13" s="320" t="s">
        <v>462</v>
      </c>
      <c r="Y13" s="320" t="s">
        <v>507</v>
      </c>
      <c r="Z13" s="320" t="s">
        <v>507</v>
      </c>
      <c r="AA13" s="320" t="s">
        <v>507</v>
      </c>
      <c r="AB13" s="320" t="s">
        <v>507</v>
      </c>
      <c r="AC13" s="320" t="s">
        <v>507</v>
      </c>
      <c r="AD13" s="323" t="s">
        <v>284</v>
      </c>
      <c r="AE13" s="324" t="s">
        <v>1280</v>
      </c>
      <c r="AF13" s="319" t="s">
        <v>1281</v>
      </c>
    </row>
    <row r="14" ht="24.75" customHeight="1" s="5" customFormat="1">
      <c r="A14" s="315" t="s">
        <v>210</v>
      </c>
      <c r="B14" s="316" t="s">
        <v>300</v>
      </c>
      <c r="C14" s="317" t="s">
        <v>1282</v>
      </c>
      <c r="D14" s="5"/>
      <c r="E14" s="319" t="s">
        <v>1283</v>
      </c>
      <c r="F14" s="320" t="s">
        <v>1244</v>
      </c>
      <c r="G14" s="320" t="s">
        <v>1245</v>
      </c>
      <c r="H14" s="320" t="s">
        <v>1246</v>
      </c>
      <c r="I14" s="320" t="s">
        <v>323</v>
      </c>
      <c r="J14" s="320" t="s">
        <v>1038</v>
      </c>
      <c r="K14" s="320" t="s">
        <v>1038</v>
      </c>
      <c r="L14" s="320" t="s">
        <v>1038</v>
      </c>
      <c r="M14" s="321">
        <v>1190</v>
      </c>
      <c r="N14" s="320" t="s">
        <v>1038</v>
      </c>
      <c r="O14" s="320" t="s">
        <v>1038</v>
      </c>
      <c r="P14" s="320" t="s">
        <v>1038</v>
      </c>
      <c r="Q14" s="321">
        <v>1354</v>
      </c>
      <c r="R14" s="320" t="s">
        <v>1038</v>
      </c>
      <c r="S14" s="320" t="s">
        <v>1038</v>
      </c>
      <c r="T14" s="320" t="s">
        <v>1144</v>
      </c>
      <c r="U14" s="321">
        <v>1550</v>
      </c>
      <c r="V14" s="320" t="s">
        <v>64</v>
      </c>
      <c r="W14" s="320" t="s">
        <v>407</v>
      </c>
      <c r="X14" s="320" t="s">
        <v>210</v>
      </c>
      <c r="Y14" s="320" t="s">
        <v>507</v>
      </c>
      <c r="Z14" s="320" t="s">
        <v>507</v>
      </c>
      <c r="AA14" s="320" t="s">
        <v>507</v>
      </c>
      <c r="AB14" s="320" t="s">
        <v>507</v>
      </c>
      <c r="AC14" s="320" t="s">
        <v>507</v>
      </c>
      <c r="AD14" s="323" t="s">
        <v>284</v>
      </c>
      <c r="AE14" s="324" t="s">
        <v>1284</v>
      </c>
      <c r="AF14" s="319" t="s">
        <v>1285</v>
      </c>
    </row>
    <row r="15" ht="24.75" customHeight="1" s="5" customFormat="1">
      <c r="A15" s="315" t="s">
        <v>181</v>
      </c>
      <c r="B15" s="316" t="s">
        <v>300</v>
      </c>
      <c r="C15" s="317" t="s">
        <v>1286</v>
      </c>
      <c r="D15" s="5"/>
      <c r="E15" s="319" t="s">
        <v>1287</v>
      </c>
      <c r="F15" s="320" t="s">
        <v>1244</v>
      </c>
      <c r="G15" s="320" t="s">
        <v>1245</v>
      </c>
      <c r="H15" s="320" t="s">
        <v>1246</v>
      </c>
      <c r="I15" s="320" t="s">
        <v>1288</v>
      </c>
      <c r="J15" s="320" t="s">
        <v>1038</v>
      </c>
      <c r="K15" s="320" t="s">
        <v>1038</v>
      </c>
      <c r="L15" s="320" t="s">
        <v>1038</v>
      </c>
      <c r="M15" s="321">
        <v>1128</v>
      </c>
      <c r="N15" s="320" t="s">
        <v>1038</v>
      </c>
      <c r="O15" s="320" t="s">
        <v>1038</v>
      </c>
      <c r="P15" s="320" t="s">
        <v>1038</v>
      </c>
      <c r="Q15" s="321">
        <v>1388</v>
      </c>
      <c r="R15" s="320" t="s">
        <v>1038</v>
      </c>
      <c r="S15" s="320" t="s">
        <v>1038</v>
      </c>
      <c r="T15" s="320" t="s">
        <v>1144</v>
      </c>
      <c r="U15" s="321">
        <v>1550</v>
      </c>
      <c r="V15" s="320" t="s">
        <v>64</v>
      </c>
      <c r="W15" s="320" t="s">
        <v>775</v>
      </c>
      <c r="X15" s="320" t="s">
        <v>181</v>
      </c>
      <c r="Y15" s="320" t="s">
        <v>507</v>
      </c>
      <c r="Z15" s="320" t="s">
        <v>507</v>
      </c>
      <c r="AA15" s="320" t="s">
        <v>507</v>
      </c>
      <c r="AB15" s="320" t="s">
        <v>507</v>
      </c>
      <c r="AC15" s="320" t="s">
        <v>507</v>
      </c>
      <c r="AD15" s="323" t="s">
        <v>284</v>
      </c>
      <c r="AE15" s="324" t="s">
        <v>1289</v>
      </c>
      <c r="AF15" s="319" t="s">
        <v>1285</v>
      </c>
    </row>
    <row r="16" ht="24.75" customHeight="1" s="5" customFormat="1">
      <c r="A16" s="315" t="s">
        <v>320</v>
      </c>
      <c r="B16" s="316" t="s">
        <v>300</v>
      </c>
      <c r="C16" s="317" t="s">
        <v>1255</v>
      </c>
      <c r="D16" s="5"/>
      <c r="E16" s="319" t="s">
        <v>1256</v>
      </c>
      <c r="F16" s="320" t="s">
        <v>1244</v>
      </c>
      <c r="G16" s="320" t="s">
        <v>1245</v>
      </c>
      <c r="H16" s="320" t="s">
        <v>1246</v>
      </c>
      <c r="I16" s="320" t="s">
        <v>914</v>
      </c>
      <c r="J16" s="320" t="s">
        <v>1038</v>
      </c>
      <c r="K16" s="320" t="s">
        <v>1038</v>
      </c>
      <c r="L16" s="320" t="s">
        <v>1038</v>
      </c>
      <c r="M16" s="321">
        <v>887</v>
      </c>
      <c r="N16" s="320" t="s">
        <v>1038</v>
      </c>
      <c r="O16" s="320" t="s">
        <v>1038</v>
      </c>
      <c r="P16" s="320" t="s">
        <v>1038</v>
      </c>
      <c r="Q16" s="321">
        <v>1083</v>
      </c>
      <c r="R16" s="320" t="s">
        <v>1038</v>
      </c>
      <c r="S16" s="320" t="s">
        <v>1038</v>
      </c>
      <c r="T16" s="320" t="s">
        <v>1144</v>
      </c>
      <c r="U16" s="321">
        <v>1550</v>
      </c>
      <c r="V16" s="320" t="s">
        <v>64</v>
      </c>
      <c r="W16" s="320" t="s">
        <v>407</v>
      </c>
      <c r="X16" s="320" t="s">
        <v>210</v>
      </c>
      <c r="Y16" s="320" t="s">
        <v>507</v>
      </c>
      <c r="Z16" s="320" t="s">
        <v>507</v>
      </c>
      <c r="AA16" s="320" t="s">
        <v>507</v>
      </c>
      <c r="AB16" s="320" t="s">
        <v>507</v>
      </c>
      <c r="AC16" s="320" t="s">
        <v>507</v>
      </c>
      <c r="AD16" s="323" t="s">
        <v>284</v>
      </c>
      <c r="AE16" s="324" t="s">
        <v>1290</v>
      </c>
      <c r="AF16" s="319" t="s">
        <v>1285</v>
      </c>
    </row>
    <row r="17" ht="28.5" customHeight="1" s="5" customFormat="1">
      <c r="A17" s="325" t="s">
        <v>154</v>
      </c>
      <c r="B17" s="326" t="s">
        <v>339</v>
      </c>
      <c r="C17" s="327" t="s">
        <v>1291</v>
      </c>
      <c r="D17" s="5"/>
      <c r="E17" s="325" t="s">
        <v>64</v>
      </c>
      <c r="F17" s="325" t="s">
        <v>1244</v>
      </c>
      <c r="G17" s="325" t="s">
        <v>1245</v>
      </c>
      <c r="H17" s="325"/>
      <c r="I17" s="325"/>
      <c r="J17" s="325" t="s">
        <v>64</v>
      </c>
      <c r="K17" s="325" t="s">
        <v>64</v>
      </c>
      <c r="L17" s="325" t="s">
        <v>1249</v>
      </c>
      <c r="M17" s="325" t="s">
        <v>1249</v>
      </c>
      <c r="N17" s="325" t="s">
        <v>64</v>
      </c>
      <c r="O17" s="325" t="s">
        <v>64</v>
      </c>
      <c r="P17" s="325" t="s">
        <v>1143</v>
      </c>
      <c r="Q17" s="325" t="s">
        <v>1143</v>
      </c>
      <c r="R17" s="325" t="s">
        <v>64</v>
      </c>
      <c r="S17" s="325" t="s">
        <v>64</v>
      </c>
      <c r="T17" s="325" t="s">
        <v>1144</v>
      </c>
      <c r="U17" s="325" t="s">
        <v>1144</v>
      </c>
      <c r="V17" s="325"/>
      <c r="W17" s="325"/>
      <c r="X17" s="325"/>
      <c r="Y17" s="325"/>
      <c r="Z17" s="325"/>
      <c r="AA17" s="325"/>
      <c r="AB17" s="325"/>
      <c r="AC17" s="325"/>
      <c r="AD17" s="316" t="s">
        <v>339</v>
      </c>
      <c r="AE17" s="328" t="s">
        <v>1292</v>
      </c>
      <c r="AF17" s="328" t="s">
        <v>342</v>
      </c>
    </row>
    <row r="18" ht="34.5" customHeight="1" s="5" customFormat="1">
      <c r="A18" s="329" t="s">
        <v>154</v>
      </c>
      <c r="B18" s="326" t="s">
        <v>339</v>
      </c>
      <c r="C18" s="330" t="s">
        <v>1293</v>
      </c>
      <c r="D18" s="5"/>
      <c r="E18" s="329" t="s">
        <v>64</v>
      </c>
      <c r="F18" s="329" t="s">
        <v>1244</v>
      </c>
      <c r="G18" s="329" t="s">
        <v>1245</v>
      </c>
      <c r="H18" s="329"/>
      <c r="I18" s="329"/>
      <c r="J18" s="329"/>
      <c r="K18" s="329"/>
      <c r="L18" s="329"/>
      <c r="M18" s="331">
        <v>1175</v>
      </c>
      <c r="N18" s="329"/>
      <c r="O18" s="329"/>
      <c r="P18" s="329"/>
      <c r="Q18" s="331">
        <v>1425</v>
      </c>
      <c r="R18" s="329"/>
      <c r="S18" s="329"/>
      <c r="T18" s="329"/>
      <c r="U18" s="331">
        <v>1688</v>
      </c>
      <c r="V18" s="329"/>
      <c r="W18" s="329"/>
      <c r="X18" s="329"/>
      <c r="Y18" s="329"/>
      <c r="Z18" s="329"/>
      <c r="AA18" s="329"/>
      <c r="AB18" s="329"/>
      <c r="AC18" s="329"/>
      <c r="AD18" s="316" t="s">
        <v>339</v>
      </c>
      <c r="AE18" s="332" t="s">
        <v>1061</v>
      </c>
      <c r="AF18" s="332" t="s">
        <v>1062</v>
      </c>
    </row>
    <row r="20" ht="14.25" customHeight="1" s="5" customFormat="1">
      <c r="A20" s="333" t="s">
        <v>1063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2" ht="18" customHeight="1" s="5" customFormat="1">
      <c r="A22" s="334" t="s">
        <v>349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ht="15.75" customHeight="1" s="5" customFormat="1">
      <c r="A23" s="335" t="s">
        <v>1064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ht="15.75" customHeight="1" s="5" customFormat="1">
      <c r="A24" s="5"/>
      <c r="B24" s="336" t="s">
        <v>351</v>
      </c>
      <c r="C24" s="336" t="s">
        <v>352</v>
      </c>
      <c r="D24" s="5"/>
      <c r="E24" s="336" t="s">
        <v>353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ht="20.25" customHeight="1" s="5" customFormat="1">
      <c r="A25" s="337" t="s">
        <v>160</v>
      </c>
      <c r="B25" s="338">
        <f>'Current Rents'!D27</f>
        <v>1000</v>
      </c>
      <c r="C25" s="339">
        <v>1175</v>
      </c>
      <c r="D25" s="5"/>
      <c r="E25" s="340">
        <f t="shared" si="0" ref="E25:E27">B25-C25</f>
        <v>-175</v>
      </c>
      <c r="F25" s="161" t="str">
        <f>IF(E25&lt;-75,"LOOK INTO INCREASING THE RENT!","")</f>
        <v>LOOK INTO INCREASING THE RENT!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ht="20.25" customHeight="1" s="5" customFormat="1">
      <c r="A26" s="337" t="s">
        <v>151</v>
      </c>
      <c r="B26" s="338">
        <f>'Current Rents'!E27</f>
        <v>1150</v>
      </c>
      <c r="C26" s="339">
        <v>1425</v>
      </c>
      <c r="D26" s="5"/>
      <c r="E26" s="340">
        <f t="shared" si="0"/>
        <v>-275</v>
      </c>
      <c r="F26" s="161" t="str">
        <f>IF(E26&lt;-75,"LOOK INTO INCREASING THE RENT!","")</f>
        <v>LOOK INTO INCREASING THE RENT!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ht="20.25" customHeight="1" s="5" customFormat="1">
      <c r="A27" s="337" t="s">
        <v>152</v>
      </c>
      <c r="B27" s="338">
        <f>'Current Rents'!F27</f>
        <v>1300</v>
      </c>
      <c r="C27" s="339">
        <v>1688</v>
      </c>
      <c r="D27" s="5"/>
      <c r="E27" s="340">
        <f t="shared" si="0"/>
        <v>-388</v>
      </c>
      <c r="F27" s="161" t="str">
        <f>IF(E27&lt;-75,"LOOK INTO INCREASING THE RENT!","")</f>
        <v>LOOK INTO INCREASING THE RENT!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</sheetData>
  <mergeCells>
    <mergeCell ref="AD3:AF3"/>
    <mergeCell ref="A23:H23"/>
    <mergeCell ref="A3:AC3"/>
    <mergeCell ref="C8:D8"/>
    <mergeCell ref="C9:D9"/>
    <mergeCell ref="C12:D12"/>
    <mergeCell ref="C17:D17"/>
    <mergeCell ref="C18:D18"/>
    <mergeCell ref="A22:H22"/>
    <mergeCell ref="C7:D7"/>
    <mergeCell ref="A20:AF20"/>
    <mergeCell ref="A6:AF6"/>
    <mergeCell ref="A5:AF5"/>
    <mergeCell ref="C24:D24"/>
    <mergeCell ref="C11:D11"/>
    <mergeCell ref="D13:D16"/>
    <mergeCell ref="C10:D10"/>
    <mergeCell ref="A4:AF4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42C0FC8-7E0D-D298-E1B8-C54CAFA6CB88}" mc:Ignorable="x14ac xr xr2 xr3"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style="5" width="9.00390625" customWidth="1"/>
    <col min="2" max="2" style="5" width="18.57421875" customWidth="1"/>
    <col min="3" max="3" style="5" width="42.00390625" customWidth="1"/>
    <col min="4" max="4" style="5" width="4.7109375" customWidth="1"/>
    <col min="5" max="5" style="5" width="31.00390625" customWidth="1"/>
    <col min="6" max="6" style="5" width="14.28125" customWidth="1"/>
    <col min="7" max="7" style="5" width="9.28125" customWidth="1"/>
    <col min="8" max="9" style="5" width="13.00390625" customWidth="1"/>
    <col min="10" max="10" style="5" width="7.00390625" hidden="1" customWidth="1"/>
    <col min="11" max="11" style="5" width="13.00390625" customWidth="1"/>
    <col min="12" max="12" style="5" width="5.28125" hidden="1" customWidth="1"/>
    <col min="13" max="13" style="5" width="16.7109375" customWidth="1"/>
    <col min="14" max="14" style="5" width="7.00390625" hidden="1" customWidth="1"/>
    <col min="15" max="15" style="5" width="13.00390625" customWidth="1"/>
    <col min="16" max="16" style="5" width="5.28125" hidden="1" customWidth="1"/>
    <col min="17" max="17" style="5" width="16.7109375" customWidth="1"/>
    <col min="18" max="18" style="5" width="9.421875" customWidth="1"/>
    <col min="19" max="25" style="5" width="13.00390625" customWidth="1"/>
    <col min="26" max="26" style="5" width="24.57421875" customWidth="1"/>
    <col min="27" max="27" style="5" width="55.7109375" customWidth="1"/>
    <col min="28" max="28" style="5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36" customHeight="1" s="5" customFormat="1">
      <c r="A3" s="295" t="s">
        <v>1294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296" t="s">
        <v>1295</v>
      </c>
      <c r="AA3" s="5"/>
      <c r="AB3" s="5"/>
    </row>
    <row r="4" ht="18" customHeight="1" s="5" customFormat="1">
      <c r="A4" s="297" t="s">
        <v>1296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ht="14.25" customHeight="1" s="5" customFormat="1">
      <c r="A5" s="298" t="s">
        <v>1012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ht="25.5" customHeight="1" s="5" customFormat="1">
      <c r="A6" s="299" t="s">
        <v>1013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ht="25.5" customHeight="1" s="5" customFormat="1">
      <c r="A7" s="300" t="s">
        <v>233</v>
      </c>
      <c r="B7" s="300" t="s">
        <v>234</v>
      </c>
      <c r="C7" s="300" t="s">
        <v>3</v>
      </c>
      <c r="D7" s="5"/>
      <c r="E7" s="300" t="s">
        <v>235</v>
      </c>
      <c r="F7" s="300" t="s">
        <v>236</v>
      </c>
      <c r="G7" s="300" t="s">
        <v>237</v>
      </c>
      <c r="H7" s="300" t="s">
        <v>238</v>
      </c>
      <c r="I7" s="300" t="s">
        <v>239</v>
      </c>
      <c r="J7" s="300" t="s">
        <v>244</v>
      </c>
      <c r="K7" s="300" t="s">
        <v>245</v>
      </c>
      <c r="L7" s="300" t="s">
        <v>246</v>
      </c>
      <c r="M7" s="301" t="s">
        <v>361</v>
      </c>
      <c r="N7" s="300" t="s">
        <v>697</v>
      </c>
      <c r="O7" s="300" t="s">
        <v>698</v>
      </c>
      <c r="P7" s="300" t="s">
        <v>699</v>
      </c>
      <c r="Q7" s="301" t="s">
        <v>700</v>
      </c>
      <c r="R7" s="300" t="s">
        <v>6</v>
      </c>
      <c r="S7" s="300" t="s">
        <v>248</v>
      </c>
      <c r="T7" s="300" t="s">
        <v>249</v>
      </c>
      <c r="U7" s="300" t="s">
        <v>250</v>
      </c>
      <c r="V7" s="300" t="s">
        <v>251</v>
      </c>
      <c r="W7" s="300" t="s">
        <v>252</v>
      </c>
      <c r="X7" s="300" t="s">
        <v>253</v>
      </c>
      <c r="Y7" s="300" t="s">
        <v>254</v>
      </c>
      <c r="Z7" s="301" t="s">
        <v>255</v>
      </c>
      <c r="AA7" s="300" t="s">
        <v>256</v>
      </c>
      <c r="AB7" s="300" t="s">
        <v>257</v>
      </c>
    </row>
    <row r="8" ht="21.75" customHeight="1" s="5" customFormat="1">
      <c r="A8" s="302" t="s">
        <v>258</v>
      </c>
      <c r="B8" s="303" t="s">
        <v>259</v>
      </c>
      <c r="C8" s="304" t="s">
        <v>1297</v>
      </c>
      <c r="D8" s="5"/>
      <c r="E8" s="304" t="s">
        <v>192</v>
      </c>
      <c r="F8" s="305" t="s">
        <v>192</v>
      </c>
      <c r="G8" s="305" t="s">
        <v>1245</v>
      </c>
      <c r="H8" s="305" t="s">
        <v>1298</v>
      </c>
      <c r="I8" s="305" t="s">
        <v>265</v>
      </c>
      <c r="J8" s="305" t="s">
        <v>1251</v>
      </c>
      <c r="K8" s="305" t="s">
        <v>1252</v>
      </c>
      <c r="L8" s="305" t="s">
        <v>1144</v>
      </c>
      <c r="M8" s="306">
        <f>'Current Rents'!F28</f>
        <v>1223</v>
      </c>
      <c r="N8" s="305" t="s">
        <v>1299</v>
      </c>
      <c r="O8" s="305" t="s">
        <v>1300</v>
      </c>
      <c r="P8" s="305" t="s">
        <v>550</v>
      </c>
      <c r="Q8" s="306">
        <f>'Current Rents'!G28</f>
        <v>870</v>
      </c>
      <c r="R8" s="305" t="s">
        <v>1301</v>
      </c>
      <c r="S8" s="305" t="s">
        <v>636</v>
      </c>
      <c r="T8" s="305">
        <v>0</v>
      </c>
      <c r="U8" s="305" t="s">
        <v>273</v>
      </c>
      <c r="V8" s="305" t="s">
        <v>273</v>
      </c>
      <c r="W8" s="305" t="s">
        <v>273</v>
      </c>
      <c r="X8" s="305" t="s">
        <v>273</v>
      </c>
      <c r="Y8" s="305" t="s">
        <v>273</v>
      </c>
      <c r="Z8" s="303" t="s">
        <v>259</v>
      </c>
      <c r="AA8" s="307" t="s">
        <v>1302</v>
      </c>
      <c r="AB8" s="304" t="s">
        <v>275</v>
      </c>
    </row>
    <row r="9" ht="21.75" customHeight="1" s="5" customFormat="1">
      <c r="A9" s="308" t="s">
        <v>276</v>
      </c>
      <c r="B9" s="309" t="s">
        <v>277</v>
      </c>
      <c r="C9" s="310" t="s">
        <v>1303</v>
      </c>
      <c r="D9" s="5"/>
      <c r="E9" s="311" t="s">
        <v>1304</v>
      </c>
      <c r="F9" s="308" t="s">
        <v>1305</v>
      </c>
      <c r="G9" s="308" t="s">
        <v>1245</v>
      </c>
      <c r="H9" s="308" t="s">
        <v>1306</v>
      </c>
      <c r="I9" s="308" t="s">
        <v>1307</v>
      </c>
      <c r="J9" s="308" t="s">
        <v>1251</v>
      </c>
      <c r="K9" s="308" t="s">
        <v>1252</v>
      </c>
      <c r="L9" s="308" t="s">
        <v>1144</v>
      </c>
      <c r="M9" s="308" t="s">
        <v>283</v>
      </c>
      <c r="N9" s="308" t="s">
        <v>1299</v>
      </c>
      <c r="O9" s="308" t="s">
        <v>1300</v>
      </c>
      <c r="P9" s="308" t="s">
        <v>550</v>
      </c>
      <c r="Q9" s="308" t="s">
        <v>283</v>
      </c>
      <c r="R9" s="308" t="s">
        <v>1308</v>
      </c>
      <c r="S9" s="308" t="s">
        <v>629</v>
      </c>
      <c r="T9" s="308" t="s">
        <v>276</v>
      </c>
      <c r="U9" s="308" t="s">
        <v>272</v>
      </c>
      <c r="V9" s="308" t="s">
        <v>273</v>
      </c>
      <c r="W9" s="308" t="s">
        <v>273</v>
      </c>
      <c r="X9" s="308" t="s">
        <v>273</v>
      </c>
      <c r="Y9" s="308" t="s">
        <v>273</v>
      </c>
      <c r="Z9" s="312" t="s">
        <v>284</v>
      </c>
      <c r="AA9" s="313" t="s">
        <v>1309</v>
      </c>
      <c r="AB9" s="311" t="s">
        <v>967</v>
      </c>
    </row>
    <row r="10" ht="21.75" customHeight="1" s="5" customFormat="1">
      <c r="A10" s="308" t="s">
        <v>210</v>
      </c>
      <c r="B10" s="309" t="s">
        <v>277</v>
      </c>
      <c r="C10" s="310" t="s">
        <v>1310</v>
      </c>
      <c r="D10" s="5"/>
      <c r="E10" s="311" t="s">
        <v>1311</v>
      </c>
      <c r="F10" s="308" t="s">
        <v>1305</v>
      </c>
      <c r="G10" s="308" t="s">
        <v>1245</v>
      </c>
      <c r="H10" s="308" t="s">
        <v>1312</v>
      </c>
      <c r="I10" s="308" t="s">
        <v>1313</v>
      </c>
      <c r="J10" s="308" t="s">
        <v>1251</v>
      </c>
      <c r="K10" s="308" t="s">
        <v>1252</v>
      </c>
      <c r="L10" s="308" t="s">
        <v>1144</v>
      </c>
      <c r="M10" s="308" t="s">
        <v>283</v>
      </c>
      <c r="N10" s="308" t="s">
        <v>1299</v>
      </c>
      <c r="O10" s="308" t="s">
        <v>1300</v>
      </c>
      <c r="P10" s="308" t="s">
        <v>550</v>
      </c>
      <c r="Q10" s="308" t="s">
        <v>283</v>
      </c>
      <c r="R10" s="308" t="s">
        <v>1124</v>
      </c>
      <c r="S10" s="308" t="s">
        <v>1091</v>
      </c>
      <c r="T10" s="308" t="s">
        <v>210</v>
      </c>
      <c r="U10" s="308" t="s">
        <v>272</v>
      </c>
      <c r="V10" s="308" t="s">
        <v>273</v>
      </c>
      <c r="W10" s="308" t="s">
        <v>273</v>
      </c>
      <c r="X10" s="308" t="s">
        <v>273</v>
      </c>
      <c r="Y10" s="308" t="s">
        <v>273</v>
      </c>
      <c r="Z10" s="312" t="s">
        <v>284</v>
      </c>
      <c r="AA10" s="313" t="s">
        <v>1314</v>
      </c>
      <c r="AB10" s="311" t="s">
        <v>967</v>
      </c>
    </row>
    <row r="11" ht="21.75" customHeight="1" s="5" customFormat="1">
      <c r="A11" s="308" t="s">
        <v>181</v>
      </c>
      <c r="B11" s="309" t="s">
        <v>277</v>
      </c>
      <c r="C11" s="310" t="s">
        <v>1315</v>
      </c>
      <c r="D11" s="5"/>
      <c r="E11" s="311" t="s">
        <v>1316</v>
      </c>
      <c r="F11" s="308" t="s">
        <v>1317</v>
      </c>
      <c r="G11" s="308" t="s">
        <v>1245</v>
      </c>
      <c r="H11" s="308" t="s">
        <v>1318</v>
      </c>
      <c r="I11" s="308" t="s">
        <v>64</v>
      </c>
      <c r="J11" s="308" t="s">
        <v>1251</v>
      </c>
      <c r="K11" s="308" t="s">
        <v>1252</v>
      </c>
      <c r="L11" s="308" t="s">
        <v>1144</v>
      </c>
      <c r="M11" s="308" t="s">
        <v>1319</v>
      </c>
      <c r="N11" s="308" t="s">
        <v>1299</v>
      </c>
      <c r="O11" s="308" t="s">
        <v>1300</v>
      </c>
      <c r="P11" s="308" t="s">
        <v>550</v>
      </c>
      <c r="Q11" s="308" t="s">
        <v>1320</v>
      </c>
      <c r="R11" s="308" t="s">
        <v>1301</v>
      </c>
      <c r="S11" s="308" t="s">
        <v>636</v>
      </c>
      <c r="T11" s="308" t="s">
        <v>462</v>
      </c>
      <c r="U11" s="308" t="s">
        <v>272</v>
      </c>
      <c r="V11" s="308" t="s">
        <v>273</v>
      </c>
      <c r="W11" s="308" t="s">
        <v>273</v>
      </c>
      <c r="X11" s="308" t="s">
        <v>273</v>
      </c>
      <c r="Y11" s="308" t="s">
        <v>273</v>
      </c>
      <c r="Z11" s="341" t="s">
        <v>982</v>
      </c>
      <c r="AA11" s="313" t="s">
        <v>1321</v>
      </c>
      <c r="AB11" s="311" t="s">
        <v>967</v>
      </c>
    </row>
    <row r="12" ht="21.75" customHeight="1" s="5" customFormat="1">
      <c r="A12" s="308" t="s">
        <v>320</v>
      </c>
      <c r="B12" s="309" t="s">
        <v>277</v>
      </c>
      <c r="C12" s="310" t="s">
        <v>1322</v>
      </c>
      <c r="D12" s="5"/>
      <c r="E12" s="311" t="s">
        <v>1323</v>
      </c>
      <c r="F12" s="308" t="s">
        <v>1305</v>
      </c>
      <c r="G12" s="308" t="s">
        <v>1245</v>
      </c>
      <c r="H12" s="308" t="s">
        <v>1324</v>
      </c>
      <c r="I12" s="308" t="s">
        <v>1325</v>
      </c>
      <c r="J12" s="308" t="s">
        <v>1251</v>
      </c>
      <c r="K12" s="308" t="s">
        <v>1252</v>
      </c>
      <c r="L12" s="308" t="s">
        <v>1144</v>
      </c>
      <c r="M12" s="308" t="s">
        <v>283</v>
      </c>
      <c r="N12" s="308" t="s">
        <v>1299</v>
      </c>
      <c r="O12" s="308" t="s">
        <v>1300</v>
      </c>
      <c r="P12" s="308" t="s">
        <v>550</v>
      </c>
      <c r="Q12" s="308" t="s">
        <v>283</v>
      </c>
      <c r="R12" s="308" t="s">
        <v>175</v>
      </c>
      <c r="S12" s="308" t="s">
        <v>629</v>
      </c>
      <c r="T12" s="308" t="s">
        <v>276</v>
      </c>
      <c r="U12" s="308" t="s">
        <v>272</v>
      </c>
      <c r="V12" s="308" t="s">
        <v>273</v>
      </c>
      <c r="W12" s="308" t="s">
        <v>273</v>
      </c>
      <c r="X12" s="308" t="s">
        <v>273</v>
      </c>
      <c r="Y12" s="308" t="s">
        <v>273</v>
      </c>
      <c r="Z12" s="312" t="s">
        <v>284</v>
      </c>
      <c r="AA12" s="313" t="s">
        <v>1326</v>
      </c>
      <c r="AB12" s="311" t="s">
        <v>967</v>
      </c>
    </row>
    <row r="13" ht="24.75" customHeight="1" s="5" customFormat="1">
      <c r="A13" s="315" t="s">
        <v>276</v>
      </c>
      <c r="B13" s="316" t="s">
        <v>300</v>
      </c>
      <c r="C13" s="317" t="s">
        <v>1327</v>
      </c>
      <c r="D13" s="318" t="s">
        <v>302</v>
      </c>
      <c r="E13" s="319" t="s">
        <v>1328</v>
      </c>
      <c r="F13" s="320" t="s">
        <v>192</v>
      </c>
      <c r="G13" s="320" t="s">
        <v>1245</v>
      </c>
      <c r="H13" s="320" t="s">
        <v>1298</v>
      </c>
      <c r="I13" s="320" t="s">
        <v>598</v>
      </c>
      <c r="J13" s="320" t="s">
        <v>1038</v>
      </c>
      <c r="K13" s="320" t="s">
        <v>1038</v>
      </c>
      <c r="L13" s="320" t="s">
        <v>1038</v>
      </c>
      <c r="M13" s="321">
        <v>1995</v>
      </c>
      <c r="N13" s="320" t="s">
        <v>1038</v>
      </c>
      <c r="O13" s="320" t="s">
        <v>1038</v>
      </c>
      <c r="P13" s="320" t="s">
        <v>550</v>
      </c>
      <c r="Q13" s="322" t="s">
        <v>283</v>
      </c>
      <c r="R13" s="320" t="s">
        <v>748</v>
      </c>
      <c r="S13" s="320" t="s">
        <v>1076</v>
      </c>
      <c r="T13" s="320" t="s">
        <v>276</v>
      </c>
      <c r="U13" s="320" t="s">
        <v>507</v>
      </c>
      <c r="V13" s="320" t="s">
        <v>507</v>
      </c>
      <c r="W13" s="320" t="s">
        <v>507</v>
      </c>
      <c r="X13" s="320" t="s">
        <v>507</v>
      </c>
      <c r="Y13" s="320" t="s">
        <v>507</v>
      </c>
      <c r="Z13" s="323" t="s">
        <v>284</v>
      </c>
      <c r="AA13" s="324" t="s">
        <v>1329</v>
      </c>
      <c r="AB13" s="319" t="s">
        <v>1330</v>
      </c>
    </row>
    <row r="14" ht="24.75" customHeight="1" s="5" customFormat="1">
      <c r="A14" s="315" t="s">
        <v>210</v>
      </c>
      <c r="B14" s="316" t="s">
        <v>300</v>
      </c>
      <c r="C14" s="317" t="s">
        <v>1331</v>
      </c>
      <c r="D14" s="5"/>
      <c r="E14" s="319" t="s">
        <v>1331</v>
      </c>
      <c r="F14" s="320" t="s">
        <v>192</v>
      </c>
      <c r="G14" s="320" t="s">
        <v>1245</v>
      </c>
      <c r="H14" s="320" t="s">
        <v>1298</v>
      </c>
      <c r="I14" s="320" t="s">
        <v>305</v>
      </c>
      <c r="J14" s="320" t="s">
        <v>1038</v>
      </c>
      <c r="K14" s="320" t="s">
        <v>1038</v>
      </c>
      <c r="L14" s="320" t="s">
        <v>1038</v>
      </c>
      <c r="M14" s="321">
        <v>2150</v>
      </c>
      <c r="N14" s="320" t="s">
        <v>1038</v>
      </c>
      <c r="O14" s="320" t="s">
        <v>1038</v>
      </c>
      <c r="P14" s="320" t="s">
        <v>550</v>
      </c>
      <c r="Q14" s="322" t="s">
        <v>283</v>
      </c>
      <c r="R14" s="320" t="s">
        <v>563</v>
      </c>
      <c r="S14" s="320" t="s">
        <v>629</v>
      </c>
      <c r="T14" s="320" t="s">
        <v>276</v>
      </c>
      <c r="U14" s="320" t="s">
        <v>507</v>
      </c>
      <c r="V14" s="320" t="s">
        <v>507</v>
      </c>
      <c r="W14" s="320" t="s">
        <v>507</v>
      </c>
      <c r="X14" s="320" t="s">
        <v>507</v>
      </c>
      <c r="Y14" s="320" t="s">
        <v>507</v>
      </c>
      <c r="Z14" s="323" t="s">
        <v>284</v>
      </c>
      <c r="AA14" s="324" t="s">
        <v>1332</v>
      </c>
      <c r="AB14" s="319" t="s">
        <v>1333</v>
      </c>
    </row>
    <row r="15" ht="24.75" customHeight="1" s="5" customFormat="1">
      <c r="A15" s="315" t="s">
        <v>181</v>
      </c>
      <c r="B15" s="316" t="s">
        <v>300</v>
      </c>
      <c r="C15" s="317" t="s">
        <v>1334</v>
      </c>
      <c r="D15" s="5"/>
      <c r="E15" s="319" t="s">
        <v>1334</v>
      </c>
      <c r="F15" s="320" t="s">
        <v>192</v>
      </c>
      <c r="G15" s="320" t="s">
        <v>1245</v>
      </c>
      <c r="H15" s="320" t="s">
        <v>1298</v>
      </c>
      <c r="I15" s="320" t="s">
        <v>323</v>
      </c>
      <c r="J15" s="320" t="s">
        <v>1038</v>
      </c>
      <c r="K15" s="320" t="s">
        <v>1038</v>
      </c>
      <c r="L15" s="320" t="s">
        <v>1038</v>
      </c>
      <c r="M15" s="321">
        <v>1700</v>
      </c>
      <c r="N15" s="320" t="s">
        <v>1038</v>
      </c>
      <c r="O15" s="320" t="s">
        <v>1038</v>
      </c>
      <c r="P15" s="320" t="s">
        <v>550</v>
      </c>
      <c r="Q15" s="322" t="s">
        <v>283</v>
      </c>
      <c r="R15" s="320" t="s">
        <v>1026</v>
      </c>
      <c r="S15" s="320" t="s">
        <v>1091</v>
      </c>
      <c r="T15" s="320" t="s">
        <v>210</v>
      </c>
      <c r="U15" s="320" t="s">
        <v>507</v>
      </c>
      <c r="V15" s="320" t="s">
        <v>507</v>
      </c>
      <c r="W15" s="320" t="s">
        <v>507</v>
      </c>
      <c r="X15" s="320" t="s">
        <v>507</v>
      </c>
      <c r="Y15" s="320" t="s">
        <v>507</v>
      </c>
      <c r="Z15" s="323" t="s">
        <v>284</v>
      </c>
      <c r="AA15" s="324" t="s">
        <v>1335</v>
      </c>
      <c r="AB15" s="319" t="s">
        <v>1336</v>
      </c>
    </row>
    <row r="16" ht="24.75" customHeight="1" s="5" customFormat="1">
      <c r="A16" s="315" t="s">
        <v>320</v>
      </c>
      <c r="B16" s="316" t="s">
        <v>300</v>
      </c>
      <c r="C16" s="317" t="s">
        <v>1337</v>
      </c>
      <c r="D16" s="5"/>
      <c r="E16" s="319" t="s">
        <v>1337</v>
      </c>
      <c r="F16" s="320" t="s">
        <v>192</v>
      </c>
      <c r="G16" s="320" t="s">
        <v>1245</v>
      </c>
      <c r="H16" s="320" t="s">
        <v>1298</v>
      </c>
      <c r="I16" s="320" t="s">
        <v>767</v>
      </c>
      <c r="J16" s="320" t="s">
        <v>1038</v>
      </c>
      <c r="K16" s="320" t="s">
        <v>1038</v>
      </c>
      <c r="L16" s="320" t="s">
        <v>1038</v>
      </c>
      <c r="M16" s="321">
        <v>1850</v>
      </c>
      <c r="N16" s="320" t="s">
        <v>1038</v>
      </c>
      <c r="O16" s="320" t="s">
        <v>1038</v>
      </c>
      <c r="P16" s="320" t="s">
        <v>550</v>
      </c>
      <c r="Q16" s="322" t="s">
        <v>283</v>
      </c>
      <c r="R16" s="320" t="s">
        <v>469</v>
      </c>
      <c r="S16" s="320" t="s">
        <v>636</v>
      </c>
      <c r="T16" s="320" t="s">
        <v>462</v>
      </c>
      <c r="U16" s="320" t="s">
        <v>507</v>
      </c>
      <c r="V16" s="320" t="s">
        <v>507</v>
      </c>
      <c r="W16" s="320" t="s">
        <v>507</v>
      </c>
      <c r="X16" s="320" t="s">
        <v>507</v>
      </c>
      <c r="Y16" s="320" t="s">
        <v>507</v>
      </c>
      <c r="Z16" s="323" t="s">
        <v>284</v>
      </c>
      <c r="AA16" s="324" t="s">
        <v>1338</v>
      </c>
      <c r="AB16" s="319" t="s">
        <v>1336</v>
      </c>
    </row>
    <row r="17" ht="28.5" customHeight="1" s="5" customFormat="1">
      <c r="A17" s="325" t="s">
        <v>154</v>
      </c>
      <c r="B17" s="326" t="s">
        <v>339</v>
      </c>
      <c r="C17" s="327" t="s">
        <v>1339</v>
      </c>
      <c r="D17" s="5"/>
      <c r="E17" s="325" t="s">
        <v>64</v>
      </c>
      <c r="F17" s="325" t="s">
        <v>192</v>
      </c>
      <c r="G17" s="325" t="s">
        <v>1245</v>
      </c>
      <c r="H17" s="325"/>
      <c r="I17" s="325"/>
      <c r="J17" s="325" t="s">
        <v>64</v>
      </c>
      <c r="K17" s="325" t="s">
        <v>64</v>
      </c>
      <c r="L17" s="325" t="s">
        <v>1144</v>
      </c>
      <c r="M17" s="325" t="s">
        <v>1144</v>
      </c>
      <c r="N17" s="325" t="s">
        <v>64</v>
      </c>
      <c r="O17" s="325" t="s">
        <v>64</v>
      </c>
      <c r="P17" s="325" t="s">
        <v>550</v>
      </c>
      <c r="Q17" s="325" t="s">
        <v>550</v>
      </c>
      <c r="R17" s="325"/>
      <c r="S17" s="325"/>
      <c r="T17" s="325"/>
      <c r="U17" s="325"/>
      <c r="V17" s="325"/>
      <c r="W17" s="325"/>
      <c r="X17" s="325"/>
      <c r="Y17" s="325"/>
      <c r="Z17" s="316" t="s">
        <v>339</v>
      </c>
      <c r="AA17" s="328" t="s">
        <v>1340</v>
      </c>
      <c r="AB17" s="328" t="s">
        <v>342</v>
      </c>
    </row>
    <row r="18" ht="34.5" customHeight="1" s="5" customFormat="1">
      <c r="A18" s="329" t="s">
        <v>154</v>
      </c>
      <c r="B18" s="326" t="s">
        <v>339</v>
      </c>
      <c r="C18" s="330" t="s">
        <v>1341</v>
      </c>
      <c r="D18" s="5"/>
      <c r="E18" s="329" t="s">
        <v>64</v>
      </c>
      <c r="F18" s="329" t="s">
        <v>192</v>
      </c>
      <c r="G18" s="329" t="s">
        <v>1245</v>
      </c>
      <c r="H18" s="329"/>
      <c r="I18" s="329"/>
      <c r="J18" s="329"/>
      <c r="K18" s="329"/>
      <c r="L18" s="329"/>
      <c r="M18" s="331">
        <v>1924</v>
      </c>
      <c r="N18" s="329"/>
      <c r="O18" s="329"/>
      <c r="P18" s="329"/>
      <c r="Q18" s="331"/>
      <c r="R18" s="329"/>
      <c r="S18" s="329"/>
      <c r="T18" s="329"/>
      <c r="U18" s="329"/>
      <c r="V18" s="329"/>
      <c r="W18" s="329"/>
      <c r="X18" s="329"/>
      <c r="Y18" s="329"/>
      <c r="Z18" s="316" t="s">
        <v>339</v>
      </c>
      <c r="AA18" s="332" t="s">
        <v>1061</v>
      </c>
      <c r="AB18" s="332" t="s">
        <v>1062</v>
      </c>
    </row>
    <row r="20" ht="14.25" customHeight="1" s="5" customFormat="1">
      <c r="A20" s="333" t="s">
        <v>1063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2" ht="18" customHeight="1" s="5" customFormat="1">
      <c r="A22" s="334" t="s">
        <v>349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ht="15.75" customHeight="1" s="5" customFormat="1">
      <c r="A23" s="335" t="s">
        <v>1064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ht="15.75" customHeight="1" s="5" customFormat="1">
      <c r="A24" s="5"/>
      <c r="B24" s="336" t="s">
        <v>351</v>
      </c>
      <c r="C24" s="336" t="s">
        <v>352</v>
      </c>
      <c r="D24" s="5"/>
      <c r="E24" s="336" t="s">
        <v>353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ht="20.25" customHeight="1" s="5" customFormat="1">
      <c r="A25" s="337" t="s">
        <v>152</v>
      </c>
      <c r="B25" s="338">
        <f>'Current Rents'!F28</f>
        <v>1223</v>
      </c>
      <c r="C25" s="339">
        <v>1924</v>
      </c>
      <c r="D25" s="5"/>
      <c r="E25" s="340">
        <f t="shared" si="0" ref="E25:E26">B25-C25</f>
        <v>-701</v>
      </c>
      <c r="F25" s="161" t="str">
        <f>IF(E25&lt;-75,"LOOK INTO INCREASING THE RENT!","")</f>
        <v>LOOK INTO INCREASING THE RENT!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ht="20.25" customHeight="1" s="5" customFormat="1">
      <c r="A26" s="337" t="s">
        <v>155</v>
      </c>
      <c r="B26" s="338">
        <f>'Current Rents'!G28</f>
        <v>870</v>
      </c>
      <c r="C26" s="339">
        <v>0</v>
      </c>
      <c r="D26" s="5"/>
      <c r="E26" s="340">
        <f t="shared" si="0"/>
        <v>870</v>
      </c>
      <c r="F26" s="161" t="str">
        <f>IF(E26&lt;-75,"LOOK INTO INCREASING THE RENT!","")</f>
        <v/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</sheetData>
  <mergeCells>
    <mergeCell ref="Z3:AB3"/>
    <mergeCell ref="A4:AB4"/>
    <mergeCell ref="A23:H23"/>
    <mergeCell ref="C8:D8"/>
    <mergeCell ref="C9:D9"/>
    <mergeCell ref="C12:D12"/>
    <mergeCell ref="C18:D18"/>
    <mergeCell ref="C17:D17"/>
    <mergeCell ref="A22:H22"/>
    <mergeCell ref="C10:D10"/>
    <mergeCell ref="C7:D7"/>
    <mergeCell ref="A3:Y3"/>
    <mergeCell ref="A20:AB20"/>
    <mergeCell ref="C24:D24"/>
    <mergeCell ref="C11:D11"/>
    <mergeCell ref="A5:AB5"/>
    <mergeCell ref="D13:D16"/>
    <mergeCell ref="A6:AB6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E1F2A0D-3A53-2468-A988-6C1B898B3B98}" mc:Ignorable="x14ac xr xr2 xr3"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style="5" width="9.00390625" customWidth="1"/>
    <col min="2" max="2" style="5" width="18.57421875" customWidth="1"/>
    <col min="3" max="3" style="5" width="42.00390625" customWidth="1"/>
    <col min="4" max="4" style="5" width="4.7109375" customWidth="1"/>
    <col min="5" max="5" style="5" width="31.00390625" customWidth="1"/>
    <col min="6" max="6" style="5" width="14.28125" customWidth="1"/>
    <col min="7" max="7" style="5" width="9.28125" customWidth="1"/>
    <col min="8" max="9" style="5" width="13.00390625" customWidth="1"/>
    <col min="10" max="10" style="5" width="7.00390625" hidden="1" customWidth="1"/>
    <col min="11" max="11" style="5" width="13.00390625" customWidth="1"/>
    <col min="12" max="12" style="5" width="5.28125" hidden="1" customWidth="1"/>
    <col min="13" max="13" style="5" width="16.7109375" customWidth="1"/>
    <col min="14" max="14" style="5" width="7.00390625" hidden="1" customWidth="1"/>
    <col min="15" max="15" style="5" width="13.00390625" customWidth="1"/>
    <col min="16" max="16" style="5" width="5.28125" hidden="1" customWidth="1"/>
    <col min="17" max="17" style="5" width="16.7109375" customWidth="1"/>
    <col min="18" max="18" style="5" width="7.00390625" hidden="1" customWidth="1"/>
    <col min="19" max="19" style="5" width="13.00390625" customWidth="1"/>
    <col min="20" max="20" style="5" width="5.28125" hidden="1" customWidth="1"/>
    <col min="21" max="21" style="5" width="16.7109375" customWidth="1"/>
    <col min="22" max="22" style="5" width="9.421875" customWidth="1"/>
    <col min="23" max="29" style="5" width="13.00390625" customWidth="1"/>
    <col min="30" max="30" style="5" width="24.57421875" customWidth="1"/>
    <col min="31" max="31" style="5" width="55.7109375" customWidth="1"/>
    <col min="32" max="32" style="5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36" customHeight="1" s="5" customFormat="1">
      <c r="A3" s="295" t="s">
        <v>1342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296" t="s">
        <v>1343</v>
      </c>
      <c r="AE3" s="5"/>
      <c r="AF3" s="5"/>
    </row>
    <row r="4" ht="18" customHeight="1" s="5" customFormat="1">
      <c r="A4" s="297" t="s">
        <v>1344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14.25" customHeight="1" s="5" customFormat="1">
      <c r="A5" s="298" t="s">
        <v>1012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25.5" customHeight="1" s="5" customFormat="1">
      <c r="A6" s="299" t="s">
        <v>1013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25.5" customHeight="1" s="5" customFormat="1">
      <c r="A7" s="300" t="s">
        <v>233</v>
      </c>
      <c r="B7" s="300" t="s">
        <v>234</v>
      </c>
      <c r="C7" s="300" t="s">
        <v>3</v>
      </c>
      <c r="D7" s="5"/>
      <c r="E7" s="300" t="s">
        <v>235</v>
      </c>
      <c r="F7" s="300" t="s">
        <v>236</v>
      </c>
      <c r="G7" s="300" t="s">
        <v>237</v>
      </c>
      <c r="H7" s="300" t="s">
        <v>238</v>
      </c>
      <c r="I7" s="300" t="s">
        <v>239</v>
      </c>
      <c r="J7" s="300" t="s">
        <v>240</v>
      </c>
      <c r="K7" s="300" t="s">
        <v>241</v>
      </c>
      <c r="L7" s="300" t="s">
        <v>242</v>
      </c>
      <c r="M7" s="301" t="s">
        <v>360</v>
      </c>
      <c r="N7" s="300" t="s">
        <v>244</v>
      </c>
      <c r="O7" s="300" t="s">
        <v>245</v>
      </c>
      <c r="P7" s="300" t="s">
        <v>246</v>
      </c>
      <c r="Q7" s="301" t="s">
        <v>361</v>
      </c>
      <c r="R7" s="300" t="s">
        <v>697</v>
      </c>
      <c r="S7" s="300" t="s">
        <v>698</v>
      </c>
      <c r="T7" s="300" t="s">
        <v>699</v>
      </c>
      <c r="U7" s="301" t="s">
        <v>700</v>
      </c>
      <c r="V7" s="300" t="s">
        <v>6</v>
      </c>
      <c r="W7" s="300" t="s">
        <v>248</v>
      </c>
      <c r="X7" s="300" t="s">
        <v>249</v>
      </c>
      <c r="Y7" s="300" t="s">
        <v>250</v>
      </c>
      <c r="Z7" s="300" t="s">
        <v>251</v>
      </c>
      <c r="AA7" s="300" t="s">
        <v>252</v>
      </c>
      <c r="AB7" s="300" t="s">
        <v>253</v>
      </c>
      <c r="AC7" s="300" t="s">
        <v>254</v>
      </c>
      <c r="AD7" s="301" t="s">
        <v>255</v>
      </c>
      <c r="AE7" s="300" t="s">
        <v>256</v>
      </c>
      <c r="AF7" s="300" t="s">
        <v>257</v>
      </c>
    </row>
    <row r="8" ht="21.75" customHeight="1" s="5" customFormat="1">
      <c r="A8" s="302" t="s">
        <v>258</v>
      </c>
      <c r="B8" s="303" t="s">
        <v>259</v>
      </c>
      <c r="C8" s="304" t="s">
        <v>1345</v>
      </c>
      <c r="D8" s="5"/>
      <c r="E8" s="304" t="s">
        <v>1346</v>
      </c>
      <c r="F8" s="305" t="s">
        <v>192</v>
      </c>
      <c r="G8" s="305" t="s">
        <v>1245</v>
      </c>
      <c r="H8" s="305" t="s">
        <v>1298</v>
      </c>
      <c r="I8" s="305" t="s">
        <v>265</v>
      </c>
      <c r="J8" s="305" t="s">
        <v>1248</v>
      </c>
      <c r="K8" s="305" t="s">
        <v>1250</v>
      </c>
      <c r="L8" s="305" t="s">
        <v>1143</v>
      </c>
      <c r="M8" s="306">
        <f>'Current Rents'!E29</f>
        <v>894</v>
      </c>
      <c r="N8" s="305" t="s">
        <v>1251</v>
      </c>
      <c r="O8" s="305" t="s">
        <v>1252</v>
      </c>
      <c r="P8" s="305" t="s">
        <v>1144</v>
      </c>
      <c r="Q8" s="306">
        <f>'Current Rents'!F29</f>
        <v>982</v>
      </c>
      <c r="R8" s="305" t="s">
        <v>1299</v>
      </c>
      <c r="S8" s="305" t="s">
        <v>1300</v>
      </c>
      <c r="T8" s="305" t="s">
        <v>550</v>
      </c>
      <c r="U8" s="306">
        <f>'Current Rents'!G29</f>
        <v>1045</v>
      </c>
      <c r="V8" s="305" t="s">
        <v>164</v>
      </c>
      <c r="W8" s="305" t="s">
        <v>636</v>
      </c>
      <c r="X8" s="305">
        <v>0</v>
      </c>
      <c r="Y8" s="305" t="s">
        <v>273</v>
      </c>
      <c r="Z8" s="305" t="s">
        <v>273</v>
      </c>
      <c r="AA8" s="305" t="s">
        <v>273</v>
      </c>
      <c r="AB8" s="305" t="s">
        <v>273</v>
      </c>
      <c r="AC8" s="305" t="s">
        <v>273</v>
      </c>
      <c r="AD8" s="303" t="s">
        <v>259</v>
      </c>
      <c r="AE8" s="307" t="s">
        <v>1347</v>
      </c>
      <c r="AF8" s="304" t="s">
        <v>275</v>
      </c>
    </row>
    <row r="9" ht="21.75" customHeight="1" s="5" customFormat="1">
      <c r="A9" s="308" t="s">
        <v>276</v>
      </c>
      <c r="B9" s="309" t="s">
        <v>277</v>
      </c>
      <c r="C9" s="310" t="s">
        <v>1348</v>
      </c>
      <c r="D9" s="5"/>
      <c r="E9" s="311" t="s">
        <v>1349</v>
      </c>
      <c r="F9" s="308" t="s">
        <v>192</v>
      </c>
      <c r="G9" s="308" t="s">
        <v>1245</v>
      </c>
      <c r="H9" s="308" t="s">
        <v>1298</v>
      </c>
      <c r="I9" s="308" t="s">
        <v>1054</v>
      </c>
      <c r="J9" s="308" t="s">
        <v>1248</v>
      </c>
      <c r="K9" s="308" t="s">
        <v>1250</v>
      </c>
      <c r="L9" s="308" t="s">
        <v>1143</v>
      </c>
      <c r="M9" s="308" t="s">
        <v>283</v>
      </c>
      <c r="N9" s="308" t="s">
        <v>1251</v>
      </c>
      <c r="O9" s="308" t="s">
        <v>1252</v>
      </c>
      <c r="P9" s="308" t="s">
        <v>1144</v>
      </c>
      <c r="Q9" s="308" t="s">
        <v>283</v>
      </c>
      <c r="R9" s="308" t="s">
        <v>1299</v>
      </c>
      <c r="S9" s="308" t="s">
        <v>1300</v>
      </c>
      <c r="T9" s="308" t="s">
        <v>550</v>
      </c>
      <c r="U9" s="308" t="s">
        <v>283</v>
      </c>
      <c r="V9" s="308" t="s">
        <v>164</v>
      </c>
      <c r="W9" s="308" t="s">
        <v>1027</v>
      </c>
      <c r="X9" s="308" t="s">
        <v>210</v>
      </c>
      <c r="Y9" s="308" t="s">
        <v>272</v>
      </c>
      <c r="Z9" s="308" t="s">
        <v>273</v>
      </c>
      <c r="AA9" s="308" t="s">
        <v>273</v>
      </c>
      <c r="AB9" s="308" t="s">
        <v>273</v>
      </c>
      <c r="AC9" s="308" t="s">
        <v>273</v>
      </c>
      <c r="AD9" s="312" t="s">
        <v>284</v>
      </c>
      <c r="AE9" s="313" t="s">
        <v>1350</v>
      </c>
      <c r="AF9" s="311" t="s">
        <v>967</v>
      </c>
    </row>
    <row r="10" ht="21.75" customHeight="1" s="5" customFormat="1">
      <c r="A10" s="308" t="s">
        <v>210</v>
      </c>
      <c r="B10" s="309" t="s">
        <v>277</v>
      </c>
      <c r="C10" s="310" t="s">
        <v>73</v>
      </c>
      <c r="D10" s="5"/>
      <c r="E10" s="311" t="s">
        <v>1351</v>
      </c>
      <c r="F10" s="308" t="s">
        <v>192</v>
      </c>
      <c r="G10" s="308" t="s">
        <v>1245</v>
      </c>
      <c r="H10" s="308" t="s">
        <v>1352</v>
      </c>
      <c r="I10" s="308" t="s">
        <v>1054</v>
      </c>
      <c r="J10" s="308" t="s">
        <v>1248</v>
      </c>
      <c r="K10" s="308" t="s">
        <v>1250</v>
      </c>
      <c r="L10" s="308" t="s">
        <v>1143</v>
      </c>
      <c r="M10" s="308" t="s">
        <v>283</v>
      </c>
      <c r="N10" s="308" t="s">
        <v>1251</v>
      </c>
      <c r="O10" s="308" t="s">
        <v>1252</v>
      </c>
      <c r="P10" s="308" t="s">
        <v>1144</v>
      </c>
      <c r="Q10" s="308" t="s">
        <v>283</v>
      </c>
      <c r="R10" s="308" t="s">
        <v>1299</v>
      </c>
      <c r="S10" s="308" t="s">
        <v>1300</v>
      </c>
      <c r="T10" s="308" t="s">
        <v>550</v>
      </c>
      <c r="U10" s="308" t="s">
        <v>283</v>
      </c>
      <c r="V10" s="308" t="s">
        <v>164</v>
      </c>
      <c r="W10" s="308" t="s">
        <v>1027</v>
      </c>
      <c r="X10" s="308" t="s">
        <v>210</v>
      </c>
      <c r="Y10" s="308" t="s">
        <v>272</v>
      </c>
      <c r="Z10" s="308" t="s">
        <v>273</v>
      </c>
      <c r="AA10" s="308" t="s">
        <v>273</v>
      </c>
      <c r="AB10" s="308" t="s">
        <v>273</v>
      </c>
      <c r="AC10" s="308" t="s">
        <v>273</v>
      </c>
      <c r="AD10" s="312" t="s">
        <v>284</v>
      </c>
      <c r="AE10" s="313" t="s">
        <v>1353</v>
      </c>
      <c r="AF10" s="311" t="s">
        <v>967</v>
      </c>
    </row>
    <row r="11" ht="21.75" customHeight="1" s="5" customFormat="1">
      <c r="A11" s="308" t="s">
        <v>181</v>
      </c>
      <c r="B11" s="309" t="s">
        <v>277</v>
      </c>
      <c r="C11" s="310" t="s">
        <v>1354</v>
      </c>
      <c r="D11" s="5"/>
      <c r="E11" s="311" t="s">
        <v>1355</v>
      </c>
      <c r="F11" s="308" t="s">
        <v>192</v>
      </c>
      <c r="G11" s="308" t="s">
        <v>1245</v>
      </c>
      <c r="H11" s="308" t="s">
        <v>1352</v>
      </c>
      <c r="I11" s="308" t="s">
        <v>406</v>
      </c>
      <c r="J11" s="308" t="s">
        <v>1248</v>
      </c>
      <c r="K11" s="308" t="s">
        <v>1250</v>
      </c>
      <c r="L11" s="308" t="s">
        <v>1143</v>
      </c>
      <c r="M11" s="308" t="s">
        <v>283</v>
      </c>
      <c r="N11" s="308" t="s">
        <v>1251</v>
      </c>
      <c r="O11" s="308" t="s">
        <v>1252</v>
      </c>
      <c r="P11" s="308" t="s">
        <v>1144</v>
      </c>
      <c r="Q11" s="308" t="s">
        <v>283</v>
      </c>
      <c r="R11" s="308" t="s">
        <v>1299</v>
      </c>
      <c r="S11" s="308" t="s">
        <v>1300</v>
      </c>
      <c r="T11" s="308" t="s">
        <v>550</v>
      </c>
      <c r="U11" s="308" t="s">
        <v>283</v>
      </c>
      <c r="V11" s="308" t="s">
        <v>164</v>
      </c>
      <c r="W11" s="308" t="s">
        <v>1091</v>
      </c>
      <c r="X11" s="308" t="s">
        <v>210</v>
      </c>
      <c r="Y11" s="308" t="s">
        <v>272</v>
      </c>
      <c r="Z11" s="308" t="s">
        <v>273</v>
      </c>
      <c r="AA11" s="308" t="s">
        <v>273</v>
      </c>
      <c r="AB11" s="308" t="s">
        <v>273</v>
      </c>
      <c r="AC11" s="308" t="s">
        <v>273</v>
      </c>
      <c r="AD11" s="312" t="s">
        <v>284</v>
      </c>
      <c r="AE11" s="313" t="s">
        <v>1356</v>
      </c>
      <c r="AF11" s="311" t="s">
        <v>967</v>
      </c>
    </row>
    <row r="12" ht="21.75" customHeight="1" s="5" customFormat="1">
      <c r="A12" s="308" t="s">
        <v>320</v>
      </c>
      <c r="B12" s="309" t="s">
        <v>277</v>
      </c>
      <c r="C12" s="310" t="s">
        <v>1322</v>
      </c>
      <c r="D12" s="5"/>
      <c r="E12" s="311" t="s">
        <v>1323</v>
      </c>
      <c r="F12" s="308" t="s">
        <v>1305</v>
      </c>
      <c r="G12" s="308" t="s">
        <v>1245</v>
      </c>
      <c r="H12" s="308" t="s">
        <v>1324</v>
      </c>
      <c r="I12" s="308" t="s">
        <v>1325</v>
      </c>
      <c r="J12" s="308" t="s">
        <v>1248</v>
      </c>
      <c r="K12" s="308" t="s">
        <v>1250</v>
      </c>
      <c r="L12" s="308" t="s">
        <v>1143</v>
      </c>
      <c r="M12" s="308" t="s">
        <v>283</v>
      </c>
      <c r="N12" s="308" t="s">
        <v>1251</v>
      </c>
      <c r="O12" s="308" t="s">
        <v>1252</v>
      </c>
      <c r="P12" s="308" t="s">
        <v>1144</v>
      </c>
      <c r="Q12" s="308" t="s">
        <v>283</v>
      </c>
      <c r="R12" s="308" t="s">
        <v>1299</v>
      </c>
      <c r="S12" s="308" t="s">
        <v>1300</v>
      </c>
      <c r="T12" s="308" t="s">
        <v>550</v>
      </c>
      <c r="U12" s="308" t="s">
        <v>283</v>
      </c>
      <c r="V12" s="308" t="s">
        <v>175</v>
      </c>
      <c r="W12" s="308" t="s">
        <v>629</v>
      </c>
      <c r="X12" s="308" t="s">
        <v>276</v>
      </c>
      <c r="Y12" s="308" t="s">
        <v>272</v>
      </c>
      <c r="Z12" s="308" t="s">
        <v>273</v>
      </c>
      <c r="AA12" s="308" t="s">
        <v>273</v>
      </c>
      <c r="AB12" s="308" t="s">
        <v>273</v>
      </c>
      <c r="AC12" s="308" t="s">
        <v>273</v>
      </c>
      <c r="AD12" s="312" t="s">
        <v>284</v>
      </c>
      <c r="AE12" s="313" t="s">
        <v>1326</v>
      </c>
      <c r="AF12" s="311" t="s">
        <v>967</v>
      </c>
    </row>
    <row r="13" ht="24.75" customHeight="1" s="5" customFormat="1">
      <c r="A13" s="315" t="s">
        <v>276</v>
      </c>
      <c r="B13" s="316" t="s">
        <v>300</v>
      </c>
      <c r="C13" s="317" t="s">
        <v>1327</v>
      </c>
      <c r="D13" s="318" t="s">
        <v>302</v>
      </c>
      <c r="E13" s="319" t="s">
        <v>1328</v>
      </c>
      <c r="F13" s="320" t="s">
        <v>192</v>
      </c>
      <c r="G13" s="320" t="s">
        <v>1245</v>
      </c>
      <c r="H13" s="320" t="s">
        <v>1298</v>
      </c>
      <c r="I13" s="320" t="s">
        <v>598</v>
      </c>
      <c r="J13" s="320" t="s">
        <v>1038</v>
      </c>
      <c r="K13" s="320" t="s">
        <v>1038</v>
      </c>
      <c r="L13" s="320" t="s">
        <v>1038</v>
      </c>
      <c r="M13" s="321">
        <v>1673</v>
      </c>
      <c r="N13" s="320" t="s">
        <v>1038</v>
      </c>
      <c r="O13" s="320" t="s">
        <v>1038</v>
      </c>
      <c r="P13" s="320" t="s">
        <v>1038</v>
      </c>
      <c r="Q13" s="321">
        <v>1995</v>
      </c>
      <c r="R13" s="320" t="s">
        <v>1038</v>
      </c>
      <c r="S13" s="320" t="s">
        <v>1038</v>
      </c>
      <c r="T13" s="320" t="s">
        <v>550</v>
      </c>
      <c r="U13" s="322" t="s">
        <v>283</v>
      </c>
      <c r="V13" s="320" t="s">
        <v>748</v>
      </c>
      <c r="W13" s="320" t="s">
        <v>1076</v>
      </c>
      <c r="X13" s="320" t="s">
        <v>276</v>
      </c>
      <c r="Y13" s="320" t="s">
        <v>507</v>
      </c>
      <c r="Z13" s="320" t="s">
        <v>507</v>
      </c>
      <c r="AA13" s="320" t="s">
        <v>507</v>
      </c>
      <c r="AB13" s="320" t="s">
        <v>507</v>
      </c>
      <c r="AC13" s="320" t="s">
        <v>507</v>
      </c>
      <c r="AD13" s="323" t="s">
        <v>284</v>
      </c>
      <c r="AE13" s="324" t="s">
        <v>1357</v>
      </c>
      <c r="AF13" s="319" t="s">
        <v>1330</v>
      </c>
    </row>
    <row r="14" ht="24.75" customHeight="1" s="5" customFormat="1">
      <c r="A14" s="315" t="s">
        <v>210</v>
      </c>
      <c r="B14" s="316" t="s">
        <v>300</v>
      </c>
      <c r="C14" s="317" t="s">
        <v>1331</v>
      </c>
      <c r="D14" s="5"/>
      <c r="E14" s="319" t="s">
        <v>1331</v>
      </c>
      <c r="F14" s="320" t="s">
        <v>192</v>
      </c>
      <c r="G14" s="320" t="s">
        <v>1245</v>
      </c>
      <c r="H14" s="320" t="s">
        <v>1298</v>
      </c>
      <c r="I14" s="320" t="s">
        <v>305</v>
      </c>
      <c r="J14" s="320" t="s">
        <v>1038</v>
      </c>
      <c r="K14" s="320" t="s">
        <v>1038</v>
      </c>
      <c r="L14" s="320" t="s">
        <v>1143</v>
      </c>
      <c r="M14" s="321">
        <v>1250</v>
      </c>
      <c r="N14" s="320" t="s">
        <v>1038</v>
      </c>
      <c r="O14" s="320" t="s">
        <v>1038</v>
      </c>
      <c r="P14" s="320" t="s">
        <v>1038</v>
      </c>
      <c r="Q14" s="321">
        <v>2150</v>
      </c>
      <c r="R14" s="320" t="s">
        <v>1038</v>
      </c>
      <c r="S14" s="320" t="s">
        <v>1038</v>
      </c>
      <c r="T14" s="320" t="s">
        <v>550</v>
      </c>
      <c r="U14" s="322" t="s">
        <v>283</v>
      </c>
      <c r="V14" s="320" t="s">
        <v>563</v>
      </c>
      <c r="W14" s="320" t="s">
        <v>629</v>
      </c>
      <c r="X14" s="320" t="s">
        <v>276</v>
      </c>
      <c r="Y14" s="320" t="s">
        <v>507</v>
      </c>
      <c r="Z14" s="320" t="s">
        <v>507</v>
      </c>
      <c r="AA14" s="320" t="s">
        <v>507</v>
      </c>
      <c r="AB14" s="320" t="s">
        <v>507</v>
      </c>
      <c r="AC14" s="320" t="s">
        <v>507</v>
      </c>
      <c r="AD14" s="323" t="s">
        <v>284</v>
      </c>
      <c r="AE14" s="324" t="s">
        <v>1358</v>
      </c>
      <c r="AF14" s="319" t="s">
        <v>1333</v>
      </c>
    </row>
    <row r="15" ht="24.75" customHeight="1" s="5" customFormat="1">
      <c r="A15" s="315" t="s">
        <v>181</v>
      </c>
      <c r="B15" s="316" t="s">
        <v>300</v>
      </c>
      <c r="C15" s="317" t="s">
        <v>1334</v>
      </c>
      <c r="D15" s="5"/>
      <c r="E15" s="319" t="s">
        <v>1334</v>
      </c>
      <c r="F15" s="320" t="s">
        <v>192</v>
      </c>
      <c r="G15" s="320" t="s">
        <v>1245</v>
      </c>
      <c r="H15" s="320" t="s">
        <v>1298</v>
      </c>
      <c r="I15" s="320" t="s">
        <v>323</v>
      </c>
      <c r="J15" s="320" t="s">
        <v>1038</v>
      </c>
      <c r="K15" s="320" t="s">
        <v>1038</v>
      </c>
      <c r="L15" s="320" t="s">
        <v>1143</v>
      </c>
      <c r="M15" s="321">
        <v>1300</v>
      </c>
      <c r="N15" s="320" t="s">
        <v>1038</v>
      </c>
      <c r="O15" s="320" t="s">
        <v>1038</v>
      </c>
      <c r="P15" s="320" t="s">
        <v>1038</v>
      </c>
      <c r="Q15" s="321">
        <v>1700</v>
      </c>
      <c r="R15" s="320" t="s">
        <v>1038</v>
      </c>
      <c r="S15" s="320" t="s">
        <v>1038</v>
      </c>
      <c r="T15" s="320" t="s">
        <v>550</v>
      </c>
      <c r="U15" s="322" t="s">
        <v>283</v>
      </c>
      <c r="V15" s="320" t="s">
        <v>1026</v>
      </c>
      <c r="W15" s="320" t="s">
        <v>1091</v>
      </c>
      <c r="X15" s="320" t="s">
        <v>210</v>
      </c>
      <c r="Y15" s="320" t="s">
        <v>507</v>
      </c>
      <c r="Z15" s="320" t="s">
        <v>507</v>
      </c>
      <c r="AA15" s="320" t="s">
        <v>507</v>
      </c>
      <c r="AB15" s="320" t="s">
        <v>507</v>
      </c>
      <c r="AC15" s="320" t="s">
        <v>507</v>
      </c>
      <c r="AD15" s="323" t="s">
        <v>284</v>
      </c>
      <c r="AE15" s="324" t="s">
        <v>1359</v>
      </c>
      <c r="AF15" s="319" t="s">
        <v>1336</v>
      </c>
    </row>
    <row r="16" ht="24.75" customHeight="1" s="5" customFormat="1">
      <c r="A16" s="315" t="s">
        <v>320</v>
      </c>
      <c r="B16" s="316" t="s">
        <v>300</v>
      </c>
      <c r="C16" s="317" t="s">
        <v>1360</v>
      </c>
      <c r="D16" s="5"/>
      <c r="E16" s="319" t="s">
        <v>1360</v>
      </c>
      <c r="F16" s="320" t="s">
        <v>192</v>
      </c>
      <c r="G16" s="320" t="s">
        <v>1245</v>
      </c>
      <c r="H16" s="320" t="s">
        <v>1298</v>
      </c>
      <c r="I16" s="320" t="s">
        <v>1288</v>
      </c>
      <c r="J16" s="320" t="s">
        <v>1038</v>
      </c>
      <c r="K16" s="320" t="s">
        <v>1038</v>
      </c>
      <c r="L16" s="320" t="s">
        <v>1038</v>
      </c>
      <c r="M16" s="321">
        <v>1050</v>
      </c>
      <c r="N16" s="320" t="s">
        <v>1038</v>
      </c>
      <c r="O16" s="320" t="s">
        <v>1038</v>
      </c>
      <c r="P16" s="320" t="s">
        <v>1144</v>
      </c>
      <c r="Q16" s="321">
        <v>1625</v>
      </c>
      <c r="R16" s="320" t="s">
        <v>1038</v>
      </c>
      <c r="S16" s="320" t="s">
        <v>1038</v>
      </c>
      <c r="T16" s="320" t="s">
        <v>550</v>
      </c>
      <c r="U16" s="322" t="s">
        <v>283</v>
      </c>
      <c r="V16" s="320" t="s">
        <v>469</v>
      </c>
      <c r="W16" s="320" t="s">
        <v>636</v>
      </c>
      <c r="X16" s="320" t="s">
        <v>462</v>
      </c>
      <c r="Y16" s="320" t="s">
        <v>507</v>
      </c>
      <c r="Z16" s="320" t="s">
        <v>507</v>
      </c>
      <c r="AA16" s="320" t="s">
        <v>507</v>
      </c>
      <c r="AB16" s="320" t="s">
        <v>507</v>
      </c>
      <c r="AC16" s="320" t="s">
        <v>507</v>
      </c>
      <c r="AD16" s="323" t="s">
        <v>284</v>
      </c>
      <c r="AE16" s="324" t="s">
        <v>1361</v>
      </c>
      <c r="AF16" s="319" t="s">
        <v>1336</v>
      </c>
    </row>
    <row r="17" ht="28.5" customHeight="1" s="5" customFormat="1">
      <c r="A17" s="325" t="s">
        <v>154</v>
      </c>
      <c r="B17" s="326" t="s">
        <v>339</v>
      </c>
      <c r="C17" s="327" t="s">
        <v>1339</v>
      </c>
      <c r="D17" s="5"/>
      <c r="E17" s="325" t="s">
        <v>64</v>
      </c>
      <c r="F17" s="325" t="s">
        <v>192</v>
      </c>
      <c r="G17" s="325" t="s">
        <v>1245</v>
      </c>
      <c r="H17" s="325"/>
      <c r="I17" s="325"/>
      <c r="J17" s="325" t="s">
        <v>64</v>
      </c>
      <c r="K17" s="325" t="s">
        <v>64</v>
      </c>
      <c r="L17" s="325" t="s">
        <v>1143</v>
      </c>
      <c r="M17" s="325" t="s">
        <v>1143</v>
      </c>
      <c r="N17" s="325" t="s">
        <v>64</v>
      </c>
      <c r="O17" s="325" t="s">
        <v>64</v>
      </c>
      <c r="P17" s="325" t="s">
        <v>1144</v>
      </c>
      <c r="Q17" s="325" t="s">
        <v>1144</v>
      </c>
      <c r="R17" s="325" t="s">
        <v>64</v>
      </c>
      <c r="S17" s="325" t="s">
        <v>64</v>
      </c>
      <c r="T17" s="325" t="s">
        <v>550</v>
      </c>
      <c r="U17" s="325" t="s">
        <v>550</v>
      </c>
      <c r="V17" s="325"/>
      <c r="W17" s="325"/>
      <c r="X17" s="325"/>
      <c r="Y17" s="325"/>
      <c r="Z17" s="325"/>
      <c r="AA17" s="325"/>
      <c r="AB17" s="325"/>
      <c r="AC17" s="325"/>
      <c r="AD17" s="316" t="s">
        <v>339</v>
      </c>
      <c r="AE17" s="328" t="s">
        <v>1340</v>
      </c>
      <c r="AF17" s="328" t="s">
        <v>342</v>
      </c>
    </row>
    <row r="18" ht="34.5" customHeight="1" s="5" customFormat="1">
      <c r="A18" s="329" t="s">
        <v>154</v>
      </c>
      <c r="B18" s="326" t="s">
        <v>339</v>
      </c>
      <c r="C18" s="330" t="s">
        <v>1341</v>
      </c>
      <c r="D18" s="5"/>
      <c r="E18" s="329" t="s">
        <v>64</v>
      </c>
      <c r="F18" s="329" t="s">
        <v>192</v>
      </c>
      <c r="G18" s="329" t="s">
        <v>1245</v>
      </c>
      <c r="H18" s="329"/>
      <c r="I18" s="329"/>
      <c r="J18" s="329"/>
      <c r="K18" s="329"/>
      <c r="L18" s="329"/>
      <c r="M18" s="331">
        <v>1318</v>
      </c>
      <c r="N18" s="329"/>
      <c r="O18" s="329"/>
      <c r="P18" s="329"/>
      <c r="Q18" s="331">
        <v>1868</v>
      </c>
      <c r="R18" s="329"/>
      <c r="S18" s="329"/>
      <c r="T18" s="329"/>
      <c r="U18" s="331"/>
      <c r="V18" s="329"/>
      <c r="W18" s="329"/>
      <c r="X18" s="329"/>
      <c r="Y18" s="329"/>
      <c r="Z18" s="329"/>
      <c r="AA18" s="329"/>
      <c r="AB18" s="329"/>
      <c r="AC18" s="329"/>
      <c r="AD18" s="316" t="s">
        <v>339</v>
      </c>
      <c r="AE18" s="332" t="s">
        <v>1061</v>
      </c>
      <c r="AF18" s="332" t="s">
        <v>1062</v>
      </c>
    </row>
    <row r="20" ht="14.25" customHeight="1" s="5" customFormat="1">
      <c r="A20" s="333" t="s">
        <v>1063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2" ht="18" customHeight="1" s="5" customFormat="1">
      <c r="A22" s="334" t="s">
        <v>349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ht="15.75" customHeight="1" s="5" customFormat="1">
      <c r="A23" s="335" t="s">
        <v>1064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ht="15.75" customHeight="1" s="5" customFormat="1">
      <c r="A24" s="5"/>
      <c r="B24" s="336" t="s">
        <v>351</v>
      </c>
      <c r="C24" s="336" t="s">
        <v>352</v>
      </c>
      <c r="D24" s="5"/>
      <c r="E24" s="336" t="s">
        <v>353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ht="20.25" customHeight="1" s="5" customFormat="1">
      <c r="A25" s="337" t="s">
        <v>151</v>
      </c>
      <c r="B25" s="338">
        <f>'Current Rents'!E29</f>
        <v>894</v>
      </c>
      <c r="C25" s="339">
        <v>1318</v>
      </c>
      <c r="D25" s="5"/>
      <c r="E25" s="340">
        <f t="shared" si="0" ref="E25:E27">B25-C25</f>
        <v>-424</v>
      </c>
      <c r="F25" s="161" t="str">
        <f>IF(E25&lt;-75,"LOOK INTO INCREASING THE RENT!","")</f>
        <v>LOOK INTO INCREASING THE RENT!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ht="20.25" customHeight="1" s="5" customFormat="1">
      <c r="A26" s="337" t="s">
        <v>152</v>
      </c>
      <c r="B26" s="338">
        <f>'Current Rents'!F29</f>
        <v>982</v>
      </c>
      <c r="C26" s="339">
        <v>1868</v>
      </c>
      <c r="D26" s="5"/>
      <c r="E26" s="340">
        <f t="shared" si="0"/>
        <v>-886</v>
      </c>
      <c r="F26" s="161" t="str">
        <f>IF(E26&lt;-75,"LOOK INTO INCREASING THE RENT!","")</f>
        <v>LOOK INTO INCREASING THE RENT!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ht="20.25" customHeight="1" s="5" customFormat="1">
      <c r="A27" s="337" t="s">
        <v>155</v>
      </c>
      <c r="B27" s="338">
        <f>'Current Rents'!G29</f>
        <v>1045</v>
      </c>
      <c r="C27" s="339">
        <v>0</v>
      </c>
      <c r="D27" s="5"/>
      <c r="E27" s="340">
        <f t="shared" si="0"/>
        <v>1045</v>
      </c>
      <c r="F27" s="161" t="str">
        <f>IF(E27&lt;-75,"LOOK INTO INCREASING THE RENT!","")</f>
        <v/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</sheetData>
  <mergeCells>
    <mergeCell ref="AD3:AF3"/>
    <mergeCell ref="A23:H23"/>
    <mergeCell ref="A3:AC3"/>
    <mergeCell ref="C8:D8"/>
    <mergeCell ref="C9:D9"/>
    <mergeCell ref="C12:D12"/>
    <mergeCell ref="C17:D17"/>
    <mergeCell ref="C18:D18"/>
    <mergeCell ref="A22:H22"/>
    <mergeCell ref="C7:D7"/>
    <mergeCell ref="A20:AF20"/>
    <mergeCell ref="A6:AF6"/>
    <mergeCell ref="A5:AF5"/>
    <mergeCell ref="C24:D24"/>
    <mergeCell ref="C11:D11"/>
    <mergeCell ref="D13:D16"/>
    <mergeCell ref="C10:D10"/>
    <mergeCell ref="A4:AF4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0C1FBA8-14F5-FBA8-4358-F1DF1C79B1C8}" mc:Ignorable="x14ac xr xr2 xr3">
  <dimension ref="A1:AF29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style="5" width="9.00390625" customWidth="1"/>
    <col min="2" max="2" style="5" width="18.57421875" customWidth="1"/>
    <col min="3" max="3" style="5" width="42.00390625" customWidth="1"/>
    <col min="4" max="4" style="5" width="4.7109375" customWidth="1"/>
    <col min="5" max="5" style="5" width="31.00390625" customWidth="1"/>
    <col min="6" max="6" style="5" width="14.28125" customWidth="1"/>
    <col min="7" max="7" style="5" width="9.28125" customWidth="1"/>
    <col min="8" max="9" style="5" width="13.00390625" customWidth="1"/>
    <col min="10" max="10" style="5" width="7.00390625" hidden="1" customWidth="1"/>
    <col min="11" max="11" style="5" width="13.00390625" customWidth="1"/>
    <col min="12" max="12" style="5" width="5.28125" hidden="1" customWidth="1"/>
    <col min="13" max="13" style="5" width="16.7109375" customWidth="1"/>
    <col min="14" max="14" style="5" width="7.00390625" hidden="1" customWidth="1"/>
    <col min="15" max="15" style="5" width="13.00390625" customWidth="1"/>
    <col min="16" max="16" style="5" width="5.28125" hidden="1" customWidth="1"/>
    <col min="17" max="17" style="5" width="16.7109375" customWidth="1"/>
    <col min="18" max="18" style="5" width="7.00390625" hidden="1" customWidth="1"/>
    <col min="19" max="19" style="5" width="13.00390625" customWidth="1"/>
    <col min="20" max="20" style="5" width="5.28125" hidden="1" customWidth="1"/>
    <col min="21" max="21" style="5" width="16.7109375" customWidth="1"/>
    <col min="22" max="22" style="5" width="9.421875" customWidth="1"/>
    <col min="23" max="29" style="5" width="13.00390625" customWidth="1"/>
    <col min="30" max="30" style="5" width="24.57421875" customWidth="1"/>
    <col min="31" max="31" style="5" width="55.7109375" customWidth="1"/>
    <col min="32" max="32" style="5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36" customHeight="1" s="5" customFormat="1">
      <c r="A3" s="295" t="s">
        <v>1362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296" t="s">
        <v>1363</v>
      </c>
      <c r="AE3" s="5"/>
      <c r="AF3" s="5"/>
    </row>
    <row r="4" ht="18" customHeight="1" s="5" customFormat="1">
      <c r="A4" s="297" t="s">
        <v>1364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14.25" customHeight="1" s="5" customFormat="1">
      <c r="A5" s="298" t="s">
        <v>1012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25.5" customHeight="1" s="5" customFormat="1">
      <c r="A6" s="299" t="s">
        <v>1013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25.5" customHeight="1" s="5" customFormat="1">
      <c r="A7" s="300" t="s">
        <v>233</v>
      </c>
      <c r="B7" s="300" t="s">
        <v>234</v>
      </c>
      <c r="C7" s="300" t="s">
        <v>3</v>
      </c>
      <c r="D7" s="5"/>
      <c r="E7" s="300" t="s">
        <v>235</v>
      </c>
      <c r="F7" s="300" t="s">
        <v>236</v>
      </c>
      <c r="G7" s="300" t="s">
        <v>237</v>
      </c>
      <c r="H7" s="300" t="s">
        <v>238</v>
      </c>
      <c r="I7" s="300" t="s">
        <v>239</v>
      </c>
      <c r="J7" s="300" t="s">
        <v>444</v>
      </c>
      <c r="K7" s="300" t="s">
        <v>445</v>
      </c>
      <c r="L7" s="300" t="s">
        <v>446</v>
      </c>
      <c r="M7" s="301" t="s">
        <v>447</v>
      </c>
      <c r="N7" s="300" t="s">
        <v>240</v>
      </c>
      <c r="O7" s="300" t="s">
        <v>241</v>
      </c>
      <c r="P7" s="300" t="s">
        <v>242</v>
      </c>
      <c r="Q7" s="301" t="s">
        <v>360</v>
      </c>
      <c r="R7" s="300" t="s">
        <v>244</v>
      </c>
      <c r="S7" s="300" t="s">
        <v>245</v>
      </c>
      <c r="T7" s="300" t="s">
        <v>246</v>
      </c>
      <c r="U7" s="301" t="s">
        <v>361</v>
      </c>
      <c r="V7" s="300" t="s">
        <v>6</v>
      </c>
      <c r="W7" s="300" t="s">
        <v>248</v>
      </c>
      <c r="X7" s="300" t="s">
        <v>249</v>
      </c>
      <c r="Y7" s="300" t="s">
        <v>250</v>
      </c>
      <c r="Z7" s="300" t="s">
        <v>251</v>
      </c>
      <c r="AA7" s="300" t="s">
        <v>252</v>
      </c>
      <c r="AB7" s="300" t="s">
        <v>253</v>
      </c>
      <c r="AC7" s="300" t="s">
        <v>254</v>
      </c>
      <c r="AD7" s="301" t="s">
        <v>255</v>
      </c>
      <c r="AE7" s="300" t="s">
        <v>256</v>
      </c>
      <c r="AF7" s="300" t="s">
        <v>257</v>
      </c>
    </row>
    <row r="8" ht="21.75" customHeight="1" s="5" customFormat="1">
      <c r="A8" s="302" t="s">
        <v>258</v>
      </c>
      <c r="B8" s="303" t="s">
        <v>259</v>
      </c>
      <c r="C8" s="304" t="s">
        <v>1365</v>
      </c>
      <c r="D8" s="5"/>
      <c r="E8" s="304" t="s">
        <v>1366</v>
      </c>
      <c r="F8" s="305" t="s">
        <v>1367</v>
      </c>
      <c r="G8" s="305" t="s">
        <v>1245</v>
      </c>
      <c r="H8" s="305" t="s">
        <v>1368</v>
      </c>
      <c r="I8" s="305" t="s">
        <v>265</v>
      </c>
      <c r="J8" s="305" t="s">
        <v>1369</v>
      </c>
      <c r="K8" s="305" t="s">
        <v>1370</v>
      </c>
      <c r="L8" s="305" t="s">
        <v>1371</v>
      </c>
      <c r="M8" s="306">
        <f>'Current Rents'!D30</f>
        <v>0</v>
      </c>
      <c r="N8" s="305" t="s">
        <v>1372</v>
      </c>
      <c r="O8" s="305" t="s">
        <v>1373</v>
      </c>
      <c r="P8" s="305" t="s">
        <v>1374</v>
      </c>
      <c r="Q8" s="306">
        <f>'Current Rents'!E30</f>
        <v>0</v>
      </c>
      <c r="R8" s="305" t="s">
        <v>1375</v>
      </c>
      <c r="S8" s="305" t="s">
        <v>1376</v>
      </c>
      <c r="T8" s="305" t="s">
        <v>1377</v>
      </c>
      <c r="U8" s="306">
        <f>'Current Rents'!F30</f>
        <v>0</v>
      </c>
      <c r="V8" s="305" t="s">
        <v>1378</v>
      </c>
      <c r="W8" s="305" t="s">
        <v>390</v>
      </c>
      <c r="X8" s="305">
        <v>0</v>
      </c>
      <c r="Y8" s="305" t="s">
        <v>272</v>
      </c>
      <c r="Z8" s="305" t="s">
        <v>273</v>
      </c>
      <c r="AA8" s="305" t="s">
        <v>273</v>
      </c>
      <c r="AB8" s="305" t="s">
        <v>273</v>
      </c>
      <c r="AC8" s="305" t="s">
        <v>273</v>
      </c>
      <c r="AD8" s="303" t="s">
        <v>259</v>
      </c>
      <c r="AE8" s="307"/>
      <c r="AF8" s="304"/>
    </row>
    <row r="9" ht="21.75" customHeight="1" s="5" customFormat="1">
      <c r="A9" s="308" t="s">
        <v>276</v>
      </c>
      <c r="B9" s="309" t="s">
        <v>277</v>
      </c>
      <c r="C9" s="310" t="s">
        <v>1379</v>
      </c>
      <c r="D9" s="5"/>
      <c r="E9" s="311" t="s">
        <v>1380</v>
      </c>
      <c r="F9" s="308" t="s">
        <v>1367</v>
      </c>
      <c r="G9" s="308" t="s">
        <v>1245</v>
      </c>
      <c r="H9" s="308" t="s">
        <v>1368</v>
      </c>
      <c r="I9" s="308" t="s">
        <v>323</v>
      </c>
      <c r="J9" s="308" t="s">
        <v>1369</v>
      </c>
      <c r="K9" s="308" t="s">
        <v>1370</v>
      </c>
      <c r="L9" s="308" t="s">
        <v>1371</v>
      </c>
      <c r="M9" s="308" t="s">
        <v>283</v>
      </c>
      <c r="N9" s="308" t="s">
        <v>1372</v>
      </c>
      <c r="O9" s="308" t="s">
        <v>1373</v>
      </c>
      <c r="P9" s="308" t="s">
        <v>1374</v>
      </c>
      <c r="Q9" s="308" t="s">
        <v>283</v>
      </c>
      <c r="R9" s="308" t="s">
        <v>1375</v>
      </c>
      <c r="S9" s="308" t="s">
        <v>1376</v>
      </c>
      <c r="T9" s="308" t="s">
        <v>1377</v>
      </c>
      <c r="U9" s="308" t="s">
        <v>283</v>
      </c>
      <c r="V9" s="308" t="s">
        <v>551</v>
      </c>
      <c r="W9" s="308" t="s">
        <v>1381</v>
      </c>
      <c r="X9" s="308" t="s">
        <v>276</v>
      </c>
      <c r="Y9" s="308" t="s">
        <v>272</v>
      </c>
      <c r="Z9" s="308" t="s">
        <v>273</v>
      </c>
      <c r="AA9" s="308" t="s">
        <v>273</v>
      </c>
      <c r="AB9" s="308" t="s">
        <v>273</v>
      </c>
      <c r="AC9" s="308" t="s">
        <v>273</v>
      </c>
      <c r="AD9" s="312"/>
      <c r="AE9" s="313"/>
      <c r="AF9" s="311"/>
    </row>
    <row r="10" ht="21.75" customHeight="1" s="5" customFormat="1">
      <c r="A10" s="308" t="s">
        <v>210</v>
      </c>
      <c r="B10" s="309" t="s">
        <v>277</v>
      </c>
      <c r="C10" s="310" t="s">
        <v>1382</v>
      </c>
      <c r="D10" s="5"/>
      <c r="E10" s="311" t="s">
        <v>1383</v>
      </c>
      <c r="F10" s="308" t="s">
        <v>1384</v>
      </c>
      <c r="G10" s="308" t="s">
        <v>1245</v>
      </c>
      <c r="H10" s="308" t="s">
        <v>1385</v>
      </c>
      <c r="I10" s="308" t="s">
        <v>1386</v>
      </c>
      <c r="J10" s="308" t="s">
        <v>1369</v>
      </c>
      <c r="K10" s="308" t="s">
        <v>1370</v>
      </c>
      <c r="L10" s="308" t="s">
        <v>1371</v>
      </c>
      <c r="M10" s="308" t="s">
        <v>283</v>
      </c>
      <c r="N10" s="308" t="s">
        <v>1372</v>
      </c>
      <c r="O10" s="308" t="s">
        <v>1373</v>
      </c>
      <c r="P10" s="308" t="s">
        <v>1374</v>
      </c>
      <c r="Q10" s="308" t="s">
        <v>283</v>
      </c>
      <c r="R10" s="308" t="s">
        <v>1375</v>
      </c>
      <c r="S10" s="308" t="s">
        <v>1376</v>
      </c>
      <c r="T10" s="308" t="s">
        <v>1377</v>
      </c>
      <c r="U10" s="308" t="s">
        <v>283</v>
      </c>
      <c r="V10" s="308" t="s">
        <v>748</v>
      </c>
      <c r="W10" s="308" t="s">
        <v>390</v>
      </c>
      <c r="X10" s="308" t="s">
        <v>462</v>
      </c>
      <c r="Y10" s="308" t="s">
        <v>272</v>
      </c>
      <c r="Z10" s="308" t="s">
        <v>273</v>
      </c>
      <c r="AA10" s="308" t="s">
        <v>273</v>
      </c>
      <c r="AB10" s="308" t="s">
        <v>273</v>
      </c>
      <c r="AC10" s="308" t="s">
        <v>273</v>
      </c>
      <c r="AD10" s="312"/>
      <c r="AE10" s="313"/>
      <c r="AF10" s="311"/>
    </row>
    <row r="11" ht="21.75" customHeight="1" s="5" customFormat="1">
      <c r="A11" s="308" t="s">
        <v>181</v>
      </c>
      <c r="B11" s="309" t="s">
        <v>277</v>
      </c>
      <c r="C11" s="310" t="s">
        <v>1387</v>
      </c>
      <c r="D11" s="5"/>
      <c r="E11" s="311" t="s">
        <v>1388</v>
      </c>
      <c r="F11" s="308" t="s">
        <v>1389</v>
      </c>
      <c r="G11" s="308" t="s">
        <v>1245</v>
      </c>
      <c r="H11" s="308" t="s">
        <v>1390</v>
      </c>
      <c r="I11" s="308" t="s">
        <v>1391</v>
      </c>
      <c r="J11" s="308" t="s">
        <v>1369</v>
      </c>
      <c r="K11" s="308" t="s">
        <v>1370</v>
      </c>
      <c r="L11" s="308" t="s">
        <v>1371</v>
      </c>
      <c r="M11" s="308" t="s">
        <v>1392</v>
      </c>
      <c r="N11" s="308" t="s">
        <v>1372</v>
      </c>
      <c r="O11" s="308" t="s">
        <v>1373</v>
      </c>
      <c r="P11" s="308" t="s">
        <v>1374</v>
      </c>
      <c r="Q11" s="308" t="s">
        <v>1393</v>
      </c>
      <c r="R11" s="308" t="s">
        <v>1375</v>
      </c>
      <c r="S11" s="308" t="s">
        <v>1376</v>
      </c>
      <c r="T11" s="308" t="s">
        <v>1377</v>
      </c>
      <c r="U11" s="308" t="s">
        <v>283</v>
      </c>
      <c r="V11" s="308" t="s">
        <v>563</v>
      </c>
      <c r="W11" s="308" t="s">
        <v>1394</v>
      </c>
      <c r="X11" s="308" t="s">
        <v>210</v>
      </c>
      <c r="Y11" s="308" t="s">
        <v>272</v>
      </c>
      <c r="Z11" s="308" t="s">
        <v>273</v>
      </c>
      <c r="AA11" s="308" t="s">
        <v>273</v>
      </c>
      <c r="AB11" s="308" t="s">
        <v>273</v>
      </c>
      <c r="AC11" s="308" t="s">
        <v>273</v>
      </c>
      <c r="AD11" s="312"/>
      <c r="AE11" s="313"/>
      <c r="AF11" s="311"/>
    </row>
    <row r="12" ht="21.75" customHeight="1" s="5" customFormat="1">
      <c r="A12" s="308" t="s">
        <v>320</v>
      </c>
      <c r="B12" s="309" t="s">
        <v>277</v>
      </c>
      <c r="C12" s="310" t="s">
        <v>1395</v>
      </c>
      <c r="D12" s="5"/>
      <c r="E12" s="311" t="s">
        <v>1396</v>
      </c>
      <c r="F12" s="308" t="s">
        <v>1397</v>
      </c>
      <c r="G12" s="308" t="s">
        <v>1245</v>
      </c>
      <c r="H12" s="308" t="s">
        <v>1398</v>
      </c>
      <c r="I12" s="308" t="s">
        <v>971</v>
      </c>
      <c r="J12" s="308" t="s">
        <v>1369</v>
      </c>
      <c r="K12" s="308" t="s">
        <v>1370</v>
      </c>
      <c r="L12" s="308" t="s">
        <v>1371</v>
      </c>
      <c r="M12" s="308" t="s">
        <v>283</v>
      </c>
      <c r="N12" s="308" t="s">
        <v>1372</v>
      </c>
      <c r="O12" s="308" t="s">
        <v>1373</v>
      </c>
      <c r="P12" s="308" t="s">
        <v>1374</v>
      </c>
      <c r="Q12" s="308" t="s">
        <v>283</v>
      </c>
      <c r="R12" s="308" t="s">
        <v>1375</v>
      </c>
      <c r="S12" s="308" t="s">
        <v>1376</v>
      </c>
      <c r="T12" s="308" t="s">
        <v>1377</v>
      </c>
      <c r="U12" s="308" t="s">
        <v>283</v>
      </c>
      <c r="V12" s="308" t="s">
        <v>578</v>
      </c>
      <c r="W12" s="308" t="s">
        <v>1381</v>
      </c>
      <c r="X12" s="308" t="s">
        <v>276</v>
      </c>
      <c r="Y12" s="308" t="s">
        <v>272</v>
      </c>
      <c r="Z12" s="308" t="s">
        <v>273</v>
      </c>
      <c r="AA12" s="308" t="s">
        <v>273</v>
      </c>
      <c r="AB12" s="308" t="s">
        <v>273</v>
      </c>
      <c r="AC12" s="308" t="s">
        <v>273</v>
      </c>
      <c r="AD12" s="312"/>
      <c r="AE12" s="313"/>
      <c r="AF12" s="311"/>
    </row>
    <row r="13" ht="24.75" customHeight="1" s="5" customFormat="1">
      <c r="A13" s="315" t="s">
        <v>276</v>
      </c>
      <c r="B13" s="316" t="s">
        <v>300</v>
      </c>
      <c r="C13" s="317" t="s">
        <v>1399</v>
      </c>
      <c r="D13" s="318" t="s">
        <v>302</v>
      </c>
      <c r="E13" s="319" t="s">
        <v>1400</v>
      </c>
      <c r="F13" s="320" t="s">
        <v>1367</v>
      </c>
      <c r="G13" s="320" t="s">
        <v>1245</v>
      </c>
      <c r="H13" s="320" t="s">
        <v>1368</v>
      </c>
      <c r="I13" s="320" t="s">
        <v>376</v>
      </c>
      <c r="J13" s="320" t="s">
        <v>1038</v>
      </c>
      <c r="K13" s="320" t="s">
        <v>1038</v>
      </c>
      <c r="L13" s="320" t="s">
        <v>1371</v>
      </c>
      <c r="M13" s="321">
        <v>850</v>
      </c>
      <c r="N13" s="320" t="s">
        <v>1038</v>
      </c>
      <c r="O13" s="320" t="s">
        <v>1038</v>
      </c>
      <c r="P13" s="320" t="s">
        <v>1374</v>
      </c>
      <c r="Q13" s="321">
        <v>1050</v>
      </c>
      <c r="R13" s="320" t="s">
        <v>1038</v>
      </c>
      <c r="S13" s="320" t="s">
        <v>1038</v>
      </c>
      <c r="T13" s="320" t="s">
        <v>1038</v>
      </c>
      <c r="U13" s="321">
        <v>1295</v>
      </c>
      <c r="V13" s="320" t="s">
        <v>64</v>
      </c>
      <c r="W13" s="320" t="s">
        <v>390</v>
      </c>
      <c r="X13" s="320" t="s">
        <v>462</v>
      </c>
      <c r="Y13" s="320" t="s">
        <v>507</v>
      </c>
      <c r="Z13" s="320" t="s">
        <v>507</v>
      </c>
      <c r="AA13" s="320" t="s">
        <v>507</v>
      </c>
      <c r="AB13" s="320" t="s">
        <v>507</v>
      </c>
      <c r="AC13" s="320" t="s">
        <v>507</v>
      </c>
      <c r="AD13" s="323"/>
      <c r="AE13" s="324"/>
      <c r="AF13" s="319"/>
    </row>
    <row r="14" ht="24.75" customHeight="1" s="5" customFormat="1">
      <c r="A14" s="315" t="s">
        <v>210</v>
      </c>
      <c r="B14" s="316" t="s">
        <v>300</v>
      </c>
      <c r="C14" s="317" t="s">
        <v>1401</v>
      </c>
      <c r="D14" s="5"/>
      <c r="E14" s="319" t="s">
        <v>1402</v>
      </c>
      <c r="F14" s="320" t="s">
        <v>1367</v>
      </c>
      <c r="G14" s="320" t="s">
        <v>1245</v>
      </c>
      <c r="H14" s="320" t="s">
        <v>1368</v>
      </c>
      <c r="I14" s="320" t="s">
        <v>305</v>
      </c>
      <c r="J14" s="320" t="s">
        <v>1038</v>
      </c>
      <c r="K14" s="320" t="s">
        <v>1038</v>
      </c>
      <c r="L14" s="320" t="s">
        <v>1038</v>
      </c>
      <c r="M14" s="321">
        <v>939</v>
      </c>
      <c r="N14" s="320" t="s">
        <v>1038</v>
      </c>
      <c r="O14" s="320" t="s">
        <v>1038</v>
      </c>
      <c r="P14" s="320" t="s">
        <v>1038</v>
      </c>
      <c r="Q14" s="321">
        <v>1089</v>
      </c>
      <c r="R14" s="320" t="s">
        <v>1038</v>
      </c>
      <c r="S14" s="320" t="s">
        <v>1038</v>
      </c>
      <c r="T14" s="320" t="s">
        <v>1377</v>
      </c>
      <c r="U14" s="321">
        <v>1325</v>
      </c>
      <c r="V14" s="320" t="s">
        <v>64</v>
      </c>
      <c r="W14" s="320" t="s">
        <v>400</v>
      </c>
      <c r="X14" s="320" t="s">
        <v>181</v>
      </c>
      <c r="Y14" s="320" t="s">
        <v>507</v>
      </c>
      <c r="Z14" s="320" t="s">
        <v>507</v>
      </c>
      <c r="AA14" s="320" t="s">
        <v>507</v>
      </c>
      <c r="AB14" s="320" t="s">
        <v>507</v>
      </c>
      <c r="AC14" s="320" t="s">
        <v>507</v>
      </c>
      <c r="AD14" s="323"/>
      <c r="AE14" s="324"/>
      <c r="AF14" s="319"/>
    </row>
    <row r="15" ht="24.75" customHeight="1" s="5" customFormat="1">
      <c r="A15" s="315" t="s">
        <v>181</v>
      </c>
      <c r="B15" s="316" t="s">
        <v>300</v>
      </c>
      <c r="C15" s="317" t="s">
        <v>1403</v>
      </c>
      <c r="D15" s="5"/>
      <c r="E15" s="319" t="s">
        <v>1366</v>
      </c>
      <c r="F15" s="320" t="s">
        <v>1367</v>
      </c>
      <c r="G15" s="320" t="s">
        <v>1245</v>
      </c>
      <c r="H15" s="320" t="s">
        <v>1368</v>
      </c>
      <c r="I15" s="320" t="s">
        <v>598</v>
      </c>
      <c r="J15" s="320" t="s">
        <v>1038</v>
      </c>
      <c r="K15" s="320" t="s">
        <v>1038</v>
      </c>
      <c r="L15" s="320" t="s">
        <v>1038</v>
      </c>
      <c r="M15" s="321">
        <v>800</v>
      </c>
      <c r="N15" s="320" t="s">
        <v>1038</v>
      </c>
      <c r="O15" s="320" t="s">
        <v>1038</v>
      </c>
      <c r="P15" s="320" t="s">
        <v>1038</v>
      </c>
      <c r="Q15" s="321">
        <v>900</v>
      </c>
      <c r="R15" s="320" t="s">
        <v>1038</v>
      </c>
      <c r="S15" s="320" t="s">
        <v>1038</v>
      </c>
      <c r="T15" s="320" t="s">
        <v>1038</v>
      </c>
      <c r="U15" s="321">
        <v>1000</v>
      </c>
      <c r="V15" s="320" t="s">
        <v>64</v>
      </c>
      <c r="W15" s="320" t="s">
        <v>377</v>
      </c>
      <c r="X15" s="320" t="s">
        <v>181</v>
      </c>
      <c r="Y15" s="320" t="s">
        <v>507</v>
      </c>
      <c r="Z15" s="320" t="s">
        <v>507</v>
      </c>
      <c r="AA15" s="320" t="s">
        <v>507</v>
      </c>
      <c r="AB15" s="320" t="s">
        <v>507</v>
      </c>
      <c r="AC15" s="320" t="s">
        <v>507</v>
      </c>
      <c r="AD15" s="323"/>
      <c r="AE15" s="324"/>
      <c r="AF15" s="319"/>
    </row>
    <row r="16" ht="24.75" customHeight="1" s="5" customFormat="1">
      <c r="A16" s="315" t="s">
        <v>320</v>
      </c>
      <c r="B16" s="316" t="s">
        <v>300</v>
      </c>
      <c r="C16" s="317" t="s">
        <v>1404</v>
      </c>
      <c r="D16" s="5"/>
      <c r="E16" s="319" t="s">
        <v>1405</v>
      </c>
      <c r="F16" s="320" t="s">
        <v>1367</v>
      </c>
      <c r="G16" s="320" t="s">
        <v>1245</v>
      </c>
      <c r="H16" s="320" t="s">
        <v>1368</v>
      </c>
      <c r="I16" s="320" t="s">
        <v>323</v>
      </c>
      <c r="J16" s="320" t="s">
        <v>1038</v>
      </c>
      <c r="K16" s="320" t="s">
        <v>1038</v>
      </c>
      <c r="L16" s="320" t="s">
        <v>1371</v>
      </c>
      <c r="M16" s="321">
        <v>850</v>
      </c>
      <c r="N16" s="320" t="s">
        <v>1038</v>
      </c>
      <c r="O16" s="320" t="s">
        <v>1038</v>
      </c>
      <c r="P16" s="320" t="s">
        <v>1038</v>
      </c>
      <c r="Q16" s="321">
        <v>1275</v>
      </c>
      <c r="R16" s="320" t="s">
        <v>1038</v>
      </c>
      <c r="S16" s="320" t="s">
        <v>1038</v>
      </c>
      <c r="T16" s="320" t="s">
        <v>1377</v>
      </c>
      <c r="U16" s="321">
        <v>1300</v>
      </c>
      <c r="V16" s="320" t="s">
        <v>64</v>
      </c>
      <c r="W16" s="320" t="s">
        <v>400</v>
      </c>
      <c r="X16" s="320" t="s">
        <v>181</v>
      </c>
      <c r="Y16" s="320" t="s">
        <v>507</v>
      </c>
      <c r="Z16" s="320" t="s">
        <v>507</v>
      </c>
      <c r="AA16" s="320" t="s">
        <v>507</v>
      </c>
      <c r="AB16" s="320" t="s">
        <v>507</v>
      </c>
      <c r="AC16" s="320" t="s">
        <v>507</v>
      </c>
      <c r="AD16" s="323"/>
      <c r="AE16" s="324"/>
      <c r="AF16" s="319"/>
    </row>
    <row r="17" ht="24.75" customHeight="1" s="5" customFormat="1">
      <c r="A17" s="315" t="s">
        <v>326</v>
      </c>
      <c r="B17" s="316" t="s">
        <v>300</v>
      </c>
      <c r="C17" s="317" t="s">
        <v>1406</v>
      </c>
      <c r="D17" s="5"/>
      <c r="E17" s="319" t="s">
        <v>1407</v>
      </c>
      <c r="F17" s="320" t="s">
        <v>1367</v>
      </c>
      <c r="G17" s="320" t="s">
        <v>1245</v>
      </c>
      <c r="H17" s="320" t="s">
        <v>1368</v>
      </c>
      <c r="I17" s="320" t="s">
        <v>592</v>
      </c>
      <c r="J17" s="320" t="s">
        <v>1038</v>
      </c>
      <c r="K17" s="320" t="s">
        <v>1038</v>
      </c>
      <c r="L17" s="320" t="s">
        <v>1038</v>
      </c>
      <c r="M17" s="321">
        <v>1325</v>
      </c>
      <c r="N17" s="320" t="s">
        <v>1038</v>
      </c>
      <c r="O17" s="320" t="s">
        <v>1038</v>
      </c>
      <c r="P17" s="320" t="s">
        <v>1038</v>
      </c>
      <c r="Q17" s="321">
        <v>1575</v>
      </c>
      <c r="R17" s="320" t="s">
        <v>1038</v>
      </c>
      <c r="S17" s="320" t="s">
        <v>1038</v>
      </c>
      <c r="T17" s="320" t="s">
        <v>1038</v>
      </c>
      <c r="U17" s="321">
        <v>1735</v>
      </c>
      <c r="V17" s="320" t="s">
        <v>64</v>
      </c>
      <c r="W17" s="320" t="s">
        <v>64</v>
      </c>
      <c r="X17" s="320" t="s">
        <v>64</v>
      </c>
      <c r="Y17" s="320" t="s">
        <v>64</v>
      </c>
      <c r="Z17" s="320" t="s">
        <v>64</v>
      </c>
      <c r="AA17" s="320" t="s">
        <v>64</v>
      </c>
      <c r="AB17" s="320" t="s">
        <v>64</v>
      </c>
      <c r="AC17" s="320" t="s">
        <v>64</v>
      </c>
      <c r="AD17" s="323"/>
      <c r="AE17" s="324"/>
      <c r="AF17" s="319"/>
    </row>
    <row r="18" ht="24.75" customHeight="1" s="5" customFormat="1">
      <c r="A18" s="315" t="s">
        <v>205</v>
      </c>
      <c r="B18" s="316" t="s">
        <v>300</v>
      </c>
      <c r="C18" s="317" t="s">
        <v>1408</v>
      </c>
      <c r="D18" s="5"/>
      <c r="E18" s="319" t="s">
        <v>1408</v>
      </c>
      <c r="F18" s="320" t="s">
        <v>1367</v>
      </c>
      <c r="G18" s="320" t="s">
        <v>1245</v>
      </c>
      <c r="H18" s="320" t="s">
        <v>1368</v>
      </c>
      <c r="I18" s="320" t="s">
        <v>930</v>
      </c>
      <c r="J18" s="320" t="s">
        <v>1409</v>
      </c>
      <c r="K18" s="320" t="s">
        <v>1409</v>
      </c>
      <c r="L18" s="320" t="s">
        <v>1409</v>
      </c>
      <c r="M18" s="322" t="s">
        <v>64</v>
      </c>
      <c r="N18" s="320" t="s">
        <v>1038</v>
      </c>
      <c r="O18" s="320" t="s">
        <v>1038</v>
      </c>
      <c r="P18" s="320" t="s">
        <v>1038</v>
      </c>
      <c r="Q18" s="321">
        <v>1250</v>
      </c>
      <c r="R18" s="320" t="s">
        <v>1410</v>
      </c>
      <c r="S18" s="320" t="s">
        <v>1410</v>
      </c>
      <c r="T18" s="320" t="s">
        <v>1410</v>
      </c>
      <c r="U18" s="322" t="s">
        <v>64</v>
      </c>
      <c r="V18" s="320" t="s">
        <v>64</v>
      </c>
      <c r="W18" s="320" t="s">
        <v>64</v>
      </c>
      <c r="X18" s="320" t="s">
        <v>64</v>
      </c>
      <c r="Y18" s="320" t="s">
        <v>64</v>
      </c>
      <c r="Z18" s="320" t="s">
        <v>64</v>
      </c>
      <c r="AA18" s="320" t="s">
        <v>64</v>
      </c>
      <c r="AB18" s="320" t="s">
        <v>64</v>
      </c>
      <c r="AC18" s="320" t="s">
        <v>64</v>
      </c>
      <c r="AD18" s="323"/>
      <c r="AE18" s="324"/>
      <c r="AF18" s="319"/>
    </row>
    <row r="19" ht="28.5" customHeight="1" s="5" customFormat="1">
      <c r="A19" s="325" t="s">
        <v>154</v>
      </c>
      <c r="B19" s="326" t="s">
        <v>339</v>
      </c>
      <c r="C19" s="327" t="s">
        <v>1411</v>
      </c>
      <c r="D19" s="5"/>
      <c r="E19" s="325" t="s">
        <v>64</v>
      </c>
      <c r="F19" s="325" t="s">
        <v>1367</v>
      </c>
      <c r="G19" s="325" t="s">
        <v>1245</v>
      </c>
      <c r="H19" s="325"/>
      <c r="I19" s="325"/>
      <c r="J19" s="325" t="s">
        <v>64</v>
      </c>
      <c r="K19" s="325" t="s">
        <v>64</v>
      </c>
      <c r="L19" s="325" t="s">
        <v>1371</v>
      </c>
      <c r="M19" s="325" t="s">
        <v>1371</v>
      </c>
      <c r="N19" s="325" t="s">
        <v>64</v>
      </c>
      <c r="O19" s="325" t="s">
        <v>64</v>
      </c>
      <c r="P19" s="325" t="s">
        <v>1374</v>
      </c>
      <c r="Q19" s="325" t="s">
        <v>1374</v>
      </c>
      <c r="R19" s="325" t="s">
        <v>64</v>
      </c>
      <c r="S19" s="325" t="s">
        <v>64</v>
      </c>
      <c r="T19" s="325" t="s">
        <v>1377</v>
      </c>
      <c r="U19" s="325" t="s">
        <v>1377</v>
      </c>
      <c r="V19" s="325"/>
      <c r="W19" s="325"/>
      <c r="X19" s="325"/>
      <c r="Y19" s="325"/>
      <c r="Z19" s="325"/>
      <c r="AA19" s="325"/>
      <c r="AB19" s="325"/>
      <c r="AC19" s="325"/>
      <c r="AD19" s="316" t="s">
        <v>339</v>
      </c>
      <c r="AE19" s="328" t="s">
        <v>1412</v>
      </c>
      <c r="AF19" s="328" t="s">
        <v>342</v>
      </c>
    </row>
    <row r="20" ht="34.5" customHeight="1" s="5" customFormat="1">
      <c r="A20" s="329" t="s">
        <v>154</v>
      </c>
      <c r="B20" s="326" t="s">
        <v>339</v>
      </c>
      <c r="C20" s="330" t="s">
        <v>1413</v>
      </c>
      <c r="D20" s="5"/>
      <c r="E20" s="329" t="s">
        <v>64</v>
      </c>
      <c r="F20" s="329" t="s">
        <v>1367</v>
      </c>
      <c r="G20" s="329" t="s">
        <v>1245</v>
      </c>
      <c r="H20" s="329"/>
      <c r="I20" s="329"/>
      <c r="J20" s="329"/>
      <c r="K20" s="329"/>
      <c r="L20" s="329"/>
      <c r="M20" s="331">
        <v>953</v>
      </c>
      <c r="N20" s="329"/>
      <c r="O20" s="329"/>
      <c r="P20" s="329"/>
      <c r="Q20" s="331">
        <v>1190</v>
      </c>
      <c r="R20" s="329"/>
      <c r="S20" s="329"/>
      <c r="T20" s="329"/>
      <c r="U20" s="331">
        <v>1331</v>
      </c>
      <c r="V20" s="329"/>
      <c r="W20" s="329"/>
      <c r="X20" s="329"/>
      <c r="Y20" s="329"/>
      <c r="Z20" s="329"/>
      <c r="AA20" s="329"/>
      <c r="AB20" s="329"/>
      <c r="AC20" s="329"/>
      <c r="AD20" s="316" t="s">
        <v>339</v>
      </c>
      <c r="AE20" s="332" t="s">
        <v>1414</v>
      </c>
      <c r="AF20" s="332" t="s">
        <v>1062</v>
      </c>
    </row>
    <row r="22" ht="14.25" customHeight="1" s="5" customFormat="1">
      <c r="A22" s="333" t="s">
        <v>1063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4" ht="18" customHeight="1" s="5" customFormat="1">
      <c r="A24" s="334" t="s">
        <v>349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ht="15.75" customHeight="1" s="5" customFormat="1">
      <c r="A25" s="335" t="s">
        <v>1415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ht="15.75" customHeight="1" s="5" customFormat="1">
      <c r="A26" s="5"/>
      <c r="B26" s="336" t="s">
        <v>351</v>
      </c>
      <c r="C26" s="336" t="s">
        <v>352</v>
      </c>
      <c r="D26" s="5"/>
      <c r="E26" s="336" t="s">
        <v>353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ht="20.25" customHeight="1" s="5" customFormat="1">
      <c r="A27" s="337" t="s">
        <v>160</v>
      </c>
      <c r="B27" s="338">
        <f>'Current Rents'!D30</f>
        <v>0</v>
      </c>
      <c r="C27" s="339">
        <v>953</v>
      </c>
      <c r="D27" s="5"/>
      <c r="E27" s="340">
        <f t="shared" si="0" ref="E27:E29">B27-C27</f>
        <v>-953</v>
      </c>
      <c r="F27" s="161" t="str">
        <f>IF(E27&lt;-75,"LOOK INTO INCREASING THE RENT!","")</f>
        <v>LOOK INTO INCREASING THE RENT!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ht="20.25" customHeight="1" s="5" customFormat="1">
      <c r="A28" s="337" t="s">
        <v>151</v>
      </c>
      <c r="B28" s="338">
        <f>'Current Rents'!E30</f>
        <v>0</v>
      </c>
      <c r="C28" s="339">
        <v>1190</v>
      </c>
      <c r="D28" s="5"/>
      <c r="E28" s="340">
        <f t="shared" si="0"/>
        <v>-1190</v>
      </c>
      <c r="F28" s="161" t="str">
        <f>IF(E28&lt;-75,"LOOK INTO INCREASING THE RENT!","")</f>
        <v>LOOK INTO INCREASING THE RENT!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ht="20.25" customHeight="1" s="5" customFormat="1">
      <c r="A29" s="337" t="s">
        <v>152</v>
      </c>
      <c r="B29" s="338">
        <f>'Current Rents'!F30</f>
        <v>0</v>
      </c>
      <c r="C29" s="339">
        <v>1331</v>
      </c>
      <c r="D29" s="5"/>
      <c r="E29" s="340">
        <f t="shared" si="0"/>
        <v>-1331</v>
      </c>
      <c r="F29" s="161" t="str">
        <f>IF(E29&lt;-75,"LOOK INTO INCREASING THE RENT!","")</f>
        <v>LOOK INTO INCREASING THE RENT!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</sheetData>
  <mergeCells>
    <mergeCell ref="AD3:AF3"/>
    <mergeCell ref="A3:AC3"/>
    <mergeCell ref="C9:D9"/>
    <mergeCell ref="C8:D8"/>
    <mergeCell ref="C12:D12"/>
    <mergeCell ref="C26:D26"/>
    <mergeCell ref="A24:H24"/>
    <mergeCell ref="C7:D7"/>
    <mergeCell ref="D13:D18"/>
    <mergeCell ref="A6:AF6"/>
    <mergeCell ref="A5:AF5"/>
    <mergeCell ref="A22:AF22"/>
    <mergeCell ref="C11:D11"/>
    <mergeCell ref="A25:H25"/>
    <mergeCell ref="C19:D19"/>
    <mergeCell ref="C20:D20"/>
    <mergeCell ref="C10:D10"/>
    <mergeCell ref="A4:AF4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B2A811D-AD38-DCA8-C719-B2F26A0AEAC8}" mc:Ignorable="x14ac xr xr2 xr3"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style="5" width="9.00390625" customWidth="1"/>
    <col min="2" max="2" style="5" width="18.57421875" customWidth="1"/>
    <col min="3" max="3" style="5" width="42.00390625" customWidth="1"/>
    <col min="4" max="4" style="5" width="4.7109375" customWidth="1"/>
    <col min="5" max="5" style="5" width="31.00390625" customWidth="1"/>
    <col min="6" max="6" style="5" width="14.28125" customWidth="1"/>
    <col min="7" max="7" style="5" width="9.28125" customWidth="1"/>
    <col min="8" max="9" style="5" width="13.00390625" customWidth="1"/>
    <col min="10" max="10" style="5" width="7.00390625" hidden="1" customWidth="1"/>
    <col min="11" max="11" style="5" width="13.00390625" customWidth="1"/>
    <col min="12" max="12" style="5" width="5.28125" hidden="1" customWidth="1"/>
    <col min="13" max="13" style="5" width="16.7109375" customWidth="1"/>
    <col min="14" max="14" style="5" width="7.00390625" hidden="1" customWidth="1"/>
    <col min="15" max="15" style="5" width="13.00390625" customWidth="1"/>
    <col min="16" max="16" style="5" width="5.28125" hidden="1" customWidth="1"/>
    <col min="17" max="17" style="5" width="16.7109375" customWidth="1"/>
    <col min="18" max="18" style="5" width="9.421875" customWidth="1"/>
    <col min="19" max="25" style="5" width="13.00390625" customWidth="1"/>
    <col min="26" max="26" style="5" width="24.57421875" customWidth="1"/>
    <col min="27" max="27" style="5" width="55.7109375" customWidth="1"/>
    <col min="28" max="28" style="5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36" customHeight="1" s="5" customFormat="1">
      <c r="A3" s="295" t="s">
        <v>1416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296" t="s">
        <v>1417</v>
      </c>
      <c r="AA3" s="5"/>
      <c r="AB3" s="5"/>
    </row>
    <row r="4" ht="18" customHeight="1" s="5" customFormat="1">
      <c r="A4" s="297" t="s">
        <v>1418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ht="14.25" customHeight="1" s="5" customFormat="1">
      <c r="A5" s="298" t="s">
        <v>1012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ht="25.5" customHeight="1" s="5" customFormat="1">
      <c r="A6" s="299" t="s">
        <v>1013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ht="25.5" customHeight="1" s="5" customFormat="1">
      <c r="A7" s="300" t="s">
        <v>233</v>
      </c>
      <c r="B7" s="300" t="s">
        <v>234</v>
      </c>
      <c r="C7" s="300" t="s">
        <v>3</v>
      </c>
      <c r="D7" s="5"/>
      <c r="E7" s="300" t="s">
        <v>235</v>
      </c>
      <c r="F7" s="300" t="s">
        <v>236</v>
      </c>
      <c r="G7" s="300" t="s">
        <v>237</v>
      </c>
      <c r="H7" s="300" t="s">
        <v>238</v>
      </c>
      <c r="I7" s="300" t="s">
        <v>239</v>
      </c>
      <c r="J7" s="300" t="s">
        <v>244</v>
      </c>
      <c r="K7" s="300" t="s">
        <v>245</v>
      </c>
      <c r="L7" s="300" t="s">
        <v>246</v>
      </c>
      <c r="M7" s="301" t="s">
        <v>361</v>
      </c>
      <c r="N7" s="300" t="s">
        <v>697</v>
      </c>
      <c r="O7" s="300" t="s">
        <v>698</v>
      </c>
      <c r="P7" s="300" t="s">
        <v>699</v>
      </c>
      <c r="Q7" s="301" t="s">
        <v>700</v>
      </c>
      <c r="R7" s="300" t="s">
        <v>6</v>
      </c>
      <c r="S7" s="300" t="s">
        <v>248</v>
      </c>
      <c r="T7" s="300" t="s">
        <v>249</v>
      </c>
      <c r="U7" s="300" t="s">
        <v>250</v>
      </c>
      <c r="V7" s="300" t="s">
        <v>251</v>
      </c>
      <c r="W7" s="300" t="s">
        <v>252</v>
      </c>
      <c r="X7" s="300" t="s">
        <v>253</v>
      </c>
      <c r="Y7" s="300" t="s">
        <v>254</v>
      </c>
      <c r="Z7" s="301" t="s">
        <v>255</v>
      </c>
      <c r="AA7" s="300" t="s">
        <v>256</v>
      </c>
      <c r="AB7" s="300" t="s">
        <v>257</v>
      </c>
    </row>
    <row r="8" ht="21.75" customHeight="1" s="5" customFormat="1">
      <c r="A8" s="302" t="s">
        <v>258</v>
      </c>
      <c r="B8" s="303" t="s">
        <v>259</v>
      </c>
      <c r="C8" s="304" t="s">
        <v>1419</v>
      </c>
      <c r="D8" s="5"/>
      <c r="E8" s="304" t="s">
        <v>1243</v>
      </c>
      <c r="F8" s="305" t="s">
        <v>1244</v>
      </c>
      <c r="G8" s="305" t="s">
        <v>1245</v>
      </c>
      <c r="H8" s="305" t="s">
        <v>1246</v>
      </c>
      <c r="I8" s="305" t="s">
        <v>265</v>
      </c>
      <c r="J8" s="305" t="s">
        <v>1251</v>
      </c>
      <c r="K8" s="305" t="s">
        <v>1252</v>
      </c>
      <c r="L8" s="305" t="s">
        <v>1144</v>
      </c>
      <c r="M8" s="306">
        <f>'Current Rents'!F31</f>
        <v>1401</v>
      </c>
      <c r="N8" s="305" t="s">
        <v>1299</v>
      </c>
      <c r="O8" s="305" t="s">
        <v>1300</v>
      </c>
      <c r="P8" s="305" t="s">
        <v>550</v>
      </c>
      <c r="Q8" s="306">
        <f>'Current Rents'!G31</f>
        <v>1563</v>
      </c>
      <c r="R8" s="305" t="s">
        <v>1420</v>
      </c>
      <c r="S8" s="305" t="s">
        <v>461</v>
      </c>
      <c r="T8" s="305">
        <v>0</v>
      </c>
      <c r="U8" s="305" t="s">
        <v>272</v>
      </c>
      <c r="V8" s="305" t="s">
        <v>273</v>
      </c>
      <c r="W8" s="305" t="s">
        <v>273</v>
      </c>
      <c r="X8" s="305" t="s">
        <v>273</v>
      </c>
      <c r="Y8" s="305" t="s">
        <v>273</v>
      </c>
      <c r="Z8" s="303" t="s">
        <v>259</v>
      </c>
      <c r="AA8" s="307" t="s">
        <v>1421</v>
      </c>
      <c r="AB8" s="304" t="s">
        <v>275</v>
      </c>
    </row>
    <row r="9" ht="21.75" customHeight="1" s="5" customFormat="1">
      <c r="A9" s="308" t="s">
        <v>276</v>
      </c>
      <c r="B9" s="309" t="s">
        <v>277</v>
      </c>
      <c r="C9" s="310" t="s">
        <v>1255</v>
      </c>
      <c r="D9" s="5"/>
      <c r="E9" s="311" t="s">
        <v>1256</v>
      </c>
      <c r="F9" s="308" t="s">
        <v>1244</v>
      </c>
      <c r="G9" s="308" t="s">
        <v>1245</v>
      </c>
      <c r="H9" s="308" t="s">
        <v>1246</v>
      </c>
      <c r="I9" s="308" t="s">
        <v>394</v>
      </c>
      <c r="J9" s="308" t="s">
        <v>1251</v>
      </c>
      <c r="K9" s="308" t="s">
        <v>1252</v>
      </c>
      <c r="L9" s="308" t="s">
        <v>1144</v>
      </c>
      <c r="M9" s="308" t="s">
        <v>283</v>
      </c>
      <c r="N9" s="308" t="s">
        <v>1299</v>
      </c>
      <c r="O9" s="308" t="s">
        <v>1300</v>
      </c>
      <c r="P9" s="308" t="s">
        <v>550</v>
      </c>
      <c r="Q9" s="308" t="s">
        <v>283</v>
      </c>
      <c r="R9" s="308" t="s">
        <v>1265</v>
      </c>
      <c r="S9" s="308" t="s">
        <v>407</v>
      </c>
      <c r="T9" s="308" t="s">
        <v>210</v>
      </c>
      <c r="U9" s="308" t="s">
        <v>272</v>
      </c>
      <c r="V9" s="308" t="s">
        <v>273</v>
      </c>
      <c r="W9" s="308" t="s">
        <v>273</v>
      </c>
      <c r="X9" s="308" t="s">
        <v>273</v>
      </c>
      <c r="Y9" s="308" t="s">
        <v>273</v>
      </c>
      <c r="Z9" s="312" t="s">
        <v>284</v>
      </c>
      <c r="AA9" s="313" t="s">
        <v>1422</v>
      </c>
      <c r="AB9" s="311" t="s">
        <v>1261</v>
      </c>
    </row>
    <row r="10" ht="21.75" customHeight="1" s="5" customFormat="1">
      <c r="A10" s="308" t="s">
        <v>210</v>
      </c>
      <c r="B10" s="309" t="s">
        <v>277</v>
      </c>
      <c r="C10" s="310" t="s">
        <v>1267</v>
      </c>
      <c r="D10" s="5"/>
      <c r="E10" s="311" t="s">
        <v>1268</v>
      </c>
      <c r="F10" s="308" t="s">
        <v>1269</v>
      </c>
      <c r="G10" s="308" t="s">
        <v>1245</v>
      </c>
      <c r="H10" s="308" t="s">
        <v>1270</v>
      </c>
      <c r="I10" s="308" t="s">
        <v>1171</v>
      </c>
      <c r="J10" s="308" t="s">
        <v>1251</v>
      </c>
      <c r="K10" s="308" t="s">
        <v>1252</v>
      </c>
      <c r="L10" s="308" t="s">
        <v>1144</v>
      </c>
      <c r="M10" s="308" t="s">
        <v>283</v>
      </c>
      <c r="N10" s="308" t="s">
        <v>1299</v>
      </c>
      <c r="O10" s="308" t="s">
        <v>1300</v>
      </c>
      <c r="P10" s="308" t="s">
        <v>550</v>
      </c>
      <c r="Q10" s="308" t="s">
        <v>283</v>
      </c>
      <c r="R10" s="308" t="s">
        <v>1423</v>
      </c>
      <c r="S10" s="308" t="s">
        <v>377</v>
      </c>
      <c r="T10" s="308" t="s">
        <v>320</v>
      </c>
      <c r="U10" s="308" t="s">
        <v>272</v>
      </c>
      <c r="V10" s="308" t="s">
        <v>273</v>
      </c>
      <c r="W10" s="308" t="s">
        <v>273</v>
      </c>
      <c r="X10" s="308" t="s">
        <v>273</v>
      </c>
      <c r="Y10" s="308" t="s">
        <v>273</v>
      </c>
      <c r="Z10" s="312" t="s">
        <v>284</v>
      </c>
      <c r="AA10" s="313" t="s">
        <v>1424</v>
      </c>
      <c r="AB10" s="311" t="s">
        <v>286</v>
      </c>
    </row>
    <row r="11" ht="21.75" customHeight="1" s="5" customFormat="1">
      <c r="A11" s="308" t="s">
        <v>181</v>
      </c>
      <c r="B11" s="309" t="s">
        <v>277</v>
      </c>
      <c r="C11" s="310" t="s">
        <v>1425</v>
      </c>
      <c r="D11" s="5"/>
      <c r="E11" s="311" t="s">
        <v>1426</v>
      </c>
      <c r="F11" s="308" t="s">
        <v>1305</v>
      </c>
      <c r="G11" s="308" t="s">
        <v>1245</v>
      </c>
      <c r="H11" s="308" t="s">
        <v>1427</v>
      </c>
      <c r="I11" s="308" t="s">
        <v>971</v>
      </c>
      <c r="J11" s="308" t="s">
        <v>1251</v>
      </c>
      <c r="K11" s="308" t="s">
        <v>1252</v>
      </c>
      <c r="L11" s="308" t="s">
        <v>1144</v>
      </c>
      <c r="M11" s="308" t="s">
        <v>283</v>
      </c>
      <c r="N11" s="308" t="s">
        <v>1299</v>
      </c>
      <c r="O11" s="308" t="s">
        <v>1300</v>
      </c>
      <c r="P11" s="308" t="s">
        <v>550</v>
      </c>
      <c r="Q11" s="308" t="s">
        <v>283</v>
      </c>
      <c r="R11" s="308" t="s">
        <v>1428</v>
      </c>
      <c r="S11" s="308" t="s">
        <v>407</v>
      </c>
      <c r="T11" s="308" t="s">
        <v>210</v>
      </c>
      <c r="U11" s="308" t="s">
        <v>272</v>
      </c>
      <c r="V11" s="308" t="s">
        <v>273</v>
      </c>
      <c r="W11" s="308" t="s">
        <v>273</v>
      </c>
      <c r="X11" s="308" t="s">
        <v>273</v>
      </c>
      <c r="Y11" s="308" t="s">
        <v>273</v>
      </c>
      <c r="Z11" s="312" t="s">
        <v>284</v>
      </c>
      <c r="AA11" s="313" t="s">
        <v>1429</v>
      </c>
      <c r="AB11" s="311" t="s">
        <v>286</v>
      </c>
    </row>
    <row r="12" ht="21.75" customHeight="1" s="5" customFormat="1">
      <c r="A12" s="308" t="s">
        <v>320</v>
      </c>
      <c r="B12" s="309" t="s">
        <v>277</v>
      </c>
      <c r="C12" s="310" t="s">
        <v>1273</v>
      </c>
      <c r="D12" s="5"/>
      <c r="E12" s="311" t="s">
        <v>1274</v>
      </c>
      <c r="F12" s="308" t="s">
        <v>1244</v>
      </c>
      <c r="G12" s="308" t="s">
        <v>1245</v>
      </c>
      <c r="H12" s="308" t="s">
        <v>1246</v>
      </c>
      <c r="I12" s="308" t="s">
        <v>330</v>
      </c>
      <c r="J12" s="308" t="s">
        <v>1251</v>
      </c>
      <c r="K12" s="308" t="s">
        <v>1252</v>
      </c>
      <c r="L12" s="308" t="s">
        <v>1144</v>
      </c>
      <c r="M12" s="308" t="s">
        <v>283</v>
      </c>
      <c r="N12" s="308" t="s">
        <v>1299</v>
      </c>
      <c r="O12" s="308" t="s">
        <v>1300</v>
      </c>
      <c r="P12" s="308" t="s">
        <v>550</v>
      </c>
      <c r="Q12" s="308" t="s">
        <v>283</v>
      </c>
      <c r="R12" s="308" t="s">
        <v>1423</v>
      </c>
      <c r="S12" s="308" t="s">
        <v>490</v>
      </c>
      <c r="T12" s="308" t="s">
        <v>276</v>
      </c>
      <c r="U12" s="308" t="s">
        <v>272</v>
      </c>
      <c r="V12" s="308" t="s">
        <v>273</v>
      </c>
      <c r="W12" s="308" t="s">
        <v>273</v>
      </c>
      <c r="X12" s="308" t="s">
        <v>273</v>
      </c>
      <c r="Y12" s="308" t="s">
        <v>273</v>
      </c>
      <c r="Z12" s="312" t="s">
        <v>284</v>
      </c>
      <c r="AA12" s="313" t="s">
        <v>1430</v>
      </c>
      <c r="AB12" s="311" t="s">
        <v>1277</v>
      </c>
    </row>
    <row r="13" ht="24.75" customHeight="1" s="5" customFormat="1">
      <c r="A13" s="315" t="s">
        <v>276</v>
      </c>
      <c r="B13" s="316" t="s">
        <v>300</v>
      </c>
      <c r="C13" s="317" t="s">
        <v>1278</v>
      </c>
      <c r="D13" s="318" t="s">
        <v>302</v>
      </c>
      <c r="E13" s="319" t="s">
        <v>1279</v>
      </c>
      <c r="F13" s="320" t="s">
        <v>1244</v>
      </c>
      <c r="G13" s="320" t="s">
        <v>1245</v>
      </c>
      <c r="H13" s="320" t="s">
        <v>1246</v>
      </c>
      <c r="I13" s="320" t="s">
        <v>406</v>
      </c>
      <c r="J13" s="320" t="s">
        <v>1038</v>
      </c>
      <c r="K13" s="320" t="s">
        <v>1038</v>
      </c>
      <c r="L13" s="320" t="s">
        <v>1038</v>
      </c>
      <c r="M13" s="321">
        <v>2100</v>
      </c>
      <c r="N13" s="320" t="s">
        <v>1038</v>
      </c>
      <c r="O13" s="320" t="s">
        <v>1038</v>
      </c>
      <c r="P13" s="320" t="s">
        <v>550</v>
      </c>
      <c r="Q13" s="322" t="s">
        <v>283</v>
      </c>
      <c r="R13" s="320" t="s">
        <v>64</v>
      </c>
      <c r="S13" s="320" t="s">
        <v>461</v>
      </c>
      <c r="T13" s="320" t="s">
        <v>462</v>
      </c>
      <c r="U13" s="320" t="s">
        <v>507</v>
      </c>
      <c r="V13" s="320" t="s">
        <v>507</v>
      </c>
      <c r="W13" s="320" t="s">
        <v>507</v>
      </c>
      <c r="X13" s="320" t="s">
        <v>507</v>
      </c>
      <c r="Y13" s="320" t="s">
        <v>507</v>
      </c>
      <c r="Z13" s="323" t="s">
        <v>284</v>
      </c>
      <c r="AA13" s="324" t="s">
        <v>1280</v>
      </c>
      <c r="AB13" s="319" t="s">
        <v>1281</v>
      </c>
    </row>
    <row r="14" ht="24.75" customHeight="1" s="5" customFormat="1">
      <c r="A14" s="315" t="s">
        <v>210</v>
      </c>
      <c r="B14" s="316" t="s">
        <v>300</v>
      </c>
      <c r="C14" s="317" t="s">
        <v>1431</v>
      </c>
      <c r="D14" s="5"/>
      <c r="E14" s="319" t="s">
        <v>1431</v>
      </c>
      <c r="F14" s="320" t="s">
        <v>1244</v>
      </c>
      <c r="G14" s="320" t="s">
        <v>1245</v>
      </c>
      <c r="H14" s="320" t="s">
        <v>1246</v>
      </c>
      <c r="I14" s="320" t="s">
        <v>881</v>
      </c>
      <c r="J14" s="320" t="s">
        <v>1038</v>
      </c>
      <c r="K14" s="320" t="s">
        <v>1038</v>
      </c>
      <c r="L14" s="320" t="s">
        <v>1038</v>
      </c>
      <c r="M14" s="321">
        <v>2000</v>
      </c>
      <c r="N14" s="320" t="s">
        <v>1038</v>
      </c>
      <c r="O14" s="320" t="s">
        <v>1038</v>
      </c>
      <c r="P14" s="320" t="s">
        <v>550</v>
      </c>
      <c r="Q14" s="322" t="s">
        <v>283</v>
      </c>
      <c r="R14" s="320" t="s">
        <v>64</v>
      </c>
      <c r="S14" s="320" t="s">
        <v>775</v>
      </c>
      <c r="T14" s="320" t="s">
        <v>181</v>
      </c>
      <c r="U14" s="320" t="s">
        <v>507</v>
      </c>
      <c r="V14" s="320" t="s">
        <v>507</v>
      </c>
      <c r="W14" s="320" t="s">
        <v>507</v>
      </c>
      <c r="X14" s="320" t="s">
        <v>507</v>
      </c>
      <c r="Y14" s="320" t="s">
        <v>507</v>
      </c>
      <c r="Z14" s="323" t="s">
        <v>284</v>
      </c>
      <c r="AA14" s="324" t="s">
        <v>1432</v>
      </c>
      <c r="AB14" s="319" t="s">
        <v>1285</v>
      </c>
    </row>
    <row r="15" ht="24.75" customHeight="1" s="5" customFormat="1">
      <c r="A15" s="315" t="s">
        <v>181</v>
      </c>
      <c r="B15" s="316" t="s">
        <v>300</v>
      </c>
      <c r="C15" s="317" t="s">
        <v>1433</v>
      </c>
      <c r="D15" s="5"/>
      <c r="E15" s="319" t="s">
        <v>1433</v>
      </c>
      <c r="F15" s="320" t="s">
        <v>1244</v>
      </c>
      <c r="G15" s="320" t="s">
        <v>1245</v>
      </c>
      <c r="H15" s="320" t="s">
        <v>1246</v>
      </c>
      <c r="I15" s="320" t="s">
        <v>305</v>
      </c>
      <c r="J15" s="320" t="s">
        <v>1038</v>
      </c>
      <c r="K15" s="320" t="s">
        <v>1038</v>
      </c>
      <c r="L15" s="320" t="s">
        <v>1038</v>
      </c>
      <c r="M15" s="321">
        <v>1800</v>
      </c>
      <c r="N15" s="320" t="s">
        <v>1038</v>
      </c>
      <c r="O15" s="320" t="s">
        <v>1038</v>
      </c>
      <c r="P15" s="320" t="s">
        <v>550</v>
      </c>
      <c r="Q15" s="322" t="s">
        <v>283</v>
      </c>
      <c r="R15" s="320" t="s">
        <v>64</v>
      </c>
      <c r="S15" s="320" t="s">
        <v>407</v>
      </c>
      <c r="T15" s="320" t="s">
        <v>210</v>
      </c>
      <c r="U15" s="320" t="s">
        <v>507</v>
      </c>
      <c r="V15" s="320" t="s">
        <v>507</v>
      </c>
      <c r="W15" s="320" t="s">
        <v>507</v>
      </c>
      <c r="X15" s="320" t="s">
        <v>507</v>
      </c>
      <c r="Y15" s="320" t="s">
        <v>507</v>
      </c>
      <c r="Z15" s="323" t="s">
        <v>284</v>
      </c>
      <c r="AA15" s="324" t="s">
        <v>1434</v>
      </c>
      <c r="AB15" s="319" t="s">
        <v>1285</v>
      </c>
    </row>
    <row r="16" ht="24.75" customHeight="1" s="5" customFormat="1">
      <c r="A16" s="315" t="s">
        <v>320</v>
      </c>
      <c r="B16" s="316" t="s">
        <v>300</v>
      </c>
      <c r="C16" s="317" t="s">
        <v>1435</v>
      </c>
      <c r="D16" s="5"/>
      <c r="E16" s="319" t="s">
        <v>1435</v>
      </c>
      <c r="F16" s="320" t="s">
        <v>1244</v>
      </c>
      <c r="G16" s="320" t="s">
        <v>1245</v>
      </c>
      <c r="H16" s="320" t="s">
        <v>1246</v>
      </c>
      <c r="I16" s="320" t="s">
        <v>598</v>
      </c>
      <c r="J16" s="320" t="s">
        <v>1038</v>
      </c>
      <c r="K16" s="320" t="s">
        <v>1038</v>
      </c>
      <c r="L16" s="320" t="s">
        <v>1144</v>
      </c>
      <c r="M16" s="321">
        <v>1550</v>
      </c>
      <c r="N16" s="320" t="s">
        <v>1038</v>
      </c>
      <c r="O16" s="320" t="s">
        <v>1038</v>
      </c>
      <c r="P16" s="320" t="s">
        <v>1038</v>
      </c>
      <c r="Q16" s="321">
        <v>1900</v>
      </c>
      <c r="R16" s="320" t="s">
        <v>64</v>
      </c>
      <c r="S16" s="320" t="s">
        <v>1436</v>
      </c>
      <c r="T16" s="320" t="s">
        <v>210</v>
      </c>
      <c r="U16" s="320" t="s">
        <v>507</v>
      </c>
      <c r="V16" s="320" t="s">
        <v>507</v>
      </c>
      <c r="W16" s="320" t="s">
        <v>507</v>
      </c>
      <c r="X16" s="320" t="s">
        <v>507</v>
      </c>
      <c r="Y16" s="320" t="s">
        <v>507</v>
      </c>
      <c r="Z16" s="323" t="s">
        <v>284</v>
      </c>
      <c r="AA16" s="324" t="s">
        <v>1437</v>
      </c>
      <c r="AB16" s="319" t="s">
        <v>1285</v>
      </c>
    </row>
    <row r="17" ht="28.5" customHeight="1" s="5" customFormat="1">
      <c r="A17" s="325" t="s">
        <v>154</v>
      </c>
      <c r="B17" s="326" t="s">
        <v>339</v>
      </c>
      <c r="C17" s="327" t="s">
        <v>1291</v>
      </c>
      <c r="D17" s="5"/>
      <c r="E17" s="325" t="s">
        <v>64</v>
      </c>
      <c r="F17" s="325" t="s">
        <v>1244</v>
      </c>
      <c r="G17" s="325" t="s">
        <v>1245</v>
      </c>
      <c r="H17" s="325"/>
      <c r="I17" s="325"/>
      <c r="J17" s="325" t="s">
        <v>64</v>
      </c>
      <c r="K17" s="325" t="s">
        <v>64</v>
      </c>
      <c r="L17" s="325" t="s">
        <v>1144</v>
      </c>
      <c r="M17" s="325" t="s">
        <v>1144</v>
      </c>
      <c r="N17" s="325" t="s">
        <v>64</v>
      </c>
      <c r="O17" s="325" t="s">
        <v>64</v>
      </c>
      <c r="P17" s="325" t="s">
        <v>550</v>
      </c>
      <c r="Q17" s="325" t="s">
        <v>550</v>
      </c>
      <c r="R17" s="325"/>
      <c r="S17" s="325"/>
      <c r="T17" s="325"/>
      <c r="U17" s="325"/>
      <c r="V17" s="325"/>
      <c r="W17" s="325"/>
      <c r="X17" s="325"/>
      <c r="Y17" s="325"/>
      <c r="Z17" s="316" t="s">
        <v>339</v>
      </c>
      <c r="AA17" s="328" t="s">
        <v>1292</v>
      </c>
      <c r="AB17" s="328" t="s">
        <v>342</v>
      </c>
    </row>
    <row r="18" ht="34.5" customHeight="1" s="5" customFormat="1">
      <c r="A18" s="329" t="s">
        <v>154</v>
      </c>
      <c r="B18" s="326" t="s">
        <v>339</v>
      </c>
      <c r="C18" s="330" t="s">
        <v>1293</v>
      </c>
      <c r="D18" s="5"/>
      <c r="E18" s="329" t="s">
        <v>64</v>
      </c>
      <c r="F18" s="329" t="s">
        <v>1244</v>
      </c>
      <c r="G18" s="329" t="s">
        <v>1245</v>
      </c>
      <c r="H18" s="329"/>
      <c r="I18" s="329"/>
      <c r="J18" s="329"/>
      <c r="K18" s="329"/>
      <c r="L18" s="329"/>
      <c r="M18" s="331">
        <v>1862</v>
      </c>
      <c r="N18" s="329"/>
      <c r="O18" s="329"/>
      <c r="P18" s="329"/>
      <c r="Q18" s="331">
        <v>1900</v>
      </c>
      <c r="R18" s="329"/>
      <c r="S18" s="329"/>
      <c r="T18" s="329"/>
      <c r="U18" s="329"/>
      <c r="V18" s="329"/>
      <c r="W18" s="329"/>
      <c r="X18" s="329"/>
      <c r="Y18" s="329"/>
      <c r="Z18" s="316" t="s">
        <v>339</v>
      </c>
      <c r="AA18" s="332" t="s">
        <v>1061</v>
      </c>
      <c r="AB18" s="332" t="s">
        <v>1062</v>
      </c>
    </row>
    <row r="20" ht="14.25" customHeight="1" s="5" customFormat="1">
      <c r="A20" s="333" t="s">
        <v>1063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2" ht="18" customHeight="1" s="5" customFormat="1">
      <c r="A22" s="334" t="s">
        <v>349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ht="15.75" customHeight="1" s="5" customFormat="1">
      <c r="A23" s="335" t="s">
        <v>1064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ht="15.75" customHeight="1" s="5" customFormat="1">
      <c r="A24" s="5"/>
      <c r="B24" s="336" t="s">
        <v>351</v>
      </c>
      <c r="C24" s="336" t="s">
        <v>352</v>
      </c>
      <c r="D24" s="5"/>
      <c r="E24" s="336" t="s">
        <v>353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ht="20.25" customHeight="1" s="5" customFormat="1">
      <c r="A25" s="337" t="s">
        <v>152</v>
      </c>
      <c r="B25" s="338">
        <f>'Current Rents'!F31</f>
        <v>1401</v>
      </c>
      <c r="C25" s="339">
        <v>1862</v>
      </c>
      <c r="D25" s="5"/>
      <c r="E25" s="340">
        <f t="shared" si="0" ref="E25:E26">B25-C25</f>
        <v>-461</v>
      </c>
      <c r="F25" s="161" t="str">
        <f>IF(E25&lt;-75,"LOOK INTO INCREASING THE RENT!","")</f>
        <v>LOOK INTO INCREASING THE RENT!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ht="20.25" customHeight="1" s="5" customFormat="1">
      <c r="A26" s="337" t="s">
        <v>155</v>
      </c>
      <c r="B26" s="338">
        <f>'Current Rents'!G31</f>
        <v>1563</v>
      </c>
      <c r="C26" s="339">
        <v>1900</v>
      </c>
      <c r="D26" s="5"/>
      <c r="E26" s="340">
        <f t="shared" si="0"/>
        <v>-337</v>
      </c>
      <c r="F26" s="161" t="str">
        <f>IF(E26&lt;-75,"LOOK INTO INCREASING THE RENT!","")</f>
        <v>LOOK INTO INCREASING THE RENT!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</sheetData>
  <mergeCells>
    <mergeCell ref="Z3:AB3"/>
    <mergeCell ref="A4:AB4"/>
    <mergeCell ref="A23:H23"/>
    <mergeCell ref="C8:D8"/>
    <mergeCell ref="C9:D9"/>
    <mergeCell ref="C12:D12"/>
    <mergeCell ref="C18:D18"/>
    <mergeCell ref="C17:D17"/>
    <mergeCell ref="A22:H22"/>
    <mergeCell ref="C10:D10"/>
    <mergeCell ref="C7:D7"/>
    <mergeCell ref="A3:Y3"/>
    <mergeCell ref="A20:AB20"/>
    <mergeCell ref="C24:D24"/>
    <mergeCell ref="C11:D11"/>
    <mergeCell ref="A5:AB5"/>
    <mergeCell ref="D13:D16"/>
    <mergeCell ref="A6:AB6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13F32E5-5798-392C-BF13-A4FDEA955548}" mc:Ignorable="x14ac xr xr2 xr3">
  <dimension ref="A1:AF26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style="5" width="9.00390625" customWidth="1"/>
    <col min="2" max="2" style="5" width="18.57421875" customWidth="1"/>
    <col min="3" max="3" style="5" width="42.00390625" customWidth="1"/>
    <col min="4" max="4" style="5" width="4.7109375" customWidth="1"/>
    <col min="5" max="5" style="5" width="31.00390625" customWidth="1"/>
    <col min="6" max="6" style="5" width="14.28125" customWidth="1"/>
    <col min="7" max="7" style="5" width="9.28125" customWidth="1"/>
    <col min="8" max="9" style="5" width="13.00390625" customWidth="1"/>
    <col min="10" max="10" style="5" width="7.00390625" hidden="1" customWidth="1"/>
    <col min="11" max="11" style="5" width="13.00390625" customWidth="1"/>
    <col min="12" max="12" style="5" width="5.28125" hidden="1" customWidth="1"/>
    <col min="13" max="13" style="5" width="16.7109375" customWidth="1"/>
    <col min="14" max="14" style="5" width="7.00390625" hidden="1" customWidth="1"/>
    <col min="15" max="15" style="5" width="13.00390625" customWidth="1"/>
    <col min="16" max="16" style="5" width="5.28125" hidden="1" customWidth="1"/>
    <col min="17" max="17" style="5" width="16.7109375" customWidth="1"/>
    <col min="18" max="18" style="5" width="7.00390625" hidden="1" customWidth="1"/>
    <col min="19" max="19" style="5" width="13.00390625" customWidth="1"/>
    <col min="20" max="20" style="5" width="5.28125" hidden="1" customWidth="1"/>
    <col min="21" max="21" style="5" width="16.7109375" customWidth="1"/>
    <col min="22" max="22" style="5" width="9.421875" customWidth="1"/>
    <col min="23" max="29" style="5" width="13.00390625" customWidth="1"/>
    <col min="30" max="30" style="5" width="24.57421875" customWidth="1"/>
    <col min="31" max="31" style="5" width="55.7109375" customWidth="1"/>
    <col min="32" max="32" style="5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36" customHeight="1" s="5" customFormat="1">
      <c r="A3" s="295" t="s">
        <v>1438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296" t="s">
        <v>1439</v>
      </c>
      <c r="AE3" s="5"/>
      <c r="AF3" s="5"/>
    </row>
    <row r="4" ht="18" customHeight="1" s="5" customFormat="1">
      <c r="A4" s="297" t="s">
        <v>1440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14.25" customHeight="1" s="5" customFormat="1">
      <c r="A5" s="298" t="s">
        <v>1012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25.5" customHeight="1" s="5" customFormat="1">
      <c r="A6" s="299" t="s">
        <v>1013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25.5" customHeight="1" s="5" customFormat="1">
      <c r="A7" s="300" t="s">
        <v>233</v>
      </c>
      <c r="B7" s="300" t="s">
        <v>234</v>
      </c>
      <c r="C7" s="300" t="s">
        <v>3</v>
      </c>
      <c r="D7" s="5"/>
      <c r="E7" s="300" t="s">
        <v>235</v>
      </c>
      <c r="F7" s="300" t="s">
        <v>236</v>
      </c>
      <c r="G7" s="300" t="s">
        <v>237</v>
      </c>
      <c r="H7" s="300" t="s">
        <v>238</v>
      </c>
      <c r="I7" s="300" t="s">
        <v>239</v>
      </c>
      <c r="J7" s="300" t="s">
        <v>444</v>
      </c>
      <c r="K7" s="300" t="s">
        <v>445</v>
      </c>
      <c r="L7" s="300" t="s">
        <v>446</v>
      </c>
      <c r="M7" s="301" t="s">
        <v>447</v>
      </c>
      <c r="N7" s="300" t="s">
        <v>240</v>
      </c>
      <c r="O7" s="300" t="s">
        <v>241</v>
      </c>
      <c r="P7" s="300" t="s">
        <v>242</v>
      </c>
      <c r="Q7" s="301" t="s">
        <v>360</v>
      </c>
      <c r="R7" s="300" t="s">
        <v>244</v>
      </c>
      <c r="S7" s="300" t="s">
        <v>245</v>
      </c>
      <c r="T7" s="300" t="s">
        <v>246</v>
      </c>
      <c r="U7" s="301" t="s">
        <v>361</v>
      </c>
      <c r="V7" s="300" t="s">
        <v>6</v>
      </c>
      <c r="W7" s="300" t="s">
        <v>248</v>
      </c>
      <c r="X7" s="300" t="s">
        <v>249</v>
      </c>
      <c r="Y7" s="300" t="s">
        <v>250</v>
      </c>
      <c r="Z7" s="300" t="s">
        <v>251</v>
      </c>
      <c r="AA7" s="300" t="s">
        <v>252</v>
      </c>
      <c r="AB7" s="300" t="s">
        <v>253</v>
      </c>
      <c r="AC7" s="300" t="s">
        <v>254</v>
      </c>
      <c r="AD7" s="301" t="s">
        <v>255</v>
      </c>
      <c r="AE7" s="300" t="s">
        <v>256</v>
      </c>
      <c r="AF7" s="300" t="s">
        <v>257</v>
      </c>
    </row>
    <row r="8" ht="21.75" customHeight="1" s="5" customFormat="1">
      <c r="A8" s="302" t="s">
        <v>258</v>
      </c>
      <c r="B8" s="303" t="s">
        <v>259</v>
      </c>
      <c r="C8" s="304" t="s">
        <v>1441</v>
      </c>
      <c r="D8" s="5"/>
      <c r="E8" s="304" t="s">
        <v>1442</v>
      </c>
      <c r="F8" s="305" t="s">
        <v>1443</v>
      </c>
      <c r="G8" s="305" t="s">
        <v>263</v>
      </c>
      <c r="H8" s="305" t="s">
        <v>1444</v>
      </c>
      <c r="I8" s="305" t="s">
        <v>265</v>
      </c>
      <c r="J8" s="305" t="s">
        <v>1445</v>
      </c>
      <c r="K8" s="305" t="s">
        <v>1446</v>
      </c>
      <c r="L8" s="305" t="s">
        <v>1447</v>
      </c>
      <c r="M8" s="306">
        <f>'Current Rents'!D32</f>
        <v>914</v>
      </c>
      <c r="N8" s="305" t="s">
        <v>1448</v>
      </c>
      <c r="O8" s="305" t="s">
        <v>1449</v>
      </c>
      <c r="P8" s="305" t="s">
        <v>1450</v>
      </c>
      <c r="Q8" s="306">
        <f>'Current Rents'!E32</f>
        <v>1058</v>
      </c>
      <c r="R8" s="305" t="s">
        <v>1451</v>
      </c>
      <c r="S8" s="305" t="s">
        <v>1452</v>
      </c>
      <c r="T8" s="305" t="s">
        <v>1453</v>
      </c>
      <c r="U8" s="306">
        <f>'Current Rents'!F32</f>
        <v>1204</v>
      </c>
      <c r="V8" s="305" t="s">
        <v>748</v>
      </c>
      <c r="W8" s="305" t="s">
        <v>1454</v>
      </c>
      <c r="X8" s="305">
        <v>0</v>
      </c>
      <c r="Y8" s="305" t="s">
        <v>273</v>
      </c>
      <c r="Z8" s="305" t="s">
        <v>273</v>
      </c>
      <c r="AA8" s="305" t="s">
        <v>273</v>
      </c>
      <c r="AB8" s="305" t="s">
        <v>272</v>
      </c>
      <c r="AC8" s="305" t="s">
        <v>273</v>
      </c>
      <c r="AD8" s="303" t="s">
        <v>259</v>
      </c>
      <c r="AE8" s="307" t="s">
        <v>1455</v>
      </c>
      <c r="AF8" s="304" t="s">
        <v>275</v>
      </c>
    </row>
    <row r="9" ht="21.75" customHeight="1" s="5" customFormat="1">
      <c r="A9" s="308" t="s">
        <v>276</v>
      </c>
      <c r="B9" s="309" t="s">
        <v>277</v>
      </c>
      <c r="C9" s="310" t="s">
        <v>1456</v>
      </c>
      <c r="D9" s="5"/>
      <c r="E9" s="311" t="s">
        <v>1457</v>
      </c>
      <c r="F9" s="308" t="s">
        <v>412</v>
      </c>
      <c r="G9" s="308" t="s">
        <v>263</v>
      </c>
      <c r="H9" s="308" t="s">
        <v>1458</v>
      </c>
      <c r="I9" s="308" t="s">
        <v>1459</v>
      </c>
      <c r="J9" s="308" t="s">
        <v>1445</v>
      </c>
      <c r="K9" s="308" t="s">
        <v>1446</v>
      </c>
      <c r="L9" s="308" t="s">
        <v>1447</v>
      </c>
      <c r="M9" s="308" t="s">
        <v>283</v>
      </c>
      <c r="N9" s="308" t="s">
        <v>1448</v>
      </c>
      <c r="O9" s="308" t="s">
        <v>1449</v>
      </c>
      <c r="P9" s="308" t="s">
        <v>1450</v>
      </c>
      <c r="Q9" s="308" t="s">
        <v>283</v>
      </c>
      <c r="R9" s="308" t="s">
        <v>1451</v>
      </c>
      <c r="S9" s="308" t="s">
        <v>1452</v>
      </c>
      <c r="T9" s="308" t="s">
        <v>1453</v>
      </c>
      <c r="U9" s="308" t="s">
        <v>1460</v>
      </c>
      <c r="V9" s="308" t="s">
        <v>1461</v>
      </c>
      <c r="W9" s="308" t="s">
        <v>1454</v>
      </c>
      <c r="X9" s="308" t="s">
        <v>462</v>
      </c>
      <c r="Y9" s="308" t="s">
        <v>272</v>
      </c>
      <c r="Z9" s="308" t="s">
        <v>273</v>
      </c>
      <c r="AA9" s="308" t="s">
        <v>273</v>
      </c>
      <c r="AB9" s="308" t="s">
        <v>273</v>
      </c>
      <c r="AC9" s="308" t="s">
        <v>273</v>
      </c>
      <c r="AD9" s="314" t="s">
        <v>298</v>
      </c>
      <c r="AE9" s="313" t="s">
        <v>1462</v>
      </c>
      <c r="AF9" s="311" t="s">
        <v>967</v>
      </c>
    </row>
    <row r="10" ht="21.75" customHeight="1" s="5" customFormat="1">
      <c r="A10" s="308" t="s">
        <v>210</v>
      </c>
      <c r="B10" s="309" t="s">
        <v>277</v>
      </c>
      <c r="C10" s="310" t="s">
        <v>1463</v>
      </c>
      <c r="D10" s="5"/>
      <c r="E10" s="311" t="s">
        <v>1464</v>
      </c>
      <c r="F10" s="308" t="s">
        <v>412</v>
      </c>
      <c r="G10" s="308" t="s">
        <v>263</v>
      </c>
      <c r="H10" s="308" t="s">
        <v>1465</v>
      </c>
      <c r="I10" s="308" t="s">
        <v>1466</v>
      </c>
      <c r="J10" s="308" t="s">
        <v>1445</v>
      </c>
      <c r="K10" s="308" t="s">
        <v>1446</v>
      </c>
      <c r="L10" s="308" t="s">
        <v>1447</v>
      </c>
      <c r="M10" s="308" t="s">
        <v>283</v>
      </c>
      <c r="N10" s="308" t="s">
        <v>1448</v>
      </c>
      <c r="O10" s="308" t="s">
        <v>1449</v>
      </c>
      <c r="P10" s="308" t="s">
        <v>1450</v>
      </c>
      <c r="Q10" s="308" t="s">
        <v>283</v>
      </c>
      <c r="R10" s="308" t="s">
        <v>1451</v>
      </c>
      <c r="S10" s="308" t="s">
        <v>1452</v>
      </c>
      <c r="T10" s="308" t="s">
        <v>1453</v>
      </c>
      <c r="U10" s="308" t="s">
        <v>283</v>
      </c>
      <c r="V10" s="308" t="s">
        <v>1428</v>
      </c>
      <c r="W10" s="308" t="s">
        <v>1454</v>
      </c>
      <c r="X10" s="308" t="s">
        <v>462</v>
      </c>
      <c r="Y10" s="308" t="s">
        <v>272</v>
      </c>
      <c r="Z10" s="308" t="s">
        <v>273</v>
      </c>
      <c r="AA10" s="308" t="s">
        <v>273</v>
      </c>
      <c r="AB10" s="308" t="s">
        <v>273</v>
      </c>
      <c r="AC10" s="308" t="s">
        <v>273</v>
      </c>
      <c r="AD10" s="314" t="s">
        <v>298</v>
      </c>
      <c r="AE10" s="313" t="s">
        <v>1467</v>
      </c>
      <c r="AF10" s="311" t="s">
        <v>967</v>
      </c>
    </row>
    <row r="11" ht="21.75" customHeight="1" s="5" customFormat="1">
      <c r="A11" s="308" t="s">
        <v>181</v>
      </c>
      <c r="B11" s="309" t="s">
        <v>277</v>
      </c>
      <c r="C11" s="310" t="s">
        <v>1468</v>
      </c>
      <c r="D11" s="5"/>
      <c r="E11" s="311" t="s">
        <v>1469</v>
      </c>
      <c r="F11" s="308" t="s">
        <v>412</v>
      </c>
      <c r="G11" s="308" t="s">
        <v>263</v>
      </c>
      <c r="H11" s="308" t="s">
        <v>1465</v>
      </c>
      <c r="I11" s="308" t="s">
        <v>1470</v>
      </c>
      <c r="J11" s="308" t="s">
        <v>1445</v>
      </c>
      <c r="K11" s="308" t="s">
        <v>1446</v>
      </c>
      <c r="L11" s="308" t="s">
        <v>1447</v>
      </c>
      <c r="M11" s="308" t="s">
        <v>283</v>
      </c>
      <c r="N11" s="308" t="s">
        <v>1448</v>
      </c>
      <c r="O11" s="308" t="s">
        <v>1449</v>
      </c>
      <c r="P11" s="308" t="s">
        <v>1450</v>
      </c>
      <c r="Q11" s="308" t="s">
        <v>283</v>
      </c>
      <c r="R11" s="308" t="s">
        <v>1451</v>
      </c>
      <c r="S11" s="308" t="s">
        <v>1452</v>
      </c>
      <c r="T11" s="308" t="s">
        <v>1453</v>
      </c>
      <c r="U11" s="308" t="s">
        <v>283</v>
      </c>
      <c r="V11" s="308" t="s">
        <v>1471</v>
      </c>
      <c r="W11" s="308" t="s">
        <v>603</v>
      </c>
      <c r="X11" s="308" t="s">
        <v>210</v>
      </c>
      <c r="Y11" s="308" t="s">
        <v>272</v>
      </c>
      <c r="Z11" s="308" t="s">
        <v>273</v>
      </c>
      <c r="AA11" s="308" t="s">
        <v>273</v>
      </c>
      <c r="AB11" s="308" t="s">
        <v>273</v>
      </c>
      <c r="AC11" s="308" t="s">
        <v>273</v>
      </c>
      <c r="AD11" s="314" t="s">
        <v>298</v>
      </c>
      <c r="AE11" s="313" t="s">
        <v>1472</v>
      </c>
      <c r="AF11" s="311" t="s">
        <v>967</v>
      </c>
    </row>
    <row r="12" ht="24.75" customHeight="1" s="5" customFormat="1">
      <c r="A12" s="315" t="s">
        <v>276</v>
      </c>
      <c r="B12" s="316" t="s">
        <v>300</v>
      </c>
      <c r="C12" s="317" t="s">
        <v>1473</v>
      </c>
      <c r="D12" s="318" t="s">
        <v>302</v>
      </c>
      <c r="E12" s="319" t="s">
        <v>1474</v>
      </c>
      <c r="F12" s="320" t="s">
        <v>1443</v>
      </c>
      <c r="G12" s="320" t="s">
        <v>263</v>
      </c>
      <c r="H12" s="320" t="s">
        <v>1444</v>
      </c>
      <c r="I12" s="320" t="s">
        <v>323</v>
      </c>
      <c r="J12" s="320" t="s">
        <v>1038</v>
      </c>
      <c r="K12" s="320" t="s">
        <v>1038</v>
      </c>
      <c r="L12" s="320" t="s">
        <v>1038</v>
      </c>
      <c r="M12" s="321">
        <v>880</v>
      </c>
      <c r="N12" s="320" t="s">
        <v>1038</v>
      </c>
      <c r="O12" s="320" t="s">
        <v>1038</v>
      </c>
      <c r="P12" s="320" t="s">
        <v>1450</v>
      </c>
      <c r="Q12" s="321">
        <v>1295</v>
      </c>
      <c r="R12" s="320" t="s">
        <v>1038</v>
      </c>
      <c r="S12" s="320" t="s">
        <v>1038</v>
      </c>
      <c r="T12" s="320" t="s">
        <v>1453</v>
      </c>
      <c r="U12" s="321">
        <v>1625</v>
      </c>
      <c r="V12" s="320" t="s">
        <v>64</v>
      </c>
      <c r="W12" s="320" t="s">
        <v>1454</v>
      </c>
      <c r="X12" s="320" t="s">
        <v>462</v>
      </c>
      <c r="Y12" s="320" t="s">
        <v>507</v>
      </c>
      <c r="Z12" s="320" t="s">
        <v>507</v>
      </c>
      <c r="AA12" s="320" t="s">
        <v>507</v>
      </c>
      <c r="AB12" s="320" t="s">
        <v>507</v>
      </c>
      <c r="AC12" s="320" t="s">
        <v>507</v>
      </c>
      <c r="AD12" s="323" t="s">
        <v>284</v>
      </c>
      <c r="AE12" s="324" t="s">
        <v>1475</v>
      </c>
      <c r="AF12" s="319" t="s">
        <v>1476</v>
      </c>
    </row>
    <row r="13" ht="24.75" customHeight="1" s="5" customFormat="1">
      <c r="A13" s="315" t="s">
        <v>210</v>
      </c>
      <c r="B13" s="316" t="s">
        <v>300</v>
      </c>
      <c r="C13" s="317" t="s">
        <v>1477</v>
      </c>
      <c r="D13" s="5"/>
      <c r="E13" s="319" t="s">
        <v>1478</v>
      </c>
      <c r="F13" s="320" t="s">
        <v>1479</v>
      </c>
      <c r="G13" s="320" t="s">
        <v>263</v>
      </c>
      <c r="H13" s="320" t="s">
        <v>1480</v>
      </c>
      <c r="I13" s="320" t="s">
        <v>1481</v>
      </c>
      <c r="J13" s="320" t="s">
        <v>1038</v>
      </c>
      <c r="K13" s="320" t="s">
        <v>1038</v>
      </c>
      <c r="L13" s="320" t="s">
        <v>1038</v>
      </c>
      <c r="M13" s="321">
        <v>850</v>
      </c>
      <c r="N13" s="320" t="s">
        <v>1038</v>
      </c>
      <c r="O13" s="320" t="s">
        <v>1038</v>
      </c>
      <c r="P13" s="320" t="s">
        <v>1038</v>
      </c>
      <c r="Q13" s="321">
        <v>970</v>
      </c>
      <c r="R13" s="320" t="s">
        <v>1038</v>
      </c>
      <c r="S13" s="320" t="s">
        <v>1038</v>
      </c>
      <c r="T13" s="320" t="s">
        <v>1038</v>
      </c>
      <c r="U13" s="321">
        <v>1150</v>
      </c>
      <c r="V13" s="320" t="s">
        <v>64</v>
      </c>
      <c r="W13" s="320" t="s">
        <v>1027</v>
      </c>
      <c r="X13" s="320" t="s">
        <v>181</v>
      </c>
      <c r="Y13" s="320" t="s">
        <v>273</v>
      </c>
      <c r="Z13" s="320" t="s">
        <v>272</v>
      </c>
      <c r="AA13" s="320" t="s">
        <v>272</v>
      </c>
      <c r="AB13" s="320" t="s">
        <v>272</v>
      </c>
      <c r="AC13" s="320" t="s">
        <v>272</v>
      </c>
      <c r="AD13" s="323" t="s">
        <v>284</v>
      </c>
      <c r="AE13" s="324" t="s">
        <v>1482</v>
      </c>
      <c r="AF13" s="319" t="s">
        <v>1483</v>
      </c>
    </row>
    <row r="14" ht="24.75" customHeight="1" s="5" customFormat="1">
      <c r="A14" s="315" t="s">
        <v>181</v>
      </c>
      <c r="B14" s="316" t="s">
        <v>300</v>
      </c>
      <c r="C14" s="317" t="s">
        <v>1484</v>
      </c>
      <c r="D14" s="5"/>
      <c r="E14" s="319" t="s">
        <v>1484</v>
      </c>
      <c r="F14" s="320" t="s">
        <v>1443</v>
      </c>
      <c r="G14" s="320" t="s">
        <v>263</v>
      </c>
      <c r="H14" s="320" t="s">
        <v>1444</v>
      </c>
      <c r="I14" s="320" t="s">
        <v>598</v>
      </c>
      <c r="J14" s="320" t="s">
        <v>1038</v>
      </c>
      <c r="K14" s="320" t="s">
        <v>1038</v>
      </c>
      <c r="L14" s="320" t="s">
        <v>1447</v>
      </c>
      <c r="M14" s="321">
        <v>559</v>
      </c>
      <c r="N14" s="320" t="s">
        <v>1038</v>
      </c>
      <c r="O14" s="320" t="s">
        <v>1038</v>
      </c>
      <c r="P14" s="320" t="s">
        <v>1038</v>
      </c>
      <c r="Q14" s="321">
        <v>1095</v>
      </c>
      <c r="R14" s="320" t="s">
        <v>1038</v>
      </c>
      <c r="S14" s="320" t="s">
        <v>1038</v>
      </c>
      <c r="T14" s="320" t="s">
        <v>1453</v>
      </c>
      <c r="U14" s="322" t="s">
        <v>283</v>
      </c>
      <c r="V14" s="320" t="s">
        <v>164</v>
      </c>
      <c r="W14" s="320" t="s">
        <v>1016</v>
      </c>
      <c r="X14" s="320" t="s">
        <v>210</v>
      </c>
      <c r="Y14" s="320" t="s">
        <v>273</v>
      </c>
      <c r="Z14" s="320" t="s">
        <v>272</v>
      </c>
      <c r="AA14" s="320" t="s">
        <v>272</v>
      </c>
      <c r="AB14" s="320" t="s">
        <v>273</v>
      </c>
      <c r="AC14" s="320" t="s">
        <v>272</v>
      </c>
      <c r="AD14" s="323" t="s">
        <v>284</v>
      </c>
      <c r="AE14" s="324" t="s">
        <v>1485</v>
      </c>
      <c r="AF14" s="319" t="s">
        <v>1486</v>
      </c>
    </row>
    <row r="15" ht="24.75" customHeight="1" s="5" customFormat="1">
      <c r="A15" s="315" t="s">
        <v>320</v>
      </c>
      <c r="B15" s="316" t="s">
        <v>300</v>
      </c>
      <c r="C15" s="317" t="s">
        <v>1487</v>
      </c>
      <c r="D15" s="5"/>
      <c r="E15" s="319" t="s">
        <v>1487</v>
      </c>
      <c r="F15" s="320" t="s">
        <v>1443</v>
      </c>
      <c r="G15" s="320" t="s">
        <v>263</v>
      </c>
      <c r="H15" s="320" t="s">
        <v>1444</v>
      </c>
      <c r="I15" s="320" t="s">
        <v>1288</v>
      </c>
      <c r="J15" s="320" t="s">
        <v>1038</v>
      </c>
      <c r="K15" s="320" t="s">
        <v>1038</v>
      </c>
      <c r="L15" s="320" t="s">
        <v>1447</v>
      </c>
      <c r="M15" s="321">
        <v>475</v>
      </c>
      <c r="N15" s="320" t="s">
        <v>1038</v>
      </c>
      <c r="O15" s="320" t="s">
        <v>1038</v>
      </c>
      <c r="P15" s="320" t="s">
        <v>1038</v>
      </c>
      <c r="Q15" s="321">
        <v>1175</v>
      </c>
      <c r="R15" s="320" t="s">
        <v>1038</v>
      </c>
      <c r="S15" s="320" t="s">
        <v>1038</v>
      </c>
      <c r="T15" s="320" t="s">
        <v>1453</v>
      </c>
      <c r="U15" s="322" t="s">
        <v>283</v>
      </c>
      <c r="V15" s="320" t="s">
        <v>1096</v>
      </c>
      <c r="W15" s="320" t="s">
        <v>603</v>
      </c>
      <c r="X15" s="320" t="s">
        <v>210</v>
      </c>
      <c r="Y15" s="320" t="s">
        <v>273</v>
      </c>
      <c r="Z15" s="320" t="s">
        <v>272</v>
      </c>
      <c r="AA15" s="320" t="s">
        <v>272</v>
      </c>
      <c r="AB15" s="320" t="s">
        <v>273</v>
      </c>
      <c r="AC15" s="320" t="s">
        <v>272</v>
      </c>
      <c r="AD15" s="323" t="s">
        <v>284</v>
      </c>
      <c r="AE15" s="324" t="s">
        <v>1488</v>
      </c>
      <c r="AF15" s="319" t="s">
        <v>1489</v>
      </c>
    </row>
    <row r="16" ht="28.5" customHeight="1" s="5" customFormat="1">
      <c r="A16" s="325" t="s">
        <v>154</v>
      </c>
      <c r="B16" s="326" t="s">
        <v>339</v>
      </c>
      <c r="C16" s="327" t="s">
        <v>1490</v>
      </c>
      <c r="D16" s="5"/>
      <c r="E16" s="325" t="s">
        <v>64</v>
      </c>
      <c r="F16" s="325" t="s">
        <v>1443</v>
      </c>
      <c r="G16" s="325" t="s">
        <v>263</v>
      </c>
      <c r="H16" s="325"/>
      <c r="I16" s="325"/>
      <c r="J16" s="325" t="s">
        <v>64</v>
      </c>
      <c r="K16" s="325" t="s">
        <v>64</v>
      </c>
      <c r="L16" s="325" t="s">
        <v>1447</v>
      </c>
      <c r="M16" s="325" t="s">
        <v>1447</v>
      </c>
      <c r="N16" s="325" t="s">
        <v>64</v>
      </c>
      <c r="O16" s="325" t="s">
        <v>64</v>
      </c>
      <c r="P16" s="325" t="s">
        <v>1450</v>
      </c>
      <c r="Q16" s="325" t="s">
        <v>1450</v>
      </c>
      <c r="R16" s="325" t="s">
        <v>64</v>
      </c>
      <c r="S16" s="325" t="s">
        <v>64</v>
      </c>
      <c r="T16" s="325" t="s">
        <v>1453</v>
      </c>
      <c r="U16" s="325" t="s">
        <v>1453</v>
      </c>
      <c r="V16" s="325"/>
      <c r="W16" s="325"/>
      <c r="X16" s="325"/>
      <c r="Y16" s="325"/>
      <c r="Z16" s="325"/>
      <c r="AA16" s="325"/>
      <c r="AB16" s="325"/>
      <c r="AC16" s="325"/>
      <c r="AD16" s="316" t="s">
        <v>339</v>
      </c>
      <c r="AE16" s="328" t="s">
        <v>1491</v>
      </c>
      <c r="AF16" s="328" t="s">
        <v>342</v>
      </c>
    </row>
    <row r="17" ht="34.5" customHeight="1" s="5" customFormat="1">
      <c r="A17" s="329" t="s">
        <v>154</v>
      </c>
      <c r="B17" s="326" t="s">
        <v>339</v>
      </c>
      <c r="C17" s="330" t="s">
        <v>1492</v>
      </c>
      <c r="D17" s="5"/>
      <c r="E17" s="329" t="s">
        <v>64</v>
      </c>
      <c r="F17" s="329" t="s">
        <v>1443</v>
      </c>
      <c r="G17" s="329" t="s">
        <v>263</v>
      </c>
      <c r="H17" s="329"/>
      <c r="I17" s="329"/>
      <c r="J17" s="329"/>
      <c r="K17" s="329"/>
      <c r="L17" s="329"/>
      <c r="M17" s="331">
        <v>691</v>
      </c>
      <c r="N17" s="329"/>
      <c r="O17" s="329"/>
      <c r="P17" s="329"/>
      <c r="Q17" s="331">
        <v>1134</v>
      </c>
      <c r="R17" s="329"/>
      <c r="S17" s="329"/>
      <c r="T17" s="329"/>
      <c r="U17" s="331">
        <v>1388</v>
      </c>
      <c r="V17" s="329"/>
      <c r="W17" s="329"/>
      <c r="X17" s="329"/>
      <c r="Y17" s="329"/>
      <c r="Z17" s="329"/>
      <c r="AA17" s="329"/>
      <c r="AB17" s="329"/>
      <c r="AC17" s="329"/>
      <c r="AD17" s="316" t="s">
        <v>339</v>
      </c>
      <c r="AE17" s="332" t="s">
        <v>1061</v>
      </c>
      <c r="AF17" s="332" t="s">
        <v>1062</v>
      </c>
    </row>
    <row r="19" ht="14.25" customHeight="1" s="5" customFormat="1">
      <c r="A19" s="333" t="s">
        <v>1063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1" ht="18" customHeight="1" s="5" customFormat="1">
      <c r="A21" s="334" t="s">
        <v>349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ht="15.75" customHeight="1" s="5" customFormat="1">
      <c r="A22" s="335" t="s">
        <v>1064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ht="15.75" customHeight="1" s="5" customFormat="1">
      <c r="A23" s="5"/>
      <c r="B23" s="336" t="s">
        <v>351</v>
      </c>
      <c r="C23" s="336" t="s">
        <v>352</v>
      </c>
      <c r="D23" s="5"/>
      <c r="E23" s="336" t="s">
        <v>353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ht="20.25" customHeight="1" s="5" customFormat="1">
      <c r="A24" s="337" t="s">
        <v>160</v>
      </c>
      <c r="B24" s="338">
        <f>'Current Rents'!D32</f>
        <v>914</v>
      </c>
      <c r="C24" s="339">
        <v>691</v>
      </c>
      <c r="D24" s="5"/>
      <c r="E24" s="340">
        <f t="shared" si="0" ref="E24:E26">B24-C24</f>
        <v>223</v>
      </c>
      <c r="F24" s="161" t="str">
        <f>IF(E24&lt;-75,"LOOK INTO INCREASING THE RENT!","")</f>
        <v/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ht="20.25" customHeight="1" s="5" customFormat="1">
      <c r="A25" s="337" t="s">
        <v>151</v>
      </c>
      <c r="B25" s="338">
        <f>'Current Rents'!E32</f>
        <v>1058</v>
      </c>
      <c r="C25" s="339">
        <v>1134</v>
      </c>
      <c r="D25" s="5"/>
      <c r="E25" s="340">
        <f t="shared" si="0"/>
        <v>-76</v>
      </c>
      <c r="F25" s="161" t="str">
        <f>IF(E25&lt;-75,"LOOK INTO INCREASING THE RENT!","")</f>
        <v>LOOK INTO INCREASING THE RENT!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ht="20.25" customHeight="1" s="5" customFormat="1">
      <c r="A26" s="337" t="s">
        <v>152</v>
      </c>
      <c r="B26" s="338">
        <f>'Current Rents'!F32</f>
        <v>1204</v>
      </c>
      <c r="C26" s="339">
        <v>1388</v>
      </c>
      <c r="D26" s="5"/>
      <c r="E26" s="340">
        <f t="shared" si="0"/>
        <v>-184</v>
      </c>
      <c r="F26" s="161" t="str">
        <f>IF(E26&lt;-75,"LOOK INTO INCREASING THE RENT!","")</f>
        <v>LOOK INTO INCREASING THE RENT!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</sheetData>
  <mergeCells>
    <mergeCell ref="AD3:AF3"/>
    <mergeCell ref="A3:AC3"/>
    <mergeCell ref="C9:D9"/>
    <mergeCell ref="C8:D8"/>
    <mergeCell ref="C23:D23"/>
    <mergeCell ref="C17:D17"/>
    <mergeCell ref="A22:H22"/>
    <mergeCell ref="C7:D7"/>
    <mergeCell ref="A19:AF19"/>
    <mergeCell ref="C16:D16"/>
    <mergeCell ref="A6:AF6"/>
    <mergeCell ref="A21:H21"/>
    <mergeCell ref="A5:AF5"/>
    <mergeCell ref="C11:D11"/>
    <mergeCell ref="D12:D15"/>
    <mergeCell ref="C10:D10"/>
    <mergeCell ref="A4:AF4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7B13408-8868-D308-7F9A-CDE35E2CF24A}" mc:Ignorable="x14ac xr xr2 xr3"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style="5" width="9.00390625" customWidth="1"/>
    <col min="2" max="2" style="5" width="18.57421875" customWidth="1"/>
    <col min="3" max="3" style="5" width="42.00390625" customWidth="1"/>
    <col min="4" max="4" style="5" width="4.7109375" customWidth="1"/>
    <col min="5" max="5" style="5" width="31.00390625" customWidth="1"/>
    <col min="6" max="6" style="5" width="14.28125" customWidth="1"/>
    <col min="7" max="7" style="5" width="9.28125" customWidth="1"/>
    <col min="8" max="9" style="5" width="13.00390625" customWidth="1"/>
    <col min="10" max="10" style="5" width="7.00390625" hidden="1" customWidth="1"/>
    <col min="11" max="11" style="5" width="13.00390625" customWidth="1"/>
    <col min="12" max="12" style="5" width="5.28125" hidden="1" customWidth="1"/>
    <col min="13" max="13" style="5" width="16.7109375" customWidth="1"/>
    <col min="14" max="14" style="5" width="7.00390625" hidden="1" customWidth="1"/>
    <col min="15" max="15" style="5" width="13.00390625" customWidth="1"/>
    <col min="16" max="16" style="5" width="5.28125" hidden="1" customWidth="1"/>
    <col min="17" max="17" style="5" width="16.7109375" customWidth="1"/>
    <col min="18" max="18" style="5" width="7.00390625" hidden="1" customWidth="1"/>
    <col min="19" max="19" style="5" width="13.00390625" customWidth="1"/>
    <col min="20" max="20" style="5" width="5.28125" hidden="1" customWidth="1"/>
    <col min="21" max="21" style="5" width="16.7109375" customWidth="1"/>
    <col min="22" max="22" style="5" width="9.421875" customWidth="1"/>
    <col min="23" max="29" style="5" width="13.00390625" customWidth="1"/>
    <col min="30" max="30" style="5" width="24.57421875" customWidth="1"/>
    <col min="31" max="31" style="5" width="55.7109375" customWidth="1"/>
    <col min="32" max="32" style="5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36" customHeight="1" s="5" customFormat="1">
      <c r="A3" s="295" t="s">
        <v>1493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296" t="s">
        <v>1494</v>
      </c>
      <c r="AE3" s="5"/>
      <c r="AF3" s="5"/>
    </row>
    <row r="4" ht="18" customHeight="1" s="5" customFormat="1">
      <c r="A4" s="297" t="s">
        <v>1495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14.25" customHeight="1" s="5" customFormat="1">
      <c r="A5" s="298" t="s">
        <v>1012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25.5" customHeight="1" s="5" customFormat="1">
      <c r="A6" s="299" t="s">
        <v>1013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25.5" customHeight="1" s="5" customFormat="1">
      <c r="A7" s="300" t="s">
        <v>233</v>
      </c>
      <c r="B7" s="300" t="s">
        <v>234</v>
      </c>
      <c r="C7" s="300" t="s">
        <v>3</v>
      </c>
      <c r="D7" s="5"/>
      <c r="E7" s="300" t="s">
        <v>235</v>
      </c>
      <c r="F7" s="300" t="s">
        <v>236</v>
      </c>
      <c r="G7" s="300" t="s">
        <v>237</v>
      </c>
      <c r="H7" s="300" t="s">
        <v>238</v>
      </c>
      <c r="I7" s="300" t="s">
        <v>239</v>
      </c>
      <c r="J7" s="300" t="s">
        <v>444</v>
      </c>
      <c r="K7" s="300" t="s">
        <v>445</v>
      </c>
      <c r="L7" s="300" t="s">
        <v>446</v>
      </c>
      <c r="M7" s="301" t="s">
        <v>447</v>
      </c>
      <c r="N7" s="300" t="s">
        <v>240</v>
      </c>
      <c r="O7" s="300" t="s">
        <v>241</v>
      </c>
      <c r="P7" s="300" t="s">
        <v>242</v>
      </c>
      <c r="Q7" s="301" t="s">
        <v>360</v>
      </c>
      <c r="R7" s="300" t="s">
        <v>697</v>
      </c>
      <c r="S7" s="300" t="s">
        <v>698</v>
      </c>
      <c r="T7" s="300" t="s">
        <v>699</v>
      </c>
      <c r="U7" s="301" t="s">
        <v>700</v>
      </c>
      <c r="V7" s="300" t="s">
        <v>6</v>
      </c>
      <c r="W7" s="300" t="s">
        <v>248</v>
      </c>
      <c r="X7" s="300" t="s">
        <v>249</v>
      </c>
      <c r="Y7" s="300" t="s">
        <v>250</v>
      </c>
      <c r="Z7" s="300" t="s">
        <v>251</v>
      </c>
      <c r="AA7" s="300" t="s">
        <v>252</v>
      </c>
      <c r="AB7" s="300" t="s">
        <v>253</v>
      </c>
      <c r="AC7" s="300" t="s">
        <v>254</v>
      </c>
      <c r="AD7" s="301" t="s">
        <v>255</v>
      </c>
      <c r="AE7" s="300" t="s">
        <v>256</v>
      </c>
      <c r="AF7" s="300" t="s">
        <v>257</v>
      </c>
    </row>
    <row r="8" ht="21.75" customHeight="1" s="5" customFormat="1">
      <c r="A8" s="302" t="s">
        <v>258</v>
      </c>
      <c r="B8" s="303" t="s">
        <v>259</v>
      </c>
      <c r="C8" s="304" t="s">
        <v>1496</v>
      </c>
      <c r="D8" s="5"/>
      <c r="E8" s="304" t="s">
        <v>1497</v>
      </c>
      <c r="F8" s="305" t="s">
        <v>1498</v>
      </c>
      <c r="G8" s="305" t="s">
        <v>1245</v>
      </c>
      <c r="H8" s="305" t="s">
        <v>1499</v>
      </c>
      <c r="I8" s="305" t="s">
        <v>265</v>
      </c>
      <c r="J8" s="305" t="s">
        <v>1500</v>
      </c>
      <c r="K8" s="305" t="s">
        <v>1501</v>
      </c>
      <c r="L8" s="305" t="s">
        <v>1502</v>
      </c>
      <c r="M8" s="306">
        <f>'Current Rents'!D33</f>
        <v>777</v>
      </c>
      <c r="N8" s="305" t="s">
        <v>1503</v>
      </c>
      <c r="O8" s="305" t="s">
        <v>1504</v>
      </c>
      <c r="P8" s="305" t="s">
        <v>1505</v>
      </c>
      <c r="Q8" s="306">
        <f>'Current Rents'!E33</f>
        <v>885</v>
      </c>
      <c r="R8" s="305" t="s">
        <v>1506</v>
      </c>
      <c r="S8" s="305" t="s">
        <v>1507</v>
      </c>
      <c r="T8" s="305" t="s">
        <v>1508</v>
      </c>
      <c r="U8" s="306">
        <f>'Current Rents'!G33</f>
        <v>1140</v>
      </c>
      <c r="V8" s="305" t="s">
        <v>1509</v>
      </c>
      <c r="W8" s="305" t="s">
        <v>1027</v>
      </c>
      <c r="X8" s="305">
        <v>0</v>
      </c>
      <c r="Y8" s="305" t="s">
        <v>273</v>
      </c>
      <c r="Z8" s="305" t="s">
        <v>273</v>
      </c>
      <c r="AA8" s="305" t="s">
        <v>273</v>
      </c>
      <c r="AB8" s="305" t="s">
        <v>272</v>
      </c>
      <c r="AC8" s="305" t="s">
        <v>273</v>
      </c>
      <c r="AD8" s="303" t="s">
        <v>259</v>
      </c>
      <c r="AE8" s="307" t="s">
        <v>1510</v>
      </c>
      <c r="AF8" s="304" t="s">
        <v>275</v>
      </c>
    </row>
    <row r="9" ht="21.75" customHeight="1" s="5" customFormat="1">
      <c r="A9" s="308" t="s">
        <v>276</v>
      </c>
      <c r="B9" s="309" t="s">
        <v>277</v>
      </c>
      <c r="C9" s="310" t="s">
        <v>1511</v>
      </c>
      <c r="D9" s="5"/>
      <c r="E9" s="311" t="s">
        <v>1512</v>
      </c>
      <c r="F9" s="308" t="s">
        <v>1498</v>
      </c>
      <c r="G9" s="308" t="s">
        <v>1245</v>
      </c>
      <c r="H9" s="308" t="s">
        <v>1513</v>
      </c>
      <c r="I9" s="308" t="s">
        <v>1514</v>
      </c>
      <c r="J9" s="308" t="s">
        <v>1500</v>
      </c>
      <c r="K9" s="308" t="s">
        <v>1501</v>
      </c>
      <c r="L9" s="308" t="s">
        <v>1502</v>
      </c>
      <c r="M9" s="308" t="s">
        <v>283</v>
      </c>
      <c r="N9" s="308" t="s">
        <v>1503</v>
      </c>
      <c r="O9" s="308" t="s">
        <v>1504</v>
      </c>
      <c r="P9" s="308" t="s">
        <v>1505</v>
      </c>
      <c r="Q9" s="308" t="s">
        <v>283</v>
      </c>
      <c r="R9" s="308" t="s">
        <v>1506</v>
      </c>
      <c r="S9" s="308" t="s">
        <v>1507</v>
      </c>
      <c r="T9" s="308" t="s">
        <v>1508</v>
      </c>
      <c r="U9" s="308" t="s">
        <v>283</v>
      </c>
      <c r="V9" s="308" t="s">
        <v>563</v>
      </c>
      <c r="W9" s="308" t="s">
        <v>1027</v>
      </c>
      <c r="X9" s="308" t="s">
        <v>462</v>
      </c>
      <c r="Y9" s="308" t="s">
        <v>272</v>
      </c>
      <c r="Z9" s="308" t="s">
        <v>273</v>
      </c>
      <c r="AA9" s="308" t="s">
        <v>273</v>
      </c>
      <c r="AB9" s="308" t="s">
        <v>273</v>
      </c>
      <c r="AC9" s="308" t="s">
        <v>273</v>
      </c>
      <c r="AD9" s="312" t="s">
        <v>284</v>
      </c>
      <c r="AE9" s="313" t="s">
        <v>1515</v>
      </c>
      <c r="AF9" s="311" t="s">
        <v>967</v>
      </c>
    </row>
    <row r="10" ht="21.75" customHeight="1" s="5" customFormat="1">
      <c r="A10" s="308" t="s">
        <v>210</v>
      </c>
      <c r="B10" s="309" t="s">
        <v>277</v>
      </c>
      <c r="C10" s="310" t="s">
        <v>1516</v>
      </c>
      <c r="D10" s="5"/>
      <c r="E10" s="311" t="s">
        <v>1517</v>
      </c>
      <c r="F10" s="308" t="s">
        <v>1498</v>
      </c>
      <c r="G10" s="308" t="s">
        <v>1245</v>
      </c>
      <c r="H10" s="308" t="s">
        <v>1518</v>
      </c>
      <c r="I10" s="308" t="s">
        <v>1519</v>
      </c>
      <c r="J10" s="308" t="s">
        <v>1500</v>
      </c>
      <c r="K10" s="308" t="s">
        <v>1501</v>
      </c>
      <c r="L10" s="308" t="s">
        <v>1502</v>
      </c>
      <c r="M10" s="308" t="s">
        <v>283</v>
      </c>
      <c r="N10" s="308" t="s">
        <v>1503</v>
      </c>
      <c r="O10" s="308" t="s">
        <v>1504</v>
      </c>
      <c r="P10" s="308" t="s">
        <v>1505</v>
      </c>
      <c r="Q10" s="308" t="s">
        <v>1520</v>
      </c>
      <c r="R10" s="308" t="s">
        <v>1506</v>
      </c>
      <c r="S10" s="308" t="s">
        <v>1507</v>
      </c>
      <c r="T10" s="308" t="s">
        <v>1508</v>
      </c>
      <c r="U10" s="308" t="s">
        <v>283</v>
      </c>
      <c r="V10" s="308" t="s">
        <v>1521</v>
      </c>
      <c r="W10" s="308" t="s">
        <v>1027</v>
      </c>
      <c r="X10" s="308" t="s">
        <v>462</v>
      </c>
      <c r="Y10" s="308" t="s">
        <v>272</v>
      </c>
      <c r="Z10" s="308" t="s">
        <v>273</v>
      </c>
      <c r="AA10" s="308" t="s">
        <v>273</v>
      </c>
      <c r="AB10" s="308" t="s">
        <v>273</v>
      </c>
      <c r="AC10" s="308" t="s">
        <v>273</v>
      </c>
      <c r="AD10" s="312" t="s">
        <v>284</v>
      </c>
      <c r="AE10" s="313" t="s">
        <v>1522</v>
      </c>
      <c r="AF10" s="311" t="s">
        <v>967</v>
      </c>
    </row>
    <row r="11" ht="21.75" customHeight="1" s="5" customFormat="1">
      <c r="A11" s="308" t="s">
        <v>181</v>
      </c>
      <c r="B11" s="309" t="s">
        <v>277</v>
      </c>
      <c r="C11" s="310" t="s">
        <v>1523</v>
      </c>
      <c r="D11" s="5"/>
      <c r="E11" s="311" t="s">
        <v>1524</v>
      </c>
      <c r="F11" s="308" t="s">
        <v>1498</v>
      </c>
      <c r="G11" s="308" t="s">
        <v>1245</v>
      </c>
      <c r="H11" s="308" t="s">
        <v>1525</v>
      </c>
      <c r="I11" s="308" t="s">
        <v>1526</v>
      </c>
      <c r="J11" s="308" t="s">
        <v>1500</v>
      </c>
      <c r="K11" s="308" t="s">
        <v>1501</v>
      </c>
      <c r="L11" s="308" t="s">
        <v>1502</v>
      </c>
      <c r="M11" s="308" t="s">
        <v>283</v>
      </c>
      <c r="N11" s="308" t="s">
        <v>1503</v>
      </c>
      <c r="O11" s="308" t="s">
        <v>1504</v>
      </c>
      <c r="P11" s="308" t="s">
        <v>1505</v>
      </c>
      <c r="Q11" s="308" t="s">
        <v>283</v>
      </c>
      <c r="R11" s="308" t="s">
        <v>1506</v>
      </c>
      <c r="S11" s="308" t="s">
        <v>1507</v>
      </c>
      <c r="T11" s="308" t="s">
        <v>1508</v>
      </c>
      <c r="U11" s="308" t="s">
        <v>283</v>
      </c>
      <c r="V11" s="308" t="s">
        <v>551</v>
      </c>
      <c r="W11" s="308" t="s">
        <v>1016</v>
      </c>
      <c r="X11" s="308" t="s">
        <v>276</v>
      </c>
      <c r="Y11" s="308" t="s">
        <v>272</v>
      </c>
      <c r="Z11" s="308" t="s">
        <v>273</v>
      </c>
      <c r="AA11" s="308" t="s">
        <v>273</v>
      </c>
      <c r="AB11" s="308" t="s">
        <v>273</v>
      </c>
      <c r="AC11" s="308" t="s">
        <v>273</v>
      </c>
      <c r="AD11" s="312" t="s">
        <v>284</v>
      </c>
      <c r="AE11" s="313" t="s">
        <v>1527</v>
      </c>
      <c r="AF11" s="311" t="s">
        <v>967</v>
      </c>
    </row>
    <row r="12" ht="21.75" customHeight="1" s="5" customFormat="1">
      <c r="A12" s="308" t="s">
        <v>320</v>
      </c>
      <c r="B12" s="309" t="s">
        <v>277</v>
      </c>
      <c r="C12" s="310" t="s">
        <v>1528</v>
      </c>
      <c r="D12" s="5"/>
      <c r="E12" s="311" t="s">
        <v>1529</v>
      </c>
      <c r="F12" s="308" t="s">
        <v>1498</v>
      </c>
      <c r="G12" s="308" t="s">
        <v>1245</v>
      </c>
      <c r="H12" s="308" t="s">
        <v>1530</v>
      </c>
      <c r="I12" s="308" t="s">
        <v>608</v>
      </c>
      <c r="J12" s="308" t="s">
        <v>1500</v>
      </c>
      <c r="K12" s="308" t="s">
        <v>1501</v>
      </c>
      <c r="L12" s="308" t="s">
        <v>1502</v>
      </c>
      <c r="M12" s="308" t="s">
        <v>283</v>
      </c>
      <c r="N12" s="308" t="s">
        <v>1503</v>
      </c>
      <c r="O12" s="308" t="s">
        <v>1504</v>
      </c>
      <c r="P12" s="308" t="s">
        <v>1505</v>
      </c>
      <c r="Q12" s="308" t="s">
        <v>283</v>
      </c>
      <c r="R12" s="308" t="s">
        <v>1506</v>
      </c>
      <c r="S12" s="308" t="s">
        <v>1507</v>
      </c>
      <c r="T12" s="308" t="s">
        <v>1508</v>
      </c>
      <c r="U12" s="308" t="s">
        <v>283</v>
      </c>
      <c r="V12" s="308" t="s">
        <v>1531</v>
      </c>
      <c r="W12" s="308" t="s">
        <v>1027</v>
      </c>
      <c r="X12" s="308" t="s">
        <v>462</v>
      </c>
      <c r="Y12" s="308" t="s">
        <v>272</v>
      </c>
      <c r="Z12" s="308" t="s">
        <v>273</v>
      </c>
      <c r="AA12" s="308" t="s">
        <v>273</v>
      </c>
      <c r="AB12" s="308" t="s">
        <v>273</v>
      </c>
      <c r="AC12" s="308" t="s">
        <v>273</v>
      </c>
      <c r="AD12" s="312" t="s">
        <v>284</v>
      </c>
      <c r="AE12" s="313" t="s">
        <v>1532</v>
      </c>
      <c r="AF12" s="311" t="s">
        <v>967</v>
      </c>
    </row>
    <row r="13" ht="24.75" customHeight="1" s="5" customFormat="1">
      <c r="A13" s="315" t="s">
        <v>276</v>
      </c>
      <c r="B13" s="316" t="s">
        <v>300</v>
      </c>
      <c r="C13" s="317" t="s">
        <v>1533</v>
      </c>
      <c r="D13" s="318" t="s">
        <v>302</v>
      </c>
      <c r="E13" s="319" t="s">
        <v>1534</v>
      </c>
      <c r="F13" s="320" t="s">
        <v>1498</v>
      </c>
      <c r="G13" s="320" t="s">
        <v>1245</v>
      </c>
      <c r="H13" s="320" t="s">
        <v>1499</v>
      </c>
      <c r="I13" s="320" t="s">
        <v>881</v>
      </c>
      <c r="J13" s="320" t="s">
        <v>1038</v>
      </c>
      <c r="K13" s="320" t="s">
        <v>1038</v>
      </c>
      <c r="L13" s="320" t="s">
        <v>1038</v>
      </c>
      <c r="M13" s="321">
        <v>1180</v>
      </c>
      <c r="N13" s="320" t="s">
        <v>1038</v>
      </c>
      <c r="O13" s="320" t="s">
        <v>1038</v>
      </c>
      <c r="P13" s="320" t="s">
        <v>1505</v>
      </c>
      <c r="Q13" s="321">
        <v>1050</v>
      </c>
      <c r="R13" s="320" t="s">
        <v>1038</v>
      </c>
      <c r="S13" s="320" t="s">
        <v>1038</v>
      </c>
      <c r="T13" s="320" t="s">
        <v>1508</v>
      </c>
      <c r="U13" s="322" t="s">
        <v>283</v>
      </c>
      <c r="V13" s="320" t="s">
        <v>1265</v>
      </c>
      <c r="W13" s="320" t="s">
        <v>629</v>
      </c>
      <c r="X13" s="320" t="s">
        <v>276</v>
      </c>
      <c r="Y13" s="320" t="s">
        <v>507</v>
      </c>
      <c r="Z13" s="320" t="s">
        <v>507</v>
      </c>
      <c r="AA13" s="320" t="s">
        <v>507</v>
      </c>
      <c r="AB13" s="320" t="s">
        <v>507</v>
      </c>
      <c r="AC13" s="320" t="s">
        <v>507</v>
      </c>
      <c r="AD13" s="323" t="s">
        <v>284</v>
      </c>
      <c r="AE13" s="324" t="s">
        <v>1535</v>
      </c>
      <c r="AF13" s="319" t="s">
        <v>1536</v>
      </c>
    </row>
    <row r="14" ht="24.75" customHeight="1" s="5" customFormat="1">
      <c r="A14" s="315" t="s">
        <v>210</v>
      </c>
      <c r="B14" s="316" t="s">
        <v>300</v>
      </c>
      <c r="C14" s="317" t="s">
        <v>1537</v>
      </c>
      <c r="D14" s="5"/>
      <c r="E14" s="319" t="s">
        <v>1538</v>
      </c>
      <c r="F14" s="320" t="s">
        <v>1498</v>
      </c>
      <c r="G14" s="320" t="s">
        <v>1245</v>
      </c>
      <c r="H14" s="320" t="s">
        <v>1499</v>
      </c>
      <c r="I14" s="320" t="s">
        <v>323</v>
      </c>
      <c r="J14" s="320" t="s">
        <v>1038</v>
      </c>
      <c r="K14" s="320" t="s">
        <v>1038</v>
      </c>
      <c r="L14" s="320" t="s">
        <v>1502</v>
      </c>
      <c r="M14" s="322" t="s">
        <v>283</v>
      </c>
      <c r="N14" s="320" t="s">
        <v>1038</v>
      </c>
      <c r="O14" s="320" t="s">
        <v>1038</v>
      </c>
      <c r="P14" s="320" t="s">
        <v>1038</v>
      </c>
      <c r="Q14" s="321">
        <v>795</v>
      </c>
      <c r="R14" s="320" t="s">
        <v>1038</v>
      </c>
      <c r="S14" s="320" t="s">
        <v>1038</v>
      </c>
      <c r="T14" s="320" t="s">
        <v>1508</v>
      </c>
      <c r="U14" s="322" t="s">
        <v>283</v>
      </c>
      <c r="V14" s="320" t="s">
        <v>1428</v>
      </c>
      <c r="W14" s="320" t="s">
        <v>636</v>
      </c>
      <c r="X14" s="320" t="s">
        <v>210</v>
      </c>
      <c r="Y14" s="320" t="s">
        <v>507</v>
      </c>
      <c r="Z14" s="320" t="s">
        <v>507</v>
      </c>
      <c r="AA14" s="320" t="s">
        <v>507</v>
      </c>
      <c r="AB14" s="320" t="s">
        <v>507</v>
      </c>
      <c r="AC14" s="320" t="s">
        <v>507</v>
      </c>
      <c r="AD14" s="323" t="s">
        <v>284</v>
      </c>
      <c r="AE14" s="324" t="s">
        <v>1539</v>
      </c>
      <c r="AF14" s="319" t="s">
        <v>1540</v>
      </c>
    </row>
    <row r="15" ht="24.75" customHeight="1" s="5" customFormat="1">
      <c r="A15" s="315" t="s">
        <v>181</v>
      </c>
      <c r="B15" s="316" t="s">
        <v>300</v>
      </c>
      <c r="C15" s="317" t="s">
        <v>1541</v>
      </c>
      <c r="D15" s="5"/>
      <c r="E15" s="319" t="s">
        <v>1542</v>
      </c>
      <c r="F15" s="320" t="s">
        <v>1498</v>
      </c>
      <c r="G15" s="320" t="s">
        <v>1245</v>
      </c>
      <c r="H15" s="320" t="s">
        <v>1499</v>
      </c>
      <c r="I15" s="320" t="s">
        <v>394</v>
      </c>
      <c r="J15" s="320" t="s">
        <v>1038</v>
      </c>
      <c r="K15" s="320" t="s">
        <v>1038</v>
      </c>
      <c r="L15" s="320" t="s">
        <v>1038</v>
      </c>
      <c r="M15" s="321">
        <v>702</v>
      </c>
      <c r="N15" s="320" t="s">
        <v>1038</v>
      </c>
      <c r="O15" s="320" t="s">
        <v>1038</v>
      </c>
      <c r="P15" s="320" t="s">
        <v>1038</v>
      </c>
      <c r="Q15" s="321">
        <v>834</v>
      </c>
      <c r="R15" s="320" t="s">
        <v>1038</v>
      </c>
      <c r="S15" s="320" t="s">
        <v>1038</v>
      </c>
      <c r="T15" s="320" t="s">
        <v>1038</v>
      </c>
      <c r="U15" s="321">
        <v>1054</v>
      </c>
      <c r="V15" s="320" t="s">
        <v>748</v>
      </c>
      <c r="W15" s="320" t="s">
        <v>1016</v>
      </c>
      <c r="X15" s="320" t="s">
        <v>276</v>
      </c>
      <c r="Y15" s="320" t="s">
        <v>507</v>
      </c>
      <c r="Z15" s="320" t="s">
        <v>507</v>
      </c>
      <c r="AA15" s="320" t="s">
        <v>507</v>
      </c>
      <c r="AB15" s="320" t="s">
        <v>507</v>
      </c>
      <c r="AC15" s="320" t="s">
        <v>507</v>
      </c>
      <c r="AD15" s="323" t="s">
        <v>284</v>
      </c>
      <c r="AE15" s="324" t="s">
        <v>1543</v>
      </c>
      <c r="AF15" s="319" t="s">
        <v>1544</v>
      </c>
    </row>
    <row r="16" ht="24.75" customHeight="1" s="5" customFormat="1">
      <c r="A16" s="315" t="s">
        <v>320</v>
      </c>
      <c r="B16" s="316" t="s">
        <v>300</v>
      </c>
      <c r="C16" s="317" t="s">
        <v>1545</v>
      </c>
      <c r="D16" s="5"/>
      <c r="E16" s="319" t="s">
        <v>1545</v>
      </c>
      <c r="F16" s="320" t="s">
        <v>1498</v>
      </c>
      <c r="G16" s="320" t="s">
        <v>1245</v>
      </c>
      <c r="H16" s="320" t="s">
        <v>1499</v>
      </c>
      <c r="I16" s="320" t="s">
        <v>598</v>
      </c>
      <c r="J16" s="320" t="s">
        <v>1038</v>
      </c>
      <c r="K16" s="320" t="s">
        <v>1038</v>
      </c>
      <c r="L16" s="320" t="s">
        <v>1502</v>
      </c>
      <c r="M16" s="322" t="s">
        <v>283</v>
      </c>
      <c r="N16" s="320" t="s">
        <v>1038</v>
      </c>
      <c r="O16" s="320" t="s">
        <v>1038</v>
      </c>
      <c r="P16" s="320" t="s">
        <v>1038</v>
      </c>
      <c r="Q16" s="321">
        <v>1100</v>
      </c>
      <c r="R16" s="320" t="s">
        <v>1038</v>
      </c>
      <c r="S16" s="320" t="s">
        <v>1038</v>
      </c>
      <c r="T16" s="320" t="s">
        <v>1508</v>
      </c>
      <c r="U16" s="322" t="s">
        <v>283</v>
      </c>
      <c r="V16" s="320" t="s">
        <v>563</v>
      </c>
      <c r="W16" s="320" t="s">
        <v>1016</v>
      </c>
      <c r="X16" s="320" t="s">
        <v>276</v>
      </c>
      <c r="Y16" s="320" t="s">
        <v>507</v>
      </c>
      <c r="Z16" s="320" t="s">
        <v>507</v>
      </c>
      <c r="AA16" s="320" t="s">
        <v>507</v>
      </c>
      <c r="AB16" s="320" t="s">
        <v>507</v>
      </c>
      <c r="AC16" s="320" t="s">
        <v>507</v>
      </c>
      <c r="AD16" s="323" t="s">
        <v>284</v>
      </c>
      <c r="AE16" s="324" t="s">
        <v>1546</v>
      </c>
      <c r="AF16" s="319" t="s">
        <v>1540</v>
      </c>
    </row>
    <row r="17" ht="28.5" customHeight="1" s="5" customFormat="1">
      <c r="A17" s="325" t="s">
        <v>154</v>
      </c>
      <c r="B17" s="326" t="s">
        <v>339</v>
      </c>
      <c r="C17" s="327" t="s">
        <v>1547</v>
      </c>
      <c r="D17" s="5"/>
      <c r="E17" s="325" t="s">
        <v>64</v>
      </c>
      <c r="F17" s="325" t="s">
        <v>1498</v>
      </c>
      <c r="G17" s="325" t="s">
        <v>1245</v>
      </c>
      <c r="H17" s="325"/>
      <c r="I17" s="325"/>
      <c r="J17" s="325" t="s">
        <v>64</v>
      </c>
      <c r="K17" s="325" t="s">
        <v>64</v>
      </c>
      <c r="L17" s="325" t="s">
        <v>1502</v>
      </c>
      <c r="M17" s="325" t="s">
        <v>1502</v>
      </c>
      <c r="N17" s="325" t="s">
        <v>64</v>
      </c>
      <c r="O17" s="325" t="s">
        <v>64</v>
      </c>
      <c r="P17" s="325" t="s">
        <v>1505</v>
      </c>
      <c r="Q17" s="325" t="s">
        <v>1505</v>
      </c>
      <c r="R17" s="325" t="s">
        <v>64</v>
      </c>
      <c r="S17" s="325" t="s">
        <v>64</v>
      </c>
      <c r="T17" s="325" t="s">
        <v>1508</v>
      </c>
      <c r="U17" s="325" t="s">
        <v>1508</v>
      </c>
      <c r="V17" s="325"/>
      <c r="W17" s="325"/>
      <c r="X17" s="325"/>
      <c r="Y17" s="325"/>
      <c r="Z17" s="325"/>
      <c r="AA17" s="325"/>
      <c r="AB17" s="325"/>
      <c r="AC17" s="325"/>
      <c r="AD17" s="316" t="s">
        <v>339</v>
      </c>
      <c r="AE17" s="328" t="s">
        <v>1548</v>
      </c>
      <c r="AF17" s="328" t="s">
        <v>342</v>
      </c>
    </row>
    <row r="18" ht="34.5" customHeight="1" s="5" customFormat="1">
      <c r="A18" s="329" t="s">
        <v>154</v>
      </c>
      <c r="B18" s="326" t="s">
        <v>339</v>
      </c>
      <c r="C18" s="330" t="s">
        <v>1549</v>
      </c>
      <c r="D18" s="5"/>
      <c r="E18" s="329" t="s">
        <v>64</v>
      </c>
      <c r="F18" s="329" t="s">
        <v>1498</v>
      </c>
      <c r="G18" s="329" t="s">
        <v>1245</v>
      </c>
      <c r="H18" s="329"/>
      <c r="I18" s="329"/>
      <c r="J18" s="329"/>
      <c r="K18" s="329"/>
      <c r="L18" s="329"/>
      <c r="M18" s="331">
        <v>941</v>
      </c>
      <c r="N18" s="329"/>
      <c r="O18" s="329"/>
      <c r="P18" s="329"/>
      <c r="Q18" s="331">
        <v>945</v>
      </c>
      <c r="R18" s="329"/>
      <c r="S18" s="329"/>
      <c r="T18" s="329"/>
      <c r="U18" s="331">
        <v>1054</v>
      </c>
      <c r="V18" s="329"/>
      <c r="W18" s="329"/>
      <c r="X18" s="329"/>
      <c r="Y18" s="329"/>
      <c r="Z18" s="329"/>
      <c r="AA18" s="329"/>
      <c r="AB18" s="329"/>
      <c r="AC18" s="329"/>
      <c r="AD18" s="316" t="s">
        <v>339</v>
      </c>
      <c r="AE18" s="332" t="s">
        <v>1061</v>
      </c>
      <c r="AF18" s="332" t="s">
        <v>1062</v>
      </c>
    </row>
    <row r="20" ht="14.25" customHeight="1" s="5" customFormat="1">
      <c r="A20" s="333" t="s">
        <v>1063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2" ht="18" customHeight="1" s="5" customFormat="1">
      <c r="A22" s="334" t="s">
        <v>349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ht="15.75" customHeight="1" s="5" customFormat="1">
      <c r="A23" s="335" t="s">
        <v>1064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ht="15.75" customHeight="1" s="5" customFormat="1">
      <c r="A24" s="5"/>
      <c r="B24" s="336" t="s">
        <v>351</v>
      </c>
      <c r="C24" s="336" t="s">
        <v>352</v>
      </c>
      <c r="D24" s="5"/>
      <c r="E24" s="336" t="s">
        <v>353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ht="20.25" customHeight="1" s="5" customFormat="1">
      <c r="A25" s="337" t="s">
        <v>160</v>
      </c>
      <c r="B25" s="338">
        <f>'Current Rents'!D33</f>
        <v>777</v>
      </c>
      <c r="C25" s="339">
        <v>941</v>
      </c>
      <c r="D25" s="5"/>
      <c r="E25" s="340">
        <f t="shared" si="0" ref="E25:E27">B25-C25</f>
        <v>-164</v>
      </c>
      <c r="F25" s="161" t="str">
        <f>IF(E25&lt;-75,"LOOK INTO INCREASING THE RENT!","")</f>
        <v>LOOK INTO INCREASING THE RENT!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ht="20.25" customHeight="1" s="5" customFormat="1">
      <c r="A26" s="337" t="s">
        <v>151</v>
      </c>
      <c r="B26" s="338">
        <f>'Current Rents'!E33</f>
        <v>885</v>
      </c>
      <c r="C26" s="339">
        <v>945</v>
      </c>
      <c r="D26" s="5"/>
      <c r="E26" s="340">
        <f t="shared" si="0"/>
        <v>-60</v>
      </c>
      <c r="F26" s="161" t="str">
        <f>IF(E26&lt;-75,"LOOK INTO INCREASING THE RENT!","")</f>
        <v/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ht="20.25" customHeight="1" s="5" customFormat="1">
      <c r="A27" s="337" t="s">
        <v>155</v>
      </c>
      <c r="B27" s="338">
        <f>'Current Rents'!G33</f>
        <v>1140</v>
      </c>
      <c r="C27" s="339">
        <v>1054</v>
      </c>
      <c r="D27" s="5"/>
      <c r="E27" s="340">
        <f t="shared" si="0"/>
        <v>86</v>
      </c>
      <c r="F27" s="161" t="str">
        <f>IF(E27&lt;-75,"LOOK INTO INCREASING THE RENT!","")</f>
        <v/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</sheetData>
  <mergeCells>
    <mergeCell ref="AD3:AF3"/>
    <mergeCell ref="A23:H23"/>
    <mergeCell ref="A3:AC3"/>
    <mergeCell ref="C8:D8"/>
    <mergeCell ref="C9:D9"/>
    <mergeCell ref="C12:D12"/>
    <mergeCell ref="C17:D17"/>
    <mergeCell ref="C18:D18"/>
    <mergeCell ref="A22:H22"/>
    <mergeCell ref="C7:D7"/>
    <mergeCell ref="A20:AF20"/>
    <mergeCell ref="A6:AF6"/>
    <mergeCell ref="A5:AF5"/>
    <mergeCell ref="C24:D24"/>
    <mergeCell ref="C11:D11"/>
    <mergeCell ref="D13:D16"/>
    <mergeCell ref="C10:D10"/>
    <mergeCell ref="A4:AF4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1612D58-E7A1-D496-F979-F23C55F45788}" mc:Ignorable="x14ac xr xr2 xr3"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style="5" width="9.00390625" customWidth="1"/>
    <col min="2" max="2" style="5" width="18.57421875" customWidth="1"/>
    <col min="3" max="3" style="5" width="42.00390625" customWidth="1"/>
    <col min="4" max="4" style="5" width="4.7109375" customWidth="1"/>
    <col min="5" max="5" style="5" width="31.00390625" customWidth="1"/>
    <col min="6" max="6" style="5" width="14.28125" customWidth="1"/>
    <col min="7" max="7" style="5" width="9.28125" customWidth="1"/>
    <col min="8" max="9" style="5" width="13.00390625" customWidth="1"/>
    <col min="10" max="10" style="5" width="7.00390625" hidden="1" customWidth="1"/>
    <col min="11" max="11" style="5" width="13.00390625" customWidth="1"/>
    <col min="12" max="12" style="5" width="5.28125" hidden="1" customWidth="1"/>
    <col min="13" max="13" style="5" width="16.7109375" customWidth="1"/>
    <col min="14" max="14" style="5" width="7.00390625" hidden="1" customWidth="1"/>
    <col min="15" max="15" style="5" width="13.00390625" customWidth="1"/>
    <col min="16" max="16" style="5" width="5.28125" hidden="1" customWidth="1"/>
    <col min="17" max="17" style="5" width="16.7109375" customWidth="1"/>
    <col min="18" max="18" style="5" width="7.00390625" hidden="1" customWidth="1"/>
    <col min="19" max="19" style="5" width="13.00390625" customWidth="1"/>
    <col min="20" max="20" style="5" width="5.28125" hidden="1" customWidth="1"/>
    <col min="21" max="21" style="5" width="16.7109375" customWidth="1"/>
    <col min="22" max="22" style="5" width="9.421875" customWidth="1"/>
    <col min="23" max="29" style="5" width="13.00390625" customWidth="1"/>
    <col min="30" max="30" style="5" width="24.57421875" customWidth="1"/>
    <col min="31" max="31" style="5" width="55.7109375" customWidth="1"/>
    <col min="32" max="32" style="5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36" customHeight="1" s="5" customFormat="1">
      <c r="A3" s="295" t="s">
        <v>1550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296" t="s">
        <v>1551</v>
      </c>
      <c r="AE3" s="5"/>
      <c r="AF3" s="5"/>
    </row>
    <row r="4" ht="18" customHeight="1" s="5" customFormat="1">
      <c r="A4" s="297" t="s">
        <v>1552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14.25" customHeight="1" s="5" customFormat="1">
      <c r="A5" s="298" t="s">
        <v>1012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25.5" customHeight="1" s="5" customFormat="1">
      <c r="A6" s="299" t="s">
        <v>1013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25.5" customHeight="1" s="5" customFormat="1">
      <c r="A7" s="300" t="s">
        <v>233</v>
      </c>
      <c r="B7" s="300" t="s">
        <v>234</v>
      </c>
      <c r="C7" s="300" t="s">
        <v>3</v>
      </c>
      <c r="D7" s="5"/>
      <c r="E7" s="300" t="s">
        <v>235</v>
      </c>
      <c r="F7" s="300" t="s">
        <v>236</v>
      </c>
      <c r="G7" s="300" t="s">
        <v>237</v>
      </c>
      <c r="H7" s="300" t="s">
        <v>238</v>
      </c>
      <c r="I7" s="300" t="s">
        <v>239</v>
      </c>
      <c r="J7" s="300" t="s">
        <v>240</v>
      </c>
      <c r="K7" s="300" t="s">
        <v>241</v>
      </c>
      <c r="L7" s="300" t="s">
        <v>242</v>
      </c>
      <c r="M7" s="301" t="s">
        <v>360</v>
      </c>
      <c r="N7" s="300" t="s">
        <v>244</v>
      </c>
      <c r="O7" s="300" t="s">
        <v>245</v>
      </c>
      <c r="P7" s="300" t="s">
        <v>246</v>
      </c>
      <c r="Q7" s="301" t="s">
        <v>361</v>
      </c>
      <c r="R7" s="300" t="s">
        <v>697</v>
      </c>
      <c r="S7" s="300" t="s">
        <v>698</v>
      </c>
      <c r="T7" s="300" t="s">
        <v>699</v>
      </c>
      <c r="U7" s="301" t="s">
        <v>700</v>
      </c>
      <c r="V7" s="300" t="s">
        <v>6</v>
      </c>
      <c r="W7" s="300" t="s">
        <v>248</v>
      </c>
      <c r="X7" s="300" t="s">
        <v>249</v>
      </c>
      <c r="Y7" s="300" t="s">
        <v>250</v>
      </c>
      <c r="Z7" s="300" t="s">
        <v>251</v>
      </c>
      <c r="AA7" s="300" t="s">
        <v>252</v>
      </c>
      <c r="AB7" s="300" t="s">
        <v>253</v>
      </c>
      <c r="AC7" s="300" t="s">
        <v>254</v>
      </c>
      <c r="AD7" s="301" t="s">
        <v>255</v>
      </c>
      <c r="AE7" s="300" t="s">
        <v>256</v>
      </c>
      <c r="AF7" s="300" t="s">
        <v>257</v>
      </c>
    </row>
    <row r="8" ht="21.75" customHeight="1" s="5" customFormat="1">
      <c r="A8" s="302" t="s">
        <v>258</v>
      </c>
      <c r="B8" s="303" t="s">
        <v>259</v>
      </c>
      <c r="C8" s="304" t="s">
        <v>1553</v>
      </c>
      <c r="D8" s="5"/>
      <c r="E8" s="304" t="s">
        <v>1554</v>
      </c>
      <c r="F8" s="305" t="s">
        <v>1554</v>
      </c>
      <c r="G8" s="305" t="s">
        <v>1245</v>
      </c>
      <c r="H8" s="305" t="s">
        <v>1555</v>
      </c>
      <c r="I8" s="305" t="s">
        <v>265</v>
      </c>
      <c r="J8" s="305" t="s">
        <v>1503</v>
      </c>
      <c r="K8" s="305" t="s">
        <v>1504</v>
      </c>
      <c r="L8" s="305" t="s">
        <v>1505</v>
      </c>
      <c r="M8" s="306">
        <f>'Current Rents'!E34</f>
        <v>575</v>
      </c>
      <c r="N8" s="305" t="s">
        <v>1556</v>
      </c>
      <c r="O8" s="305" t="s">
        <v>1557</v>
      </c>
      <c r="P8" s="305" t="s">
        <v>1558</v>
      </c>
      <c r="Q8" s="306">
        <f>'Current Rents'!F34</f>
        <v>655</v>
      </c>
      <c r="R8" s="305" t="s">
        <v>1506</v>
      </c>
      <c r="S8" s="305" t="s">
        <v>1507</v>
      </c>
      <c r="T8" s="305" t="s">
        <v>1508</v>
      </c>
      <c r="U8" s="306">
        <f>'Current Rents'!G34</f>
        <v>695</v>
      </c>
      <c r="V8" s="305" t="s">
        <v>1559</v>
      </c>
      <c r="W8" s="305" t="s">
        <v>636</v>
      </c>
      <c r="X8" s="305">
        <v>0</v>
      </c>
      <c r="Y8" s="305" t="s">
        <v>273</v>
      </c>
      <c r="Z8" s="305" t="s">
        <v>273</v>
      </c>
      <c r="AA8" s="305" t="s">
        <v>273</v>
      </c>
      <c r="AB8" s="305" t="s">
        <v>273</v>
      </c>
      <c r="AC8" s="305" t="s">
        <v>273</v>
      </c>
      <c r="AD8" s="303" t="s">
        <v>259</v>
      </c>
      <c r="AE8" s="307" t="s">
        <v>1560</v>
      </c>
      <c r="AF8" s="304" t="s">
        <v>275</v>
      </c>
    </row>
    <row r="9" ht="21.75" customHeight="1" s="5" customFormat="1">
      <c r="A9" s="308" t="s">
        <v>276</v>
      </c>
      <c r="B9" s="309" t="s">
        <v>277</v>
      </c>
      <c r="C9" s="310" t="s">
        <v>1561</v>
      </c>
      <c r="D9" s="5"/>
      <c r="E9" s="311" t="s">
        <v>1562</v>
      </c>
      <c r="F9" s="308" t="s">
        <v>1498</v>
      </c>
      <c r="G9" s="308" t="s">
        <v>1245</v>
      </c>
      <c r="H9" s="308" t="s">
        <v>1563</v>
      </c>
      <c r="I9" s="308" t="s">
        <v>311</v>
      </c>
      <c r="J9" s="308" t="s">
        <v>1503</v>
      </c>
      <c r="K9" s="308" t="s">
        <v>1504</v>
      </c>
      <c r="L9" s="308" t="s">
        <v>1505</v>
      </c>
      <c r="M9" s="308" t="s">
        <v>1564</v>
      </c>
      <c r="N9" s="308" t="s">
        <v>1556</v>
      </c>
      <c r="O9" s="308" t="s">
        <v>1557</v>
      </c>
      <c r="P9" s="308" t="s">
        <v>1558</v>
      </c>
      <c r="Q9" s="308" t="s">
        <v>1565</v>
      </c>
      <c r="R9" s="308" t="s">
        <v>1506</v>
      </c>
      <c r="S9" s="308" t="s">
        <v>1507</v>
      </c>
      <c r="T9" s="308" t="s">
        <v>1508</v>
      </c>
      <c r="U9" s="308" t="s">
        <v>283</v>
      </c>
      <c r="V9" s="308" t="s">
        <v>164</v>
      </c>
      <c r="W9" s="308" t="s">
        <v>636</v>
      </c>
      <c r="X9" s="308" t="s">
        <v>462</v>
      </c>
      <c r="Y9" s="308" t="s">
        <v>272</v>
      </c>
      <c r="Z9" s="308" t="s">
        <v>273</v>
      </c>
      <c r="AA9" s="308" t="s">
        <v>273</v>
      </c>
      <c r="AB9" s="308" t="s">
        <v>273</v>
      </c>
      <c r="AC9" s="308" t="s">
        <v>273</v>
      </c>
      <c r="AD9" s="312" t="s">
        <v>284</v>
      </c>
      <c r="AE9" s="313" t="s">
        <v>1566</v>
      </c>
      <c r="AF9" s="311" t="s">
        <v>967</v>
      </c>
    </row>
    <row r="10" ht="21.75" customHeight="1" s="5" customFormat="1">
      <c r="A10" s="308" t="s">
        <v>210</v>
      </c>
      <c r="B10" s="309" t="s">
        <v>277</v>
      </c>
      <c r="C10" s="310" t="s">
        <v>1567</v>
      </c>
      <c r="D10" s="5"/>
      <c r="E10" s="311" t="s">
        <v>1568</v>
      </c>
      <c r="F10" s="308" t="s">
        <v>1554</v>
      </c>
      <c r="G10" s="308" t="s">
        <v>1245</v>
      </c>
      <c r="H10" s="308" t="s">
        <v>1569</v>
      </c>
      <c r="I10" s="308" t="s">
        <v>1570</v>
      </c>
      <c r="J10" s="308" t="s">
        <v>1503</v>
      </c>
      <c r="K10" s="308" t="s">
        <v>1504</v>
      </c>
      <c r="L10" s="308" t="s">
        <v>1505</v>
      </c>
      <c r="M10" s="308" t="s">
        <v>1571</v>
      </c>
      <c r="N10" s="308" t="s">
        <v>1556</v>
      </c>
      <c r="O10" s="308" t="s">
        <v>1557</v>
      </c>
      <c r="P10" s="308" t="s">
        <v>1558</v>
      </c>
      <c r="Q10" s="308" t="s">
        <v>1572</v>
      </c>
      <c r="R10" s="308" t="s">
        <v>1506</v>
      </c>
      <c r="S10" s="308" t="s">
        <v>1507</v>
      </c>
      <c r="T10" s="308" t="s">
        <v>1508</v>
      </c>
      <c r="U10" s="308" t="s">
        <v>1573</v>
      </c>
      <c r="V10" s="308" t="s">
        <v>203</v>
      </c>
      <c r="W10" s="308" t="s">
        <v>636</v>
      </c>
      <c r="X10" s="308" t="s">
        <v>462</v>
      </c>
      <c r="Y10" s="308" t="s">
        <v>272</v>
      </c>
      <c r="Z10" s="308" t="s">
        <v>273</v>
      </c>
      <c r="AA10" s="308" t="s">
        <v>273</v>
      </c>
      <c r="AB10" s="308" t="s">
        <v>273</v>
      </c>
      <c r="AC10" s="308" t="s">
        <v>273</v>
      </c>
      <c r="AD10" s="312" t="s">
        <v>284</v>
      </c>
      <c r="AE10" s="313" t="s">
        <v>1574</v>
      </c>
      <c r="AF10" s="311" t="s">
        <v>967</v>
      </c>
    </row>
    <row r="11" ht="21.75" customHeight="1" s="5" customFormat="1">
      <c r="A11" s="308" t="s">
        <v>181</v>
      </c>
      <c r="B11" s="309" t="s">
        <v>277</v>
      </c>
      <c r="C11" s="310" t="s">
        <v>1575</v>
      </c>
      <c r="D11" s="5"/>
      <c r="E11" s="311" t="s">
        <v>1576</v>
      </c>
      <c r="F11" s="308" t="s">
        <v>1498</v>
      </c>
      <c r="G11" s="308" t="s">
        <v>1245</v>
      </c>
      <c r="H11" s="308" t="s">
        <v>1577</v>
      </c>
      <c r="I11" s="308" t="s">
        <v>1578</v>
      </c>
      <c r="J11" s="308" t="s">
        <v>1503</v>
      </c>
      <c r="K11" s="308" t="s">
        <v>1504</v>
      </c>
      <c r="L11" s="308" t="s">
        <v>1505</v>
      </c>
      <c r="M11" s="308" t="s">
        <v>283</v>
      </c>
      <c r="N11" s="308" t="s">
        <v>1556</v>
      </c>
      <c r="O11" s="308" t="s">
        <v>1557</v>
      </c>
      <c r="P11" s="308" t="s">
        <v>1558</v>
      </c>
      <c r="Q11" s="308" t="s">
        <v>283</v>
      </c>
      <c r="R11" s="308" t="s">
        <v>1506</v>
      </c>
      <c r="S11" s="308" t="s">
        <v>1507</v>
      </c>
      <c r="T11" s="308" t="s">
        <v>1508</v>
      </c>
      <c r="U11" s="308" t="s">
        <v>283</v>
      </c>
      <c r="V11" s="308" t="s">
        <v>191</v>
      </c>
      <c r="W11" s="308" t="s">
        <v>636</v>
      </c>
      <c r="X11" s="308" t="s">
        <v>462</v>
      </c>
      <c r="Y11" s="308" t="s">
        <v>272</v>
      </c>
      <c r="Z11" s="308" t="s">
        <v>273</v>
      </c>
      <c r="AA11" s="308" t="s">
        <v>273</v>
      </c>
      <c r="AB11" s="308" t="s">
        <v>273</v>
      </c>
      <c r="AC11" s="308" t="s">
        <v>273</v>
      </c>
      <c r="AD11" s="312" t="s">
        <v>284</v>
      </c>
      <c r="AE11" s="313" t="s">
        <v>1579</v>
      </c>
      <c r="AF11" s="311" t="s">
        <v>967</v>
      </c>
    </row>
    <row r="12" ht="21.75" customHeight="1" s="5" customFormat="1">
      <c r="A12" s="308" t="s">
        <v>320</v>
      </c>
      <c r="B12" s="309" t="s">
        <v>277</v>
      </c>
      <c r="C12" s="310" t="s">
        <v>1580</v>
      </c>
      <c r="D12" s="5"/>
      <c r="E12" s="311" t="s">
        <v>1581</v>
      </c>
      <c r="F12" s="308" t="s">
        <v>1554</v>
      </c>
      <c r="G12" s="308" t="s">
        <v>1245</v>
      </c>
      <c r="H12" s="308" t="s">
        <v>1582</v>
      </c>
      <c r="I12" s="308" t="s">
        <v>1583</v>
      </c>
      <c r="J12" s="308" t="s">
        <v>1503</v>
      </c>
      <c r="K12" s="308" t="s">
        <v>1504</v>
      </c>
      <c r="L12" s="308" t="s">
        <v>1505</v>
      </c>
      <c r="M12" s="308" t="s">
        <v>283</v>
      </c>
      <c r="N12" s="308" t="s">
        <v>1556</v>
      </c>
      <c r="O12" s="308" t="s">
        <v>1557</v>
      </c>
      <c r="P12" s="308" t="s">
        <v>1558</v>
      </c>
      <c r="Q12" s="308" t="s">
        <v>283</v>
      </c>
      <c r="R12" s="308" t="s">
        <v>1506</v>
      </c>
      <c r="S12" s="308" t="s">
        <v>1507</v>
      </c>
      <c r="T12" s="308" t="s">
        <v>1508</v>
      </c>
      <c r="U12" s="308" t="s">
        <v>283</v>
      </c>
      <c r="V12" s="308" t="s">
        <v>494</v>
      </c>
      <c r="W12" s="308" t="s">
        <v>1076</v>
      </c>
      <c r="X12" s="308" t="s">
        <v>276</v>
      </c>
      <c r="Y12" s="308" t="s">
        <v>272</v>
      </c>
      <c r="Z12" s="308" t="s">
        <v>273</v>
      </c>
      <c r="AA12" s="308" t="s">
        <v>273</v>
      </c>
      <c r="AB12" s="308" t="s">
        <v>273</v>
      </c>
      <c r="AC12" s="308" t="s">
        <v>273</v>
      </c>
      <c r="AD12" s="312" t="s">
        <v>284</v>
      </c>
      <c r="AE12" s="313" t="s">
        <v>1584</v>
      </c>
      <c r="AF12" s="311" t="s">
        <v>967</v>
      </c>
    </row>
    <row r="13" ht="24.75" customHeight="1" s="5" customFormat="1">
      <c r="A13" s="315" t="s">
        <v>276</v>
      </c>
      <c r="B13" s="316" t="s">
        <v>300</v>
      </c>
      <c r="C13" s="317" t="s">
        <v>1585</v>
      </c>
      <c r="D13" s="318" t="s">
        <v>302</v>
      </c>
      <c r="E13" s="319" t="s">
        <v>1586</v>
      </c>
      <c r="F13" s="320" t="s">
        <v>1554</v>
      </c>
      <c r="G13" s="320" t="s">
        <v>1245</v>
      </c>
      <c r="H13" s="320" t="s">
        <v>1555</v>
      </c>
      <c r="I13" s="320" t="s">
        <v>376</v>
      </c>
      <c r="J13" s="320" t="s">
        <v>1038</v>
      </c>
      <c r="K13" s="320" t="s">
        <v>1038</v>
      </c>
      <c r="L13" s="320" t="s">
        <v>1038</v>
      </c>
      <c r="M13" s="321">
        <v>925</v>
      </c>
      <c r="N13" s="320" t="s">
        <v>1038</v>
      </c>
      <c r="O13" s="320" t="s">
        <v>1038</v>
      </c>
      <c r="P13" s="320" t="s">
        <v>1558</v>
      </c>
      <c r="Q13" s="321">
        <v>1300</v>
      </c>
      <c r="R13" s="320" t="s">
        <v>1038</v>
      </c>
      <c r="S13" s="320" t="s">
        <v>1038</v>
      </c>
      <c r="T13" s="320" t="s">
        <v>1508</v>
      </c>
      <c r="U13" s="322" t="s">
        <v>283</v>
      </c>
      <c r="V13" s="320" t="s">
        <v>1265</v>
      </c>
      <c r="W13" s="320" t="s">
        <v>629</v>
      </c>
      <c r="X13" s="320" t="s">
        <v>276</v>
      </c>
      <c r="Y13" s="320" t="s">
        <v>507</v>
      </c>
      <c r="Z13" s="320" t="s">
        <v>507</v>
      </c>
      <c r="AA13" s="320" t="s">
        <v>507</v>
      </c>
      <c r="AB13" s="320" t="s">
        <v>507</v>
      </c>
      <c r="AC13" s="320" t="s">
        <v>507</v>
      </c>
      <c r="AD13" s="323" t="s">
        <v>284</v>
      </c>
      <c r="AE13" s="324" t="s">
        <v>1587</v>
      </c>
      <c r="AF13" s="319" t="s">
        <v>1536</v>
      </c>
    </row>
    <row r="14" ht="24.75" customHeight="1" s="5" customFormat="1">
      <c r="A14" s="315" t="s">
        <v>210</v>
      </c>
      <c r="B14" s="316" t="s">
        <v>300</v>
      </c>
      <c r="C14" s="317" t="s">
        <v>1588</v>
      </c>
      <c r="D14" s="5"/>
      <c r="E14" s="319" t="s">
        <v>1589</v>
      </c>
      <c r="F14" s="320" t="s">
        <v>1554</v>
      </c>
      <c r="G14" s="320" t="s">
        <v>1245</v>
      </c>
      <c r="H14" s="320" t="s">
        <v>1555</v>
      </c>
      <c r="I14" s="320" t="s">
        <v>930</v>
      </c>
      <c r="J14" s="320" t="s">
        <v>1038</v>
      </c>
      <c r="K14" s="320" t="s">
        <v>1038</v>
      </c>
      <c r="L14" s="320" t="s">
        <v>1038</v>
      </c>
      <c r="M14" s="321">
        <v>1349</v>
      </c>
      <c r="N14" s="320" t="s">
        <v>1038</v>
      </c>
      <c r="O14" s="320" t="s">
        <v>1038</v>
      </c>
      <c r="P14" s="320" t="s">
        <v>1038</v>
      </c>
      <c r="Q14" s="321">
        <v>1610</v>
      </c>
      <c r="R14" s="320" t="s">
        <v>1038</v>
      </c>
      <c r="S14" s="320" t="s">
        <v>1038</v>
      </c>
      <c r="T14" s="320" t="s">
        <v>1508</v>
      </c>
      <c r="U14" s="322" t="s">
        <v>283</v>
      </c>
      <c r="V14" s="320" t="s">
        <v>1428</v>
      </c>
      <c r="W14" s="320" t="s">
        <v>636</v>
      </c>
      <c r="X14" s="320" t="s">
        <v>462</v>
      </c>
      <c r="Y14" s="320" t="s">
        <v>507</v>
      </c>
      <c r="Z14" s="320" t="s">
        <v>507</v>
      </c>
      <c r="AA14" s="320" t="s">
        <v>507</v>
      </c>
      <c r="AB14" s="320" t="s">
        <v>507</v>
      </c>
      <c r="AC14" s="320" t="s">
        <v>507</v>
      </c>
      <c r="AD14" s="323" t="s">
        <v>284</v>
      </c>
      <c r="AE14" s="324" t="s">
        <v>1590</v>
      </c>
      <c r="AF14" s="319" t="s">
        <v>1540</v>
      </c>
    </row>
    <row r="15" ht="24.75" customHeight="1" s="5" customFormat="1">
      <c r="A15" s="315" t="s">
        <v>181</v>
      </c>
      <c r="B15" s="316" t="s">
        <v>300</v>
      </c>
      <c r="C15" s="317" t="s">
        <v>1591</v>
      </c>
      <c r="D15" s="5"/>
      <c r="E15" s="319" t="s">
        <v>1592</v>
      </c>
      <c r="F15" s="320" t="s">
        <v>1554</v>
      </c>
      <c r="G15" s="320" t="s">
        <v>1245</v>
      </c>
      <c r="H15" s="320" t="s">
        <v>1555</v>
      </c>
      <c r="I15" s="320" t="s">
        <v>323</v>
      </c>
      <c r="J15" s="320" t="s">
        <v>1038</v>
      </c>
      <c r="K15" s="320" t="s">
        <v>1038</v>
      </c>
      <c r="L15" s="320" t="s">
        <v>1038</v>
      </c>
      <c r="M15" s="321">
        <v>1875</v>
      </c>
      <c r="N15" s="320" t="s">
        <v>1038</v>
      </c>
      <c r="O15" s="320" t="s">
        <v>1038</v>
      </c>
      <c r="P15" s="320" t="s">
        <v>1038</v>
      </c>
      <c r="Q15" s="321">
        <v>1995</v>
      </c>
      <c r="R15" s="320" t="s">
        <v>1038</v>
      </c>
      <c r="S15" s="320" t="s">
        <v>1038</v>
      </c>
      <c r="T15" s="320" t="s">
        <v>1508</v>
      </c>
      <c r="U15" s="322" t="s">
        <v>283</v>
      </c>
      <c r="V15" s="320" t="s">
        <v>563</v>
      </c>
      <c r="W15" s="320" t="s">
        <v>1076</v>
      </c>
      <c r="X15" s="320" t="s">
        <v>276</v>
      </c>
      <c r="Y15" s="320" t="s">
        <v>507</v>
      </c>
      <c r="Z15" s="320" t="s">
        <v>507</v>
      </c>
      <c r="AA15" s="320" t="s">
        <v>507</v>
      </c>
      <c r="AB15" s="320" t="s">
        <v>507</v>
      </c>
      <c r="AC15" s="320" t="s">
        <v>507</v>
      </c>
      <c r="AD15" s="323" t="s">
        <v>284</v>
      </c>
      <c r="AE15" s="324" t="s">
        <v>1593</v>
      </c>
      <c r="AF15" s="319" t="s">
        <v>1544</v>
      </c>
    </row>
    <row r="16" ht="24.75" customHeight="1" s="5" customFormat="1">
      <c r="A16" s="315" t="s">
        <v>320</v>
      </c>
      <c r="B16" s="316" t="s">
        <v>300</v>
      </c>
      <c r="C16" s="317" t="s">
        <v>1594</v>
      </c>
      <c r="D16" s="5"/>
      <c r="E16" s="319" t="s">
        <v>1595</v>
      </c>
      <c r="F16" s="320" t="s">
        <v>1554</v>
      </c>
      <c r="G16" s="320" t="s">
        <v>1245</v>
      </c>
      <c r="H16" s="320" t="s">
        <v>1555</v>
      </c>
      <c r="I16" s="320" t="s">
        <v>1596</v>
      </c>
      <c r="J16" s="320" t="s">
        <v>1038</v>
      </c>
      <c r="K16" s="320" t="s">
        <v>1038</v>
      </c>
      <c r="L16" s="320" t="s">
        <v>1038</v>
      </c>
      <c r="M16" s="321">
        <v>1349</v>
      </c>
      <c r="N16" s="320" t="s">
        <v>1038</v>
      </c>
      <c r="O16" s="320" t="s">
        <v>1038</v>
      </c>
      <c r="P16" s="320" t="s">
        <v>1038</v>
      </c>
      <c r="Q16" s="321">
        <v>1585</v>
      </c>
      <c r="R16" s="320" t="s">
        <v>1038</v>
      </c>
      <c r="S16" s="320" t="s">
        <v>1038</v>
      </c>
      <c r="T16" s="320" t="s">
        <v>1508</v>
      </c>
      <c r="U16" s="322" t="s">
        <v>283</v>
      </c>
      <c r="V16" s="320" t="s">
        <v>1026</v>
      </c>
      <c r="W16" s="320" t="s">
        <v>629</v>
      </c>
      <c r="X16" s="320" t="s">
        <v>276</v>
      </c>
      <c r="Y16" s="320" t="s">
        <v>507</v>
      </c>
      <c r="Z16" s="320" t="s">
        <v>507</v>
      </c>
      <c r="AA16" s="320" t="s">
        <v>507</v>
      </c>
      <c r="AB16" s="320" t="s">
        <v>507</v>
      </c>
      <c r="AC16" s="320" t="s">
        <v>507</v>
      </c>
      <c r="AD16" s="323" t="s">
        <v>284</v>
      </c>
      <c r="AE16" s="324" t="s">
        <v>1597</v>
      </c>
      <c r="AF16" s="319" t="s">
        <v>1544</v>
      </c>
    </row>
    <row r="17" ht="28.5" customHeight="1" s="5" customFormat="1">
      <c r="A17" s="325" t="s">
        <v>154</v>
      </c>
      <c r="B17" s="326" t="s">
        <v>339</v>
      </c>
      <c r="C17" s="327" t="s">
        <v>1598</v>
      </c>
      <c r="D17" s="5"/>
      <c r="E17" s="325" t="s">
        <v>64</v>
      </c>
      <c r="F17" s="325" t="s">
        <v>1554</v>
      </c>
      <c r="G17" s="325" t="s">
        <v>1245</v>
      </c>
      <c r="H17" s="325"/>
      <c r="I17" s="325"/>
      <c r="J17" s="325" t="s">
        <v>64</v>
      </c>
      <c r="K17" s="325" t="s">
        <v>64</v>
      </c>
      <c r="L17" s="325" t="s">
        <v>1505</v>
      </c>
      <c r="M17" s="325" t="s">
        <v>1505</v>
      </c>
      <c r="N17" s="325" t="s">
        <v>64</v>
      </c>
      <c r="O17" s="325" t="s">
        <v>64</v>
      </c>
      <c r="P17" s="325" t="s">
        <v>1558</v>
      </c>
      <c r="Q17" s="325" t="s">
        <v>1558</v>
      </c>
      <c r="R17" s="325" t="s">
        <v>64</v>
      </c>
      <c r="S17" s="325" t="s">
        <v>64</v>
      </c>
      <c r="T17" s="325" t="s">
        <v>1508</v>
      </c>
      <c r="U17" s="325" t="s">
        <v>1508</v>
      </c>
      <c r="V17" s="325"/>
      <c r="W17" s="325"/>
      <c r="X17" s="325"/>
      <c r="Y17" s="325"/>
      <c r="Z17" s="325"/>
      <c r="AA17" s="325"/>
      <c r="AB17" s="325"/>
      <c r="AC17" s="325"/>
      <c r="AD17" s="316" t="s">
        <v>339</v>
      </c>
      <c r="AE17" s="328" t="s">
        <v>1599</v>
      </c>
      <c r="AF17" s="328" t="s">
        <v>342</v>
      </c>
    </row>
    <row r="18" ht="34.5" customHeight="1" s="5" customFormat="1">
      <c r="A18" s="329" t="s">
        <v>154</v>
      </c>
      <c r="B18" s="326" t="s">
        <v>339</v>
      </c>
      <c r="C18" s="330" t="s">
        <v>1600</v>
      </c>
      <c r="D18" s="5"/>
      <c r="E18" s="329" t="s">
        <v>64</v>
      </c>
      <c r="F18" s="329" t="s">
        <v>1554</v>
      </c>
      <c r="G18" s="329" t="s">
        <v>1245</v>
      </c>
      <c r="H18" s="329"/>
      <c r="I18" s="329"/>
      <c r="J18" s="329"/>
      <c r="K18" s="329"/>
      <c r="L18" s="329"/>
      <c r="M18" s="331">
        <v>1374</v>
      </c>
      <c r="N18" s="329"/>
      <c r="O18" s="329"/>
      <c r="P18" s="329"/>
      <c r="Q18" s="331">
        <v>1622</v>
      </c>
      <c r="R18" s="329"/>
      <c r="S18" s="329"/>
      <c r="T18" s="329"/>
      <c r="U18" s="331"/>
      <c r="V18" s="329"/>
      <c r="W18" s="329"/>
      <c r="X18" s="329"/>
      <c r="Y18" s="329"/>
      <c r="Z18" s="329"/>
      <c r="AA18" s="329"/>
      <c r="AB18" s="329"/>
      <c r="AC18" s="329"/>
      <c r="AD18" s="316" t="s">
        <v>339</v>
      </c>
      <c r="AE18" s="332" t="s">
        <v>1061</v>
      </c>
      <c r="AF18" s="332" t="s">
        <v>1062</v>
      </c>
    </row>
    <row r="20" ht="14.25" customHeight="1" s="5" customFormat="1">
      <c r="A20" s="333" t="s">
        <v>1063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2" ht="18" customHeight="1" s="5" customFormat="1">
      <c r="A22" s="334" t="s">
        <v>349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ht="15.75" customHeight="1" s="5" customFormat="1">
      <c r="A23" s="335" t="s">
        <v>1064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ht="15.75" customHeight="1" s="5" customFormat="1">
      <c r="A24" s="5"/>
      <c r="B24" s="336" t="s">
        <v>351</v>
      </c>
      <c r="C24" s="336" t="s">
        <v>352</v>
      </c>
      <c r="D24" s="5"/>
      <c r="E24" s="336" t="s">
        <v>353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ht="20.25" customHeight="1" s="5" customFormat="1">
      <c r="A25" s="337" t="s">
        <v>151</v>
      </c>
      <c r="B25" s="338">
        <f>'Current Rents'!E34</f>
        <v>575</v>
      </c>
      <c r="C25" s="339">
        <v>1374</v>
      </c>
      <c r="D25" s="5"/>
      <c r="E25" s="340">
        <f t="shared" si="0" ref="E25:E27">B25-C25</f>
        <v>-799</v>
      </c>
      <c r="F25" s="161" t="str">
        <f>IF(E25&lt;-75,"LOOK INTO INCREASING THE RENT!","")</f>
        <v>LOOK INTO INCREASING THE RENT!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ht="20.25" customHeight="1" s="5" customFormat="1">
      <c r="A26" s="337" t="s">
        <v>152</v>
      </c>
      <c r="B26" s="338">
        <f>'Current Rents'!F34</f>
        <v>655</v>
      </c>
      <c r="C26" s="339">
        <v>1622</v>
      </c>
      <c r="D26" s="5"/>
      <c r="E26" s="340">
        <f t="shared" si="0"/>
        <v>-967</v>
      </c>
      <c r="F26" s="161" t="str">
        <f>IF(E26&lt;-75,"LOOK INTO INCREASING THE RENT!","")</f>
        <v>LOOK INTO INCREASING THE RENT!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ht="20.25" customHeight="1" s="5" customFormat="1">
      <c r="A27" s="337" t="s">
        <v>155</v>
      </c>
      <c r="B27" s="338">
        <f>'Current Rents'!G34</f>
        <v>695</v>
      </c>
      <c r="C27" s="339">
        <v>0</v>
      </c>
      <c r="D27" s="5"/>
      <c r="E27" s="340">
        <f t="shared" si="0"/>
        <v>695</v>
      </c>
      <c r="F27" s="161" t="str">
        <f>IF(E27&lt;-75,"LOOK INTO INCREASING THE RENT!","")</f>
        <v/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</sheetData>
  <mergeCells>
    <mergeCell ref="AD3:AF3"/>
    <mergeCell ref="A23:H23"/>
    <mergeCell ref="A3:AC3"/>
    <mergeCell ref="C8:D8"/>
    <mergeCell ref="C9:D9"/>
    <mergeCell ref="C12:D12"/>
    <mergeCell ref="C17:D17"/>
    <mergeCell ref="C18:D18"/>
    <mergeCell ref="A22:H22"/>
    <mergeCell ref="C7:D7"/>
    <mergeCell ref="A20:AF20"/>
    <mergeCell ref="A6:AF6"/>
    <mergeCell ref="A5:AF5"/>
    <mergeCell ref="C24:D24"/>
    <mergeCell ref="C11:D11"/>
    <mergeCell ref="D13:D16"/>
    <mergeCell ref="C10:D10"/>
    <mergeCell ref="A4:AF4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7F31F7A-DEDC-D691-6588-882958BEFD28}" mc:Ignorable="x14ac xr xr2 xr3"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style="5" width="9.00390625" customWidth="1"/>
    <col min="2" max="2" style="5" width="18.57421875" customWidth="1"/>
    <col min="3" max="3" style="5" width="42.00390625" customWidth="1"/>
    <col min="4" max="4" style="5" width="4.7109375" customWidth="1"/>
    <col min="5" max="5" style="5" width="31.00390625" customWidth="1"/>
    <col min="6" max="6" style="5" width="14.28125" customWidth="1"/>
    <col min="7" max="7" style="5" width="9.28125" customWidth="1"/>
    <col min="8" max="9" style="5" width="13.00390625" customWidth="1"/>
    <col min="10" max="10" style="5" width="7.00390625" hidden="1" customWidth="1"/>
    <col min="11" max="11" style="5" width="13.00390625" customWidth="1"/>
    <col min="12" max="12" style="5" width="5.28125" hidden="1" customWidth="1"/>
    <col min="13" max="13" style="5" width="16.7109375" customWidth="1"/>
    <col min="14" max="14" style="5" width="7.00390625" hidden="1" customWidth="1"/>
    <col min="15" max="15" style="5" width="13.00390625" customWidth="1"/>
    <col min="16" max="16" style="5" width="5.28125" hidden="1" customWidth="1"/>
    <col min="17" max="17" style="5" width="16.7109375" customWidth="1"/>
    <col min="18" max="18" style="5" width="9.421875" customWidth="1"/>
    <col min="19" max="25" style="5" width="13.00390625" customWidth="1"/>
    <col min="26" max="26" style="5" width="24.57421875" customWidth="1"/>
    <col min="27" max="27" style="5" width="55.7109375" customWidth="1"/>
    <col min="28" max="28" style="5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36" customHeight="1" s="5" customFormat="1">
      <c r="A3" s="295" t="s">
        <v>1601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296" t="s">
        <v>1602</v>
      </c>
      <c r="AA3" s="5"/>
      <c r="AB3" s="5"/>
    </row>
    <row r="4" ht="18" customHeight="1" s="5" customFormat="1">
      <c r="A4" s="297" t="s">
        <v>1603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ht="14.25" customHeight="1" s="5" customFormat="1">
      <c r="A5" s="298" t="s">
        <v>1012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ht="25.5" customHeight="1" s="5" customFormat="1">
      <c r="A6" s="299" t="s">
        <v>1013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ht="25.5" customHeight="1" s="5" customFormat="1">
      <c r="A7" s="300" t="s">
        <v>233</v>
      </c>
      <c r="B7" s="300" t="s">
        <v>234</v>
      </c>
      <c r="C7" s="300" t="s">
        <v>3</v>
      </c>
      <c r="D7" s="5"/>
      <c r="E7" s="300" t="s">
        <v>235</v>
      </c>
      <c r="F7" s="300" t="s">
        <v>236</v>
      </c>
      <c r="G7" s="300" t="s">
        <v>237</v>
      </c>
      <c r="H7" s="300" t="s">
        <v>238</v>
      </c>
      <c r="I7" s="300" t="s">
        <v>239</v>
      </c>
      <c r="J7" s="300" t="s">
        <v>244</v>
      </c>
      <c r="K7" s="300" t="s">
        <v>245</v>
      </c>
      <c r="L7" s="300" t="s">
        <v>246</v>
      </c>
      <c r="M7" s="301" t="s">
        <v>361</v>
      </c>
      <c r="N7" s="300" t="s">
        <v>697</v>
      </c>
      <c r="O7" s="300" t="s">
        <v>698</v>
      </c>
      <c r="P7" s="300" t="s">
        <v>699</v>
      </c>
      <c r="Q7" s="301" t="s">
        <v>700</v>
      </c>
      <c r="R7" s="300" t="s">
        <v>6</v>
      </c>
      <c r="S7" s="300" t="s">
        <v>248</v>
      </c>
      <c r="T7" s="300" t="s">
        <v>249</v>
      </c>
      <c r="U7" s="300" t="s">
        <v>250</v>
      </c>
      <c r="V7" s="300" t="s">
        <v>251</v>
      </c>
      <c r="W7" s="300" t="s">
        <v>252</v>
      </c>
      <c r="X7" s="300" t="s">
        <v>253</v>
      </c>
      <c r="Y7" s="300" t="s">
        <v>254</v>
      </c>
      <c r="Z7" s="301" t="s">
        <v>255</v>
      </c>
      <c r="AA7" s="300" t="s">
        <v>256</v>
      </c>
      <c r="AB7" s="300" t="s">
        <v>257</v>
      </c>
    </row>
    <row r="8" ht="21.75" customHeight="1" s="5" customFormat="1">
      <c r="A8" s="302" t="s">
        <v>258</v>
      </c>
      <c r="B8" s="303" t="s">
        <v>259</v>
      </c>
      <c r="C8" s="304" t="s">
        <v>1604</v>
      </c>
      <c r="D8" s="5"/>
      <c r="E8" s="304" t="s">
        <v>1605</v>
      </c>
      <c r="F8" s="305" t="s">
        <v>1605</v>
      </c>
      <c r="G8" s="305" t="s">
        <v>1245</v>
      </c>
      <c r="H8" s="305" t="s">
        <v>1606</v>
      </c>
      <c r="I8" s="305" t="s">
        <v>265</v>
      </c>
      <c r="J8" s="305" t="s">
        <v>1607</v>
      </c>
      <c r="K8" s="305" t="s">
        <v>1608</v>
      </c>
      <c r="L8" s="305" t="s">
        <v>1144</v>
      </c>
      <c r="M8" s="306">
        <f>'Current Rents'!F35</f>
        <v>1053</v>
      </c>
      <c r="N8" s="305" t="s">
        <v>1609</v>
      </c>
      <c r="O8" s="305" t="s">
        <v>1610</v>
      </c>
      <c r="P8" s="305" t="s">
        <v>550</v>
      </c>
      <c r="Q8" s="306">
        <f>'Current Rents'!G35</f>
        <v>1152</v>
      </c>
      <c r="R8" s="305" t="s">
        <v>180</v>
      </c>
      <c r="S8" s="305" t="s">
        <v>636</v>
      </c>
      <c r="T8" s="305">
        <v>0</v>
      </c>
      <c r="U8" s="305" t="s">
        <v>273</v>
      </c>
      <c r="V8" s="305" t="s">
        <v>273</v>
      </c>
      <c r="W8" s="305" t="s">
        <v>273</v>
      </c>
      <c r="X8" s="305" t="s">
        <v>273</v>
      </c>
      <c r="Y8" s="305" t="s">
        <v>273</v>
      </c>
      <c r="Z8" s="303" t="s">
        <v>259</v>
      </c>
      <c r="AA8" s="307" t="s">
        <v>1611</v>
      </c>
      <c r="AB8" s="304" t="s">
        <v>275</v>
      </c>
    </row>
    <row r="9" ht="21.75" customHeight="1" s="5" customFormat="1">
      <c r="A9" s="308" t="s">
        <v>276</v>
      </c>
      <c r="B9" s="309" t="s">
        <v>277</v>
      </c>
      <c r="C9" s="310" t="s">
        <v>1612</v>
      </c>
      <c r="D9" s="5"/>
      <c r="E9" s="311" t="s">
        <v>1613</v>
      </c>
      <c r="F9" s="308" t="s">
        <v>1605</v>
      </c>
      <c r="G9" s="308" t="s">
        <v>1245</v>
      </c>
      <c r="H9" s="308" t="s">
        <v>1614</v>
      </c>
      <c r="I9" s="308" t="s">
        <v>481</v>
      </c>
      <c r="J9" s="308" t="s">
        <v>1607</v>
      </c>
      <c r="K9" s="308" t="s">
        <v>1608</v>
      </c>
      <c r="L9" s="308" t="s">
        <v>1144</v>
      </c>
      <c r="M9" s="308" t="s">
        <v>1615</v>
      </c>
      <c r="N9" s="308" t="s">
        <v>1609</v>
      </c>
      <c r="O9" s="308" t="s">
        <v>1610</v>
      </c>
      <c r="P9" s="308" t="s">
        <v>550</v>
      </c>
      <c r="Q9" s="308" t="s">
        <v>1616</v>
      </c>
      <c r="R9" s="308" t="s">
        <v>520</v>
      </c>
      <c r="S9" s="308" t="s">
        <v>636</v>
      </c>
      <c r="T9" s="308" t="s">
        <v>462</v>
      </c>
      <c r="U9" s="308" t="s">
        <v>272</v>
      </c>
      <c r="V9" s="308" t="s">
        <v>273</v>
      </c>
      <c r="W9" s="308" t="s">
        <v>273</v>
      </c>
      <c r="X9" s="308" t="s">
        <v>273</v>
      </c>
      <c r="Y9" s="308" t="s">
        <v>273</v>
      </c>
      <c r="Z9" s="312" t="s">
        <v>284</v>
      </c>
      <c r="AA9" s="313" t="s">
        <v>1617</v>
      </c>
      <c r="AB9" s="311" t="s">
        <v>967</v>
      </c>
    </row>
    <row r="10" ht="21.75" customHeight="1" s="5" customFormat="1">
      <c r="A10" s="308" t="s">
        <v>210</v>
      </c>
      <c r="B10" s="309" t="s">
        <v>277</v>
      </c>
      <c r="C10" s="310" t="s">
        <v>1618</v>
      </c>
      <c r="D10" s="5"/>
      <c r="E10" s="311" t="s">
        <v>1619</v>
      </c>
      <c r="F10" s="308" t="s">
        <v>1605</v>
      </c>
      <c r="G10" s="308" t="s">
        <v>1245</v>
      </c>
      <c r="H10" s="308" t="s">
        <v>1620</v>
      </c>
      <c r="I10" s="308" t="s">
        <v>1578</v>
      </c>
      <c r="J10" s="308" t="s">
        <v>1607</v>
      </c>
      <c r="K10" s="308" t="s">
        <v>1608</v>
      </c>
      <c r="L10" s="308" t="s">
        <v>1144</v>
      </c>
      <c r="M10" s="308" t="s">
        <v>283</v>
      </c>
      <c r="N10" s="308" t="s">
        <v>1609</v>
      </c>
      <c r="O10" s="308" t="s">
        <v>1610</v>
      </c>
      <c r="P10" s="308" t="s">
        <v>550</v>
      </c>
      <c r="Q10" s="308" t="s">
        <v>283</v>
      </c>
      <c r="R10" s="308" t="s">
        <v>1621</v>
      </c>
      <c r="S10" s="308" t="s">
        <v>636</v>
      </c>
      <c r="T10" s="308" t="s">
        <v>462</v>
      </c>
      <c r="U10" s="308" t="s">
        <v>272</v>
      </c>
      <c r="V10" s="308" t="s">
        <v>273</v>
      </c>
      <c r="W10" s="308" t="s">
        <v>273</v>
      </c>
      <c r="X10" s="308" t="s">
        <v>273</v>
      </c>
      <c r="Y10" s="308" t="s">
        <v>273</v>
      </c>
      <c r="Z10" s="312" t="s">
        <v>284</v>
      </c>
      <c r="AA10" s="313" t="s">
        <v>1622</v>
      </c>
      <c r="AB10" s="311" t="s">
        <v>967</v>
      </c>
    </row>
    <row r="11" ht="21.75" customHeight="1" s="5" customFormat="1">
      <c r="A11" s="308" t="s">
        <v>181</v>
      </c>
      <c r="B11" s="309" t="s">
        <v>277</v>
      </c>
      <c r="C11" s="310" t="s">
        <v>1623</v>
      </c>
      <c r="D11" s="5"/>
      <c r="E11" s="311" t="s">
        <v>1624</v>
      </c>
      <c r="F11" s="308" t="s">
        <v>1625</v>
      </c>
      <c r="G11" s="308" t="s">
        <v>1245</v>
      </c>
      <c r="H11" s="308" t="s">
        <v>1626</v>
      </c>
      <c r="I11" s="308" t="s">
        <v>1627</v>
      </c>
      <c r="J11" s="308" t="s">
        <v>1607</v>
      </c>
      <c r="K11" s="308" t="s">
        <v>1608</v>
      </c>
      <c r="L11" s="308" t="s">
        <v>1144</v>
      </c>
      <c r="M11" s="308" t="s">
        <v>283</v>
      </c>
      <c r="N11" s="308" t="s">
        <v>1609</v>
      </c>
      <c r="O11" s="308" t="s">
        <v>1610</v>
      </c>
      <c r="P11" s="308" t="s">
        <v>550</v>
      </c>
      <c r="Q11" s="308" t="s">
        <v>283</v>
      </c>
      <c r="R11" s="308" t="s">
        <v>164</v>
      </c>
      <c r="S11" s="308" t="s">
        <v>629</v>
      </c>
      <c r="T11" s="308" t="s">
        <v>276</v>
      </c>
      <c r="U11" s="308" t="s">
        <v>272</v>
      </c>
      <c r="V11" s="308" t="s">
        <v>273</v>
      </c>
      <c r="W11" s="308" t="s">
        <v>273</v>
      </c>
      <c r="X11" s="308" t="s">
        <v>273</v>
      </c>
      <c r="Y11" s="308" t="s">
        <v>273</v>
      </c>
      <c r="Z11" s="312" t="s">
        <v>284</v>
      </c>
      <c r="AA11" s="313" t="s">
        <v>1628</v>
      </c>
      <c r="AB11" s="311" t="s">
        <v>967</v>
      </c>
    </row>
    <row r="12" ht="21.75" customHeight="1" s="5" customFormat="1">
      <c r="A12" s="308" t="s">
        <v>320</v>
      </c>
      <c r="B12" s="309" t="s">
        <v>277</v>
      </c>
      <c r="C12" s="310" t="s">
        <v>1629</v>
      </c>
      <c r="D12" s="5"/>
      <c r="E12" s="311" t="s">
        <v>1630</v>
      </c>
      <c r="F12" s="308" t="s">
        <v>1631</v>
      </c>
      <c r="G12" s="308" t="s">
        <v>1245</v>
      </c>
      <c r="H12" s="308" t="s">
        <v>1632</v>
      </c>
      <c r="I12" s="308" t="s">
        <v>1633</v>
      </c>
      <c r="J12" s="308" t="s">
        <v>1607</v>
      </c>
      <c r="K12" s="308" t="s">
        <v>1608</v>
      </c>
      <c r="L12" s="308" t="s">
        <v>1144</v>
      </c>
      <c r="M12" s="308" t="s">
        <v>283</v>
      </c>
      <c r="N12" s="308" t="s">
        <v>1609</v>
      </c>
      <c r="O12" s="308" t="s">
        <v>1610</v>
      </c>
      <c r="P12" s="308" t="s">
        <v>550</v>
      </c>
      <c r="Q12" s="308" t="s">
        <v>283</v>
      </c>
      <c r="R12" s="308" t="s">
        <v>164</v>
      </c>
      <c r="S12" s="308" t="s">
        <v>636</v>
      </c>
      <c r="T12" s="308" t="s">
        <v>462</v>
      </c>
      <c r="U12" s="308" t="s">
        <v>272</v>
      </c>
      <c r="V12" s="308" t="s">
        <v>273</v>
      </c>
      <c r="W12" s="308" t="s">
        <v>273</v>
      </c>
      <c r="X12" s="308" t="s">
        <v>273</v>
      </c>
      <c r="Y12" s="308" t="s">
        <v>273</v>
      </c>
      <c r="Z12" s="314" t="s">
        <v>298</v>
      </c>
      <c r="AA12" s="313" t="s">
        <v>1634</v>
      </c>
      <c r="AB12" s="311" t="s">
        <v>967</v>
      </c>
    </row>
    <row r="13" ht="24.75" customHeight="1" s="5" customFormat="1">
      <c r="A13" s="315" t="s">
        <v>276</v>
      </c>
      <c r="B13" s="316" t="s">
        <v>300</v>
      </c>
      <c r="C13" s="317" t="s">
        <v>1635</v>
      </c>
      <c r="D13" s="318" t="s">
        <v>302</v>
      </c>
      <c r="E13" s="319" t="s">
        <v>1636</v>
      </c>
      <c r="F13" s="320" t="s">
        <v>1605</v>
      </c>
      <c r="G13" s="320" t="s">
        <v>1245</v>
      </c>
      <c r="H13" s="320"/>
      <c r="I13" s="320" t="s">
        <v>1570</v>
      </c>
      <c r="J13" s="320" t="s">
        <v>1038</v>
      </c>
      <c r="K13" s="320" t="s">
        <v>1038</v>
      </c>
      <c r="L13" s="320" t="s">
        <v>1144</v>
      </c>
      <c r="M13" s="321">
        <v>1450</v>
      </c>
      <c r="N13" s="320" t="s">
        <v>1038</v>
      </c>
      <c r="O13" s="320" t="s">
        <v>1038</v>
      </c>
      <c r="P13" s="320" t="s">
        <v>550</v>
      </c>
      <c r="Q13" s="322" t="s">
        <v>64</v>
      </c>
      <c r="R13" s="320" t="s">
        <v>1275</v>
      </c>
      <c r="S13" s="320" t="s">
        <v>1076</v>
      </c>
      <c r="T13" s="320" t="s">
        <v>276</v>
      </c>
      <c r="U13" s="320"/>
      <c r="V13" s="320" t="s">
        <v>507</v>
      </c>
      <c r="W13" s="320" t="s">
        <v>507</v>
      </c>
      <c r="X13" s="320" t="s">
        <v>507</v>
      </c>
      <c r="Y13" s="320" t="s">
        <v>507</v>
      </c>
      <c r="Z13" s="323" t="s">
        <v>284</v>
      </c>
      <c r="AA13" s="324" t="s">
        <v>1637</v>
      </c>
      <c r="AB13" s="319" t="s">
        <v>1638</v>
      </c>
    </row>
    <row r="14" ht="24.75" customHeight="1" s="5" customFormat="1">
      <c r="A14" s="315" t="s">
        <v>210</v>
      </c>
      <c r="B14" s="316" t="s">
        <v>300</v>
      </c>
      <c r="C14" s="317" t="s">
        <v>1639</v>
      </c>
      <c r="D14" s="5"/>
      <c r="E14" s="319" t="s">
        <v>1640</v>
      </c>
      <c r="F14" s="320" t="s">
        <v>1605</v>
      </c>
      <c r="G14" s="320" t="s">
        <v>1245</v>
      </c>
      <c r="H14" s="320"/>
      <c r="I14" s="320" t="s">
        <v>488</v>
      </c>
      <c r="J14" s="320" t="s">
        <v>1038</v>
      </c>
      <c r="K14" s="320" t="s">
        <v>1038</v>
      </c>
      <c r="L14" s="320" t="s">
        <v>1144</v>
      </c>
      <c r="M14" s="321">
        <v>1400</v>
      </c>
      <c r="N14" s="320" t="s">
        <v>1038</v>
      </c>
      <c r="O14" s="320" t="s">
        <v>1038</v>
      </c>
      <c r="P14" s="320" t="s">
        <v>550</v>
      </c>
      <c r="Q14" s="322" t="s">
        <v>64</v>
      </c>
      <c r="R14" s="320" t="s">
        <v>1423</v>
      </c>
      <c r="S14" s="320" t="s">
        <v>629</v>
      </c>
      <c r="T14" s="320" t="s">
        <v>276</v>
      </c>
      <c r="U14" s="320"/>
      <c r="V14" s="320" t="s">
        <v>507</v>
      </c>
      <c r="W14" s="320" t="s">
        <v>507</v>
      </c>
      <c r="X14" s="320" t="s">
        <v>507</v>
      </c>
      <c r="Y14" s="320" t="s">
        <v>507</v>
      </c>
      <c r="Z14" s="323" t="s">
        <v>284</v>
      </c>
      <c r="AA14" s="324" t="s">
        <v>1641</v>
      </c>
      <c r="AB14" s="319" t="s">
        <v>1642</v>
      </c>
    </row>
    <row r="15" ht="24.75" customHeight="1" s="5" customFormat="1">
      <c r="A15" s="315" t="s">
        <v>181</v>
      </c>
      <c r="B15" s="316" t="s">
        <v>300</v>
      </c>
      <c r="C15" s="317" t="s">
        <v>1643</v>
      </c>
      <c r="D15" s="5"/>
      <c r="E15" s="319" t="s">
        <v>1644</v>
      </c>
      <c r="F15" s="320" t="s">
        <v>1605</v>
      </c>
      <c r="G15" s="320" t="s">
        <v>1245</v>
      </c>
      <c r="H15" s="320"/>
      <c r="I15" s="320" t="s">
        <v>468</v>
      </c>
      <c r="J15" s="320" t="s">
        <v>1038</v>
      </c>
      <c r="K15" s="320" t="s">
        <v>1038</v>
      </c>
      <c r="L15" s="320" t="s">
        <v>1144</v>
      </c>
      <c r="M15" s="321">
        <v>1475</v>
      </c>
      <c r="N15" s="320" t="s">
        <v>1038</v>
      </c>
      <c r="O15" s="320" t="s">
        <v>1038</v>
      </c>
      <c r="P15" s="320" t="s">
        <v>550</v>
      </c>
      <c r="Q15" s="322" t="s">
        <v>64</v>
      </c>
      <c r="R15" s="320" t="s">
        <v>1265</v>
      </c>
      <c r="S15" s="320" t="s">
        <v>1091</v>
      </c>
      <c r="T15" s="320" t="s">
        <v>210</v>
      </c>
      <c r="U15" s="320"/>
      <c r="V15" s="320" t="s">
        <v>507</v>
      </c>
      <c r="W15" s="320" t="s">
        <v>507</v>
      </c>
      <c r="X15" s="320" t="s">
        <v>507</v>
      </c>
      <c r="Y15" s="320" t="s">
        <v>507</v>
      </c>
      <c r="Z15" s="323" t="s">
        <v>284</v>
      </c>
      <c r="AA15" s="324" t="s">
        <v>1645</v>
      </c>
      <c r="AB15" s="319" t="s">
        <v>1646</v>
      </c>
    </row>
    <row r="16" ht="24.75" customHeight="1" s="5" customFormat="1">
      <c r="A16" s="315" t="s">
        <v>320</v>
      </c>
      <c r="B16" s="316" t="s">
        <v>300</v>
      </c>
      <c r="C16" s="317" t="s">
        <v>1647</v>
      </c>
      <c r="D16" s="5"/>
      <c r="E16" s="319" t="s">
        <v>1648</v>
      </c>
      <c r="F16" s="320" t="s">
        <v>1605</v>
      </c>
      <c r="G16" s="320" t="s">
        <v>1245</v>
      </c>
      <c r="H16" s="320"/>
      <c r="I16" s="320" t="s">
        <v>1649</v>
      </c>
      <c r="J16" s="320" t="s">
        <v>1038</v>
      </c>
      <c r="K16" s="320" t="s">
        <v>1038</v>
      </c>
      <c r="L16" s="320" t="s">
        <v>1144</v>
      </c>
      <c r="M16" s="321">
        <v>1425</v>
      </c>
      <c r="N16" s="320" t="s">
        <v>1038</v>
      </c>
      <c r="O16" s="320" t="s">
        <v>1038</v>
      </c>
      <c r="P16" s="320" t="s">
        <v>550</v>
      </c>
      <c r="Q16" s="322" t="s">
        <v>64</v>
      </c>
      <c r="R16" s="320" t="s">
        <v>1428</v>
      </c>
      <c r="S16" s="320" t="s">
        <v>636</v>
      </c>
      <c r="T16" s="320" t="s">
        <v>462</v>
      </c>
      <c r="U16" s="320"/>
      <c r="V16" s="320" t="s">
        <v>507</v>
      </c>
      <c r="W16" s="320" t="s">
        <v>507</v>
      </c>
      <c r="X16" s="320" t="s">
        <v>507</v>
      </c>
      <c r="Y16" s="320" t="s">
        <v>507</v>
      </c>
      <c r="Z16" s="323" t="s">
        <v>284</v>
      </c>
      <c r="AA16" s="324" t="s">
        <v>1650</v>
      </c>
      <c r="AB16" s="319" t="s">
        <v>1651</v>
      </c>
    </row>
    <row r="17" ht="28.5" customHeight="1" s="5" customFormat="1">
      <c r="A17" s="325" t="s">
        <v>154</v>
      </c>
      <c r="B17" s="326" t="s">
        <v>339</v>
      </c>
      <c r="C17" s="327" t="s">
        <v>1652</v>
      </c>
      <c r="D17" s="5"/>
      <c r="E17" s="325" t="s">
        <v>64</v>
      </c>
      <c r="F17" s="325" t="s">
        <v>1605</v>
      </c>
      <c r="G17" s="325" t="s">
        <v>1245</v>
      </c>
      <c r="H17" s="325"/>
      <c r="I17" s="325"/>
      <c r="J17" s="325" t="s">
        <v>64</v>
      </c>
      <c r="K17" s="325" t="s">
        <v>64</v>
      </c>
      <c r="L17" s="325" t="s">
        <v>1144</v>
      </c>
      <c r="M17" s="325" t="s">
        <v>1144</v>
      </c>
      <c r="N17" s="325" t="s">
        <v>64</v>
      </c>
      <c r="O17" s="325" t="s">
        <v>64</v>
      </c>
      <c r="P17" s="325" t="s">
        <v>550</v>
      </c>
      <c r="Q17" s="325" t="s">
        <v>550</v>
      </c>
      <c r="R17" s="325"/>
      <c r="S17" s="325"/>
      <c r="T17" s="325"/>
      <c r="U17" s="325"/>
      <c r="V17" s="325"/>
      <c r="W17" s="325"/>
      <c r="X17" s="325"/>
      <c r="Y17" s="325"/>
      <c r="Z17" s="316" t="s">
        <v>339</v>
      </c>
      <c r="AA17" s="328" t="s">
        <v>1653</v>
      </c>
      <c r="AB17" s="328" t="s">
        <v>342</v>
      </c>
    </row>
    <row r="18" ht="34.5" customHeight="1" s="5" customFormat="1">
      <c r="A18" s="329" t="s">
        <v>154</v>
      </c>
      <c r="B18" s="326" t="s">
        <v>339</v>
      </c>
      <c r="C18" s="330" t="s">
        <v>1654</v>
      </c>
      <c r="D18" s="5"/>
      <c r="E18" s="329" t="s">
        <v>64</v>
      </c>
      <c r="F18" s="329" t="s">
        <v>1605</v>
      </c>
      <c r="G18" s="329" t="s">
        <v>1245</v>
      </c>
      <c r="H18" s="329"/>
      <c r="I18" s="329"/>
      <c r="J18" s="329"/>
      <c r="K18" s="329"/>
      <c r="L18" s="329"/>
      <c r="M18" s="331">
        <v>1438</v>
      </c>
      <c r="N18" s="329"/>
      <c r="O18" s="329"/>
      <c r="P18" s="329"/>
      <c r="Q18" s="331"/>
      <c r="R18" s="329"/>
      <c r="S18" s="329"/>
      <c r="T18" s="329"/>
      <c r="U18" s="329"/>
      <c r="V18" s="329"/>
      <c r="W18" s="329"/>
      <c r="X18" s="329"/>
      <c r="Y18" s="329"/>
      <c r="Z18" s="316" t="s">
        <v>339</v>
      </c>
      <c r="AA18" s="332" t="s">
        <v>1061</v>
      </c>
      <c r="AB18" s="332" t="s">
        <v>1062</v>
      </c>
    </row>
    <row r="20" ht="14.25" customHeight="1" s="5" customFormat="1">
      <c r="A20" s="333" t="s">
        <v>1063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2" ht="18" customHeight="1" s="5" customFormat="1">
      <c r="A22" s="334" t="s">
        <v>349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ht="15.75" customHeight="1" s="5" customFormat="1">
      <c r="A23" s="335" t="s">
        <v>1064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ht="15.75" customHeight="1" s="5" customFormat="1">
      <c r="A24" s="5"/>
      <c r="B24" s="336" t="s">
        <v>351</v>
      </c>
      <c r="C24" s="336" t="s">
        <v>352</v>
      </c>
      <c r="D24" s="5"/>
      <c r="E24" s="336" t="s">
        <v>353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ht="20.25" customHeight="1" s="5" customFormat="1">
      <c r="A25" s="337" t="s">
        <v>152</v>
      </c>
      <c r="B25" s="338">
        <f>'Current Rents'!F35</f>
        <v>1053</v>
      </c>
      <c r="C25" s="339">
        <v>1438</v>
      </c>
      <c r="D25" s="5"/>
      <c r="E25" s="340">
        <f t="shared" si="0" ref="E25:E26">B25-C25</f>
        <v>-385</v>
      </c>
      <c r="F25" s="161" t="str">
        <f>IF(E25&lt;-75,"LOOK INTO INCREASING THE RENT!","")</f>
        <v>LOOK INTO INCREASING THE RENT!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ht="20.25" customHeight="1" s="5" customFormat="1">
      <c r="A26" s="337" t="s">
        <v>155</v>
      </c>
      <c r="B26" s="338">
        <f>'Current Rents'!G35</f>
        <v>1152</v>
      </c>
      <c r="C26" s="339">
        <v>0</v>
      </c>
      <c r="D26" s="5"/>
      <c r="E26" s="340">
        <f t="shared" si="0"/>
        <v>1152</v>
      </c>
      <c r="F26" s="161" t="str">
        <f>IF(E26&lt;-75,"LOOK INTO INCREASING THE RENT!","")</f>
        <v/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</sheetData>
  <mergeCells>
    <mergeCell ref="Z3:AB3"/>
    <mergeCell ref="A4:AB4"/>
    <mergeCell ref="A23:H23"/>
    <mergeCell ref="C8:D8"/>
    <mergeCell ref="C9:D9"/>
    <mergeCell ref="C12:D12"/>
    <mergeCell ref="C18:D18"/>
    <mergeCell ref="C17:D17"/>
    <mergeCell ref="A22:H22"/>
    <mergeCell ref="C10:D10"/>
    <mergeCell ref="C7:D7"/>
    <mergeCell ref="A3:Y3"/>
    <mergeCell ref="A20:AB20"/>
    <mergeCell ref="C24:D24"/>
    <mergeCell ref="C11:D11"/>
    <mergeCell ref="A5:AB5"/>
    <mergeCell ref="D13:D16"/>
    <mergeCell ref="A6:AB6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A66EB87-6098-70B8-464D-B4532D87018F}" mc:Ignorable="x14ac xr xr2 xr3"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style="5" width="9.00390625" customWidth="1"/>
    <col min="2" max="2" style="5" width="18.57421875" customWidth="1"/>
    <col min="3" max="3" style="5" width="42.00390625" customWidth="1"/>
    <col min="4" max="4" style="5" width="4.7109375" customWidth="1"/>
    <col min="5" max="5" style="5" width="31.00390625" customWidth="1"/>
    <col min="6" max="6" style="5" width="14.28125" customWidth="1"/>
    <col min="7" max="7" style="5" width="9.28125" customWidth="1"/>
    <col min="8" max="9" style="5" width="13.00390625" customWidth="1"/>
    <col min="10" max="10" style="5" width="7.00390625" hidden="1" customWidth="1"/>
    <col min="11" max="11" style="5" width="13.00390625" customWidth="1"/>
    <col min="12" max="12" style="5" width="5.28125" hidden="1" customWidth="1"/>
    <col min="13" max="13" style="5" width="16.7109375" customWidth="1"/>
    <col min="14" max="14" style="5" width="7.00390625" hidden="1" customWidth="1"/>
    <col min="15" max="15" style="5" width="13.00390625" customWidth="1"/>
    <col min="16" max="16" style="5" width="5.28125" hidden="1" customWidth="1"/>
    <col min="17" max="17" style="5" width="16.7109375" customWidth="1"/>
    <col min="18" max="18" style="5" width="9.421875" customWidth="1"/>
    <col min="19" max="25" style="5" width="13.00390625" customWidth="1"/>
    <col min="26" max="26" style="5" width="24.57421875" customWidth="1"/>
    <col min="27" max="27" style="5" width="55.7109375" customWidth="1"/>
    <col min="28" max="28" style="5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36" customHeight="1" s="5" customFormat="1">
      <c r="A3" s="295" t="s">
        <v>1655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296" t="s">
        <v>1656</v>
      </c>
      <c r="AA3" s="5"/>
      <c r="AB3" s="5"/>
    </row>
    <row r="4" ht="18" customHeight="1" s="5" customFormat="1">
      <c r="A4" s="297" t="s">
        <v>1657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ht="14.25" customHeight="1" s="5" customFormat="1">
      <c r="A5" s="298" t="s">
        <v>1012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ht="25.5" customHeight="1" s="5" customFormat="1">
      <c r="A6" s="299" t="s">
        <v>1013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ht="25.5" customHeight="1" s="5" customFormat="1">
      <c r="A7" s="300" t="s">
        <v>233</v>
      </c>
      <c r="B7" s="300" t="s">
        <v>234</v>
      </c>
      <c r="C7" s="300" t="s">
        <v>3</v>
      </c>
      <c r="D7" s="5"/>
      <c r="E7" s="300" t="s">
        <v>235</v>
      </c>
      <c r="F7" s="300" t="s">
        <v>236</v>
      </c>
      <c r="G7" s="300" t="s">
        <v>237</v>
      </c>
      <c r="H7" s="300" t="s">
        <v>238</v>
      </c>
      <c r="I7" s="300" t="s">
        <v>239</v>
      </c>
      <c r="J7" s="300" t="s">
        <v>240</v>
      </c>
      <c r="K7" s="300" t="s">
        <v>241</v>
      </c>
      <c r="L7" s="300" t="s">
        <v>242</v>
      </c>
      <c r="M7" s="301" t="s">
        <v>360</v>
      </c>
      <c r="N7" s="300" t="s">
        <v>244</v>
      </c>
      <c r="O7" s="300" t="s">
        <v>245</v>
      </c>
      <c r="P7" s="300" t="s">
        <v>246</v>
      </c>
      <c r="Q7" s="301" t="s">
        <v>361</v>
      </c>
      <c r="R7" s="300" t="s">
        <v>6</v>
      </c>
      <c r="S7" s="300" t="s">
        <v>248</v>
      </c>
      <c r="T7" s="300" t="s">
        <v>249</v>
      </c>
      <c r="U7" s="300" t="s">
        <v>250</v>
      </c>
      <c r="V7" s="300" t="s">
        <v>251</v>
      </c>
      <c r="W7" s="300" t="s">
        <v>252</v>
      </c>
      <c r="X7" s="300" t="s">
        <v>253</v>
      </c>
      <c r="Y7" s="300" t="s">
        <v>254</v>
      </c>
      <c r="Z7" s="301" t="s">
        <v>255</v>
      </c>
      <c r="AA7" s="300" t="s">
        <v>256</v>
      </c>
      <c r="AB7" s="300" t="s">
        <v>257</v>
      </c>
    </row>
    <row r="8" ht="21.75" customHeight="1" s="5" customFormat="1">
      <c r="A8" s="302" t="s">
        <v>258</v>
      </c>
      <c r="B8" s="303" t="s">
        <v>259</v>
      </c>
      <c r="C8" s="304" t="s">
        <v>1658</v>
      </c>
      <c r="D8" s="5"/>
      <c r="E8" s="304" t="s">
        <v>1659</v>
      </c>
      <c r="F8" s="305" t="s">
        <v>1660</v>
      </c>
      <c r="G8" s="305" t="s">
        <v>1245</v>
      </c>
      <c r="H8" s="305" t="s">
        <v>1661</v>
      </c>
      <c r="I8" s="305" t="s">
        <v>265</v>
      </c>
      <c r="J8" s="305" t="s">
        <v>1662</v>
      </c>
      <c r="K8" s="305" t="s">
        <v>1663</v>
      </c>
      <c r="L8" s="305" t="s">
        <v>1374</v>
      </c>
      <c r="M8" s="306">
        <f>'Current Rents'!E36</f>
        <v>1154</v>
      </c>
      <c r="N8" s="305" t="s">
        <v>1664</v>
      </c>
      <c r="O8" s="305" t="s">
        <v>1665</v>
      </c>
      <c r="P8" s="305" t="s">
        <v>1377</v>
      </c>
      <c r="Q8" s="306">
        <f>'Current Rents'!F36</f>
        <v>1484</v>
      </c>
      <c r="R8" s="305" t="s">
        <v>1666</v>
      </c>
      <c r="S8" s="305">
        <v>2023</v>
      </c>
      <c r="T8" s="305">
        <v>0</v>
      </c>
      <c r="U8" s="305" t="s">
        <v>897</v>
      </c>
      <c r="V8" s="305" t="s">
        <v>273</v>
      </c>
      <c r="W8" s="305" t="s">
        <v>273</v>
      </c>
      <c r="X8" s="305" t="s">
        <v>273</v>
      </c>
      <c r="Y8" s="305" t="s">
        <v>273</v>
      </c>
      <c r="Z8" s="303" t="s">
        <v>259</v>
      </c>
      <c r="AA8" s="307" t="s">
        <v>1667</v>
      </c>
      <c r="AB8" s="304" t="s">
        <v>275</v>
      </c>
    </row>
    <row r="9" ht="21.75" customHeight="1" s="5" customFormat="1">
      <c r="A9" s="308" t="s">
        <v>276</v>
      </c>
      <c r="B9" s="309" t="s">
        <v>277</v>
      </c>
      <c r="C9" s="310" t="s">
        <v>1668</v>
      </c>
      <c r="D9" s="5"/>
      <c r="E9" s="311" t="s">
        <v>1669</v>
      </c>
      <c r="F9" s="308" t="s">
        <v>1660</v>
      </c>
      <c r="G9" s="308" t="s">
        <v>1245</v>
      </c>
      <c r="H9" s="308" t="s">
        <v>1670</v>
      </c>
      <c r="I9" s="308" t="s">
        <v>1671</v>
      </c>
      <c r="J9" s="308" t="s">
        <v>1662</v>
      </c>
      <c r="K9" s="308" t="s">
        <v>1663</v>
      </c>
      <c r="L9" s="308" t="s">
        <v>1374</v>
      </c>
      <c r="M9" s="308" t="s">
        <v>1672</v>
      </c>
      <c r="N9" s="308" t="s">
        <v>1664</v>
      </c>
      <c r="O9" s="308" t="s">
        <v>1665</v>
      </c>
      <c r="P9" s="308" t="s">
        <v>1377</v>
      </c>
      <c r="Q9" s="308" t="s">
        <v>1673</v>
      </c>
      <c r="R9" s="308" t="s">
        <v>551</v>
      </c>
      <c r="S9" s="308" t="s">
        <v>1027</v>
      </c>
      <c r="T9" s="308" t="s">
        <v>181</v>
      </c>
      <c r="U9" s="308" t="s">
        <v>272</v>
      </c>
      <c r="V9" s="308" t="s">
        <v>273</v>
      </c>
      <c r="W9" s="308" t="s">
        <v>273</v>
      </c>
      <c r="X9" s="308" t="s">
        <v>273</v>
      </c>
      <c r="Y9" s="308" t="s">
        <v>273</v>
      </c>
      <c r="Z9" s="312" t="s">
        <v>284</v>
      </c>
      <c r="AA9" s="313" t="s">
        <v>1674</v>
      </c>
      <c r="AB9" s="311" t="s">
        <v>967</v>
      </c>
    </row>
    <row r="10" ht="21.75" customHeight="1" s="5" customFormat="1">
      <c r="A10" s="308" t="s">
        <v>210</v>
      </c>
      <c r="B10" s="309" t="s">
        <v>277</v>
      </c>
      <c r="C10" s="310" t="s">
        <v>1675</v>
      </c>
      <c r="D10" s="5"/>
      <c r="E10" s="311" t="s">
        <v>1676</v>
      </c>
      <c r="F10" s="308" t="s">
        <v>1660</v>
      </c>
      <c r="G10" s="308" t="s">
        <v>1245</v>
      </c>
      <c r="H10" s="308" t="s">
        <v>1677</v>
      </c>
      <c r="I10" s="308" t="s">
        <v>499</v>
      </c>
      <c r="J10" s="308" t="s">
        <v>1662</v>
      </c>
      <c r="K10" s="308" t="s">
        <v>1663</v>
      </c>
      <c r="L10" s="308" t="s">
        <v>1374</v>
      </c>
      <c r="M10" s="308" t="s">
        <v>1678</v>
      </c>
      <c r="N10" s="308" t="s">
        <v>1664</v>
      </c>
      <c r="O10" s="308" t="s">
        <v>1665</v>
      </c>
      <c r="P10" s="308" t="s">
        <v>1377</v>
      </c>
      <c r="Q10" s="308" t="s">
        <v>283</v>
      </c>
      <c r="R10" s="308" t="s">
        <v>1666</v>
      </c>
      <c r="S10" s="308" t="s">
        <v>636</v>
      </c>
      <c r="T10" s="308" t="s">
        <v>326</v>
      </c>
      <c r="U10" s="308" t="s">
        <v>272</v>
      </c>
      <c r="V10" s="308" t="s">
        <v>273</v>
      </c>
      <c r="W10" s="308" t="s">
        <v>273</v>
      </c>
      <c r="X10" s="308" t="s">
        <v>273</v>
      </c>
      <c r="Y10" s="308" t="s">
        <v>273</v>
      </c>
      <c r="Z10" s="312" t="s">
        <v>284</v>
      </c>
      <c r="AA10" s="313" t="s">
        <v>1679</v>
      </c>
      <c r="AB10" s="311" t="s">
        <v>967</v>
      </c>
    </row>
    <row r="11" ht="21.75" customHeight="1" s="5" customFormat="1">
      <c r="A11" s="308" t="s">
        <v>181</v>
      </c>
      <c r="B11" s="309" t="s">
        <v>277</v>
      </c>
      <c r="C11" s="310" t="s">
        <v>1680</v>
      </c>
      <c r="D11" s="5"/>
      <c r="E11" s="311" t="s">
        <v>1681</v>
      </c>
      <c r="F11" s="308" t="s">
        <v>1498</v>
      </c>
      <c r="G11" s="308" t="s">
        <v>1245</v>
      </c>
      <c r="H11" s="308"/>
      <c r="I11" s="308" t="s">
        <v>64</v>
      </c>
      <c r="J11" s="308" t="s">
        <v>1662</v>
      </c>
      <c r="K11" s="308" t="s">
        <v>1663</v>
      </c>
      <c r="L11" s="308" t="s">
        <v>1374</v>
      </c>
      <c r="M11" s="308" t="s">
        <v>283</v>
      </c>
      <c r="N11" s="308" t="s">
        <v>1664</v>
      </c>
      <c r="O11" s="308" t="s">
        <v>1665</v>
      </c>
      <c r="P11" s="308" t="s">
        <v>1377</v>
      </c>
      <c r="Q11" s="308" t="s">
        <v>283</v>
      </c>
      <c r="R11" s="308" t="s">
        <v>1521</v>
      </c>
      <c r="S11" s="308" t="s">
        <v>1682</v>
      </c>
      <c r="T11" s="308" t="s">
        <v>276</v>
      </c>
      <c r="U11" s="308" t="s">
        <v>272</v>
      </c>
      <c r="V11" s="308" t="s">
        <v>273</v>
      </c>
      <c r="W11" s="308" t="s">
        <v>273</v>
      </c>
      <c r="X11" s="308" t="s">
        <v>273</v>
      </c>
      <c r="Y11" s="308" t="s">
        <v>273</v>
      </c>
      <c r="Z11" s="341" t="s">
        <v>982</v>
      </c>
      <c r="AA11" s="313" t="s">
        <v>1683</v>
      </c>
      <c r="AB11" s="311" t="s">
        <v>967</v>
      </c>
    </row>
    <row r="12" ht="21.75" customHeight="1" s="5" customFormat="1">
      <c r="A12" s="308" t="s">
        <v>320</v>
      </c>
      <c r="B12" s="309" t="s">
        <v>277</v>
      </c>
      <c r="C12" s="310" t="s">
        <v>1684</v>
      </c>
      <c r="D12" s="5"/>
      <c r="E12" s="311" t="s">
        <v>1685</v>
      </c>
      <c r="F12" s="308" t="s">
        <v>1660</v>
      </c>
      <c r="G12" s="308" t="s">
        <v>1245</v>
      </c>
      <c r="H12" s="308" t="s">
        <v>1686</v>
      </c>
      <c r="I12" s="308" t="s">
        <v>1171</v>
      </c>
      <c r="J12" s="308" t="s">
        <v>1662</v>
      </c>
      <c r="K12" s="308" t="s">
        <v>1663</v>
      </c>
      <c r="L12" s="308" t="s">
        <v>1374</v>
      </c>
      <c r="M12" s="308" t="s">
        <v>283</v>
      </c>
      <c r="N12" s="308" t="s">
        <v>1664</v>
      </c>
      <c r="O12" s="308" t="s">
        <v>1665</v>
      </c>
      <c r="P12" s="308" t="s">
        <v>1377</v>
      </c>
      <c r="Q12" s="308" t="s">
        <v>283</v>
      </c>
      <c r="R12" s="308" t="s">
        <v>1026</v>
      </c>
      <c r="S12" s="308" t="s">
        <v>629</v>
      </c>
      <c r="T12" s="308" t="s">
        <v>320</v>
      </c>
      <c r="U12" s="308" t="s">
        <v>272</v>
      </c>
      <c r="V12" s="308" t="s">
        <v>273</v>
      </c>
      <c r="W12" s="308" t="s">
        <v>273</v>
      </c>
      <c r="X12" s="308" t="s">
        <v>273</v>
      </c>
      <c r="Y12" s="308" t="s">
        <v>273</v>
      </c>
      <c r="Z12" s="312" t="s">
        <v>284</v>
      </c>
      <c r="AA12" s="313" t="s">
        <v>1687</v>
      </c>
      <c r="AB12" s="311" t="s">
        <v>967</v>
      </c>
    </row>
    <row r="13" ht="24.75" customHeight="1" s="5" customFormat="1">
      <c r="A13" s="315" t="s">
        <v>276</v>
      </c>
      <c r="B13" s="316" t="s">
        <v>300</v>
      </c>
      <c r="C13" s="317" t="s">
        <v>1688</v>
      </c>
      <c r="D13" s="318" t="s">
        <v>302</v>
      </c>
      <c r="E13" s="319" t="s">
        <v>1689</v>
      </c>
      <c r="F13" s="320" t="s">
        <v>1660</v>
      </c>
      <c r="G13" s="320" t="s">
        <v>1245</v>
      </c>
      <c r="H13" s="320"/>
      <c r="I13" s="320" t="s">
        <v>1171</v>
      </c>
      <c r="J13" s="320" t="s">
        <v>1038</v>
      </c>
      <c r="K13" s="320" t="s">
        <v>1038</v>
      </c>
      <c r="L13" s="320" t="s">
        <v>1374</v>
      </c>
      <c r="M13" s="321">
        <v>875</v>
      </c>
      <c r="N13" s="320" t="s">
        <v>1038</v>
      </c>
      <c r="O13" s="320" t="s">
        <v>1038</v>
      </c>
      <c r="P13" s="320" t="s">
        <v>1377</v>
      </c>
      <c r="Q13" s="321">
        <v>995</v>
      </c>
      <c r="R13" s="320" t="s">
        <v>1690</v>
      </c>
      <c r="S13" s="320" t="s">
        <v>1016</v>
      </c>
      <c r="T13" s="320" t="s">
        <v>210</v>
      </c>
      <c r="U13" s="320" t="s">
        <v>507</v>
      </c>
      <c r="V13" s="320" t="s">
        <v>507</v>
      </c>
      <c r="W13" s="320" t="s">
        <v>507</v>
      </c>
      <c r="X13" s="320" t="s">
        <v>507</v>
      </c>
      <c r="Y13" s="320" t="s">
        <v>507</v>
      </c>
      <c r="Z13" s="323" t="s">
        <v>284</v>
      </c>
      <c r="AA13" s="324" t="s">
        <v>1691</v>
      </c>
      <c r="AB13" s="319" t="s">
        <v>1692</v>
      </c>
    </row>
    <row r="14" ht="24.75" customHeight="1" s="5" customFormat="1">
      <c r="A14" s="315" t="s">
        <v>210</v>
      </c>
      <c r="B14" s="316" t="s">
        <v>300</v>
      </c>
      <c r="C14" s="317" t="s">
        <v>1693</v>
      </c>
      <c r="D14" s="5"/>
      <c r="E14" s="319" t="s">
        <v>1694</v>
      </c>
      <c r="F14" s="320" t="s">
        <v>1660</v>
      </c>
      <c r="G14" s="320" t="s">
        <v>1245</v>
      </c>
      <c r="H14" s="320"/>
      <c r="I14" s="320" t="s">
        <v>664</v>
      </c>
      <c r="J14" s="320" t="s">
        <v>1038</v>
      </c>
      <c r="K14" s="320" t="s">
        <v>1038</v>
      </c>
      <c r="L14" s="320" t="s">
        <v>1374</v>
      </c>
      <c r="M14" s="321">
        <v>850</v>
      </c>
      <c r="N14" s="320" t="s">
        <v>1038</v>
      </c>
      <c r="O14" s="320" t="s">
        <v>1038</v>
      </c>
      <c r="P14" s="320" t="s">
        <v>1377</v>
      </c>
      <c r="Q14" s="321">
        <v>975</v>
      </c>
      <c r="R14" s="320" t="s">
        <v>748</v>
      </c>
      <c r="S14" s="320" t="s">
        <v>603</v>
      </c>
      <c r="T14" s="320" t="s">
        <v>210</v>
      </c>
      <c r="U14" s="320" t="s">
        <v>507</v>
      </c>
      <c r="V14" s="320" t="s">
        <v>507</v>
      </c>
      <c r="W14" s="320" t="s">
        <v>507</v>
      </c>
      <c r="X14" s="320" t="s">
        <v>507</v>
      </c>
      <c r="Y14" s="320" t="s">
        <v>507</v>
      </c>
      <c r="Z14" s="323" t="s">
        <v>284</v>
      </c>
      <c r="AA14" s="324" t="s">
        <v>1695</v>
      </c>
      <c r="AB14" s="319" t="s">
        <v>1696</v>
      </c>
    </row>
    <row r="15" ht="24.75" customHeight="1" s="5" customFormat="1">
      <c r="A15" s="315" t="s">
        <v>181</v>
      </c>
      <c r="B15" s="316" t="s">
        <v>300</v>
      </c>
      <c r="C15" s="317" t="s">
        <v>1697</v>
      </c>
      <c r="D15" s="5"/>
      <c r="E15" s="319" t="s">
        <v>1698</v>
      </c>
      <c r="F15" s="320" t="s">
        <v>1660</v>
      </c>
      <c r="G15" s="320" t="s">
        <v>1245</v>
      </c>
      <c r="H15" s="320"/>
      <c r="I15" s="320" t="s">
        <v>1699</v>
      </c>
      <c r="J15" s="320" t="s">
        <v>1038</v>
      </c>
      <c r="K15" s="320" t="s">
        <v>1038</v>
      </c>
      <c r="L15" s="320" t="s">
        <v>1374</v>
      </c>
      <c r="M15" s="321">
        <v>900</v>
      </c>
      <c r="N15" s="320" t="s">
        <v>1038</v>
      </c>
      <c r="O15" s="320" t="s">
        <v>1038</v>
      </c>
      <c r="P15" s="320" t="s">
        <v>1377</v>
      </c>
      <c r="Q15" s="321">
        <v>1025</v>
      </c>
      <c r="R15" s="320" t="s">
        <v>563</v>
      </c>
      <c r="S15" s="320" t="s">
        <v>1027</v>
      </c>
      <c r="T15" s="320" t="s">
        <v>181</v>
      </c>
      <c r="U15" s="320" t="s">
        <v>507</v>
      </c>
      <c r="V15" s="320" t="s">
        <v>507</v>
      </c>
      <c r="W15" s="320" t="s">
        <v>507</v>
      </c>
      <c r="X15" s="320" t="s">
        <v>507</v>
      </c>
      <c r="Y15" s="320" t="s">
        <v>507</v>
      </c>
      <c r="Z15" s="323" t="s">
        <v>284</v>
      </c>
      <c r="AA15" s="324" t="s">
        <v>1700</v>
      </c>
      <c r="AB15" s="319" t="s">
        <v>1696</v>
      </c>
    </row>
    <row r="16" ht="24.75" customHeight="1" s="5" customFormat="1">
      <c r="A16" s="315" t="s">
        <v>320</v>
      </c>
      <c r="B16" s="316" t="s">
        <v>300</v>
      </c>
      <c r="C16" s="317" t="s">
        <v>1701</v>
      </c>
      <c r="D16" s="5"/>
      <c r="E16" s="319" t="s">
        <v>1702</v>
      </c>
      <c r="F16" s="320" t="s">
        <v>1703</v>
      </c>
      <c r="G16" s="320" t="s">
        <v>1245</v>
      </c>
      <c r="H16" s="320"/>
      <c r="I16" s="320" t="s">
        <v>382</v>
      </c>
      <c r="J16" s="320" t="s">
        <v>1038</v>
      </c>
      <c r="K16" s="320" t="s">
        <v>1038</v>
      </c>
      <c r="L16" s="320" t="s">
        <v>1374</v>
      </c>
      <c r="M16" s="321">
        <v>875</v>
      </c>
      <c r="N16" s="320" t="s">
        <v>1038</v>
      </c>
      <c r="O16" s="320" t="s">
        <v>1038</v>
      </c>
      <c r="P16" s="320" t="s">
        <v>1377</v>
      </c>
      <c r="Q16" s="321">
        <v>1000</v>
      </c>
      <c r="R16" s="320" t="s">
        <v>475</v>
      </c>
      <c r="S16" s="320" t="s">
        <v>603</v>
      </c>
      <c r="T16" s="320" t="s">
        <v>210</v>
      </c>
      <c r="U16" s="320" t="s">
        <v>507</v>
      </c>
      <c r="V16" s="320" t="s">
        <v>507</v>
      </c>
      <c r="W16" s="320" t="s">
        <v>507</v>
      </c>
      <c r="X16" s="320" t="s">
        <v>507</v>
      </c>
      <c r="Y16" s="320" t="s">
        <v>507</v>
      </c>
      <c r="Z16" s="323" t="s">
        <v>284</v>
      </c>
      <c r="AA16" s="324" t="s">
        <v>1704</v>
      </c>
      <c r="AB16" s="319" t="s">
        <v>1696</v>
      </c>
    </row>
    <row r="17" ht="28.5" customHeight="1" s="5" customFormat="1">
      <c r="A17" s="325" t="s">
        <v>154</v>
      </c>
      <c r="B17" s="326" t="s">
        <v>339</v>
      </c>
      <c r="C17" s="327" t="s">
        <v>1705</v>
      </c>
      <c r="D17" s="5"/>
      <c r="E17" s="325" t="s">
        <v>64</v>
      </c>
      <c r="F17" s="325" t="s">
        <v>1660</v>
      </c>
      <c r="G17" s="325" t="s">
        <v>1245</v>
      </c>
      <c r="H17" s="325"/>
      <c r="I17" s="325"/>
      <c r="J17" s="325" t="s">
        <v>64</v>
      </c>
      <c r="K17" s="325" t="s">
        <v>64</v>
      </c>
      <c r="L17" s="325" t="s">
        <v>1374</v>
      </c>
      <c r="M17" s="325" t="s">
        <v>1374</v>
      </c>
      <c r="N17" s="325" t="s">
        <v>64</v>
      </c>
      <c r="O17" s="325" t="s">
        <v>64</v>
      </c>
      <c r="P17" s="325" t="s">
        <v>1377</v>
      </c>
      <c r="Q17" s="325" t="s">
        <v>1377</v>
      </c>
      <c r="R17" s="325"/>
      <c r="S17" s="325"/>
      <c r="T17" s="325"/>
      <c r="U17" s="325"/>
      <c r="V17" s="325"/>
      <c r="W17" s="325"/>
      <c r="X17" s="325"/>
      <c r="Y17" s="325"/>
      <c r="Z17" s="316" t="s">
        <v>339</v>
      </c>
      <c r="AA17" s="328" t="s">
        <v>1706</v>
      </c>
      <c r="AB17" s="328" t="s">
        <v>342</v>
      </c>
    </row>
    <row r="18" ht="34.5" customHeight="1" s="5" customFormat="1">
      <c r="A18" s="329" t="s">
        <v>154</v>
      </c>
      <c r="B18" s="326" t="s">
        <v>339</v>
      </c>
      <c r="C18" s="330" t="s">
        <v>1707</v>
      </c>
      <c r="D18" s="5"/>
      <c r="E18" s="329" t="s">
        <v>64</v>
      </c>
      <c r="F18" s="329" t="s">
        <v>1660</v>
      </c>
      <c r="G18" s="329" t="s">
        <v>1245</v>
      </c>
      <c r="H18" s="329"/>
      <c r="I18" s="329"/>
      <c r="J18" s="329"/>
      <c r="K18" s="329"/>
      <c r="L18" s="329"/>
      <c r="M18" s="331">
        <v>875</v>
      </c>
      <c r="N18" s="329"/>
      <c r="O18" s="329"/>
      <c r="P18" s="329"/>
      <c r="Q18" s="331">
        <v>999</v>
      </c>
      <c r="R18" s="329"/>
      <c r="S18" s="329"/>
      <c r="T18" s="329"/>
      <c r="U18" s="329"/>
      <c r="V18" s="329"/>
      <c r="W18" s="329"/>
      <c r="X18" s="329"/>
      <c r="Y18" s="329"/>
      <c r="Z18" s="316" t="s">
        <v>339</v>
      </c>
      <c r="AA18" s="332" t="s">
        <v>1061</v>
      </c>
      <c r="AB18" s="332" t="s">
        <v>1062</v>
      </c>
    </row>
    <row r="20" ht="14.25" customHeight="1" s="5" customFormat="1">
      <c r="A20" s="333" t="s">
        <v>1063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2" ht="18" customHeight="1" s="5" customFormat="1">
      <c r="A22" s="334" t="s">
        <v>349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ht="15.75" customHeight="1" s="5" customFormat="1">
      <c r="A23" s="335" t="s">
        <v>1064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ht="15.75" customHeight="1" s="5" customFormat="1">
      <c r="A24" s="5"/>
      <c r="B24" s="336" t="s">
        <v>351</v>
      </c>
      <c r="C24" s="336" t="s">
        <v>352</v>
      </c>
      <c r="D24" s="5"/>
      <c r="E24" s="336" t="s">
        <v>353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ht="20.25" customHeight="1" s="5" customFormat="1">
      <c r="A25" s="337" t="s">
        <v>151</v>
      </c>
      <c r="B25" s="338">
        <f>'Current Rents'!E36</f>
        <v>1154</v>
      </c>
      <c r="C25" s="339">
        <v>875</v>
      </c>
      <c r="D25" s="5"/>
      <c r="E25" s="340">
        <f t="shared" si="0" ref="E25:E26">B25-C25</f>
        <v>279</v>
      </c>
      <c r="F25" s="161" t="str">
        <f>IF(E25&lt;-75,"LOOK INTO INCREASING THE RENT!","")</f>
        <v/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ht="20.25" customHeight="1" s="5" customFormat="1">
      <c r="A26" s="337" t="s">
        <v>152</v>
      </c>
      <c r="B26" s="338">
        <f>'Current Rents'!F36</f>
        <v>1484</v>
      </c>
      <c r="C26" s="339">
        <v>999</v>
      </c>
      <c r="D26" s="5"/>
      <c r="E26" s="340">
        <f t="shared" si="0"/>
        <v>485</v>
      </c>
      <c r="F26" s="161" t="str">
        <f>IF(E26&lt;-75,"LOOK INTO INCREASING THE RENT!","")</f>
        <v/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</sheetData>
  <mergeCells>
    <mergeCell ref="Z3:AB3"/>
    <mergeCell ref="A4:AB4"/>
    <mergeCell ref="A23:H23"/>
    <mergeCell ref="C8:D8"/>
    <mergeCell ref="C9:D9"/>
    <mergeCell ref="C12:D12"/>
    <mergeCell ref="C18:D18"/>
    <mergeCell ref="C17:D17"/>
    <mergeCell ref="A22:H22"/>
    <mergeCell ref="C10:D10"/>
    <mergeCell ref="C7:D7"/>
    <mergeCell ref="A3:Y3"/>
    <mergeCell ref="A20:AB20"/>
    <mergeCell ref="C24:D24"/>
    <mergeCell ref="C11:D11"/>
    <mergeCell ref="A5:AB5"/>
    <mergeCell ref="D13:D16"/>
    <mergeCell ref="A6:AB6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732B4B8-EF38-F8B8-3068-C045C97EE128}" mc:Ignorable="x14ac xr xr2 xr3"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style="5" width="9.00390625" customWidth="1"/>
    <col min="2" max="2" style="5" width="18.57421875" customWidth="1"/>
    <col min="3" max="3" style="5" width="42.00390625" customWidth="1"/>
    <col min="4" max="4" style="5" width="4.7109375" customWidth="1"/>
    <col min="5" max="5" style="5" width="31.00390625" customWidth="1"/>
    <col min="6" max="6" style="5" width="14.28125" customWidth="1"/>
    <col min="7" max="7" style="5" width="9.28125" customWidth="1"/>
    <col min="8" max="9" style="5" width="13.00390625" customWidth="1"/>
    <col min="10" max="10" style="5" width="7.00390625" hidden="1" customWidth="1"/>
    <col min="11" max="11" style="5" width="13.00390625" customWidth="1"/>
    <col min="12" max="12" style="5" width="5.28125" hidden="1" customWidth="1"/>
    <col min="13" max="13" style="5" width="16.7109375" customWidth="1"/>
    <col min="14" max="14" style="5" width="7.00390625" hidden="1" customWidth="1"/>
    <col min="15" max="15" style="5" width="13.00390625" customWidth="1"/>
    <col min="16" max="16" style="5" width="5.28125" hidden="1" customWidth="1"/>
    <col min="17" max="17" style="5" width="16.7109375" customWidth="1"/>
    <col min="18" max="18" style="5" width="7.00390625" hidden="1" customWidth="1"/>
    <col min="19" max="19" style="5" width="13.00390625" customWidth="1"/>
    <col min="20" max="20" style="5" width="5.28125" hidden="1" customWidth="1"/>
    <col min="21" max="21" style="5" width="16.7109375" customWidth="1"/>
    <col min="22" max="22" style="5" width="7.00390625" hidden="1" customWidth="1"/>
    <col min="23" max="23" style="5" width="13.00390625" customWidth="1"/>
    <col min="24" max="24" style="5" width="5.28125" hidden="1" customWidth="1"/>
    <col min="25" max="25" style="5" width="16.7109375" customWidth="1"/>
    <col min="26" max="26" style="5" width="9.421875" customWidth="1"/>
    <col min="27" max="33" style="5" width="13.00390625" customWidth="1"/>
    <col min="34" max="34" style="5" width="24.57421875" customWidth="1"/>
    <col min="35" max="35" style="5" width="55.7109375" customWidth="1"/>
    <col min="36" max="36" style="5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36" customHeight="1" s="5" customFormat="1">
      <c r="A3" s="295" t="s">
        <v>1708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296" t="s">
        <v>1709</v>
      </c>
      <c r="AI3" s="5"/>
      <c r="AJ3" s="5"/>
    </row>
    <row r="4" ht="18" customHeight="1" s="5" customFormat="1">
      <c r="A4" s="297" t="s">
        <v>1710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14.25" customHeight="1" s="5" customFormat="1">
      <c r="A5" s="298" t="s">
        <v>1012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ht="25.5" customHeight="1" s="5" customFormat="1">
      <c r="A6" s="299" t="s">
        <v>1013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ht="25.5" customHeight="1" s="5" customFormat="1">
      <c r="A7" s="300" t="s">
        <v>233</v>
      </c>
      <c r="B7" s="300" t="s">
        <v>234</v>
      </c>
      <c r="C7" s="300" t="s">
        <v>3</v>
      </c>
      <c r="D7" s="5"/>
      <c r="E7" s="300" t="s">
        <v>235</v>
      </c>
      <c r="F7" s="300" t="s">
        <v>236</v>
      </c>
      <c r="G7" s="300" t="s">
        <v>237</v>
      </c>
      <c r="H7" s="300" t="s">
        <v>238</v>
      </c>
      <c r="I7" s="300" t="s">
        <v>239</v>
      </c>
      <c r="J7" s="300" t="s">
        <v>444</v>
      </c>
      <c r="K7" s="300" t="s">
        <v>445</v>
      </c>
      <c r="L7" s="300" t="s">
        <v>446</v>
      </c>
      <c r="M7" s="301" t="s">
        <v>447</v>
      </c>
      <c r="N7" s="300" t="s">
        <v>240</v>
      </c>
      <c r="O7" s="300" t="s">
        <v>241</v>
      </c>
      <c r="P7" s="300" t="s">
        <v>242</v>
      </c>
      <c r="Q7" s="301" t="s">
        <v>360</v>
      </c>
      <c r="R7" s="300" t="s">
        <v>244</v>
      </c>
      <c r="S7" s="300" t="s">
        <v>245</v>
      </c>
      <c r="T7" s="300" t="s">
        <v>246</v>
      </c>
      <c r="U7" s="301" t="s">
        <v>361</v>
      </c>
      <c r="V7" s="300" t="s">
        <v>697</v>
      </c>
      <c r="W7" s="300" t="s">
        <v>698</v>
      </c>
      <c r="X7" s="300" t="s">
        <v>699</v>
      </c>
      <c r="Y7" s="301" t="s">
        <v>700</v>
      </c>
      <c r="Z7" s="300" t="s">
        <v>6</v>
      </c>
      <c r="AA7" s="300" t="s">
        <v>248</v>
      </c>
      <c r="AB7" s="300" t="s">
        <v>249</v>
      </c>
      <c r="AC7" s="300" t="s">
        <v>250</v>
      </c>
      <c r="AD7" s="300" t="s">
        <v>251</v>
      </c>
      <c r="AE7" s="300" t="s">
        <v>252</v>
      </c>
      <c r="AF7" s="300" t="s">
        <v>253</v>
      </c>
      <c r="AG7" s="300" t="s">
        <v>254</v>
      </c>
      <c r="AH7" s="301" t="s">
        <v>255</v>
      </c>
      <c r="AI7" s="300" t="s">
        <v>256</v>
      </c>
      <c r="AJ7" s="300" t="s">
        <v>257</v>
      </c>
    </row>
    <row r="8" ht="21.75" customHeight="1" s="5" customFormat="1">
      <c r="A8" s="302" t="s">
        <v>258</v>
      </c>
      <c r="B8" s="303" t="s">
        <v>259</v>
      </c>
      <c r="C8" s="304" t="s">
        <v>1711</v>
      </c>
      <c r="D8" s="5"/>
      <c r="E8" s="304" t="s">
        <v>1712</v>
      </c>
      <c r="F8" s="305" t="s">
        <v>1605</v>
      </c>
      <c r="G8" s="305" t="s">
        <v>1245</v>
      </c>
      <c r="H8" s="305" t="s">
        <v>1606</v>
      </c>
      <c r="I8" s="305" t="s">
        <v>265</v>
      </c>
      <c r="J8" s="305" t="s">
        <v>1713</v>
      </c>
      <c r="K8" s="305" t="s">
        <v>1714</v>
      </c>
      <c r="L8" s="305" t="s">
        <v>1249</v>
      </c>
      <c r="M8" s="306">
        <f>'Current Rents'!D37</f>
        <v>874</v>
      </c>
      <c r="N8" s="305" t="s">
        <v>1715</v>
      </c>
      <c r="O8" s="305" t="s">
        <v>1716</v>
      </c>
      <c r="P8" s="305" t="s">
        <v>1143</v>
      </c>
      <c r="Q8" s="306">
        <f>'Current Rents'!E37</f>
        <v>1039</v>
      </c>
      <c r="R8" s="305" t="s">
        <v>1607</v>
      </c>
      <c r="S8" s="305" t="s">
        <v>1608</v>
      </c>
      <c r="T8" s="305" t="s">
        <v>1144</v>
      </c>
      <c r="U8" s="306">
        <f>'Current Rents'!F37</f>
        <v>1194</v>
      </c>
      <c r="V8" s="305" t="s">
        <v>1609</v>
      </c>
      <c r="W8" s="305" t="s">
        <v>1610</v>
      </c>
      <c r="X8" s="305" t="s">
        <v>550</v>
      </c>
      <c r="Y8" s="306">
        <f>'Current Rents'!G37</f>
        <v>1321</v>
      </c>
      <c r="Z8" s="305" t="s">
        <v>1717</v>
      </c>
      <c r="AA8" s="305" t="s">
        <v>1076</v>
      </c>
      <c r="AB8" s="305">
        <v>0</v>
      </c>
      <c r="AC8" s="305" t="s">
        <v>897</v>
      </c>
      <c r="AD8" s="305" t="s">
        <v>273</v>
      </c>
      <c r="AE8" s="305" t="s">
        <v>273</v>
      </c>
      <c r="AF8" s="305" t="s">
        <v>272</v>
      </c>
      <c r="AG8" s="305" t="s">
        <v>273</v>
      </c>
      <c r="AH8" s="303" t="s">
        <v>259</v>
      </c>
      <c r="AI8" s="307" t="s">
        <v>1718</v>
      </c>
      <c r="AJ8" s="304" t="s">
        <v>275</v>
      </c>
    </row>
    <row r="9" ht="21.75" customHeight="1" s="5" customFormat="1">
      <c r="A9" s="308" t="s">
        <v>276</v>
      </c>
      <c r="B9" s="309" t="s">
        <v>277</v>
      </c>
      <c r="C9" s="310" t="s">
        <v>1719</v>
      </c>
      <c r="D9" s="5"/>
      <c r="E9" s="311" t="s">
        <v>1720</v>
      </c>
      <c r="F9" s="308" t="s">
        <v>1605</v>
      </c>
      <c r="G9" s="308" t="s">
        <v>1245</v>
      </c>
      <c r="H9" s="308" t="s">
        <v>1606</v>
      </c>
      <c r="I9" s="308" t="s">
        <v>674</v>
      </c>
      <c r="J9" s="308" t="s">
        <v>1713</v>
      </c>
      <c r="K9" s="308" t="s">
        <v>1714</v>
      </c>
      <c r="L9" s="308" t="s">
        <v>1249</v>
      </c>
      <c r="M9" s="308" t="s">
        <v>283</v>
      </c>
      <c r="N9" s="308" t="s">
        <v>1715</v>
      </c>
      <c r="O9" s="308" t="s">
        <v>1716</v>
      </c>
      <c r="P9" s="308" t="s">
        <v>1143</v>
      </c>
      <c r="Q9" s="308" t="s">
        <v>1721</v>
      </c>
      <c r="R9" s="308" t="s">
        <v>1607</v>
      </c>
      <c r="S9" s="308" t="s">
        <v>1608</v>
      </c>
      <c r="T9" s="308" t="s">
        <v>1144</v>
      </c>
      <c r="U9" s="308" t="s">
        <v>1722</v>
      </c>
      <c r="V9" s="308" t="s">
        <v>1609</v>
      </c>
      <c r="W9" s="308" t="s">
        <v>1610</v>
      </c>
      <c r="X9" s="308" t="s">
        <v>550</v>
      </c>
      <c r="Y9" s="308" t="s">
        <v>1099</v>
      </c>
      <c r="Z9" s="308" t="s">
        <v>1723</v>
      </c>
      <c r="AA9" s="308" t="s">
        <v>1101</v>
      </c>
      <c r="AB9" s="308" t="s">
        <v>210</v>
      </c>
      <c r="AC9" s="308" t="s">
        <v>272</v>
      </c>
      <c r="AD9" s="308" t="s">
        <v>273</v>
      </c>
      <c r="AE9" s="308" t="s">
        <v>273</v>
      </c>
      <c r="AF9" s="308" t="s">
        <v>273</v>
      </c>
      <c r="AG9" s="308" t="s">
        <v>273</v>
      </c>
      <c r="AH9" s="312" t="s">
        <v>284</v>
      </c>
      <c r="AI9" s="313" t="s">
        <v>1724</v>
      </c>
      <c r="AJ9" s="311" t="s">
        <v>967</v>
      </c>
    </row>
    <row r="10" ht="21.75" customHeight="1" s="5" customFormat="1">
      <c r="A10" s="308" t="s">
        <v>210</v>
      </c>
      <c r="B10" s="309" t="s">
        <v>277</v>
      </c>
      <c r="C10" s="310" t="s">
        <v>1618</v>
      </c>
      <c r="D10" s="5"/>
      <c r="E10" s="311" t="s">
        <v>1619</v>
      </c>
      <c r="F10" s="308" t="s">
        <v>1605</v>
      </c>
      <c r="G10" s="308" t="s">
        <v>1245</v>
      </c>
      <c r="H10" s="308" t="s">
        <v>1620</v>
      </c>
      <c r="I10" s="308" t="s">
        <v>1578</v>
      </c>
      <c r="J10" s="308" t="s">
        <v>1713</v>
      </c>
      <c r="K10" s="308" t="s">
        <v>1714</v>
      </c>
      <c r="L10" s="308" t="s">
        <v>1249</v>
      </c>
      <c r="M10" s="308" t="s">
        <v>283</v>
      </c>
      <c r="N10" s="308" t="s">
        <v>1715</v>
      </c>
      <c r="O10" s="308" t="s">
        <v>1716</v>
      </c>
      <c r="P10" s="308" t="s">
        <v>1143</v>
      </c>
      <c r="Q10" s="308" t="s">
        <v>283</v>
      </c>
      <c r="R10" s="308" t="s">
        <v>1607</v>
      </c>
      <c r="S10" s="308" t="s">
        <v>1608</v>
      </c>
      <c r="T10" s="308" t="s">
        <v>1144</v>
      </c>
      <c r="U10" s="308" t="s">
        <v>283</v>
      </c>
      <c r="V10" s="308" t="s">
        <v>1609</v>
      </c>
      <c r="W10" s="308" t="s">
        <v>1610</v>
      </c>
      <c r="X10" s="308" t="s">
        <v>550</v>
      </c>
      <c r="Y10" s="308" t="s">
        <v>283</v>
      </c>
      <c r="Z10" s="308" t="s">
        <v>1621</v>
      </c>
      <c r="AA10" s="308" t="s">
        <v>636</v>
      </c>
      <c r="AB10" s="308" t="s">
        <v>276</v>
      </c>
      <c r="AC10" s="308" t="s">
        <v>272</v>
      </c>
      <c r="AD10" s="308" t="s">
        <v>273</v>
      </c>
      <c r="AE10" s="308" t="s">
        <v>273</v>
      </c>
      <c r="AF10" s="308" t="s">
        <v>273</v>
      </c>
      <c r="AG10" s="308" t="s">
        <v>273</v>
      </c>
      <c r="AH10" s="312" t="s">
        <v>284</v>
      </c>
      <c r="AI10" s="313" t="s">
        <v>1725</v>
      </c>
      <c r="AJ10" s="311" t="s">
        <v>967</v>
      </c>
    </row>
    <row r="11" ht="21.75" customHeight="1" s="5" customFormat="1">
      <c r="A11" s="308" t="s">
        <v>181</v>
      </c>
      <c r="B11" s="309" t="s">
        <v>277</v>
      </c>
      <c r="C11" s="310" t="s">
        <v>1726</v>
      </c>
      <c r="D11" s="5"/>
      <c r="E11" s="311" t="s">
        <v>1727</v>
      </c>
      <c r="F11" s="308" t="s">
        <v>1605</v>
      </c>
      <c r="G11" s="308" t="s">
        <v>1245</v>
      </c>
      <c r="H11" s="308" t="s">
        <v>1728</v>
      </c>
      <c r="I11" s="308" t="s">
        <v>774</v>
      </c>
      <c r="J11" s="308" t="s">
        <v>1713</v>
      </c>
      <c r="K11" s="308" t="s">
        <v>1714</v>
      </c>
      <c r="L11" s="308" t="s">
        <v>1249</v>
      </c>
      <c r="M11" s="308" t="s">
        <v>283</v>
      </c>
      <c r="N11" s="308" t="s">
        <v>1715</v>
      </c>
      <c r="O11" s="308" t="s">
        <v>1716</v>
      </c>
      <c r="P11" s="308" t="s">
        <v>1143</v>
      </c>
      <c r="Q11" s="308" t="s">
        <v>283</v>
      </c>
      <c r="R11" s="308" t="s">
        <v>1607</v>
      </c>
      <c r="S11" s="308" t="s">
        <v>1608</v>
      </c>
      <c r="T11" s="308" t="s">
        <v>1144</v>
      </c>
      <c r="U11" s="308" t="s">
        <v>283</v>
      </c>
      <c r="V11" s="308" t="s">
        <v>1609</v>
      </c>
      <c r="W11" s="308" t="s">
        <v>1610</v>
      </c>
      <c r="X11" s="308" t="s">
        <v>550</v>
      </c>
      <c r="Y11" s="308" t="s">
        <v>283</v>
      </c>
      <c r="Z11" s="308" t="s">
        <v>208</v>
      </c>
      <c r="AA11" s="308" t="s">
        <v>1076</v>
      </c>
      <c r="AB11" s="308" t="s">
        <v>462</v>
      </c>
      <c r="AC11" s="308" t="s">
        <v>272</v>
      </c>
      <c r="AD11" s="308" t="s">
        <v>273</v>
      </c>
      <c r="AE11" s="308" t="s">
        <v>273</v>
      </c>
      <c r="AF11" s="308" t="s">
        <v>273</v>
      </c>
      <c r="AG11" s="308" t="s">
        <v>273</v>
      </c>
      <c r="AH11" s="312" t="s">
        <v>284</v>
      </c>
      <c r="AI11" s="313" t="s">
        <v>1729</v>
      </c>
      <c r="AJ11" s="311" t="s">
        <v>967</v>
      </c>
    </row>
    <row r="12" ht="21.75" customHeight="1" s="5" customFormat="1">
      <c r="A12" s="308" t="s">
        <v>320</v>
      </c>
      <c r="B12" s="309" t="s">
        <v>277</v>
      </c>
      <c r="C12" s="310" t="s">
        <v>99</v>
      </c>
      <c r="D12" s="5"/>
      <c r="E12" s="311" t="s">
        <v>1730</v>
      </c>
      <c r="F12" s="308" t="s">
        <v>1605</v>
      </c>
      <c r="G12" s="308" t="s">
        <v>1245</v>
      </c>
      <c r="H12" s="308" t="s">
        <v>1731</v>
      </c>
      <c r="I12" s="308" t="s">
        <v>1481</v>
      </c>
      <c r="J12" s="308" t="s">
        <v>1713</v>
      </c>
      <c r="K12" s="308" t="s">
        <v>1714</v>
      </c>
      <c r="L12" s="308" t="s">
        <v>1249</v>
      </c>
      <c r="M12" s="308" t="s">
        <v>283</v>
      </c>
      <c r="N12" s="308" t="s">
        <v>1715</v>
      </c>
      <c r="O12" s="308" t="s">
        <v>1716</v>
      </c>
      <c r="P12" s="308" t="s">
        <v>1143</v>
      </c>
      <c r="Q12" s="308" t="s">
        <v>283</v>
      </c>
      <c r="R12" s="308" t="s">
        <v>1607</v>
      </c>
      <c r="S12" s="308" t="s">
        <v>1608</v>
      </c>
      <c r="T12" s="308" t="s">
        <v>1144</v>
      </c>
      <c r="U12" s="308" t="s">
        <v>283</v>
      </c>
      <c r="V12" s="308" t="s">
        <v>1609</v>
      </c>
      <c r="W12" s="308" t="s">
        <v>1610</v>
      </c>
      <c r="X12" s="308" t="s">
        <v>550</v>
      </c>
      <c r="Y12" s="308" t="s">
        <v>283</v>
      </c>
      <c r="Z12" s="308" t="s">
        <v>164</v>
      </c>
      <c r="AA12" s="308" t="s">
        <v>1091</v>
      </c>
      <c r="AB12" s="308" t="s">
        <v>276</v>
      </c>
      <c r="AC12" s="308" t="s">
        <v>272</v>
      </c>
      <c r="AD12" s="308" t="s">
        <v>273</v>
      </c>
      <c r="AE12" s="308" t="s">
        <v>273</v>
      </c>
      <c r="AF12" s="308" t="s">
        <v>273</v>
      </c>
      <c r="AG12" s="308" t="s">
        <v>273</v>
      </c>
      <c r="AH12" s="312" t="s">
        <v>284</v>
      </c>
      <c r="AI12" s="313" t="s">
        <v>1732</v>
      </c>
      <c r="AJ12" s="311" t="s">
        <v>967</v>
      </c>
    </row>
    <row r="13" ht="24.75" customHeight="1" s="5" customFormat="1">
      <c r="A13" s="315" t="s">
        <v>276</v>
      </c>
      <c r="B13" s="316" t="s">
        <v>300</v>
      </c>
      <c r="C13" s="317" t="s">
        <v>1635</v>
      </c>
      <c r="D13" s="318" t="s">
        <v>302</v>
      </c>
      <c r="E13" s="319" t="s">
        <v>1636</v>
      </c>
      <c r="F13" s="320" t="s">
        <v>1605</v>
      </c>
      <c r="G13" s="320" t="s">
        <v>1245</v>
      </c>
      <c r="H13" s="320"/>
      <c r="I13" s="320" t="s">
        <v>1733</v>
      </c>
      <c r="J13" s="320" t="s">
        <v>1038</v>
      </c>
      <c r="K13" s="320" t="s">
        <v>1038</v>
      </c>
      <c r="L13" s="320" t="s">
        <v>1249</v>
      </c>
      <c r="M13" s="321">
        <v>925</v>
      </c>
      <c r="N13" s="320" t="s">
        <v>1038</v>
      </c>
      <c r="O13" s="320" t="s">
        <v>1038</v>
      </c>
      <c r="P13" s="320" t="s">
        <v>1143</v>
      </c>
      <c r="Q13" s="321">
        <v>1175</v>
      </c>
      <c r="R13" s="320" t="s">
        <v>1038</v>
      </c>
      <c r="S13" s="320" t="s">
        <v>1038</v>
      </c>
      <c r="T13" s="320" t="s">
        <v>1144</v>
      </c>
      <c r="U13" s="321">
        <v>1450</v>
      </c>
      <c r="V13" s="320" t="s">
        <v>1038</v>
      </c>
      <c r="W13" s="320" t="s">
        <v>1038</v>
      </c>
      <c r="X13" s="320" t="s">
        <v>550</v>
      </c>
      <c r="Y13" s="322" t="s">
        <v>283</v>
      </c>
      <c r="Z13" s="320" t="s">
        <v>1275</v>
      </c>
      <c r="AA13" s="320" t="s">
        <v>1076</v>
      </c>
      <c r="AB13" s="320" t="s">
        <v>462</v>
      </c>
      <c r="AC13" s="320" t="s">
        <v>507</v>
      </c>
      <c r="AD13" s="320" t="s">
        <v>507</v>
      </c>
      <c r="AE13" s="320" t="s">
        <v>507</v>
      </c>
      <c r="AF13" s="320" t="s">
        <v>507</v>
      </c>
      <c r="AG13" s="320" t="s">
        <v>507</v>
      </c>
      <c r="AH13" s="323" t="s">
        <v>284</v>
      </c>
      <c r="AI13" s="324" t="s">
        <v>1734</v>
      </c>
      <c r="AJ13" s="319" t="s">
        <v>1638</v>
      </c>
    </row>
    <row r="14" ht="24.75" customHeight="1" s="5" customFormat="1">
      <c r="A14" s="315" t="s">
        <v>210</v>
      </c>
      <c r="B14" s="316" t="s">
        <v>300</v>
      </c>
      <c r="C14" s="317" t="s">
        <v>1639</v>
      </c>
      <c r="D14" s="5"/>
      <c r="E14" s="319" t="s">
        <v>1640</v>
      </c>
      <c r="F14" s="320" t="s">
        <v>1605</v>
      </c>
      <c r="G14" s="320" t="s">
        <v>1245</v>
      </c>
      <c r="H14" s="320"/>
      <c r="I14" s="320" t="s">
        <v>1699</v>
      </c>
      <c r="J14" s="320" t="s">
        <v>1038</v>
      </c>
      <c r="K14" s="320" t="s">
        <v>1038</v>
      </c>
      <c r="L14" s="320" t="s">
        <v>1249</v>
      </c>
      <c r="M14" s="321">
        <v>895</v>
      </c>
      <c r="N14" s="320" t="s">
        <v>1038</v>
      </c>
      <c r="O14" s="320" t="s">
        <v>1038</v>
      </c>
      <c r="P14" s="320" t="s">
        <v>1143</v>
      </c>
      <c r="Q14" s="321">
        <v>1125</v>
      </c>
      <c r="R14" s="320" t="s">
        <v>1038</v>
      </c>
      <c r="S14" s="320" t="s">
        <v>1038</v>
      </c>
      <c r="T14" s="320" t="s">
        <v>1144</v>
      </c>
      <c r="U14" s="321">
        <v>1400</v>
      </c>
      <c r="V14" s="320" t="s">
        <v>1038</v>
      </c>
      <c r="W14" s="320" t="s">
        <v>1038</v>
      </c>
      <c r="X14" s="320" t="s">
        <v>550</v>
      </c>
      <c r="Y14" s="322" t="s">
        <v>283</v>
      </c>
      <c r="Z14" s="320" t="s">
        <v>1423</v>
      </c>
      <c r="AA14" s="320" t="s">
        <v>629</v>
      </c>
      <c r="AB14" s="320" t="s">
        <v>210</v>
      </c>
      <c r="AC14" s="320" t="s">
        <v>507</v>
      </c>
      <c r="AD14" s="320" t="s">
        <v>507</v>
      </c>
      <c r="AE14" s="320" t="s">
        <v>507</v>
      </c>
      <c r="AF14" s="320" t="s">
        <v>507</v>
      </c>
      <c r="AG14" s="320" t="s">
        <v>507</v>
      </c>
      <c r="AH14" s="323" t="s">
        <v>284</v>
      </c>
      <c r="AI14" s="324" t="s">
        <v>1735</v>
      </c>
      <c r="AJ14" s="319" t="s">
        <v>1642</v>
      </c>
    </row>
    <row r="15" ht="24.75" customHeight="1" s="5" customFormat="1">
      <c r="A15" s="315" t="s">
        <v>181</v>
      </c>
      <c r="B15" s="316" t="s">
        <v>300</v>
      </c>
      <c r="C15" s="317" t="s">
        <v>1643</v>
      </c>
      <c r="D15" s="5"/>
      <c r="E15" s="319" t="s">
        <v>1644</v>
      </c>
      <c r="F15" s="320" t="s">
        <v>1605</v>
      </c>
      <c r="G15" s="320" t="s">
        <v>1245</v>
      </c>
      <c r="H15" s="320"/>
      <c r="I15" s="320" t="s">
        <v>1736</v>
      </c>
      <c r="J15" s="320" t="s">
        <v>1038</v>
      </c>
      <c r="K15" s="320" t="s">
        <v>1038</v>
      </c>
      <c r="L15" s="320" t="s">
        <v>1249</v>
      </c>
      <c r="M15" s="321">
        <v>950</v>
      </c>
      <c r="N15" s="320" t="s">
        <v>1038</v>
      </c>
      <c r="O15" s="320" t="s">
        <v>1038</v>
      </c>
      <c r="P15" s="320" t="s">
        <v>1143</v>
      </c>
      <c r="Q15" s="321">
        <v>1200</v>
      </c>
      <c r="R15" s="320" t="s">
        <v>1038</v>
      </c>
      <c r="S15" s="320" t="s">
        <v>1038</v>
      </c>
      <c r="T15" s="320" t="s">
        <v>1144</v>
      </c>
      <c r="U15" s="321">
        <v>1475</v>
      </c>
      <c r="V15" s="320" t="s">
        <v>1038</v>
      </c>
      <c r="W15" s="320" t="s">
        <v>1038</v>
      </c>
      <c r="X15" s="320" t="s">
        <v>550</v>
      </c>
      <c r="Y15" s="322" t="s">
        <v>283</v>
      </c>
      <c r="Z15" s="320" t="s">
        <v>1265</v>
      </c>
      <c r="AA15" s="320" t="s">
        <v>1091</v>
      </c>
      <c r="AB15" s="320" t="s">
        <v>276</v>
      </c>
      <c r="AC15" s="320" t="s">
        <v>507</v>
      </c>
      <c r="AD15" s="320" t="s">
        <v>507</v>
      </c>
      <c r="AE15" s="320" t="s">
        <v>507</v>
      </c>
      <c r="AF15" s="320" t="s">
        <v>507</v>
      </c>
      <c r="AG15" s="320" t="s">
        <v>507</v>
      </c>
      <c r="AH15" s="323" t="s">
        <v>284</v>
      </c>
      <c r="AI15" s="324" t="s">
        <v>1737</v>
      </c>
      <c r="AJ15" s="319" t="s">
        <v>1646</v>
      </c>
    </row>
    <row r="16" ht="24.75" customHeight="1" s="5" customFormat="1">
      <c r="A16" s="315" t="s">
        <v>320</v>
      </c>
      <c r="B16" s="316" t="s">
        <v>300</v>
      </c>
      <c r="C16" s="317" t="s">
        <v>1647</v>
      </c>
      <c r="D16" s="5"/>
      <c r="E16" s="319" t="s">
        <v>1648</v>
      </c>
      <c r="F16" s="320" t="s">
        <v>1605</v>
      </c>
      <c r="G16" s="320" t="s">
        <v>1245</v>
      </c>
      <c r="H16" s="320"/>
      <c r="I16" s="320" t="s">
        <v>1738</v>
      </c>
      <c r="J16" s="320" t="s">
        <v>1038</v>
      </c>
      <c r="K16" s="320" t="s">
        <v>1038</v>
      </c>
      <c r="L16" s="320" t="s">
        <v>1249</v>
      </c>
      <c r="M16" s="321">
        <v>925</v>
      </c>
      <c r="N16" s="320" t="s">
        <v>1038</v>
      </c>
      <c r="O16" s="320" t="s">
        <v>1038</v>
      </c>
      <c r="P16" s="320" t="s">
        <v>1143</v>
      </c>
      <c r="Q16" s="321">
        <v>1150</v>
      </c>
      <c r="R16" s="320" t="s">
        <v>1038</v>
      </c>
      <c r="S16" s="320" t="s">
        <v>1038</v>
      </c>
      <c r="T16" s="320" t="s">
        <v>1144</v>
      </c>
      <c r="U16" s="321">
        <v>1425</v>
      </c>
      <c r="V16" s="320" t="s">
        <v>1038</v>
      </c>
      <c r="W16" s="320" t="s">
        <v>1038</v>
      </c>
      <c r="X16" s="320" t="s">
        <v>550</v>
      </c>
      <c r="Y16" s="322" t="s">
        <v>283</v>
      </c>
      <c r="Z16" s="320" t="s">
        <v>1428</v>
      </c>
      <c r="AA16" s="320" t="s">
        <v>636</v>
      </c>
      <c r="AB16" s="320" t="s">
        <v>276</v>
      </c>
      <c r="AC16" s="320" t="s">
        <v>507</v>
      </c>
      <c r="AD16" s="320" t="s">
        <v>507</v>
      </c>
      <c r="AE16" s="320" t="s">
        <v>507</v>
      </c>
      <c r="AF16" s="320" t="s">
        <v>507</v>
      </c>
      <c r="AG16" s="320" t="s">
        <v>507</v>
      </c>
      <c r="AH16" s="323" t="s">
        <v>284</v>
      </c>
      <c r="AI16" s="324" t="s">
        <v>1739</v>
      </c>
      <c r="AJ16" s="319" t="s">
        <v>1651</v>
      </c>
    </row>
    <row r="17" ht="28.5" customHeight="1" s="5" customFormat="1">
      <c r="A17" s="325" t="s">
        <v>154</v>
      </c>
      <c r="B17" s="326" t="s">
        <v>339</v>
      </c>
      <c r="C17" s="327" t="s">
        <v>1652</v>
      </c>
      <c r="D17" s="5"/>
      <c r="E17" s="325" t="s">
        <v>64</v>
      </c>
      <c r="F17" s="325" t="s">
        <v>1605</v>
      </c>
      <c r="G17" s="325" t="s">
        <v>1245</v>
      </c>
      <c r="H17" s="325"/>
      <c r="I17" s="325"/>
      <c r="J17" s="325" t="s">
        <v>64</v>
      </c>
      <c r="K17" s="325" t="s">
        <v>64</v>
      </c>
      <c r="L17" s="325" t="s">
        <v>1249</v>
      </c>
      <c r="M17" s="325" t="s">
        <v>1249</v>
      </c>
      <c r="N17" s="325" t="s">
        <v>64</v>
      </c>
      <c r="O17" s="325" t="s">
        <v>64</v>
      </c>
      <c r="P17" s="325" t="s">
        <v>1143</v>
      </c>
      <c r="Q17" s="325" t="s">
        <v>1143</v>
      </c>
      <c r="R17" s="325" t="s">
        <v>64</v>
      </c>
      <c r="S17" s="325" t="s">
        <v>64</v>
      </c>
      <c r="T17" s="325" t="s">
        <v>1144</v>
      </c>
      <c r="U17" s="325" t="s">
        <v>1144</v>
      </c>
      <c r="V17" s="325" t="s">
        <v>64</v>
      </c>
      <c r="W17" s="325" t="s">
        <v>64</v>
      </c>
      <c r="X17" s="325" t="s">
        <v>550</v>
      </c>
      <c r="Y17" s="325" t="s">
        <v>550</v>
      </c>
      <c r="Z17" s="325"/>
      <c r="AA17" s="325"/>
      <c r="AB17" s="325"/>
      <c r="AC17" s="325"/>
      <c r="AD17" s="325"/>
      <c r="AE17" s="325"/>
      <c r="AF17" s="325"/>
      <c r="AG17" s="325"/>
      <c r="AH17" s="316" t="s">
        <v>339</v>
      </c>
      <c r="AI17" s="328" t="s">
        <v>1653</v>
      </c>
      <c r="AJ17" s="328" t="s">
        <v>342</v>
      </c>
    </row>
    <row r="18" ht="34.5" customHeight="1" s="5" customFormat="1">
      <c r="A18" s="329" t="s">
        <v>154</v>
      </c>
      <c r="B18" s="326" t="s">
        <v>339</v>
      </c>
      <c r="C18" s="330" t="s">
        <v>1654</v>
      </c>
      <c r="D18" s="5"/>
      <c r="E18" s="329" t="s">
        <v>64</v>
      </c>
      <c r="F18" s="329" t="s">
        <v>1605</v>
      </c>
      <c r="G18" s="329" t="s">
        <v>1245</v>
      </c>
      <c r="H18" s="329"/>
      <c r="I18" s="329"/>
      <c r="J18" s="329"/>
      <c r="K18" s="329"/>
      <c r="L18" s="329"/>
      <c r="M18" s="331">
        <v>924</v>
      </c>
      <c r="N18" s="329"/>
      <c r="O18" s="329"/>
      <c r="P18" s="329"/>
      <c r="Q18" s="331">
        <v>1162</v>
      </c>
      <c r="R18" s="329"/>
      <c r="S18" s="329"/>
      <c r="T18" s="329"/>
      <c r="U18" s="331">
        <v>1438</v>
      </c>
      <c r="V18" s="329"/>
      <c r="W18" s="329"/>
      <c r="X18" s="329"/>
      <c r="Y18" s="331"/>
      <c r="Z18" s="329"/>
      <c r="AA18" s="329"/>
      <c r="AB18" s="329"/>
      <c r="AC18" s="329"/>
      <c r="AD18" s="329"/>
      <c r="AE18" s="329"/>
      <c r="AF18" s="329"/>
      <c r="AG18" s="329"/>
      <c r="AH18" s="316" t="s">
        <v>339</v>
      </c>
      <c r="AI18" s="332" t="s">
        <v>1061</v>
      </c>
      <c r="AJ18" s="332" t="s">
        <v>1062</v>
      </c>
    </row>
    <row r="20" ht="14.25" customHeight="1" s="5" customFormat="1">
      <c r="A20" s="333" t="s">
        <v>1063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2" ht="18" customHeight="1" s="5" customFormat="1">
      <c r="A22" s="334" t="s">
        <v>349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  <row r="23" ht="15.75" customHeight="1" s="5" customFormat="1">
      <c r="A23" s="335" t="s">
        <v>1064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 ht="15.75" customHeight="1" s="5" customFormat="1">
      <c r="A24" s="5"/>
      <c r="B24" s="336" t="s">
        <v>351</v>
      </c>
      <c r="C24" s="336" t="s">
        <v>352</v>
      </c>
      <c r="D24" s="5"/>
      <c r="E24" s="336" t="s">
        <v>353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</row>
    <row r="25" ht="20.25" customHeight="1" s="5" customFormat="1">
      <c r="A25" s="337" t="s">
        <v>160</v>
      </c>
      <c r="B25" s="338">
        <f>'Current Rents'!D37</f>
        <v>874</v>
      </c>
      <c r="C25" s="339">
        <v>924</v>
      </c>
      <c r="D25" s="5"/>
      <c r="E25" s="340">
        <f t="shared" si="0" ref="E25:E28">B25-C25</f>
        <v>-50</v>
      </c>
      <c r="F25" s="161" t="str">
        <f>IF(E25&lt;-75,"LOOK INTO INCREASING THE RENT!","")</f>
        <v/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</row>
    <row r="26" ht="20.25" customHeight="1" s="5" customFormat="1">
      <c r="A26" s="337" t="s">
        <v>151</v>
      </c>
      <c r="B26" s="338">
        <f>'Current Rents'!E37</f>
        <v>1039</v>
      </c>
      <c r="C26" s="339">
        <v>1162</v>
      </c>
      <c r="D26" s="5"/>
      <c r="E26" s="340">
        <f t="shared" si="0"/>
        <v>-123</v>
      </c>
      <c r="F26" s="161" t="str">
        <f>IF(E26&lt;-75,"LOOK INTO INCREASING THE RENT!","")</f>
        <v>LOOK INTO INCREASING THE RENT!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</row>
    <row r="27" ht="20.25" customHeight="1" s="5" customFormat="1">
      <c r="A27" s="337" t="s">
        <v>152</v>
      </c>
      <c r="B27" s="338">
        <f>'Current Rents'!F37</f>
        <v>1194</v>
      </c>
      <c r="C27" s="339">
        <v>1438</v>
      </c>
      <c r="D27" s="5"/>
      <c r="E27" s="340">
        <f t="shared" si="0"/>
        <v>-244</v>
      </c>
      <c r="F27" s="161" t="str">
        <f>IF(E27&lt;-75,"LOOK INTO INCREASING THE RENT!","")</f>
        <v>LOOK INTO INCREASING THE RENT!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</row>
    <row r="28" ht="20.25" customHeight="1" s="5" customFormat="1">
      <c r="A28" s="337" t="s">
        <v>155</v>
      </c>
      <c r="B28" s="338">
        <f>'Current Rents'!G37</f>
        <v>1321</v>
      </c>
      <c r="C28" s="339">
        <v>0</v>
      </c>
      <c r="D28" s="5"/>
      <c r="E28" s="340">
        <f t="shared" si="0"/>
        <v>1321</v>
      </c>
      <c r="F28" s="161" t="str">
        <f>IF(E28&lt;-75,"LOOK INTO INCREASING THE RENT!","")</f>
        <v/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</row>
  </sheetData>
  <mergeCells>
    <mergeCell ref="A3:AG3"/>
    <mergeCell ref="A23:H23"/>
    <mergeCell ref="C8:D8"/>
    <mergeCell ref="C9:D9"/>
    <mergeCell ref="AH3:AJ3"/>
    <mergeCell ref="C12:D12"/>
    <mergeCell ref="C17:D17"/>
    <mergeCell ref="C18:D18"/>
    <mergeCell ref="A5:AJ5"/>
    <mergeCell ref="A20:AJ20"/>
    <mergeCell ref="A22:H22"/>
    <mergeCell ref="C7:D7"/>
    <mergeCell ref="A6:AJ6"/>
    <mergeCell ref="A4:AJ4"/>
    <mergeCell ref="C24:D24"/>
    <mergeCell ref="C11:D11"/>
    <mergeCell ref="D13:D16"/>
    <mergeCell ref="C10:D10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310B388-8648-A4D8-CDE4-B9E72DE967D8}" mc:Ignorable="x14ac xr xr2 xr3"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style="5" width="9.00390625" customWidth="1"/>
    <col min="2" max="2" style="5" width="18.57421875" customWidth="1"/>
    <col min="3" max="3" style="5" width="42.00390625" customWidth="1"/>
    <col min="4" max="4" style="5" width="4.7109375" customWidth="1"/>
    <col min="5" max="5" style="5" width="31.00390625" customWidth="1"/>
    <col min="6" max="6" style="5" width="14.28125" customWidth="1"/>
    <col min="7" max="7" style="5" width="9.28125" customWidth="1"/>
    <col min="8" max="9" style="5" width="13.00390625" customWidth="1"/>
    <col min="10" max="10" style="5" width="7.00390625" hidden="1" customWidth="1"/>
    <col min="11" max="11" style="5" width="13.00390625" customWidth="1"/>
    <col min="12" max="12" style="5" width="5.28125" hidden="1" customWidth="1"/>
    <col min="13" max="13" style="5" width="16.7109375" customWidth="1"/>
    <col min="14" max="14" style="5" width="7.00390625" hidden="1" customWidth="1"/>
    <col min="15" max="15" style="5" width="13.00390625" customWidth="1"/>
    <col min="16" max="16" style="5" width="5.28125" hidden="1" customWidth="1"/>
    <col min="17" max="17" style="5" width="16.7109375" customWidth="1"/>
    <col min="18" max="18" style="5" width="7.00390625" hidden="1" customWidth="1"/>
    <col min="19" max="19" style="5" width="13.00390625" customWidth="1"/>
    <col min="20" max="20" style="5" width="5.28125" hidden="1" customWidth="1"/>
    <col min="21" max="21" style="5" width="16.7109375" customWidth="1"/>
    <col min="22" max="22" style="5" width="7.00390625" hidden="1" customWidth="1"/>
    <col min="23" max="23" style="5" width="13.00390625" customWidth="1"/>
    <col min="24" max="24" style="5" width="5.28125" hidden="1" customWidth="1"/>
    <col min="25" max="25" style="5" width="16.7109375" customWidth="1"/>
    <col min="26" max="26" style="5" width="9.421875" customWidth="1"/>
    <col min="27" max="33" style="5" width="13.00390625" customWidth="1"/>
    <col min="34" max="34" style="5" width="24.57421875" customWidth="1"/>
    <col min="35" max="35" style="5" width="55.7109375" customWidth="1"/>
    <col min="36" max="36" style="5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36" customHeight="1" s="5" customFormat="1">
      <c r="A3" s="295" t="s">
        <v>1740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296" t="s">
        <v>1741</v>
      </c>
      <c r="AI3" s="5"/>
      <c r="AJ3" s="5"/>
    </row>
    <row r="4" ht="18" customHeight="1" s="5" customFormat="1">
      <c r="A4" s="297" t="s">
        <v>1742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14.25" customHeight="1" s="5" customFormat="1">
      <c r="A5" s="298" t="s">
        <v>1012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ht="25.5" customHeight="1" s="5" customFormat="1">
      <c r="A6" s="299" t="s">
        <v>1013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ht="25.5" customHeight="1" s="5" customFormat="1">
      <c r="A7" s="300" t="s">
        <v>233</v>
      </c>
      <c r="B7" s="300" t="s">
        <v>234</v>
      </c>
      <c r="C7" s="300" t="s">
        <v>3</v>
      </c>
      <c r="D7" s="5"/>
      <c r="E7" s="300" t="s">
        <v>235</v>
      </c>
      <c r="F7" s="300" t="s">
        <v>236</v>
      </c>
      <c r="G7" s="300" t="s">
        <v>237</v>
      </c>
      <c r="H7" s="300" t="s">
        <v>238</v>
      </c>
      <c r="I7" s="300" t="s">
        <v>239</v>
      </c>
      <c r="J7" s="300" t="s">
        <v>444</v>
      </c>
      <c r="K7" s="300" t="s">
        <v>445</v>
      </c>
      <c r="L7" s="300" t="s">
        <v>446</v>
      </c>
      <c r="M7" s="301" t="s">
        <v>447</v>
      </c>
      <c r="N7" s="300" t="s">
        <v>240</v>
      </c>
      <c r="O7" s="300" t="s">
        <v>241</v>
      </c>
      <c r="P7" s="300" t="s">
        <v>242</v>
      </c>
      <c r="Q7" s="301" t="s">
        <v>360</v>
      </c>
      <c r="R7" s="300" t="s">
        <v>244</v>
      </c>
      <c r="S7" s="300" t="s">
        <v>245</v>
      </c>
      <c r="T7" s="300" t="s">
        <v>246</v>
      </c>
      <c r="U7" s="301" t="s">
        <v>361</v>
      </c>
      <c r="V7" s="300" t="s">
        <v>697</v>
      </c>
      <c r="W7" s="300" t="s">
        <v>698</v>
      </c>
      <c r="X7" s="300" t="s">
        <v>699</v>
      </c>
      <c r="Y7" s="301" t="s">
        <v>700</v>
      </c>
      <c r="Z7" s="300" t="s">
        <v>6</v>
      </c>
      <c r="AA7" s="300" t="s">
        <v>248</v>
      </c>
      <c r="AB7" s="300" t="s">
        <v>249</v>
      </c>
      <c r="AC7" s="300" t="s">
        <v>250</v>
      </c>
      <c r="AD7" s="300" t="s">
        <v>251</v>
      </c>
      <c r="AE7" s="300" t="s">
        <v>252</v>
      </c>
      <c r="AF7" s="300" t="s">
        <v>253</v>
      </c>
      <c r="AG7" s="300" t="s">
        <v>254</v>
      </c>
      <c r="AH7" s="301" t="s">
        <v>255</v>
      </c>
      <c r="AI7" s="300" t="s">
        <v>256</v>
      </c>
      <c r="AJ7" s="300" t="s">
        <v>257</v>
      </c>
    </row>
    <row r="8" ht="21.75" customHeight="1" s="5" customFormat="1">
      <c r="A8" s="302" t="s">
        <v>258</v>
      </c>
      <c r="B8" s="303" t="s">
        <v>259</v>
      </c>
      <c r="C8" s="304" t="s">
        <v>1743</v>
      </c>
      <c r="D8" s="5"/>
      <c r="E8" s="304" t="s">
        <v>1744</v>
      </c>
      <c r="F8" s="305" t="s">
        <v>1605</v>
      </c>
      <c r="G8" s="305" t="s">
        <v>1245</v>
      </c>
      <c r="H8" s="305" t="s">
        <v>1745</v>
      </c>
      <c r="I8" s="305" t="s">
        <v>265</v>
      </c>
      <c r="J8" s="305" t="s">
        <v>1713</v>
      </c>
      <c r="K8" s="305" t="s">
        <v>1714</v>
      </c>
      <c r="L8" s="305" t="s">
        <v>1249</v>
      </c>
      <c r="M8" s="306">
        <f>'Current Rents'!D38</f>
        <v>874</v>
      </c>
      <c r="N8" s="305" t="s">
        <v>1715</v>
      </c>
      <c r="O8" s="305" t="s">
        <v>1716</v>
      </c>
      <c r="P8" s="305" t="s">
        <v>1143</v>
      </c>
      <c r="Q8" s="306">
        <f>'Current Rents'!E38</f>
        <v>1039</v>
      </c>
      <c r="R8" s="305" t="s">
        <v>1607</v>
      </c>
      <c r="S8" s="305" t="s">
        <v>1608</v>
      </c>
      <c r="T8" s="305" t="s">
        <v>1144</v>
      </c>
      <c r="U8" s="306">
        <f>'Current Rents'!F38</f>
        <v>1194</v>
      </c>
      <c r="V8" s="305" t="s">
        <v>1609</v>
      </c>
      <c r="W8" s="305" t="s">
        <v>1610</v>
      </c>
      <c r="X8" s="305" t="s">
        <v>550</v>
      </c>
      <c r="Y8" s="306">
        <f>'Current Rents'!G38</f>
        <v>1321</v>
      </c>
      <c r="Z8" s="305" t="s">
        <v>164</v>
      </c>
      <c r="AA8" s="305" t="s">
        <v>1076</v>
      </c>
      <c r="AB8" s="305">
        <v>0</v>
      </c>
      <c r="AC8" s="305" t="s">
        <v>897</v>
      </c>
      <c r="AD8" s="305" t="s">
        <v>273</v>
      </c>
      <c r="AE8" s="305" t="s">
        <v>273</v>
      </c>
      <c r="AF8" s="305" t="s">
        <v>273</v>
      </c>
      <c r="AG8" s="305" t="s">
        <v>273</v>
      </c>
      <c r="AH8" s="303" t="s">
        <v>259</v>
      </c>
      <c r="AI8" s="307" t="s">
        <v>1746</v>
      </c>
      <c r="AJ8" s="304" t="s">
        <v>275</v>
      </c>
    </row>
    <row r="9" ht="21.75" customHeight="1" s="5" customFormat="1">
      <c r="A9" s="308" t="s">
        <v>276</v>
      </c>
      <c r="B9" s="309" t="s">
        <v>277</v>
      </c>
      <c r="C9" s="310" t="s">
        <v>1747</v>
      </c>
      <c r="D9" s="5"/>
      <c r="E9" s="311" t="s">
        <v>1613</v>
      </c>
      <c r="F9" s="308" t="s">
        <v>1605</v>
      </c>
      <c r="G9" s="308" t="s">
        <v>1245</v>
      </c>
      <c r="H9" s="308" t="s">
        <v>1614</v>
      </c>
      <c r="I9" s="308" t="s">
        <v>481</v>
      </c>
      <c r="J9" s="308" t="s">
        <v>1713</v>
      </c>
      <c r="K9" s="308" t="s">
        <v>1714</v>
      </c>
      <c r="L9" s="308" t="s">
        <v>1249</v>
      </c>
      <c r="M9" s="308" t="s">
        <v>283</v>
      </c>
      <c r="N9" s="308" t="s">
        <v>1715</v>
      </c>
      <c r="O9" s="308" t="s">
        <v>1716</v>
      </c>
      <c r="P9" s="308" t="s">
        <v>1143</v>
      </c>
      <c r="Q9" s="308" t="s">
        <v>283</v>
      </c>
      <c r="R9" s="308" t="s">
        <v>1607</v>
      </c>
      <c r="S9" s="308" t="s">
        <v>1608</v>
      </c>
      <c r="T9" s="308" t="s">
        <v>1144</v>
      </c>
      <c r="U9" s="308" t="s">
        <v>283</v>
      </c>
      <c r="V9" s="308" t="s">
        <v>1609</v>
      </c>
      <c r="W9" s="308" t="s">
        <v>1610</v>
      </c>
      <c r="X9" s="308" t="s">
        <v>550</v>
      </c>
      <c r="Y9" s="308" t="s">
        <v>283</v>
      </c>
      <c r="Z9" s="308" t="s">
        <v>164</v>
      </c>
      <c r="AA9" s="308" t="s">
        <v>1076</v>
      </c>
      <c r="AB9" s="308" t="s">
        <v>462</v>
      </c>
      <c r="AC9" s="308" t="s">
        <v>272</v>
      </c>
      <c r="AD9" s="308" t="s">
        <v>273</v>
      </c>
      <c r="AE9" s="308" t="s">
        <v>273</v>
      </c>
      <c r="AF9" s="308" t="s">
        <v>273</v>
      </c>
      <c r="AG9" s="308" t="s">
        <v>273</v>
      </c>
      <c r="AH9" s="312" t="s">
        <v>284</v>
      </c>
      <c r="AI9" s="313" t="s">
        <v>1748</v>
      </c>
      <c r="AJ9" s="311" t="s">
        <v>967</v>
      </c>
    </row>
    <row r="10" ht="21.75" customHeight="1" s="5" customFormat="1">
      <c r="A10" s="308" t="s">
        <v>210</v>
      </c>
      <c r="B10" s="309" t="s">
        <v>277</v>
      </c>
      <c r="C10" s="310" t="s">
        <v>1726</v>
      </c>
      <c r="D10" s="5"/>
      <c r="E10" s="311" t="s">
        <v>1727</v>
      </c>
      <c r="F10" s="308" t="s">
        <v>1605</v>
      </c>
      <c r="G10" s="308" t="s">
        <v>1245</v>
      </c>
      <c r="H10" s="308" t="s">
        <v>1728</v>
      </c>
      <c r="I10" s="308" t="s">
        <v>774</v>
      </c>
      <c r="J10" s="308" t="s">
        <v>1713</v>
      </c>
      <c r="K10" s="308" t="s">
        <v>1714</v>
      </c>
      <c r="L10" s="308" t="s">
        <v>1249</v>
      </c>
      <c r="M10" s="308" t="s">
        <v>283</v>
      </c>
      <c r="N10" s="308" t="s">
        <v>1715</v>
      </c>
      <c r="O10" s="308" t="s">
        <v>1716</v>
      </c>
      <c r="P10" s="308" t="s">
        <v>1143</v>
      </c>
      <c r="Q10" s="308" t="s">
        <v>283</v>
      </c>
      <c r="R10" s="308" t="s">
        <v>1607</v>
      </c>
      <c r="S10" s="308" t="s">
        <v>1608</v>
      </c>
      <c r="T10" s="308" t="s">
        <v>1144</v>
      </c>
      <c r="U10" s="308" t="s">
        <v>283</v>
      </c>
      <c r="V10" s="308" t="s">
        <v>1609</v>
      </c>
      <c r="W10" s="308" t="s">
        <v>1610</v>
      </c>
      <c r="X10" s="308" t="s">
        <v>550</v>
      </c>
      <c r="Y10" s="308" t="s">
        <v>283</v>
      </c>
      <c r="Z10" s="308" t="s">
        <v>208</v>
      </c>
      <c r="AA10" s="308" t="s">
        <v>1076</v>
      </c>
      <c r="AB10" s="308" t="s">
        <v>462</v>
      </c>
      <c r="AC10" s="308" t="s">
        <v>272</v>
      </c>
      <c r="AD10" s="308" t="s">
        <v>273</v>
      </c>
      <c r="AE10" s="308" t="s">
        <v>273</v>
      </c>
      <c r="AF10" s="308" t="s">
        <v>273</v>
      </c>
      <c r="AG10" s="308" t="s">
        <v>273</v>
      </c>
      <c r="AH10" s="312" t="s">
        <v>284</v>
      </c>
      <c r="AI10" s="313" t="s">
        <v>1749</v>
      </c>
      <c r="AJ10" s="311" t="s">
        <v>967</v>
      </c>
    </row>
    <row r="11" ht="21.75" customHeight="1" s="5" customFormat="1">
      <c r="A11" s="308" t="s">
        <v>181</v>
      </c>
      <c r="B11" s="309" t="s">
        <v>277</v>
      </c>
      <c r="C11" s="310" t="s">
        <v>1750</v>
      </c>
      <c r="D11" s="5"/>
      <c r="E11" s="311" t="s">
        <v>1751</v>
      </c>
      <c r="F11" s="308" t="s">
        <v>1605</v>
      </c>
      <c r="G11" s="308" t="s">
        <v>1245</v>
      </c>
      <c r="H11" s="308" t="s">
        <v>1614</v>
      </c>
      <c r="I11" s="308" t="s">
        <v>499</v>
      </c>
      <c r="J11" s="308" t="s">
        <v>1713</v>
      </c>
      <c r="K11" s="308" t="s">
        <v>1714</v>
      </c>
      <c r="L11" s="308" t="s">
        <v>1249</v>
      </c>
      <c r="M11" s="308" t="s">
        <v>283</v>
      </c>
      <c r="N11" s="308" t="s">
        <v>1715</v>
      </c>
      <c r="O11" s="308" t="s">
        <v>1716</v>
      </c>
      <c r="P11" s="308" t="s">
        <v>1143</v>
      </c>
      <c r="Q11" s="308" t="s">
        <v>283</v>
      </c>
      <c r="R11" s="308" t="s">
        <v>1607</v>
      </c>
      <c r="S11" s="308" t="s">
        <v>1608</v>
      </c>
      <c r="T11" s="308" t="s">
        <v>1144</v>
      </c>
      <c r="U11" s="308" t="s">
        <v>283</v>
      </c>
      <c r="V11" s="308" t="s">
        <v>1609</v>
      </c>
      <c r="W11" s="308" t="s">
        <v>1610</v>
      </c>
      <c r="X11" s="308" t="s">
        <v>550</v>
      </c>
      <c r="Y11" s="308" t="s">
        <v>283</v>
      </c>
      <c r="Z11" s="308" t="s">
        <v>221</v>
      </c>
      <c r="AA11" s="308" t="s">
        <v>1091</v>
      </c>
      <c r="AB11" s="308" t="s">
        <v>276</v>
      </c>
      <c r="AC11" s="308" t="s">
        <v>272</v>
      </c>
      <c r="AD11" s="308" t="s">
        <v>273</v>
      </c>
      <c r="AE11" s="308" t="s">
        <v>273</v>
      </c>
      <c r="AF11" s="308" t="s">
        <v>273</v>
      </c>
      <c r="AG11" s="308" t="s">
        <v>273</v>
      </c>
      <c r="AH11" s="312" t="s">
        <v>284</v>
      </c>
      <c r="AI11" s="313" t="s">
        <v>1752</v>
      </c>
      <c r="AJ11" s="311" t="s">
        <v>967</v>
      </c>
    </row>
    <row r="12" ht="21.75" customHeight="1" s="5" customFormat="1">
      <c r="A12" s="308" t="s">
        <v>320</v>
      </c>
      <c r="B12" s="309" t="s">
        <v>277</v>
      </c>
      <c r="C12" s="310" t="s">
        <v>1753</v>
      </c>
      <c r="D12" s="5"/>
      <c r="E12" s="311" t="s">
        <v>1754</v>
      </c>
      <c r="F12" s="308" t="s">
        <v>1605</v>
      </c>
      <c r="G12" s="308" t="s">
        <v>1245</v>
      </c>
      <c r="H12" s="308" t="s">
        <v>1728</v>
      </c>
      <c r="I12" s="308" t="s">
        <v>317</v>
      </c>
      <c r="J12" s="308" t="s">
        <v>1713</v>
      </c>
      <c r="K12" s="308" t="s">
        <v>1714</v>
      </c>
      <c r="L12" s="308" t="s">
        <v>1249</v>
      </c>
      <c r="M12" s="308" t="s">
        <v>283</v>
      </c>
      <c r="N12" s="308" t="s">
        <v>1715</v>
      </c>
      <c r="O12" s="308" t="s">
        <v>1716</v>
      </c>
      <c r="P12" s="308" t="s">
        <v>1143</v>
      </c>
      <c r="Q12" s="308" t="s">
        <v>283</v>
      </c>
      <c r="R12" s="308" t="s">
        <v>1607</v>
      </c>
      <c r="S12" s="308" t="s">
        <v>1608</v>
      </c>
      <c r="T12" s="308" t="s">
        <v>1144</v>
      </c>
      <c r="U12" s="308" t="s">
        <v>283</v>
      </c>
      <c r="V12" s="308" t="s">
        <v>1609</v>
      </c>
      <c r="W12" s="308" t="s">
        <v>1610</v>
      </c>
      <c r="X12" s="308" t="s">
        <v>550</v>
      </c>
      <c r="Y12" s="308" t="s">
        <v>283</v>
      </c>
      <c r="Z12" s="308" t="s">
        <v>494</v>
      </c>
      <c r="AA12" s="308" t="s">
        <v>1091</v>
      </c>
      <c r="AB12" s="308" t="s">
        <v>276</v>
      </c>
      <c r="AC12" s="308" t="s">
        <v>272</v>
      </c>
      <c r="AD12" s="308" t="s">
        <v>273</v>
      </c>
      <c r="AE12" s="308" t="s">
        <v>273</v>
      </c>
      <c r="AF12" s="308" t="s">
        <v>273</v>
      </c>
      <c r="AG12" s="308" t="s">
        <v>273</v>
      </c>
      <c r="AH12" s="312" t="s">
        <v>284</v>
      </c>
      <c r="AI12" s="313" t="s">
        <v>1755</v>
      </c>
      <c r="AJ12" s="311" t="s">
        <v>967</v>
      </c>
    </row>
    <row r="13" ht="24.75" customHeight="1" s="5" customFormat="1">
      <c r="A13" s="315" t="s">
        <v>276</v>
      </c>
      <c r="B13" s="316" t="s">
        <v>300</v>
      </c>
      <c r="C13" s="317" t="s">
        <v>1635</v>
      </c>
      <c r="D13" s="318" t="s">
        <v>302</v>
      </c>
      <c r="E13" s="319" t="s">
        <v>1636</v>
      </c>
      <c r="F13" s="320" t="s">
        <v>1605</v>
      </c>
      <c r="G13" s="320" t="s">
        <v>1245</v>
      </c>
      <c r="H13" s="320"/>
      <c r="I13" s="320" t="s">
        <v>664</v>
      </c>
      <c r="J13" s="320" t="s">
        <v>1038</v>
      </c>
      <c r="K13" s="320" t="s">
        <v>1038</v>
      </c>
      <c r="L13" s="320" t="s">
        <v>1249</v>
      </c>
      <c r="M13" s="321">
        <v>925</v>
      </c>
      <c r="N13" s="320" t="s">
        <v>1038</v>
      </c>
      <c r="O13" s="320" t="s">
        <v>1038</v>
      </c>
      <c r="P13" s="320" t="s">
        <v>1143</v>
      </c>
      <c r="Q13" s="321">
        <v>1175</v>
      </c>
      <c r="R13" s="320" t="s">
        <v>1038</v>
      </c>
      <c r="S13" s="320" t="s">
        <v>1038</v>
      </c>
      <c r="T13" s="320" t="s">
        <v>1144</v>
      </c>
      <c r="U13" s="321">
        <v>1450</v>
      </c>
      <c r="V13" s="320" t="s">
        <v>1038</v>
      </c>
      <c r="W13" s="320" t="s">
        <v>1038</v>
      </c>
      <c r="X13" s="320" t="s">
        <v>550</v>
      </c>
      <c r="Y13" s="322" t="s">
        <v>283</v>
      </c>
      <c r="Z13" s="320" t="s">
        <v>1275</v>
      </c>
      <c r="AA13" s="320" t="s">
        <v>1076</v>
      </c>
      <c r="AB13" s="320" t="s">
        <v>462</v>
      </c>
      <c r="AC13" s="320" t="s">
        <v>507</v>
      </c>
      <c r="AD13" s="320" t="s">
        <v>507</v>
      </c>
      <c r="AE13" s="320" t="s">
        <v>507</v>
      </c>
      <c r="AF13" s="320" t="s">
        <v>507</v>
      </c>
      <c r="AG13" s="320" t="s">
        <v>507</v>
      </c>
      <c r="AH13" s="323" t="s">
        <v>284</v>
      </c>
      <c r="AI13" s="324" t="s">
        <v>1756</v>
      </c>
      <c r="AJ13" s="319" t="s">
        <v>1638</v>
      </c>
    </row>
    <row r="14" ht="24.75" customHeight="1" s="5" customFormat="1">
      <c r="A14" s="315" t="s">
        <v>210</v>
      </c>
      <c r="B14" s="316" t="s">
        <v>300</v>
      </c>
      <c r="C14" s="317" t="s">
        <v>1639</v>
      </c>
      <c r="D14" s="5"/>
      <c r="E14" s="319" t="s">
        <v>1640</v>
      </c>
      <c r="F14" s="320" t="s">
        <v>1605</v>
      </c>
      <c r="G14" s="320" t="s">
        <v>1245</v>
      </c>
      <c r="H14" s="320"/>
      <c r="I14" s="320" t="s">
        <v>1757</v>
      </c>
      <c r="J14" s="320" t="s">
        <v>1038</v>
      </c>
      <c r="K14" s="320" t="s">
        <v>1038</v>
      </c>
      <c r="L14" s="320" t="s">
        <v>1249</v>
      </c>
      <c r="M14" s="321">
        <v>895</v>
      </c>
      <c r="N14" s="320" t="s">
        <v>1038</v>
      </c>
      <c r="O14" s="320" t="s">
        <v>1038</v>
      </c>
      <c r="P14" s="320" t="s">
        <v>1143</v>
      </c>
      <c r="Q14" s="321">
        <v>1125</v>
      </c>
      <c r="R14" s="320" t="s">
        <v>1038</v>
      </c>
      <c r="S14" s="320" t="s">
        <v>1038</v>
      </c>
      <c r="T14" s="320" t="s">
        <v>1144</v>
      </c>
      <c r="U14" s="321">
        <v>1400</v>
      </c>
      <c r="V14" s="320" t="s">
        <v>1038</v>
      </c>
      <c r="W14" s="320" t="s">
        <v>1038</v>
      </c>
      <c r="X14" s="320" t="s">
        <v>550</v>
      </c>
      <c r="Y14" s="322" t="s">
        <v>283</v>
      </c>
      <c r="Z14" s="320" t="s">
        <v>1423</v>
      </c>
      <c r="AA14" s="320" t="s">
        <v>629</v>
      </c>
      <c r="AB14" s="320" t="s">
        <v>210</v>
      </c>
      <c r="AC14" s="320" t="s">
        <v>507</v>
      </c>
      <c r="AD14" s="320" t="s">
        <v>507</v>
      </c>
      <c r="AE14" s="320" t="s">
        <v>507</v>
      </c>
      <c r="AF14" s="320" t="s">
        <v>507</v>
      </c>
      <c r="AG14" s="320" t="s">
        <v>507</v>
      </c>
      <c r="AH14" s="323" t="s">
        <v>284</v>
      </c>
      <c r="AI14" s="324" t="s">
        <v>1758</v>
      </c>
      <c r="AJ14" s="319" t="s">
        <v>1642</v>
      </c>
    </row>
    <row r="15" ht="24.75" customHeight="1" s="5" customFormat="1">
      <c r="A15" s="315" t="s">
        <v>181</v>
      </c>
      <c r="B15" s="316" t="s">
        <v>300</v>
      </c>
      <c r="C15" s="317" t="s">
        <v>1643</v>
      </c>
      <c r="D15" s="5"/>
      <c r="E15" s="319" t="s">
        <v>1644</v>
      </c>
      <c r="F15" s="320" t="s">
        <v>1605</v>
      </c>
      <c r="G15" s="320" t="s">
        <v>1245</v>
      </c>
      <c r="H15" s="320"/>
      <c r="I15" s="320" t="s">
        <v>1519</v>
      </c>
      <c r="J15" s="320" t="s">
        <v>1038</v>
      </c>
      <c r="K15" s="320" t="s">
        <v>1038</v>
      </c>
      <c r="L15" s="320" t="s">
        <v>1249</v>
      </c>
      <c r="M15" s="321">
        <v>950</v>
      </c>
      <c r="N15" s="320" t="s">
        <v>1038</v>
      </c>
      <c r="O15" s="320" t="s">
        <v>1038</v>
      </c>
      <c r="P15" s="320" t="s">
        <v>1143</v>
      </c>
      <c r="Q15" s="321">
        <v>1200</v>
      </c>
      <c r="R15" s="320" t="s">
        <v>1038</v>
      </c>
      <c r="S15" s="320" t="s">
        <v>1038</v>
      </c>
      <c r="T15" s="320" t="s">
        <v>1144</v>
      </c>
      <c r="U15" s="321">
        <v>1475</v>
      </c>
      <c r="V15" s="320" t="s">
        <v>1038</v>
      </c>
      <c r="W15" s="320" t="s">
        <v>1038</v>
      </c>
      <c r="X15" s="320" t="s">
        <v>550</v>
      </c>
      <c r="Y15" s="322" t="s">
        <v>283</v>
      </c>
      <c r="Z15" s="320" t="s">
        <v>1265</v>
      </c>
      <c r="AA15" s="320" t="s">
        <v>1091</v>
      </c>
      <c r="AB15" s="320" t="s">
        <v>276</v>
      </c>
      <c r="AC15" s="320" t="s">
        <v>507</v>
      </c>
      <c r="AD15" s="320" t="s">
        <v>507</v>
      </c>
      <c r="AE15" s="320" t="s">
        <v>507</v>
      </c>
      <c r="AF15" s="320" t="s">
        <v>507</v>
      </c>
      <c r="AG15" s="320" t="s">
        <v>507</v>
      </c>
      <c r="AH15" s="323" t="s">
        <v>284</v>
      </c>
      <c r="AI15" s="324" t="s">
        <v>1759</v>
      </c>
      <c r="AJ15" s="319" t="s">
        <v>1646</v>
      </c>
    </row>
    <row r="16" ht="24.75" customHeight="1" s="5" customFormat="1">
      <c r="A16" s="315" t="s">
        <v>320</v>
      </c>
      <c r="B16" s="316" t="s">
        <v>300</v>
      </c>
      <c r="C16" s="317" t="s">
        <v>1647</v>
      </c>
      <c r="D16" s="5"/>
      <c r="E16" s="319" t="s">
        <v>1648</v>
      </c>
      <c r="F16" s="320" t="s">
        <v>1605</v>
      </c>
      <c r="G16" s="320" t="s">
        <v>1245</v>
      </c>
      <c r="H16" s="320"/>
      <c r="I16" s="320" t="s">
        <v>1760</v>
      </c>
      <c r="J16" s="320" t="s">
        <v>1038</v>
      </c>
      <c r="K16" s="320" t="s">
        <v>1038</v>
      </c>
      <c r="L16" s="320" t="s">
        <v>1249</v>
      </c>
      <c r="M16" s="321">
        <v>925</v>
      </c>
      <c r="N16" s="320" t="s">
        <v>1038</v>
      </c>
      <c r="O16" s="320" t="s">
        <v>1038</v>
      </c>
      <c r="P16" s="320" t="s">
        <v>1143</v>
      </c>
      <c r="Q16" s="321">
        <v>1150</v>
      </c>
      <c r="R16" s="320" t="s">
        <v>1038</v>
      </c>
      <c r="S16" s="320" t="s">
        <v>1038</v>
      </c>
      <c r="T16" s="320" t="s">
        <v>1144</v>
      </c>
      <c r="U16" s="321">
        <v>1425</v>
      </c>
      <c r="V16" s="320" t="s">
        <v>1038</v>
      </c>
      <c r="W16" s="320" t="s">
        <v>1038</v>
      </c>
      <c r="X16" s="320" t="s">
        <v>550</v>
      </c>
      <c r="Y16" s="322" t="s">
        <v>283</v>
      </c>
      <c r="Z16" s="320" t="s">
        <v>1428</v>
      </c>
      <c r="AA16" s="320" t="s">
        <v>636</v>
      </c>
      <c r="AB16" s="320" t="s">
        <v>276</v>
      </c>
      <c r="AC16" s="320" t="s">
        <v>507</v>
      </c>
      <c r="AD16" s="320" t="s">
        <v>507</v>
      </c>
      <c r="AE16" s="320" t="s">
        <v>507</v>
      </c>
      <c r="AF16" s="320" t="s">
        <v>507</v>
      </c>
      <c r="AG16" s="320" t="s">
        <v>507</v>
      </c>
      <c r="AH16" s="323" t="s">
        <v>284</v>
      </c>
      <c r="AI16" s="324" t="s">
        <v>1761</v>
      </c>
      <c r="AJ16" s="319" t="s">
        <v>1651</v>
      </c>
    </row>
    <row r="17" ht="28.5" customHeight="1" s="5" customFormat="1">
      <c r="A17" s="325" t="s">
        <v>154</v>
      </c>
      <c r="B17" s="326" t="s">
        <v>339</v>
      </c>
      <c r="C17" s="327" t="s">
        <v>1652</v>
      </c>
      <c r="D17" s="5"/>
      <c r="E17" s="325" t="s">
        <v>64</v>
      </c>
      <c r="F17" s="325" t="s">
        <v>1605</v>
      </c>
      <c r="G17" s="325" t="s">
        <v>1245</v>
      </c>
      <c r="H17" s="325"/>
      <c r="I17" s="325"/>
      <c r="J17" s="325" t="s">
        <v>64</v>
      </c>
      <c r="K17" s="325" t="s">
        <v>64</v>
      </c>
      <c r="L17" s="325" t="s">
        <v>1249</v>
      </c>
      <c r="M17" s="325" t="s">
        <v>1249</v>
      </c>
      <c r="N17" s="325" t="s">
        <v>64</v>
      </c>
      <c r="O17" s="325" t="s">
        <v>64</v>
      </c>
      <c r="P17" s="325" t="s">
        <v>1143</v>
      </c>
      <c r="Q17" s="325" t="s">
        <v>1143</v>
      </c>
      <c r="R17" s="325" t="s">
        <v>64</v>
      </c>
      <c r="S17" s="325" t="s">
        <v>64</v>
      </c>
      <c r="T17" s="325" t="s">
        <v>1144</v>
      </c>
      <c r="U17" s="325" t="s">
        <v>1144</v>
      </c>
      <c r="V17" s="325" t="s">
        <v>64</v>
      </c>
      <c r="W17" s="325" t="s">
        <v>64</v>
      </c>
      <c r="X17" s="325" t="s">
        <v>550</v>
      </c>
      <c r="Y17" s="325" t="s">
        <v>550</v>
      </c>
      <c r="Z17" s="325"/>
      <c r="AA17" s="325"/>
      <c r="AB17" s="325"/>
      <c r="AC17" s="325"/>
      <c r="AD17" s="325"/>
      <c r="AE17" s="325"/>
      <c r="AF17" s="325"/>
      <c r="AG17" s="325"/>
      <c r="AH17" s="316" t="s">
        <v>339</v>
      </c>
      <c r="AI17" s="328" t="s">
        <v>1653</v>
      </c>
      <c r="AJ17" s="328" t="s">
        <v>342</v>
      </c>
    </row>
    <row r="18" ht="34.5" customHeight="1" s="5" customFormat="1">
      <c r="A18" s="329" t="s">
        <v>154</v>
      </c>
      <c r="B18" s="326" t="s">
        <v>339</v>
      </c>
      <c r="C18" s="330" t="s">
        <v>1654</v>
      </c>
      <c r="D18" s="5"/>
      <c r="E18" s="329" t="s">
        <v>64</v>
      </c>
      <c r="F18" s="329" t="s">
        <v>1605</v>
      </c>
      <c r="G18" s="329" t="s">
        <v>1245</v>
      </c>
      <c r="H18" s="329"/>
      <c r="I18" s="329"/>
      <c r="J18" s="329"/>
      <c r="K18" s="329"/>
      <c r="L18" s="329"/>
      <c r="M18" s="331">
        <v>924</v>
      </c>
      <c r="N18" s="329"/>
      <c r="O18" s="329"/>
      <c r="P18" s="329"/>
      <c r="Q18" s="331">
        <v>1162</v>
      </c>
      <c r="R18" s="329"/>
      <c r="S18" s="329"/>
      <c r="T18" s="329"/>
      <c r="U18" s="331">
        <v>1438</v>
      </c>
      <c r="V18" s="329"/>
      <c r="W18" s="329"/>
      <c r="X18" s="329"/>
      <c r="Y18" s="331"/>
      <c r="Z18" s="329"/>
      <c r="AA18" s="329"/>
      <c r="AB18" s="329"/>
      <c r="AC18" s="329"/>
      <c r="AD18" s="329"/>
      <c r="AE18" s="329"/>
      <c r="AF18" s="329"/>
      <c r="AG18" s="329"/>
      <c r="AH18" s="316" t="s">
        <v>339</v>
      </c>
      <c r="AI18" s="332" t="s">
        <v>1061</v>
      </c>
      <c r="AJ18" s="332" t="s">
        <v>1062</v>
      </c>
    </row>
    <row r="20" ht="14.25" customHeight="1" s="5" customFormat="1">
      <c r="A20" s="333" t="s">
        <v>1063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2" ht="18" customHeight="1" s="5" customFormat="1">
      <c r="A22" s="334" t="s">
        <v>349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  <row r="23" ht="15.75" customHeight="1" s="5" customFormat="1">
      <c r="A23" s="335" t="s">
        <v>1064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 ht="15.75" customHeight="1" s="5" customFormat="1">
      <c r="A24" s="5"/>
      <c r="B24" s="336" t="s">
        <v>351</v>
      </c>
      <c r="C24" s="336" t="s">
        <v>352</v>
      </c>
      <c r="D24" s="5"/>
      <c r="E24" s="336" t="s">
        <v>353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</row>
    <row r="25" ht="20.25" customHeight="1" s="5" customFormat="1">
      <c r="A25" s="337" t="s">
        <v>160</v>
      </c>
      <c r="B25" s="338">
        <f>'Current Rents'!D38</f>
        <v>874</v>
      </c>
      <c r="C25" s="339">
        <v>924</v>
      </c>
      <c r="D25" s="5"/>
      <c r="E25" s="340">
        <f t="shared" si="0" ref="E25:E28">B25-C25</f>
        <v>-50</v>
      </c>
      <c r="F25" s="161" t="str">
        <f>IF(E25&lt;-75,"LOOK INTO INCREASING THE RENT!","")</f>
        <v/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</row>
    <row r="26" ht="20.25" customHeight="1" s="5" customFormat="1">
      <c r="A26" s="337" t="s">
        <v>151</v>
      </c>
      <c r="B26" s="338">
        <f>'Current Rents'!E38</f>
        <v>1039</v>
      </c>
      <c r="C26" s="339">
        <v>1162</v>
      </c>
      <c r="D26" s="5"/>
      <c r="E26" s="340">
        <f t="shared" si="0"/>
        <v>-123</v>
      </c>
      <c r="F26" s="161" t="str">
        <f>IF(E26&lt;-75,"LOOK INTO INCREASING THE RENT!","")</f>
        <v>LOOK INTO INCREASING THE RENT!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</row>
    <row r="27" ht="20.25" customHeight="1" s="5" customFormat="1">
      <c r="A27" s="337" t="s">
        <v>152</v>
      </c>
      <c r="B27" s="338">
        <f>'Current Rents'!F38</f>
        <v>1194</v>
      </c>
      <c r="C27" s="339">
        <v>1438</v>
      </c>
      <c r="D27" s="5"/>
      <c r="E27" s="340">
        <f t="shared" si="0"/>
        <v>-244</v>
      </c>
      <c r="F27" s="161" t="str">
        <f>IF(E27&lt;-75,"LOOK INTO INCREASING THE RENT!","")</f>
        <v>LOOK INTO INCREASING THE RENT!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</row>
    <row r="28" ht="20.25" customHeight="1" s="5" customFormat="1">
      <c r="A28" s="337" t="s">
        <v>155</v>
      </c>
      <c r="B28" s="338">
        <f>'Current Rents'!G38</f>
        <v>1321</v>
      </c>
      <c r="C28" s="339">
        <v>0</v>
      </c>
      <c r="D28" s="5"/>
      <c r="E28" s="340">
        <f t="shared" si="0"/>
        <v>1321</v>
      </c>
      <c r="F28" s="161" t="str">
        <f>IF(E28&lt;-75,"LOOK INTO INCREASING THE RENT!","")</f>
        <v/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</row>
  </sheetData>
  <mergeCells>
    <mergeCell ref="A3:AG3"/>
    <mergeCell ref="A23:H23"/>
    <mergeCell ref="C8:D8"/>
    <mergeCell ref="C9:D9"/>
    <mergeCell ref="AH3:AJ3"/>
    <mergeCell ref="C12:D12"/>
    <mergeCell ref="C17:D17"/>
    <mergeCell ref="C18:D18"/>
    <mergeCell ref="A5:AJ5"/>
    <mergeCell ref="A20:AJ20"/>
    <mergeCell ref="A22:H22"/>
    <mergeCell ref="C7:D7"/>
    <mergeCell ref="A6:AJ6"/>
    <mergeCell ref="A4:AJ4"/>
    <mergeCell ref="C24:D24"/>
    <mergeCell ref="C11:D11"/>
    <mergeCell ref="D13:D16"/>
    <mergeCell ref="C10:D10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268E848-DE48-4D4B-4AE8-CA9FC4B93A31}" mc:Ignorable="x14ac xr xr2 xr3"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style="5" width="9.00390625" customWidth="1"/>
    <col min="2" max="2" style="5" width="18.57421875" customWidth="1"/>
    <col min="3" max="3" style="5" width="42.00390625" customWidth="1"/>
    <col min="4" max="4" style="5" width="4.7109375" customWidth="1"/>
    <col min="5" max="5" style="5" width="31.00390625" customWidth="1"/>
    <col min="6" max="6" style="5" width="14.28125" customWidth="1"/>
    <col min="7" max="7" style="5" width="9.28125" customWidth="1"/>
    <col min="8" max="9" style="5" width="13.00390625" customWidth="1"/>
    <col min="10" max="10" style="5" width="7.00390625" hidden="1" customWidth="1"/>
    <col min="11" max="11" style="5" width="13.00390625" customWidth="1"/>
    <col min="12" max="12" style="5" width="5.28125" hidden="1" customWidth="1"/>
    <col min="13" max="13" style="5" width="16.7109375" customWidth="1"/>
    <col min="14" max="14" style="5" width="7.00390625" hidden="1" customWidth="1"/>
    <col min="15" max="15" style="5" width="13.00390625" customWidth="1"/>
    <col min="16" max="16" style="5" width="5.28125" hidden="1" customWidth="1"/>
    <col min="17" max="17" style="5" width="16.7109375" customWidth="1"/>
    <col min="18" max="18" style="5" width="7.00390625" hidden="1" customWidth="1"/>
    <col min="19" max="19" style="5" width="13.00390625" customWidth="1"/>
    <col min="20" max="20" style="5" width="5.28125" hidden="1" customWidth="1"/>
    <col min="21" max="21" style="5" width="16.7109375" customWidth="1"/>
    <col min="22" max="22" style="5" width="7.00390625" hidden="1" customWidth="1"/>
    <col min="23" max="23" style="5" width="13.00390625" customWidth="1"/>
    <col min="24" max="24" style="5" width="5.28125" hidden="1" customWidth="1"/>
    <col min="25" max="25" style="5" width="16.7109375" customWidth="1"/>
    <col min="26" max="26" style="5" width="9.421875" customWidth="1"/>
    <col min="27" max="33" style="5" width="13.00390625" customWidth="1"/>
    <col min="34" max="34" style="5" width="24.57421875" customWidth="1"/>
    <col min="35" max="35" style="5" width="55.7109375" customWidth="1"/>
    <col min="36" max="36" style="5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36" customHeight="1" s="5" customFormat="1">
      <c r="A3" s="295" t="s">
        <v>1762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296" t="s">
        <v>1763</v>
      </c>
      <c r="AI3" s="5"/>
      <c r="AJ3" s="5"/>
    </row>
    <row r="4" ht="18" customHeight="1" s="5" customFormat="1">
      <c r="A4" s="297" t="s">
        <v>1764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14.25" customHeight="1" s="5" customFormat="1">
      <c r="A5" s="298" t="s">
        <v>1012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ht="25.5" customHeight="1" s="5" customFormat="1">
      <c r="A6" s="299" t="s">
        <v>1013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ht="25.5" customHeight="1" s="5" customFormat="1">
      <c r="A7" s="300" t="s">
        <v>233</v>
      </c>
      <c r="B7" s="300" t="s">
        <v>234</v>
      </c>
      <c r="C7" s="300" t="s">
        <v>3</v>
      </c>
      <c r="D7" s="5"/>
      <c r="E7" s="300" t="s">
        <v>235</v>
      </c>
      <c r="F7" s="300" t="s">
        <v>236</v>
      </c>
      <c r="G7" s="300" t="s">
        <v>237</v>
      </c>
      <c r="H7" s="300" t="s">
        <v>238</v>
      </c>
      <c r="I7" s="300" t="s">
        <v>239</v>
      </c>
      <c r="J7" s="300" t="s">
        <v>444</v>
      </c>
      <c r="K7" s="300" t="s">
        <v>445</v>
      </c>
      <c r="L7" s="300" t="s">
        <v>446</v>
      </c>
      <c r="M7" s="301" t="s">
        <v>447</v>
      </c>
      <c r="N7" s="300" t="s">
        <v>240</v>
      </c>
      <c r="O7" s="300" t="s">
        <v>241</v>
      </c>
      <c r="P7" s="300" t="s">
        <v>242</v>
      </c>
      <c r="Q7" s="301" t="s">
        <v>360</v>
      </c>
      <c r="R7" s="300" t="s">
        <v>244</v>
      </c>
      <c r="S7" s="300" t="s">
        <v>245</v>
      </c>
      <c r="T7" s="300" t="s">
        <v>246</v>
      </c>
      <c r="U7" s="301" t="s">
        <v>361</v>
      </c>
      <c r="V7" s="300" t="s">
        <v>697</v>
      </c>
      <c r="W7" s="300" t="s">
        <v>698</v>
      </c>
      <c r="X7" s="300" t="s">
        <v>699</v>
      </c>
      <c r="Y7" s="301" t="s">
        <v>700</v>
      </c>
      <c r="Z7" s="300" t="s">
        <v>6</v>
      </c>
      <c r="AA7" s="300" t="s">
        <v>248</v>
      </c>
      <c r="AB7" s="300" t="s">
        <v>249</v>
      </c>
      <c r="AC7" s="300" t="s">
        <v>250</v>
      </c>
      <c r="AD7" s="300" t="s">
        <v>251</v>
      </c>
      <c r="AE7" s="300" t="s">
        <v>252</v>
      </c>
      <c r="AF7" s="300" t="s">
        <v>253</v>
      </c>
      <c r="AG7" s="300" t="s">
        <v>254</v>
      </c>
      <c r="AH7" s="301" t="s">
        <v>255</v>
      </c>
      <c r="AI7" s="300" t="s">
        <v>256</v>
      </c>
      <c r="AJ7" s="300" t="s">
        <v>257</v>
      </c>
    </row>
    <row r="8" ht="21.75" customHeight="1" s="5" customFormat="1">
      <c r="A8" s="302" t="s">
        <v>258</v>
      </c>
      <c r="B8" s="303" t="s">
        <v>259</v>
      </c>
      <c r="C8" s="304" t="s">
        <v>1765</v>
      </c>
      <c r="D8" s="5"/>
      <c r="E8" s="304" t="s">
        <v>1766</v>
      </c>
      <c r="F8" s="305" t="s">
        <v>1605</v>
      </c>
      <c r="G8" s="305" t="s">
        <v>1245</v>
      </c>
      <c r="H8" s="305" t="s">
        <v>1745</v>
      </c>
      <c r="I8" s="305" t="s">
        <v>265</v>
      </c>
      <c r="J8" s="305" t="s">
        <v>1713</v>
      </c>
      <c r="K8" s="305" t="s">
        <v>1714</v>
      </c>
      <c r="L8" s="305" t="s">
        <v>1249</v>
      </c>
      <c r="M8" s="306">
        <f>'Current Rents'!D39</f>
        <v>874</v>
      </c>
      <c r="N8" s="305" t="s">
        <v>1715</v>
      </c>
      <c r="O8" s="305" t="s">
        <v>1716</v>
      </c>
      <c r="P8" s="305" t="s">
        <v>1143</v>
      </c>
      <c r="Q8" s="306">
        <f>'Current Rents'!E39</f>
        <v>1039</v>
      </c>
      <c r="R8" s="305" t="s">
        <v>1607</v>
      </c>
      <c r="S8" s="305" t="s">
        <v>1608</v>
      </c>
      <c r="T8" s="305" t="s">
        <v>1144</v>
      </c>
      <c r="U8" s="306">
        <f>'Current Rents'!F39</f>
        <v>1194</v>
      </c>
      <c r="V8" s="305" t="s">
        <v>1609</v>
      </c>
      <c r="W8" s="305" t="s">
        <v>1610</v>
      </c>
      <c r="X8" s="305" t="s">
        <v>550</v>
      </c>
      <c r="Y8" s="306">
        <f>'Current Rents'!G39</f>
        <v>1321</v>
      </c>
      <c r="Z8" s="305" t="s">
        <v>164</v>
      </c>
      <c r="AA8" s="305" t="s">
        <v>1076</v>
      </c>
      <c r="AB8" s="305">
        <v>0</v>
      </c>
      <c r="AC8" s="305" t="s">
        <v>897</v>
      </c>
      <c r="AD8" s="305" t="s">
        <v>273</v>
      </c>
      <c r="AE8" s="305" t="s">
        <v>273</v>
      </c>
      <c r="AF8" s="305" t="s">
        <v>273</v>
      </c>
      <c r="AG8" s="305" t="s">
        <v>273</v>
      </c>
      <c r="AH8" s="303" t="s">
        <v>259</v>
      </c>
      <c r="AI8" s="307" t="s">
        <v>1746</v>
      </c>
      <c r="AJ8" s="304" t="s">
        <v>275</v>
      </c>
    </row>
    <row r="9" ht="21.75" customHeight="1" s="5" customFormat="1">
      <c r="A9" s="308" t="s">
        <v>276</v>
      </c>
      <c r="B9" s="309" t="s">
        <v>277</v>
      </c>
      <c r="C9" s="310" t="s">
        <v>1747</v>
      </c>
      <c r="D9" s="5"/>
      <c r="E9" s="311" t="s">
        <v>1613</v>
      </c>
      <c r="F9" s="308" t="s">
        <v>1605</v>
      </c>
      <c r="G9" s="308" t="s">
        <v>1245</v>
      </c>
      <c r="H9" s="308" t="s">
        <v>1614</v>
      </c>
      <c r="I9" s="308" t="s">
        <v>481</v>
      </c>
      <c r="J9" s="308" t="s">
        <v>1713</v>
      </c>
      <c r="K9" s="308" t="s">
        <v>1714</v>
      </c>
      <c r="L9" s="308" t="s">
        <v>1249</v>
      </c>
      <c r="M9" s="308" t="s">
        <v>283</v>
      </c>
      <c r="N9" s="308" t="s">
        <v>1715</v>
      </c>
      <c r="O9" s="308" t="s">
        <v>1716</v>
      </c>
      <c r="P9" s="308" t="s">
        <v>1143</v>
      </c>
      <c r="Q9" s="308" t="s">
        <v>283</v>
      </c>
      <c r="R9" s="308" t="s">
        <v>1607</v>
      </c>
      <c r="S9" s="308" t="s">
        <v>1608</v>
      </c>
      <c r="T9" s="308" t="s">
        <v>1144</v>
      </c>
      <c r="U9" s="308" t="s">
        <v>283</v>
      </c>
      <c r="V9" s="308" t="s">
        <v>1609</v>
      </c>
      <c r="W9" s="308" t="s">
        <v>1610</v>
      </c>
      <c r="X9" s="308" t="s">
        <v>550</v>
      </c>
      <c r="Y9" s="308" t="s">
        <v>283</v>
      </c>
      <c r="Z9" s="308" t="s">
        <v>164</v>
      </c>
      <c r="AA9" s="308" t="s">
        <v>1076</v>
      </c>
      <c r="AB9" s="308" t="s">
        <v>462</v>
      </c>
      <c r="AC9" s="308" t="s">
        <v>272</v>
      </c>
      <c r="AD9" s="308" t="s">
        <v>273</v>
      </c>
      <c r="AE9" s="308" t="s">
        <v>273</v>
      </c>
      <c r="AF9" s="308" t="s">
        <v>273</v>
      </c>
      <c r="AG9" s="308" t="s">
        <v>273</v>
      </c>
      <c r="AH9" s="312" t="s">
        <v>284</v>
      </c>
      <c r="AI9" s="313" t="s">
        <v>1748</v>
      </c>
      <c r="AJ9" s="311" t="s">
        <v>967</v>
      </c>
    </row>
    <row r="10" ht="21.75" customHeight="1" s="5" customFormat="1">
      <c r="A10" s="308" t="s">
        <v>210</v>
      </c>
      <c r="B10" s="309" t="s">
        <v>277</v>
      </c>
      <c r="C10" s="310" t="s">
        <v>1726</v>
      </c>
      <c r="D10" s="5"/>
      <c r="E10" s="311" t="s">
        <v>1727</v>
      </c>
      <c r="F10" s="308" t="s">
        <v>1605</v>
      </c>
      <c r="G10" s="308" t="s">
        <v>1245</v>
      </c>
      <c r="H10" s="308" t="s">
        <v>1728</v>
      </c>
      <c r="I10" s="308" t="s">
        <v>774</v>
      </c>
      <c r="J10" s="308" t="s">
        <v>1713</v>
      </c>
      <c r="K10" s="308" t="s">
        <v>1714</v>
      </c>
      <c r="L10" s="308" t="s">
        <v>1249</v>
      </c>
      <c r="M10" s="308" t="s">
        <v>283</v>
      </c>
      <c r="N10" s="308" t="s">
        <v>1715</v>
      </c>
      <c r="O10" s="308" t="s">
        <v>1716</v>
      </c>
      <c r="P10" s="308" t="s">
        <v>1143</v>
      </c>
      <c r="Q10" s="308" t="s">
        <v>283</v>
      </c>
      <c r="R10" s="308" t="s">
        <v>1607</v>
      </c>
      <c r="S10" s="308" t="s">
        <v>1608</v>
      </c>
      <c r="T10" s="308" t="s">
        <v>1144</v>
      </c>
      <c r="U10" s="308" t="s">
        <v>283</v>
      </c>
      <c r="V10" s="308" t="s">
        <v>1609</v>
      </c>
      <c r="W10" s="308" t="s">
        <v>1610</v>
      </c>
      <c r="X10" s="308" t="s">
        <v>550</v>
      </c>
      <c r="Y10" s="308" t="s">
        <v>283</v>
      </c>
      <c r="Z10" s="308" t="s">
        <v>208</v>
      </c>
      <c r="AA10" s="308" t="s">
        <v>1076</v>
      </c>
      <c r="AB10" s="308" t="s">
        <v>462</v>
      </c>
      <c r="AC10" s="308" t="s">
        <v>272</v>
      </c>
      <c r="AD10" s="308" t="s">
        <v>273</v>
      </c>
      <c r="AE10" s="308" t="s">
        <v>273</v>
      </c>
      <c r="AF10" s="308" t="s">
        <v>273</v>
      </c>
      <c r="AG10" s="308" t="s">
        <v>273</v>
      </c>
      <c r="AH10" s="312" t="s">
        <v>284</v>
      </c>
      <c r="AI10" s="313" t="s">
        <v>1749</v>
      </c>
      <c r="AJ10" s="311" t="s">
        <v>967</v>
      </c>
    </row>
    <row r="11" ht="21.75" customHeight="1" s="5" customFormat="1">
      <c r="A11" s="308" t="s">
        <v>181</v>
      </c>
      <c r="B11" s="309" t="s">
        <v>277</v>
      </c>
      <c r="C11" s="310" t="s">
        <v>1750</v>
      </c>
      <c r="D11" s="5"/>
      <c r="E11" s="311" t="s">
        <v>1751</v>
      </c>
      <c r="F11" s="308" t="s">
        <v>1605</v>
      </c>
      <c r="G11" s="308" t="s">
        <v>1245</v>
      </c>
      <c r="H11" s="308" t="s">
        <v>1614</v>
      </c>
      <c r="I11" s="308" t="s">
        <v>499</v>
      </c>
      <c r="J11" s="308" t="s">
        <v>1713</v>
      </c>
      <c r="K11" s="308" t="s">
        <v>1714</v>
      </c>
      <c r="L11" s="308" t="s">
        <v>1249</v>
      </c>
      <c r="M11" s="308" t="s">
        <v>283</v>
      </c>
      <c r="N11" s="308" t="s">
        <v>1715</v>
      </c>
      <c r="O11" s="308" t="s">
        <v>1716</v>
      </c>
      <c r="P11" s="308" t="s">
        <v>1143</v>
      </c>
      <c r="Q11" s="308" t="s">
        <v>283</v>
      </c>
      <c r="R11" s="308" t="s">
        <v>1607</v>
      </c>
      <c r="S11" s="308" t="s">
        <v>1608</v>
      </c>
      <c r="T11" s="308" t="s">
        <v>1144</v>
      </c>
      <c r="U11" s="308" t="s">
        <v>283</v>
      </c>
      <c r="V11" s="308" t="s">
        <v>1609</v>
      </c>
      <c r="W11" s="308" t="s">
        <v>1610</v>
      </c>
      <c r="X11" s="308" t="s">
        <v>550</v>
      </c>
      <c r="Y11" s="308" t="s">
        <v>283</v>
      </c>
      <c r="Z11" s="308" t="s">
        <v>221</v>
      </c>
      <c r="AA11" s="308" t="s">
        <v>1091</v>
      </c>
      <c r="AB11" s="308" t="s">
        <v>276</v>
      </c>
      <c r="AC11" s="308" t="s">
        <v>272</v>
      </c>
      <c r="AD11" s="308" t="s">
        <v>273</v>
      </c>
      <c r="AE11" s="308" t="s">
        <v>273</v>
      </c>
      <c r="AF11" s="308" t="s">
        <v>273</v>
      </c>
      <c r="AG11" s="308" t="s">
        <v>273</v>
      </c>
      <c r="AH11" s="312" t="s">
        <v>284</v>
      </c>
      <c r="AI11" s="313" t="s">
        <v>1752</v>
      </c>
      <c r="AJ11" s="311" t="s">
        <v>967</v>
      </c>
    </row>
    <row r="12" ht="21.75" customHeight="1" s="5" customFormat="1">
      <c r="A12" s="308" t="s">
        <v>320</v>
      </c>
      <c r="B12" s="309" t="s">
        <v>277</v>
      </c>
      <c r="C12" s="310" t="s">
        <v>1753</v>
      </c>
      <c r="D12" s="5"/>
      <c r="E12" s="311" t="s">
        <v>1754</v>
      </c>
      <c r="F12" s="308" t="s">
        <v>1605</v>
      </c>
      <c r="G12" s="308" t="s">
        <v>1245</v>
      </c>
      <c r="H12" s="308" t="s">
        <v>1728</v>
      </c>
      <c r="I12" s="308" t="s">
        <v>317</v>
      </c>
      <c r="J12" s="308" t="s">
        <v>1713</v>
      </c>
      <c r="K12" s="308" t="s">
        <v>1714</v>
      </c>
      <c r="L12" s="308" t="s">
        <v>1249</v>
      </c>
      <c r="M12" s="308" t="s">
        <v>283</v>
      </c>
      <c r="N12" s="308" t="s">
        <v>1715</v>
      </c>
      <c r="O12" s="308" t="s">
        <v>1716</v>
      </c>
      <c r="P12" s="308" t="s">
        <v>1143</v>
      </c>
      <c r="Q12" s="308" t="s">
        <v>283</v>
      </c>
      <c r="R12" s="308" t="s">
        <v>1607</v>
      </c>
      <c r="S12" s="308" t="s">
        <v>1608</v>
      </c>
      <c r="T12" s="308" t="s">
        <v>1144</v>
      </c>
      <c r="U12" s="308" t="s">
        <v>283</v>
      </c>
      <c r="V12" s="308" t="s">
        <v>1609</v>
      </c>
      <c r="W12" s="308" t="s">
        <v>1610</v>
      </c>
      <c r="X12" s="308" t="s">
        <v>550</v>
      </c>
      <c r="Y12" s="308" t="s">
        <v>283</v>
      </c>
      <c r="Z12" s="308" t="s">
        <v>494</v>
      </c>
      <c r="AA12" s="308" t="s">
        <v>1091</v>
      </c>
      <c r="AB12" s="308" t="s">
        <v>276</v>
      </c>
      <c r="AC12" s="308" t="s">
        <v>272</v>
      </c>
      <c r="AD12" s="308" t="s">
        <v>273</v>
      </c>
      <c r="AE12" s="308" t="s">
        <v>273</v>
      </c>
      <c r="AF12" s="308" t="s">
        <v>273</v>
      </c>
      <c r="AG12" s="308" t="s">
        <v>273</v>
      </c>
      <c r="AH12" s="312" t="s">
        <v>284</v>
      </c>
      <c r="AI12" s="313" t="s">
        <v>1755</v>
      </c>
      <c r="AJ12" s="311" t="s">
        <v>967</v>
      </c>
    </row>
    <row r="13" ht="24.75" customHeight="1" s="5" customFormat="1">
      <c r="A13" s="315" t="s">
        <v>276</v>
      </c>
      <c r="B13" s="316" t="s">
        <v>300</v>
      </c>
      <c r="C13" s="317" t="s">
        <v>1635</v>
      </c>
      <c r="D13" s="318" t="s">
        <v>302</v>
      </c>
      <c r="E13" s="319" t="s">
        <v>1636</v>
      </c>
      <c r="F13" s="320" t="s">
        <v>1605</v>
      </c>
      <c r="G13" s="320" t="s">
        <v>1245</v>
      </c>
      <c r="H13" s="320"/>
      <c r="I13" s="320" t="s">
        <v>1481</v>
      </c>
      <c r="J13" s="320" t="s">
        <v>1038</v>
      </c>
      <c r="K13" s="320" t="s">
        <v>1038</v>
      </c>
      <c r="L13" s="320" t="s">
        <v>1249</v>
      </c>
      <c r="M13" s="321">
        <v>925</v>
      </c>
      <c r="N13" s="320" t="s">
        <v>1038</v>
      </c>
      <c r="O13" s="320" t="s">
        <v>1038</v>
      </c>
      <c r="P13" s="320" t="s">
        <v>1143</v>
      </c>
      <c r="Q13" s="321">
        <v>1175</v>
      </c>
      <c r="R13" s="320" t="s">
        <v>1038</v>
      </c>
      <c r="S13" s="320" t="s">
        <v>1038</v>
      </c>
      <c r="T13" s="320" t="s">
        <v>1144</v>
      </c>
      <c r="U13" s="321">
        <v>1450</v>
      </c>
      <c r="V13" s="320" t="s">
        <v>1038</v>
      </c>
      <c r="W13" s="320" t="s">
        <v>1038</v>
      </c>
      <c r="X13" s="320" t="s">
        <v>550</v>
      </c>
      <c r="Y13" s="322" t="s">
        <v>283</v>
      </c>
      <c r="Z13" s="320" t="s">
        <v>1275</v>
      </c>
      <c r="AA13" s="320" t="s">
        <v>1076</v>
      </c>
      <c r="AB13" s="320" t="s">
        <v>462</v>
      </c>
      <c r="AC13" s="320" t="s">
        <v>507</v>
      </c>
      <c r="AD13" s="320" t="s">
        <v>507</v>
      </c>
      <c r="AE13" s="320" t="s">
        <v>507</v>
      </c>
      <c r="AF13" s="320" t="s">
        <v>507</v>
      </c>
      <c r="AG13" s="320" t="s">
        <v>507</v>
      </c>
      <c r="AH13" s="323" t="s">
        <v>284</v>
      </c>
      <c r="AI13" s="324" t="s">
        <v>1767</v>
      </c>
      <c r="AJ13" s="319" t="s">
        <v>1638</v>
      </c>
    </row>
    <row r="14" ht="24.75" customHeight="1" s="5" customFormat="1">
      <c r="A14" s="315" t="s">
        <v>210</v>
      </c>
      <c r="B14" s="316" t="s">
        <v>300</v>
      </c>
      <c r="C14" s="317" t="s">
        <v>1639</v>
      </c>
      <c r="D14" s="5"/>
      <c r="E14" s="319" t="s">
        <v>1640</v>
      </c>
      <c r="F14" s="320" t="s">
        <v>1605</v>
      </c>
      <c r="G14" s="320" t="s">
        <v>1245</v>
      </c>
      <c r="H14" s="320"/>
      <c r="I14" s="320" t="s">
        <v>1768</v>
      </c>
      <c r="J14" s="320" t="s">
        <v>1038</v>
      </c>
      <c r="K14" s="320" t="s">
        <v>1038</v>
      </c>
      <c r="L14" s="320" t="s">
        <v>1249</v>
      </c>
      <c r="M14" s="321">
        <v>895</v>
      </c>
      <c r="N14" s="320" t="s">
        <v>1038</v>
      </c>
      <c r="O14" s="320" t="s">
        <v>1038</v>
      </c>
      <c r="P14" s="320" t="s">
        <v>1143</v>
      </c>
      <c r="Q14" s="321">
        <v>1125</v>
      </c>
      <c r="R14" s="320" t="s">
        <v>1038</v>
      </c>
      <c r="S14" s="320" t="s">
        <v>1038</v>
      </c>
      <c r="T14" s="320" t="s">
        <v>1144</v>
      </c>
      <c r="U14" s="321">
        <v>1400</v>
      </c>
      <c r="V14" s="320" t="s">
        <v>1038</v>
      </c>
      <c r="W14" s="320" t="s">
        <v>1038</v>
      </c>
      <c r="X14" s="320" t="s">
        <v>550</v>
      </c>
      <c r="Y14" s="322" t="s">
        <v>283</v>
      </c>
      <c r="Z14" s="320" t="s">
        <v>1423</v>
      </c>
      <c r="AA14" s="320" t="s">
        <v>629</v>
      </c>
      <c r="AB14" s="320" t="s">
        <v>210</v>
      </c>
      <c r="AC14" s="320" t="s">
        <v>507</v>
      </c>
      <c r="AD14" s="320" t="s">
        <v>507</v>
      </c>
      <c r="AE14" s="320" t="s">
        <v>507</v>
      </c>
      <c r="AF14" s="320" t="s">
        <v>507</v>
      </c>
      <c r="AG14" s="320" t="s">
        <v>507</v>
      </c>
      <c r="AH14" s="323" t="s">
        <v>284</v>
      </c>
      <c r="AI14" s="324" t="s">
        <v>1769</v>
      </c>
      <c r="AJ14" s="319" t="s">
        <v>1642</v>
      </c>
    </row>
    <row r="15" ht="24.75" customHeight="1" s="5" customFormat="1">
      <c r="A15" s="315" t="s">
        <v>181</v>
      </c>
      <c r="B15" s="316" t="s">
        <v>300</v>
      </c>
      <c r="C15" s="317" t="s">
        <v>1643</v>
      </c>
      <c r="D15" s="5"/>
      <c r="E15" s="319" t="s">
        <v>1644</v>
      </c>
      <c r="F15" s="320" t="s">
        <v>1605</v>
      </c>
      <c r="G15" s="320" t="s">
        <v>1245</v>
      </c>
      <c r="H15" s="320"/>
      <c r="I15" s="320" t="s">
        <v>1770</v>
      </c>
      <c r="J15" s="320" t="s">
        <v>1038</v>
      </c>
      <c r="K15" s="320" t="s">
        <v>1038</v>
      </c>
      <c r="L15" s="320" t="s">
        <v>1249</v>
      </c>
      <c r="M15" s="321">
        <v>950</v>
      </c>
      <c r="N15" s="320" t="s">
        <v>1038</v>
      </c>
      <c r="O15" s="320" t="s">
        <v>1038</v>
      </c>
      <c r="P15" s="320" t="s">
        <v>1143</v>
      </c>
      <c r="Q15" s="321">
        <v>1200</v>
      </c>
      <c r="R15" s="320" t="s">
        <v>1038</v>
      </c>
      <c r="S15" s="320" t="s">
        <v>1038</v>
      </c>
      <c r="T15" s="320" t="s">
        <v>1144</v>
      </c>
      <c r="U15" s="321">
        <v>1475</v>
      </c>
      <c r="V15" s="320" t="s">
        <v>1038</v>
      </c>
      <c r="W15" s="320" t="s">
        <v>1038</v>
      </c>
      <c r="X15" s="320" t="s">
        <v>550</v>
      </c>
      <c r="Y15" s="322" t="s">
        <v>283</v>
      </c>
      <c r="Z15" s="320" t="s">
        <v>1265</v>
      </c>
      <c r="AA15" s="320" t="s">
        <v>1091</v>
      </c>
      <c r="AB15" s="320" t="s">
        <v>276</v>
      </c>
      <c r="AC15" s="320" t="s">
        <v>507</v>
      </c>
      <c r="AD15" s="320" t="s">
        <v>507</v>
      </c>
      <c r="AE15" s="320" t="s">
        <v>507</v>
      </c>
      <c r="AF15" s="320" t="s">
        <v>507</v>
      </c>
      <c r="AG15" s="320" t="s">
        <v>507</v>
      </c>
      <c r="AH15" s="323" t="s">
        <v>284</v>
      </c>
      <c r="AI15" s="324" t="s">
        <v>1771</v>
      </c>
      <c r="AJ15" s="319" t="s">
        <v>1646</v>
      </c>
    </row>
    <row r="16" ht="24.75" customHeight="1" s="5" customFormat="1">
      <c r="A16" s="315" t="s">
        <v>320</v>
      </c>
      <c r="B16" s="316" t="s">
        <v>300</v>
      </c>
      <c r="C16" s="317" t="s">
        <v>1647</v>
      </c>
      <c r="D16" s="5"/>
      <c r="E16" s="319" t="s">
        <v>1648</v>
      </c>
      <c r="F16" s="320" t="s">
        <v>1605</v>
      </c>
      <c r="G16" s="320" t="s">
        <v>1245</v>
      </c>
      <c r="H16" s="320"/>
      <c r="I16" s="320" t="s">
        <v>1772</v>
      </c>
      <c r="J16" s="320" t="s">
        <v>1038</v>
      </c>
      <c r="K16" s="320" t="s">
        <v>1038</v>
      </c>
      <c r="L16" s="320" t="s">
        <v>1249</v>
      </c>
      <c r="M16" s="321">
        <v>925</v>
      </c>
      <c r="N16" s="320" t="s">
        <v>1038</v>
      </c>
      <c r="O16" s="320" t="s">
        <v>1038</v>
      </c>
      <c r="P16" s="320" t="s">
        <v>1143</v>
      </c>
      <c r="Q16" s="321">
        <v>1150</v>
      </c>
      <c r="R16" s="320" t="s">
        <v>1038</v>
      </c>
      <c r="S16" s="320" t="s">
        <v>1038</v>
      </c>
      <c r="T16" s="320" t="s">
        <v>1144</v>
      </c>
      <c r="U16" s="321">
        <v>1425</v>
      </c>
      <c r="V16" s="320" t="s">
        <v>1038</v>
      </c>
      <c r="W16" s="320" t="s">
        <v>1038</v>
      </c>
      <c r="X16" s="320" t="s">
        <v>550</v>
      </c>
      <c r="Y16" s="322" t="s">
        <v>283</v>
      </c>
      <c r="Z16" s="320" t="s">
        <v>1428</v>
      </c>
      <c r="AA16" s="320" t="s">
        <v>636</v>
      </c>
      <c r="AB16" s="320" t="s">
        <v>276</v>
      </c>
      <c r="AC16" s="320" t="s">
        <v>507</v>
      </c>
      <c r="AD16" s="320" t="s">
        <v>507</v>
      </c>
      <c r="AE16" s="320" t="s">
        <v>507</v>
      </c>
      <c r="AF16" s="320" t="s">
        <v>507</v>
      </c>
      <c r="AG16" s="320" t="s">
        <v>507</v>
      </c>
      <c r="AH16" s="323" t="s">
        <v>284</v>
      </c>
      <c r="AI16" s="324" t="s">
        <v>1773</v>
      </c>
      <c r="AJ16" s="319" t="s">
        <v>1651</v>
      </c>
    </row>
    <row r="17" ht="28.5" customHeight="1" s="5" customFormat="1">
      <c r="A17" s="325" t="s">
        <v>154</v>
      </c>
      <c r="B17" s="326" t="s">
        <v>339</v>
      </c>
      <c r="C17" s="327" t="s">
        <v>1652</v>
      </c>
      <c r="D17" s="5"/>
      <c r="E17" s="325" t="s">
        <v>64</v>
      </c>
      <c r="F17" s="325" t="s">
        <v>1605</v>
      </c>
      <c r="G17" s="325" t="s">
        <v>1245</v>
      </c>
      <c r="H17" s="325"/>
      <c r="I17" s="325"/>
      <c r="J17" s="325" t="s">
        <v>64</v>
      </c>
      <c r="K17" s="325" t="s">
        <v>64</v>
      </c>
      <c r="L17" s="325" t="s">
        <v>1249</v>
      </c>
      <c r="M17" s="325" t="s">
        <v>1249</v>
      </c>
      <c r="N17" s="325" t="s">
        <v>64</v>
      </c>
      <c r="O17" s="325" t="s">
        <v>64</v>
      </c>
      <c r="P17" s="325" t="s">
        <v>1143</v>
      </c>
      <c r="Q17" s="325" t="s">
        <v>1143</v>
      </c>
      <c r="R17" s="325" t="s">
        <v>64</v>
      </c>
      <c r="S17" s="325" t="s">
        <v>64</v>
      </c>
      <c r="T17" s="325" t="s">
        <v>1144</v>
      </c>
      <c r="U17" s="325" t="s">
        <v>1144</v>
      </c>
      <c r="V17" s="325" t="s">
        <v>64</v>
      </c>
      <c r="W17" s="325" t="s">
        <v>64</v>
      </c>
      <c r="X17" s="325" t="s">
        <v>550</v>
      </c>
      <c r="Y17" s="325" t="s">
        <v>550</v>
      </c>
      <c r="Z17" s="325"/>
      <c r="AA17" s="325"/>
      <c r="AB17" s="325"/>
      <c r="AC17" s="325"/>
      <c r="AD17" s="325"/>
      <c r="AE17" s="325"/>
      <c r="AF17" s="325"/>
      <c r="AG17" s="325"/>
      <c r="AH17" s="316" t="s">
        <v>339</v>
      </c>
      <c r="AI17" s="328" t="s">
        <v>1653</v>
      </c>
      <c r="AJ17" s="328" t="s">
        <v>342</v>
      </c>
    </row>
    <row r="18" ht="34.5" customHeight="1" s="5" customFormat="1">
      <c r="A18" s="329" t="s">
        <v>154</v>
      </c>
      <c r="B18" s="326" t="s">
        <v>339</v>
      </c>
      <c r="C18" s="330" t="s">
        <v>1654</v>
      </c>
      <c r="D18" s="5"/>
      <c r="E18" s="329" t="s">
        <v>64</v>
      </c>
      <c r="F18" s="329" t="s">
        <v>1605</v>
      </c>
      <c r="G18" s="329" t="s">
        <v>1245</v>
      </c>
      <c r="H18" s="329"/>
      <c r="I18" s="329"/>
      <c r="J18" s="329"/>
      <c r="K18" s="329"/>
      <c r="L18" s="329"/>
      <c r="M18" s="331">
        <v>924</v>
      </c>
      <c r="N18" s="329"/>
      <c r="O18" s="329"/>
      <c r="P18" s="329"/>
      <c r="Q18" s="331">
        <v>1162</v>
      </c>
      <c r="R18" s="329"/>
      <c r="S18" s="329"/>
      <c r="T18" s="329"/>
      <c r="U18" s="331">
        <v>1438</v>
      </c>
      <c r="V18" s="329"/>
      <c r="W18" s="329"/>
      <c r="X18" s="329"/>
      <c r="Y18" s="331"/>
      <c r="Z18" s="329"/>
      <c r="AA18" s="329"/>
      <c r="AB18" s="329"/>
      <c r="AC18" s="329"/>
      <c r="AD18" s="329"/>
      <c r="AE18" s="329"/>
      <c r="AF18" s="329"/>
      <c r="AG18" s="329"/>
      <c r="AH18" s="316" t="s">
        <v>339</v>
      </c>
      <c r="AI18" s="332" t="s">
        <v>1061</v>
      </c>
      <c r="AJ18" s="332" t="s">
        <v>1062</v>
      </c>
    </row>
    <row r="20" ht="14.25" customHeight="1" s="5" customFormat="1">
      <c r="A20" s="333" t="s">
        <v>1063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2" ht="18" customHeight="1" s="5" customFormat="1">
      <c r="A22" s="334" t="s">
        <v>349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  <row r="23" ht="15.75" customHeight="1" s="5" customFormat="1">
      <c r="A23" s="335" t="s">
        <v>1064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 ht="15.75" customHeight="1" s="5" customFormat="1">
      <c r="A24" s="5"/>
      <c r="B24" s="336" t="s">
        <v>351</v>
      </c>
      <c r="C24" s="336" t="s">
        <v>352</v>
      </c>
      <c r="D24" s="5"/>
      <c r="E24" s="336" t="s">
        <v>353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</row>
    <row r="25" ht="20.25" customHeight="1" s="5" customFormat="1">
      <c r="A25" s="337" t="s">
        <v>160</v>
      </c>
      <c r="B25" s="338">
        <f>'Current Rents'!D39</f>
        <v>874</v>
      </c>
      <c r="C25" s="339">
        <v>924</v>
      </c>
      <c r="D25" s="5"/>
      <c r="E25" s="340">
        <f t="shared" si="0" ref="E25:E28">B25-C25</f>
        <v>-50</v>
      </c>
      <c r="F25" s="161" t="str">
        <f>IF(E25&lt;-75,"LOOK INTO INCREASING THE RENT!","")</f>
        <v/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</row>
    <row r="26" ht="20.25" customHeight="1" s="5" customFormat="1">
      <c r="A26" s="337" t="s">
        <v>151</v>
      </c>
      <c r="B26" s="338">
        <f>'Current Rents'!E39</f>
        <v>1039</v>
      </c>
      <c r="C26" s="339">
        <v>1162</v>
      </c>
      <c r="D26" s="5"/>
      <c r="E26" s="340">
        <f t="shared" si="0"/>
        <v>-123</v>
      </c>
      <c r="F26" s="161" t="str">
        <f>IF(E26&lt;-75,"LOOK INTO INCREASING THE RENT!","")</f>
        <v>LOOK INTO INCREASING THE RENT!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</row>
    <row r="27" ht="20.25" customHeight="1" s="5" customFormat="1">
      <c r="A27" s="337" t="s">
        <v>152</v>
      </c>
      <c r="B27" s="338">
        <f>'Current Rents'!F39</f>
        <v>1194</v>
      </c>
      <c r="C27" s="339">
        <v>1438</v>
      </c>
      <c r="D27" s="5"/>
      <c r="E27" s="340">
        <f t="shared" si="0"/>
        <v>-244</v>
      </c>
      <c r="F27" s="161" t="str">
        <f>IF(E27&lt;-75,"LOOK INTO INCREASING THE RENT!","")</f>
        <v>LOOK INTO INCREASING THE RENT!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</row>
    <row r="28" ht="20.25" customHeight="1" s="5" customFormat="1">
      <c r="A28" s="337" t="s">
        <v>155</v>
      </c>
      <c r="B28" s="338">
        <f>'Current Rents'!G39</f>
        <v>1321</v>
      </c>
      <c r="C28" s="339">
        <v>0</v>
      </c>
      <c r="D28" s="5"/>
      <c r="E28" s="340">
        <f t="shared" si="0"/>
        <v>1321</v>
      </c>
      <c r="F28" s="161" t="str">
        <f>IF(E28&lt;-75,"LOOK INTO INCREASING THE RENT!","")</f>
        <v/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</row>
  </sheetData>
  <mergeCells>
    <mergeCell ref="A3:AG3"/>
    <mergeCell ref="A23:H23"/>
    <mergeCell ref="C8:D8"/>
    <mergeCell ref="C9:D9"/>
    <mergeCell ref="AH3:AJ3"/>
    <mergeCell ref="C12:D12"/>
    <mergeCell ref="C17:D17"/>
    <mergeCell ref="C18:D18"/>
    <mergeCell ref="A5:AJ5"/>
    <mergeCell ref="A20:AJ20"/>
    <mergeCell ref="A22:H22"/>
    <mergeCell ref="C7:D7"/>
    <mergeCell ref="A6:AJ6"/>
    <mergeCell ref="A4:AJ4"/>
    <mergeCell ref="C24:D24"/>
    <mergeCell ref="C11:D11"/>
    <mergeCell ref="D13:D16"/>
    <mergeCell ref="C10:D10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B0E1B9C-3DDB-B9D8-2EC8-E051E36DCC58}" mc:Ignorable="x14ac xr xr2 xr3">
  <dimension ref="A1:AJ27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style="5" width="9.00390625" customWidth="1"/>
    <col min="2" max="2" style="5" width="18.57421875" customWidth="1"/>
    <col min="3" max="3" style="5" width="42.00390625" customWidth="1"/>
    <col min="4" max="4" style="5" width="4.7109375" customWidth="1"/>
    <col min="5" max="5" style="5" width="31.00390625" customWidth="1"/>
    <col min="6" max="6" style="5" width="14.28125" customWidth="1"/>
    <col min="7" max="7" style="5" width="9.28125" customWidth="1"/>
    <col min="8" max="9" style="5" width="13.00390625" customWidth="1"/>
    <col min="10" max="10" style="5" width="7.00390625" hidden="1" customWidth="1"/>
    <col min="11" max="11" style="5" width="13.00390625" customWidth="1"/>
    <col min="12" max="12" style="5" width="5.28125" hidden="1" customWidth="1"/>
    <col min="13" max="13" style="5" width="16.7109375" customWidth="1"/>
    <col min="14" max="14" style="5" width="7.00390625" hidden="1" customWidth="1"/>
    <col min="15" max="15" style="5" width="13.00390625" customWidth="1"/>
    <col min="16" max="16" style="5" width="5.28125" hidden="1" customWidth="1"/>
    <col min="17" max="17" style="5" width="16.7109375" customWidth="1"/>
    <col min="18" max="18" style="5" width="7.00390625" hidden="1" customWidth="1"/>
    <col min="19" max="19" style="5" width="13.00390625" customWidth="1"/>
    <col min="20" max="20" style="5" width="5.28125" hidden="1" customWidth="1"/>
    <col min="21" max="21" style="5" width="16.7109375" customWidth="1"/>
    <col min="22" max="22" style="5" width="7.00390625" hidden="1" customWidth="1"/>
    <col min="23" max="23" style="5" width="13.00390625" customWidth="1"/>
    <col min="24" max="24" style="5" width="5.28125" hidden="1" customWidth="1"/>
    <col min="25" max="25" style="5" width="16.7109375" customWidth="1"/>
    <col min="26" max="26" style="5" width="9.421875" customWidth="1"/>
    <col min="27" max="33" style="5" width="13.00390625" customWidth="1"/>
    <col min="34" max="34" style="5" width="24.57421875" customWidth="1"/>
    <col min="35" max="35" style="5" width="55.7109375" customWidth="1"/>
    <col min="36" max="36" style="5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36" customHeight="1" s="5" customFormat="1">
      <c r="A3" s="295" t="s">
        <v>1774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296" t="s">
        <v>1775</v>
      </c>
      <c r="AI3" s="5"/>
      <c r="AJ3" s="5"/>
    </row>
    <row r="4" ht="18" customHeight="1" s="5" customFormat="1">
      <c r="A4" s="297" t="s">
        <v>1776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14.25" customHeight="1" s="5" customFormat="1">
      <c r="A5" s="298" t="s">
        <v>1012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ht="25.5" customHeight="1" s="5" customFormat="1">
      <c r="A6" s="299" t="s">
        <v>1013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ht="25.5" customHeight="1" s="5" customFormat="1">
      <c r="A7" s="300" t="s">
        <v>233</v>
      </c>
      <c r="B7" s="300" t="s">
        <v>234</v>
      </c>
      <c r="C7" s="300" t="s">
        <v>3</v>
      </c>
      <c r="D7" s="5"/>
      <c r="E7" s="300" t="s">
        <v>235</v>
      </c>
      <c r="F7" s="300" t="s">
        <v>236</v>
      </c>
      <c r="G7" s="300" t="s">
        <v>237</v>
      </c>
      <c r="H7" s="300" t="s">
        <v>238</v>
      </c>
      <c r="I7" s="300" t="s">
        <v>239</v>
      </c>
      <c r="J7" s="300" t="s">
        <v>444</v>
      </c>
      <c r="K7" s="300" t="s">
        <v>445</v>
      </c>
      <c r="L7" s="300" t="s">
        <v>446</v>
      </c>
      <c r="M7" s="301" t="s">
        <v>447</v>
      </c>
      <c r="N7" s="300" t="s">
        <v>240</v>
      </c>
      <c r="O7" s="300" t="s">
        <v>241</v>
      </c>
      <c r="P7" s="300" t="s">
        <v>242</v>
      </c>
      <c r="Q7" s="301" t="s">
        <v>360</v>
      </c>
      <c r="R7" s="300" t="s">
        <v>244</v>
      </c>
      <c r="S7" s="300" t="s">
        <v>245</v>
      </c>
      <c r="T7" s="300" t="s">
        <v>246</v>
      </c>
      <c r="U7" s="301" t="s">
        <v>361</v>
      </c>
      <c r="V7" s="300" t="s">
        <v>697</v>
      </c>
      <c r="W7" s="300" t="s">
        <v>698</v>
      </c>
      <c r="X7" s="300" t="s">
        <v>699</v>
      </c>
      <c r="Y7" s="301" t="s">
        <v>700</v>
      </c>
      <c r="Z7" s="300" t="s">
        <v>6</v>
      </c>
      <c r="AA7" s="300" t="s">
        <v>248</v>
      </c>
      <c r="AB7" s="300" t="s">
        <v>249</v>
      </c>
      <c r="AC7" s="300" t="s">
        <v>250</v>
      </c>
      <c r="AD7" s="300" t="s">
        <v>251</v>
      </c>
      <c r="AE7" s="300" t="s">
        <v>252</v>
      </c>
      <c r="AF7" s="300" t="s">
        <v>253</v>
      </c>
      <c r="AG7" s="300" t="s">
        <v>254</v>
      </c>
      <c r="AH7" s="301" t="s">
        <v>255</v>
      </c>
      <c r="AI7" s="300" t="s">
        <v>256</v>
      </c>
      <c r="AJ7" s="300" t="s">
        <v>257</v>
      </c>
    </row>
    <row r="8" ht="21.75" customHeight="1" s="5" customFormat="1">
      <c r="A8" s="302" t="s">
        <v>258</v>
      </c>
      <c r="B8" s="303" t="s">
        <v>259</v>
      </c>
      <c r="C8" s="304" t="s">
        <v>1777</v>
      </c>
      <c r="D8" s="5"/>
      <c r="E8" s="304" t="s">
        <v>103</v>
      </c>
      <c r="F8" s="305" t="s">
        <v>103</v>
      </c>
      <c r="G8" s="305" t="s">
        <v>1189</v>
      </c>
      <c r="H8" s="305" t="s">
        <v>1778</v>
      </c>
      <c r="I8" s="305" t="s">
        <v>265</v>
      </c>
      <c r="J8" s="305" t="s">
        <v>1779</v>
      </c>
      <c r="K8" s="305" t="s">
        <v>1780</v>
      </c>
      <c r="L8" s="305" t="s">
        <v>1781</v>
      </c>
      <c r="M8" s="306">
        <f>'Current Rents'!D40</f>
        <v>3374</v>
      </c>
      <c r="N8" s="305" t="s">
        <v>1782</v>
      </c>
      <c r="O8" s="305" t="s">
        <v>1783</v>
      </c>
      <c r="P8" s="305" t="s">
        <v>1784</v>
      </c>
      <c r="Q8" s="306">
        <f>'Current Rents'!E40</f>
        <v>3979</v>
      </c>
      <c r="R8" s="305" t="s">
        <v>1785</v>
      </c>
      <c r="S8" s="305" t="s">
        <v>1786</v>
      </c>
      <c r="T8" s="305" t="s">
        <v>1787</v>
      </c>
      <c r="U8" s="306">
        <f>'Current Rents'!F40</f>
        <v>4973</v>
      </c>
      <c r="V8" s="305" t="s">
        <v>1026</v>
      </c>
      <c r="W8" s="305" t="s">
        <v>760</v>
      </c>
      <c r="X8" s="305" t="s">
        <v>462</v>
      </c>
      <c r="Y8" s="306" t="str">
        <f>'Current Rents'!G40</f>
        <v>—</v>
      </c>
      <c r="Z8" s="305" t="s">
        <v>273</v>
      </c>
      <c r="AA8" s="305" t="s">
        <v>273</v>
      </c>
      <c r="AB8" s="305">
        <v>0</v>
      </c>
      <c r="AC8" s="305" t="s">
        <v>273</v>
      </c>
      <c r="AD8" s="305" t="s">
        <v>259</v>
      </c>
      <c r="AE8" s="305" t="s">
        <v>1788</v>
      </c>
      <c r="AF8" s="305" t="s">
        <v>275</v>
      </c>
      <c r="AG8" s="305"/>
      <c r="AH8" s="303" t="s">
        <v>259</v>
      </c>
      <c r="AI8" s="307"/>
      <c r="AJ8" s="304"/>
    </row>
    <row r="9" ht="21.75" customHeight="1" s="5" customFormat="1">
      <c r="A9" s="308" t="s">
        <v>276</v>
      </c>
      <c r="B9" s="309" t="s">
        <v>277</v>
      </c>
      <c r="C9" s="310" t="s">
        <v>1789</v>
      </c>
      <c r="D9" s="5"/>
      <c r="E9" s="311" t="s">
        <v>1790</v>
      </c>
      <c r="F9" s="308" t="s">
        <v>1791</v>
      </c>
      <c r="G9" s="308" t="s">
        <v>1189</v>
      </c>
      <c r="H9" s="308" t="s">
        <v>1792</v>
      </c>
      <c r="I9" s="308" t="s">
        <v>1793</v>
      </c>
      <c r="J9" s="308" t="s">
        <v>1779</v>
      </c>
      <c r="K9" s="308" t="s">
        <v>1780</v>
      </c>
      <c r="L9" s="308" t="s">
        <v>1781</v>
      </c>
      <c r="M9" s="308" t="s">
        <v>283</v>
      </c>
      <c r="N9" s="308" t="s">
        <v>1782</v>
      </c>
      <c r="O9" s="308" t="s">
        <v>1783</v>
      </c>
      <c r="P9" s="308" t="s">
        <v>1784</v>
      </c>
      <c r="Q9" s="308" t="s">
        <v>283</v>
      </c>
      <c r="R9" s="308" t="s">
        <v>1785</v>
      </c>
      <c r="S9" s="308" t="s">
        <v>1786</v>
      </c>
      <c r="T9" s="308" t="s">
        <v>1787</v>
      </c>
      <c r="U9" s="308" t="s">
        <v>283</v>
      </c>
      <c r="V9" s="308" t="s">
        <v>551</v>
      </c>
      <c r="W9" s="308" t="s">
        <v>1151</v>
      </c>
      <c r="X9" s="308" t="s">
        <v>401</v>
      </c>
      <c r="Y9" s="308" t="s">
        <v>272</v>
      </c>
      <c r="Z9" s="308" t="s">
        <v>273</v>
      </c>
      <c r="AA9" s="308" t="s">
        <v>273</v>
      </c>
      <c r="AB9" s="308" t="s">
        <v>273</v>
      </c>
      <c r="AC9" s="308" t="s">
        <v>273</v>
      </c>
      <c r="AD9" s="308" t="s">
        <v>284</v>
      </c>
      <c r="AE9" s="308" t="s">
        <v>1794</v>
      </c>
      <c r="AF9" s="308" t="s">
        <v>967</v>
      </c>
      <c r="AG9" s="308"/>
      <c r="AH9" s="312"/>
      <c r="AI9" s="313"/>
      <c r="AJ9" s="311"/>
    </row>
    <row r="10" ht="21.75" customHeight="1" s="5" customFormat="1">
      <c r="A10" s="308" t="s">
        <v>210</v>
      </c>
      <c r="B10" s="309" t="s">
        <v>277</v>
      </c>
      <c r="C10" s="310" t="s">
        <v>1795</v>
      </c>
      <c r="D10" s="5"/>
      <c r="E10" s="311" t="s">
        <v>1796</v>
      </c>
      <c r="F10" s="308" t="s">
        <v>1791</v>
      </c>
      <c r="G10" s="308" t="s">
        <v>1189</v>
      </c>
      <c r="H10" s="308" t="s">
        <v>1792</v>
      </c>
      <c r="I10" s="308" t="s">
        <v>1797</v>
      </c>
      <c r="J10" s="308" t="s">
        <v>1779</v>
      </c>
      <c r="K10" s="308" t="s">
        <v>1780</v>
      </c>
      <c r="L10" s="308" t="s">
        <v>1781</v>
      </c>
      <c r="M10" s="308" t="s">
        <v>1798</v>
      </c>
      <c r="N10" s="308" t="s">
        <v>1782</v>
      </c>
      <c r="O10" s="308" t="s">
        <v>1783</v>
      </c>
      <c r="P10" s="308" t="s">
        <v>1784</v>
      </c>
      <c r="Q10" s="308" t="s">
        <v>283</v>
      </c>
      <c r="R10" s="308" t="s">
        <v>1785</v>
      </c>
      <c r="S10" s="308" t="s">
        <v>1786</v>
      </c>
      <c r="T10" s="308" t="s">
        <v>1787</v>
      </c>
      <c r="U10" s="308" t="s">
        <v>283</v>
      </c>
      <c r="V10" s="308" t="s">
        <v>196</v>
      </c>
      <c r="W10" s="308" t="s">
        <v>1799</v>
      </c>
      <c r="X10" s="308" t="s">
        <v>1800</v>
      </c>
      <c r="Y10" s="308" t="s">
        <v>272</v>
      </c>
      <c r="Z10" s="308" t="s">
        <v>273</v>
      </c>
      <c r="AA10" s="308" t="s">
        <v>273</v>
      </c>
      <c r="AB10" s="308" t="s">
        <v>273</v>
      </c>
      <c r="AC10" s="308" t="s">
        <v>273</v>
      </c>
      <c r="AD10" s="308" t="s">
        <v>284</v>
      </c>
      <c r="AE10" s="308" t="s">
        <v>1801</v>
      </c>
      <c r="AF10" s="308" t="s">
        <v>967</v>
      </c>
      <c r="AG10" s="308"/>
      <c r="AH10" s="312"/>
      <c r="AI10" s="313"/>
      <c r="AJ10" s="311"/>
    </row>
    <row r="11" ht="21.75" customHeight="1" s="5" customFormat="1">
      <c r="A11" s="308" t="s">
        <v>181</v>
      </c>
      <c r="B11" s="309" t="s">
        <v>277</v>
      </c>
      <c r="C11" s="310" t="s">
        <v>1802</v>
      </c>
      <c r="D11" s="5"/>
      <c r="E11" s="311" t="s">
        <v>1803</v>
      </c>
      <c r="F11" s="308" t="s">
        <v>1804</v>
      </c>
      <c r="G11" s="308" t="s">
        <v>1189</v>
      </c>
      <c r="H11" s="308" t="s">
        <v>1805</v>
      </c>
      <c r="I11" s="308" t="s">
        <v>1806</v>
      </c>
      <c r="J11" s="308" t="s">
        <v>1779</v>
      </c>
      <c r="K11" s="308" t="s">
        <v>1780</v>
      </c>
      <c r="L11" s="308" t="s">
        <v>1781</v>
      </c>
      <c r="M11" s="308" t="s">
        <v>283</v>
      </c>
      <c r="N11" s="308" t="s">
        <v>1782</v>
      </c>
      <c r="O11" s="308" t="s">
        <v>1783</v>
      </c>
      <c r="P11" s="308" t="s">
        <v>1784</v>
      </c>
      <c r="Q11" s="308" t="s">
        <v>283</v>
      </c>
      <c r="R11" s="308" t="s">
        <v>1785</v>
      </c>
      <c r="S11" s="308" t="s">
        <v>1786</v>
      </c>
      <c r="T11" s="308" t="s">
        <v>1787</v>
      </c>
      <c r="U11" s="308" t="s">
        <v>283</v>
      </c>
      <c r="V11" s="308" t="s">
        <v>571</v>
      </c>
      <c r="W11" s="308" t="s">
        <v>1807</v>
      </c>
      <c r="X11" s="308" t="s">
        <v>769</v>
      </c>
      <c r="Y11" s="308" t="s">
        <v>272</v>
      </c>
      <c r="Z11" s="308" t="s">
        <v>273</v>
      </c>
      <c r="AA11" s="308" t="s">
        <v>273</v>
      </c>
      <c r="AB11" s="308" t="s">
        <v>273</v>
      </c>
      <c r="AC11" s="308" t="s">
        <v>273</v>
      </c>
      <c r="AD11" s="308" t="s">
        <v>284</v>
      </c>
      <c r="AE11" s="308" t="s">
        <v>1808</v>
      </c>
      <c r="AF11" s="308" t="s">
        <v>967</v>
      </c>
      <c r="AG11" s="308"/>
      <c r="AH11" s="312"/>
      <c r="AI11" s="313"/>
      <c r="AJ11" s="311"/>
    </row>
    <row r="12" ht="24.75" customHeight="1" s="5" customFormat="1">
      <c r="A12" s="315" t="s">
        <v>276</v>
      </c>
      <c r="B12" s="316" t="s">
        <v>300</v>
      </c>
      <c r="C12" s="317" t="s">
        <v>1809</v>
      </c>
      <c r="D12" s="318" t="s">
        <v>302</v>
      </c>
      <c r="E12" s="319" t="s">
        <v>1810</v>
      </c>
      <c r="F12" s="320" t="s">
        <v>1211</v>
      </c>
      <c r="G12" s="320" t="s">
        <v>1189</v>
      </c>
      <c r="H12" s="320"/>
      <c r="I12" s="320" t="s">
        <v>1811</v>
      </c>
      <c r="J12" s="320" t="s">
        <v>1038</v>
      </c>
      <c r="K12" s="320" t="s">
        <v>1038</v>
      </c>
      <c r="L12" s="320" t="s">
        <v>1781</v>
      </c>
      <c r="M12" s="321">
        <v>3200</v>
      </c>
      <c r="N12" s="320" t="s">
        <v>1038</v>
      </c>
      <c r="O12" s="320" t="s">
        <v>1038</v>
      </c>
      <c r="P12" s="320" t="s">
        <v>1784</v>
      </c>
      <c r="Q12" s="321">
        <v>4100</v>
      </c>
      <c r="R12" s="320" t="s">
        <v>1038</v>
      </c>
      <c r="S12" s="320" t="s">
        <v>1038</v>
      </c>
      <c r="T12" s="320" t="s">
        <v>1787</v>
      </c>
      <c r="U12" s="322" t="s">
        <v>64</v>
      </c>
      <c r="V12" s="320" t="s">
        <v>1812</v>
      </c>
      <c r="W12" s="320" t="s">
        <v>760</v>
      </c>
      <c r="X12" s="320" t="s">
        <v>462</v>
      </c>
      <c r="Y12" s="322" t="s">
        <v>507</v>
      </c>
      <c r="Z12" s="320" t="s">
        <v>507</v>
      </c>
      <c r="AA12" s="320" t="s">
        <v>507</v>
      </c>
      <c r="AB12" s="320" t="s">
        <v>507</v>
      </c>
      <c r="AC12" s="320" t="s">
        <v>507</v>
      </c>
      <c r="AD12" s="320" t="s">
        <v>982</v>
      </c>
      <c r="AE12" s="320" t="s">
        <v>1813</v>
      </c>
      <c r="AF12" s="320" t="s">
        <v>1814</v>
      </c>
      <c r="AG12" s="320"/>
      <c r="AH12" s="323"/>
      <c r="AI12" s="324"/>
      <c r="AJ12" s="319"/>
    </row>
    <row r="13" ht="24.75" customHeight="1" s="5" customFormat="1">
      <c r="A13" s="315" t="s">
        <v>210</v>
      </c>
      <c r="B13" s="316" t="s">
        <v>300</v>
      </c>
      <c r="C13" s="317" t="s">
        <v>1815</v>
      </c>
      <c r="D13" s="5"/>
      <c r="E13" s="319" t="s">
        <v>1816</v>
      </c>
      <c r="F13" s="320" t="s">
        <v>103</v>
      </c>
      <c r="G13" s="320" t="s">
        <v>1189</v>
      </c>
      <c r="H13" s="320"/>
      <c r="I13" s="320" t="s">
        <v>679</v>
      </c>
      <c r="J13" s="320" t="s">
        <v>1038</v>
      </c>
      <c r="K13" s="320" t="s">
        <v>1038</v>
      </c>
      <c r="L13" s="320" t="s">
        <v>1781</v>
      </c>
      <c r="M13" s="321">
        <v>2450</v>
      </c>
      <c r="N13" s="320" t="s">
        <v>1038</v>
      </c>
      <c r="O13" s="320" t="s">
        <v>1038</v>
      </c>
      <c r="P13" s="320" t="s">
        <v>1784</v>
      </c>
      <c r="Q13" s="321">
        <v>3100</v>
      </c>
      <c r="R13" s="320" t="s">
        <v>1038</v>
      </c>
      <c r="S13" s="320" t="s">
        <v>1038</v>
      </c>
      <c r="T13" s="320" t="s">
        <v>1787</v>
      </c>
      <c r="U13" s="322" t="s">
        <v>64</v>
      </c>
      <c r="V13" s="320" t="s">
        <v>1265</v>
      </c>
      <c r="W13" s="320" t="s">
        <v>1817</v>
      </c>
      <c r="X13" s="320" t="s">
        <v>210</v>
      </c>
      <c r="Y13" s="322" t="s">
        <v>507</v>
      </c>
      <c r="Z13" s="320" t="s">
        <v>507</v>
      </c>
      <c r="AA13" s="320" t="s">
        <v>507</v>
      </c>
      <c r="AB13" s="320" t="s">
        <v>507</v>
      </c>
      <c r="AC13" s="320" t="s">
        <v>507</v>
      </c>
      <c r="AD13" s="320" t="s">
        <v>284</v>
      </c>
      <c r="AE13" s="320" t="s">
        <v>1818</v>
      </c>
      <c r="AF13" s="320" t="s">
        <v>1819</v>
      </c>
      <c r="AG13" s="320"/>
      <c r="AH13" s="323"/>
      <c r="AI13" s="324"/>
      <c r="AJ13" s="319"/>
    </row>
    <row r="14" ht="24.75" customHeight="1" s="5" customFormat="1">
      <c r="A14" s="315" t="s">
        <v>181</v>
      </c>
      <c r="B14" s="316" t="s">
        <v>300</v>
      </c>
      <c r="C14" s="317" t="s">
        <v>1820</v>
      </c>
      <c r="D14" s="5"/>
      <c r="E14" s="319" t="s">
        <v>1821</v>
      </c>
      <c r="F14" s="320" t="s">
        <v>1804</v>
      </c>
      <c r="G14" s="320" t="s">
        <v>1189</v>
      </c>
      <c r="H14" s="320"/>
      <c r="I14" s="320" t="s">
        <v>1699</v>
      </c>
      <c r="J14" s="320" t="s">
        <v>1038</v>
      </c>
      <c r="K14" s="320" t="s">
        <v>1038</v>
      </c>
      <c r="L14" s="320" t="s">
        <v>1781</v>
      </c>
      <c r="M14" s="321">
        <v>2200</v>
      </c>
      <c r="N14" s="320" t="s">
        <v>1038</v>
      </c>
      <c r="O14" s="320" t="s">
        <v>1038</v>
      </c>
      <c r="P14" s="320" t="s">
        <v>1784</v>
      </c>
      <c r="Q14" s="321">
        <v>2750</v>
      </c>
      <c r="R14" s="320" t="s">
        <v>1038</v>
      </c>
      <c r="S14" s="320" t="s">
        <v>1038</v>
      </c>
      <c r="T14" s="320" t="s">
        <v>1787</v>
      </c>
      <c r="U14" s="322" t="s">
        <v>64</v>
      </c>
      <c r="V14" s="320" t="s">
        <v>748</v>
      </c>
      <c r="W14" s="320" t="s">
        <v>400</v>
      </c>
      <c r="X14" s="320" t="s">
        <v>210</v>
      </c>
      <c r="Y14" s="322" t="s">
        <v>507</v>
      </c>
      <c r="Z14" s="320" t="s">
        <v>507</v>
      </c>
      <c r="AA14" s="320" t="s">
        <v>507</v>
      </c>
      <c r="AB14" s="320" t="s">
        <v>507</v>
      </c>
      <c r="AC14" s="320" t="s">
        <v>507</v>
      </c>
      <c r="AD14" s="320" t="s">
        <v>284</v>
      </c>
      <c r="AE14" s="320" t="s">
        <v>1822</v>
      </c>
      <c r="AF14" s="320" t="s">
        <v>1823</v>
      </c>
      <c r="AG14" s="320"/>
      <c r="AH14" s="323"/>
      <c r="AI14" s="324"/>
      <c r="AJ14" s="319"/>
    </row>
    <row r="15" ht="24.75" customHeight="1" s="5" customFormat="1">
      <c r="A15" s="315" t="s">
        <v>320</v>
      </c>
      <c r="B15" s="316" t="s">
        <v>300</v>
      </c>
      <c r="C15" s="317" t="s">
        <v>1824</v>
      </c>
      <c r="D15" s="5"/>
      <c r="E15" s="319" t="s">
        <v>1825</v>
      </c>
      <c r="F15" s="320" t="s">
        <v>103</v>
      </c>
      <c r="G15" s="320" t="s">
        <v>1189</v>
      </c>
      <c r="H15" s="320"/>
      <c r="I15" s="320" t="s">
        <v>556</v>
      </c>
      <c r="J15" s="320" t="s">
        <v>1038</v>
      </c>
      <c r="K15" s="320" t="s">
        <v>1038</v>
      </c>
      <c r="L15" s="320" t="s">
        <v>1781</v>
      </c>
      <c r="M15" s="321">
        <v>2150</v>
      </c>
      <c r="N15" s="320" t="s">
        <v>1038</v>
      </c>
      <c r="O15" s="320" t="s">
        <v>1038</v>
      </c>
      <c r="P15" s="320" t="s">
        <v>1784</v>
      </c>
      <c r="Q15" s="321">
        <v>2700</v>
      </c>
      <c r="R15" s="320" t="s">
        <v>1038</v>
      </c>
      <c r="S15" s="320" t="s">
        <v>1038</v>
      </c>
      <c r="T15" s="320" t="s">
        <v>1787</v>
      </c>
      <c r="U15" s="322" t="s">
        <v>64</v>
      </c>
      <c r="V15" s="320" t="s">
        <v>563</v>
      </c>
      <c r="W15" s="320" t="s">
        <v>400</v>
      </c>
      <c r="X15" s="320" t="s">
        <v>210</v>
      </c>
      <c r="Y15" s="322" t="s">
        <v>507</v>
      </c>
      <c r="Z15" s="320" t="s">
        <v>507</v>
      </c>
      <c r="AA15" s="320" t="s">
        <v>507</v>
      </c>
      <c r="AB15" s="320" t="s">
        <v>507</v>
      </c>
      <c r="AC15" s="320" t="s">
        <v>507</v>
      </c>
      <c r="AD15" s="320" t="s">
        <v>284</v>
      </c>
      <c r="AE15" s="320" t="s">
        <v>1826</v>
      </c>
      <c r="AF15" s="320" t="s">
        <v>1819</v>
      </c>
      <c r="AG15" s="320"/>
      <c r="AH15" s="323"/>
      <c r="AI15" s="324"/>
      <c r="AJ15" s="319"/>
    </row>
    <row r="16" ht="28.5" customHeight="1" s="5" customFormat="1">
      <c r="A16" s="325" t="s">
        <v>154</v>
      </c>
      <c r="B16" s="326" t="s">
        <v>339</v>
      </c>
      <c r="C16" s="327" t="s">
        <v>1827</v>
      </c>
      <c r="D16" s="5"/>
      <c r="E16" s="325" t="s">
        <v>64</v>
      </c>
      <c r="F16" s="325" t="s">
        <v>103</v>
      </c>
      <c r="G16" s="325" t="s">
        <v>1189</v>
      </c>
      <c r="H16" s="325"/>
      <c r="I16" s="325"/>
      <c r="J16" s="325" t="s">
        <v>64</v>
      </c>
      <c r="K16" s="325" t="s">
        <v>64</v>
      </c>
      <c r="L16" s="325" t="s">
        <v>1781</v>
      </c>
      <c r="M16" s="325" t="s">
        <v>1781</v>
      </c>
      <c r="N16" s="325" t="s">
        <v>64</v>
      </c>
      <c r="O16" s="325" t="s">
        <v>64</v>
      </c>
      <c r="P16" s="325" t="s">
        <v>1784</v>
      </c>
      <c r="Q16" s="325" t="s">
        <v>1784</v>
      </c>
      <c r="R16" s="325" t="s">
        <v>64</v>
      </c>
      <c r="S16" s="325" t="s">
        <v>64</v>
      </c>
      <c r="T16" s="325" t="s">
        <v>1787</v>
      </c>
      <c r="U16" s="325" t="s">
        <v>1787</v>
      </c>
      <c r="V16" s="325" t="s">
        <v>64</v>
      </c>
      <c r="W16" s="325" t="s">
        <v>64</v>
      </c>
      <c r="X16" s="325" t="s">
        <v>462</v>
      </c>
      <c r="Y16" s="325" t="s">
        <v>462</v>
      </c>
      <c r="Z16" s="325"/>
      <c r="AA16" s="325"/>
      <c r="AB16" s="325"/>
      <c r="AC16" s="325"/>
      <c r="AD16" s="325"/>
      <c r="AE16" s="325"/>
      <c r="AF16" s="325"/>
      <c r="AG16" s="325"/>
      <c r="AH16" s="316" t="s">
        <v>339</v>
      </c>
      <c r="AI16" s="328" t="s">
        <v>1828</v>
      </c>
      <c r="AJ16" s="328" t="s">
        <v>342</v>
      </c>
    </row>
    <row r="17" ht="34.5" customHeight="1" s="5" customFormat="1">
      <c r="A17" s="329" t="s">
        <v>154</v>
      </c>
      <c r="B17" s="326" t="s">
        <v>339</v>
      </c>
      <c r="C17" s="330" t="s">
        <v>1829</v>
      </c>
      <c r="D17" s="5"/>
      <c r="E17" s="329" t="s">
        <v>64</v>
      </c>
      <c r="F17" s="329" t="s">
        <v>103</v>
      </c>
      <c r="G17" s="329" t="s">
        <v>1189</v>
      </c>
      <c r="H17" s="329"/>
      <c r="I17" s="329"/>
      <c r="J17" s="329"/>
      <c r="K17" s="329"/>
      <c r="L17" s="329"/>
      <c r="M17" s="331">
        <v>2500</v>
      </c>
      <c r="N17" s="329"/>
      <c r="O17" s="329"/>
      <c r="P17" s="329"/>
      <c r="Q17" s="331">
        <v>3162</v>
      </c>
      <c r="R17" s="329"/>
      <c r="S17" s="329"/>
      <c r="T17" s="329"/>
      <c r="U17" s="331"/>
      <c r="V17" s="329"/>
      <c r="W17" s="329"/>
      <c r="X17" s="329"/>
      <c r="Y17" s="331"/>
      <c r="Z17" s="329"/>
      <c r="AA17" s="329"/>
      <c r="AB17" s="329"/>
      <c r="AC17" s="329"/>
      <c r="AD17" s="329"/>
      <c r="AE17" s="329"/>
      <c r="AF17" s="329"/>
      <c r="AG17" s="329"/>
      <c r="AH17" s="316" t="s">
        <v>339</v>
      </c>
      <c r="AI17" s="332" t="s">
        <v>1061</v>
      </c>
      <c r="AJ17" s="332" t="s">
        <v>1062</v>
      </c>
    </row>
    <row r="19" ht="14.25" customHeight="1" s="5" customFormat="1">
      <c r="A19" s="333" t="s">
        <v>1063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1" ht="18" customHeight="1" s="5" customFormat="1">
      <c r="A21" s="334" t="s">
        <v>349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</row>
    <row r="22" ht="15.75" customHeight="1" s="5" customFormat="1">
      <c r="A22" s="335" t="s">
        <v>1064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  <row r="23" ht="15.75" customHeight="1" s="5" customFormat="1">
      <c r="A23" s="5"/>
      <c r="B23" s="336" t="s">
        <v>351</v>
      </c>
      <c r="C23" s="336" t="s">
        <v>352</v>
      </c>
      <c r="D23" s="5"/>
      <c r="E23" s="336" t="s">
        <v>353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 ht="20.25" customHeight="1" s="5" customFormat="1">
      <c r="A24" s="337" t="s">
        <v>160</v>
      </c>
      <c r="B24" s="338">
        <f>'Current Rents'!D40</f>
        <v>3374</v>
      </c>
      <c r="C24" s="339">
        <v>2500</v>
      </c>
      <c r="D24" s="5"/>
      <c r="E24" s="340">
        <f t="shared" si="0" ref="E24:E27">B24-C24</f>
        <v>874</v>
      </c>
      <c r="F24" s="161" t="str">
        <f>IF(E24&lt;-75,"LOOK INTO INCREASING THE RENT!","")</f>
        <v/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</row>
    <row r="25" ht="20.25" customHeight="1" s="5" customFormat="1">
      <c r="A25" s="337" t="s">
        <v>151</v>
      </c>
      <c r="B25" s="338">
        <f>'Current Rents'!E40</f>
        <v>3979</v>
      </c>
      <c r="C25" s="339">
        <v>3162</v>
      </c>
      <c r="D25" s="5"/>
      <c r="E25" s="340">
        <f t="shared" si="0"/>
        <v>817</v>
      </c>
      <c r="F25" s="161" t="str">
        <f>IF(E25&lt;-75,"LOOK INTO INCREASING THE RENT!","")</f>
        <v/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</row>
    <row r="26" ht="20.25" customHeight="1" s="5" customFormat="1">
      <c r="A26" s="337" t="s">
        <v>152</v>
      </c>
      <c r="B26" s="338">
        <f>'Current Rents'!F40</f>
        <v>4973</v>
      </c>
      <c r="C26" s="339">
        <v>0</v>
      </c>
      <c r="D26" s="5"/>
      <c r="E26" s="340">
        <f t="shared" si="0"/>
        <v>4973</v>
      </c>
      <c r="F26" s="161" t="str">
        <f>IF(E26&lt;-75,"LOOK INTO INCREASING THE RENT!","")</f>
        <v/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</row>
    <row r="27" ht="20.25" customHeight="1" s="5" customFormat="1">
      <c r="A27" s="337" t="s">
        <v>155</v>
      </c>
      <c r="B27" s="338" t="str">
        <f>'Current Rents'!G40</f>
        <v>—</v>
      </c>
      <c r="C27" s="339">
        <v>0</v>
      </c>
      <c r="D27" s="5"/>
      <c r="E27" s="340" t="e">
        <f t="shared" si="0"/>
        <v>#VALUE!</v>
      </c>
      <c r="F27" s="161" t="e">
        <f>IF(E27&lt;-75,"LOOK INTO INCREASING THE RENT!","")</f>
        <v>#VALUE!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</row>
  </sheetData>
  <mergeCells>
    <mergeCell ref="A3:AG3"/>
    <mergeCell ref="C8:D8"/>
    <mergeCell ref="C9:D9"/>
    <mergeCell ref="AH3:AJ3"/>
    <mergeCell ref="A19:AJ19"/>
    <mergeCell ref="C17:D17"/>
    <mergeCell ref="A22:H22"/>
    <mergeCell ref="A5:AJ5"/>
    <mergeCell ref="C23:D23"/>
    <mergeCell ref="C7:D7"/>
    <mergeCell ref="A6:AJ6"/>
    <mergeCell ref="C16:D16"/>
    <mergeCell ref="A21:H21"/>
    <mergeCell ref="A4:AJ4"/>
    <mergeCell ref="C11:D11"/>
    <mergeCell ref="D12:D15"/>
    <mergeCell ref="C10:D10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978E94C-9036-E25F-01EF-9548D3F7BDE8}" mc:Ignorable="x14ac xr xr2 xr3">
  <dimension ref="A1:X25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style="5" width="9.00390625" customWidth="1"/>
    <col min="2" max="2" style="5" width="18.57421875" customWidth="1"/>
    <col min="3" max="3" style="5" width="42.00390625" customWidth="1"/>
    <col min="4" max="4" style="5" width="4.7109375" customWidth="1"/>
    <col min="5" max="5" style="5" width="31.00390625" customWidth="1"/>
    <col min="6" max="6" style="5" width="14.28125" customWidth="1"/>
    <col min="7" max="7" style="5" width="9.28125" customWidth="1"/>
    <col min="8" max="9" style="5" width="13.00390625" customWidth="1"/>
    <col min="10" max="10" style="5" width="7.00390625" hidden="1" customWidth="1"/>
    <col min="11" max="11" style="5" width="13.00390625" customWidth="1"/>
    <col min="12" max="12" style="5" width="5.28125" hidden="1" customWidth="1"/>
    <col min="13" max="13" style="5" width="16.7109375" customWidth="1"/>
    <col min="14" max="14" style="5" width="9.421875" customWidth="1"/>
    <col min="15" max="21" style="5" width="13.00390625" customWidth="1"/>
    <col min="22" max="22" style="5" width="24.57421875" customWidth="1"/>
    <col min="23" max="23" style="5" width="55.7109375" customWidth="1"/>
    <col min="24" max="24" style="5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36" customHeight="1" s="5" customFormat="1">
      <c r="A3" s="295" t="s">
        <v>1830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296" t="s">
        <v>1831</v>
      </c>
      <c r="W3" s="5"/>
      <c r="X3" s="5"/>
    </row>
    <row r="4" ht="18" customHeight="1" s="5" customFormat="1">
      <c r="A4" s="297" t="s">
        <v>1832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14.25" customHeight="1" s="5" customFormat="1">
      <c r="A5" s="298" t="s">
        <v>1012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25.5" customHeight="1" s="5" customFormat="1">
      <c r="A6" s="299" t="s">
        <v>1013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25.5" customHeight="1" s="5" customFormat="1">
      <c r="A7" s="300" t="s">
        <v>233</v>
      </c>
      <c r="B7" s="300" t="s">
        <v>234</v>
      </c>
      <c r="C7" s="300" t="s">
        <v>3</v>
      </c>
      <c r="D7" s="5"/>
      <c r="E7" s="300" t="s">
        <v>235</v>
      </c>
      <c r="F7" s="300" t="s">
        <v>236</v>
      </c>
      <c r="G7" s="300" t="s">
        <v>237</v>
      </c>
      <c r="H7" s="300" t="s">
        <v>238</v>
      </c>
      <c r="I7" s="300" t="s">
        <v>239</v>
      </c>
      <c r="J7" s="300" t="s">
        <v>444</v>
      </c>
      <c r="K7" s="300" t="s">
        <v>445</v>
      </c>
      <c r="L7" s="300" t="s">
        <v>446</v>
      </c>
      <c r="M7" s="301" t="s">
        <v>447</v>
      </c>
      <c r="N7" s="300" t="s">
        <v>6</v>
      </c>
      <c r="O7" s="300" t="s">
        <v>248</v>
      </c>
      <c r="P7" s="300" t="s">
        <v>249</v>
      </c>
      <c r="Q7" s="300" t="s">
        <v>250</v>
      </c>
      <c r="R7" s="300" t="s">
        <v>251</v>
      </c>
      <c r="S7" s="300" t="s">
        <v>252</v>
      </c>
      <c r="T7" s="300" t="s">
        <v>253</v>
      </c>
      <c r="U7" s="300" t="s">
        <v>254</v>
      </c>
      <c r="V7" s="301" t="s">
        <v>255</v>
      </c>
      <c r="W7" s="300" t="s">
        <v>256</v>
      </c>
      <c r="X7" s="300" t="s">
        <v>257</v>
      </c>
    </row>
    <row r="8" ht="21.75" customHeight="1" s="5" customFormat="1">
      <c r="A8" s="302" t="s">
        <v>258</v>
      </c>
      <c r="B8" s="303" t="s">
        <v>259</v>
      </c>
      <c r="C8" s="304" t="s">
        <v>1833</v>
      </c>
      <c r="D8" s="5"/>
      <c r="E8" s="304" t="s">
        <v>1834</v>
      </c>
      <c r="F8" s="305" t="s">
        <v>1211</v>
      </c>
      <c r="G8" s="305" t="s">
        <v>1189</v>
      </c>
      <c r="H8" s="305" t="s">
        <v>1835</v>
      </c>
      <c r="I8" s="305" t="s">
        <v>265</v>
      </c>
      <c r="J8" s="305" t="s">
        <v>1191</v>
      </c>
      <c r="K8" s="305" t="s">
        <v>1192</v>
      </c>
      <c r="L8" s="305" t="s">
        <v>453</v>
      </c>
      <c r="M8" s="306">
        <f>'Current Rents'!D41</f>
        <v>2908</v>
      </c>
      <c r="N8" s="305" t="s">
        <v>178</v>
      </c>
      <c r="O8" s="305" t="s">
        <v>775</v>
      </c>
      <c r="P8" s="305">
        <v>0</v>
      </c>
      <c r="Q8" s="305" t="s">
        <v>272</v>
      </c>
      <c r="R8" s="305" t="s">
        <v>273</v>
      </c>
      <c r="S8" s="305" t="s">
        <v>273</v>
      </c>
      <c r="T8" s="305" t="s">
        <v>273</v>
      </c>
      <c r="U8" s="305" t="s">
        <v>273</v>
      </c>
      <c r="V8" s="303" t="s">
        <v>259</v>
      </c>
      <c r="W8" s="307" t="s">
        <v>1836</v>
      </c>
      <c r="X8" s="304" t="s">
        <v>275</v>
      </c>
    </row>
    <row r="9" ht="21.75" customHeight="1" s="5" customFormat="1">
      <c r="A9" s="308" t="s">
        <v>276</v>
      </c>
      <c r="B9" s="309" t="s">
        <v>277</v>
      </c>
      <c r="C9" s="310" t="s">
        <v>1837</v>
      </c>
      <c r="D9" s="5"/>
      <c r="E9" s="311" t="s">
        <v>1838</v>
      </c>
      <c r="F9" s="308" t="s">
        <v>1211</v>
      </c>
      <c r="G9" s="308" t="s">
        <v>1189</v>
      </c>
      <c r="H9" s="308" t="s">
        <v>1839</v>
      </c>
      <c r="I9" s="308" t="s">
        <v>311</v>
      </c>
      <c r="J9" s="308" t="s">
        <v>1191</v>
      </c>
      <c r="K9" s="308" t="s">
        <v>1192</v>
      </c>
      <c r="L9" s="308" t="s">
        <v>453</v>
      </c>
      <c r="M9" s="308" t="s">
        <v>283</v>
      </c>
      <c r="N9" s="308" t="s">
        <v>223</v>
      </c>
      <c r="O9" s="308" t="s">
        <v>775</v>
      </c>
      <c r="P9" s="308" t="s">
        <v>462</v>
      </c>
      <c r="Q9" s="308" t="s">
        <v>272</v>
      </c>
      <c r="R9" s="308" t="s">
        <v>273</v>
      </c>
      <c r="S9" s="308" t="s">
        <v>273</v>
      </c>
      <c r="T9" s="308" t="s">
        <v>273</v>
      </c>
      <c r="U9" s="308" t="s">
        <v>273</v>
      </c>
      <c r="V9" s="312" t="s">
        <v>284</v>
      </c>
      <c r="W9" s="313" t="s">
        <v>1840</v>
      </c>
      <c r="X9" s="311" t="s">
        <v>286</v>
      </c>
    </row>
    <row r="10" ht="21.75" customHeight="1" s="5" customFormat="1">
      <c r="A10" s="308" t="s">
        <v>210</v>
      </c>
      <c r="B10" s="309" t="s">
        <v>277</v>
      </c>
      <c r="C10" s="310" t="s">
        <v>1841</v>
      </c>
      <c r="D10" s="5"/>
      <c r="E10" s="311" t="s">
        <v>1842</v>
      </c>
      <c r="F10" s="308" t="s">
        <v>1211</v>
      </c>
      <c r="G10" s="308" t="s">
        <v>1189</v>
      </c>
      <c r="H10" s="308" t="s">
        <v>1843</v>
      </c>
      <c r="I10" s="308" t="s">
        <v>1570</v>
      </c>
      <c r="J10" s="308" t="s">
        <v>1191</v>
      </c>
      <c r="K10" s="308" t="s">
        <v>1192</v>
      </c>
      <c r="L10" s="308" t="s">
        <v>453</v>
      </c>
      <c r="M10" s="308" t="s">
        <v>283</v>
      </c>
      <c r="N10" s="308" t="s">
        <v>196</v>
      </c>
      <c r="O10" s="308" t="s">
        <v>482</v>
      </c>
      <c r="P10" s="308" t="s">
        <v>210</v>
      </c>
      <c r="Q10" s="308" t="s">
        <v>272</v>
      </c>
      <c r="R10" s="308" t="s">
        <v>273</v>
      </c>
      <c r="S10" s="308" t="s">
        <v>273</v>
      </c>
      <c r="T10" s="308" t="s">
        <v>273</v>
      </c>
      <c r="U10" s="308" t="s">
        <v>273</v>
      </c>
      <c r="V10" s="312" t="s">
        <v>284</v>
      </c>
      <c r="W10" s="313" t="s">
        <v>1844</v>
      </c>
      <c r="X10" s="311" t="s">
        <v>286</v>
      </c>
    </row>
    <row r="11" ht="21.75" customHeight="1" s="5" customFormat="1">
      <c r="A11" s="308" t="s">
        <v>181</v>
      </c>
      <c r="B11" s="309" t="s">
        <v>277</v>
      </c>
      <c r="C11" s="310" t="s">
        <v>1845</v>
      </c>
      <c r="D11" s="5"/>
      <c r="E11" s="311" t="s">
        <v>1846</v>
      </c>
      <c r="F11" s="308" t="s">
        <v>1211</v>
      </c>
      <c r="G11" s="308" t="s">
        <v>1189</v>
      </c>
      <c r="H11" s="308" t="s">
        <v>1847</v>
      </c>
      <c r="I11" s="308" t="s">
        <v>1757</v>
      </c>
      <c r="J11" s="308" t="s">
        <v>1191</v>
      </c>
      <c r="K11" s="308" t="s">
        <v>1192</v>
      </c>
      <c r="L11" s="308" t="s">
        <v>453</v>
      </c>
      <c r="M11" s="308" t="s">
        <v>283</v>
      </c>
      <c r="N11" s="308" t="s">
        <v>164</v>
      </c>
      <c r="O11" s="308" t="s">
        <v>1848</v>
      </c>
      <c r="P11" s="308" t="s">
        <v>276</v>
      </c>
      <c r="Q11" s="308" t="s">
        <v>272</v>
      </c>
      <c r="R11" s="308" t="s">
        <v>273</v>
      </c>
      <c r="S11" s="308" t="s">
        <v>273</v>
      </c>
      <c r="T11" s="308" t="s">
        <v>273</v>
      </c>
      <c r="U11" s="308" t="s">
        <v>273</v>
      </c>
      <c r="V11" s="312" t="s">
        <v>284</v>
      </c>
      <c r="W11" s="313" t="s">
        <v>1849</v>
      </c>
      <c r="X11" s="311" t="s">
        <v>286</v>
      </c>
    </row>
    <row r="12" ht="21.75" customHeight="1" s="5" customFormat="1">
      <c r="A12" s="308" t="s">
        <v>320</v>
      </c>
      <c r="B12" s="309" t="s">
        <v>277</v>
      </c>
      <c r="C12" s="310" t="s">
        <v>1850</v>
      </c>
      <c r="D12" s="5"/>
      <c r="E12" s="311" t="s">
        <v>1851</v>
      </c>
      <c r="F12" s="308" t="s">
        <v>1211</v>
      </c>
      <c r="G12" s="308" t="s">
        <v>1189</v>
      </c>
      <c r="H12" s="308" t="s">
        <v>1852</v>
      </c>
      <c r="I12" s="308" t="s">
        <v>323</v>
      </c>
      <c r="J12" s="308" t="s">
        <v>1191</v>
      </c>
      <c r="K12" s="308" t="s">
        <v>1192</v>
      </c>
      <c r="L12" s="308" t="s">
        <v>453</v>
      </c>
      <c r="M12" s="308" t="s">
        <v>283</v>
      </c>
      <c r="N12" s="308" t="s">
        <v>185</v>
      </c>
      <c r="O12" s="308" t="s">
        <v>775</v>
      </c>
      <c r="P12" s="308" t="s">
        <v>462</v>
      </c>
      <c r="Q12" s="308" t="s">
        <v>272</v>
      </c>
      <c r="R12" s="308" t="s">
        <v>273</v>
      </c>
      <c r="S12" s="308" t="s">
        <v>273</v>
      </c>
      <c r="T12" s="308" t="s">
        <v>273</v>
      </c>
      <c r="U12" s="308" t="s">
        <v>273</v>
      </c>
      <c r="V12" s="312" t="s">
        <v>284</v>
      </c>
      <c r="W12" s="313" t="s">
        <v>1853</v>
      </c>
      <c r="X12" s="311" t="s">
        <v>286</v>
      </c>
    </row>
    <row r="13" ht="24.75" customHeight="1" s="5" customFormat="1">
      <c r="A13" s="315" t="s">
        <v>276</v>
      </c>
      <c r="B13" s="316" t="s">
        <v>300</v>
      </c>
      <c r="C13" s="317" t="s">
        <v>1854</v>
      </c>
      <c r="D13" s="318" t="s">
        <v>302</v>
      </c>
      <c r="E13" s="319" t="s">
        <v>1855</v>
      </c>
      <c r="F13" s="320" t="s">
        <v>1211</v>
      </c>
      <c r="G13" s="320" t="s">
        <v>1189</v>
      </c>
      <c r="H13" s="320"/>
      <c r="I13" s="320" t="s">
        <v>305</v>
      </c>
      <c r="J13" s="320" t="s">
        <v>1038</v>
      </c>
      <c r="K13" s="320" t="s">
        <v>1038</v>
      </c>
      <c r="L13" s="320" t="s">
        <v>453</v>
      </c>
      <c r="M13" s="321">
        <v>3117</v>
      </c>
      <c r="N13" s="320" t="s">
        <v>191</v>
      </c>
      <c r="O13" s="320" t="s">
        <v>775</v>
      </c>
      <c r="P13" s="320" t="s">
        <v>462</v>
      </c>
      <c r="Q13" s="320" t="s">
        <v>507</v>
      </c>
      <c r="R13" s="320" t="s">
        <v>507</v>
      </c>
      <c r="S13" s="320" t="s">
        <v>507</v>
      </c>
      <c r="T13" s="320" t="s">
        <v>507</v>
      </c>
      <c r="U13" s="320" t="s">
        <v>507</v>
      </c>
      <c r="V13" s="323" t="s">
        <v>284</v>
      </c>
      <c r="W13" s="324" t="s">
        <v>1856</v>
      </c>
      <c r="X13" s="319" t="s">
        <v>1857</v>
      </c>
    </row>
    <row r="14" ht="24.75" customHeight="1" s="5" customFormat="1">
      <c r="A14" s="315" t="s">
        <v>210</v>
      </c>
      <c r="B14" s="316" t="s">
        <v>300</v>
      </c>
      <c r="C14" s="317" t="s">
        <v>1858</v>
      </c>
      <c r="D14" s="5"/>
      <c r="E14" s="319" t="s">
        <v>1859</v>
      </c>
      <c r="F14" s="320" t="s">
        <v>1211</v>
      </c>
      <c r="G14" s="320" t="s">
        <v>1189</v>
      </c>
      <c r="H14" s="320"/>
      <c r="I14" s="320" t="s">
        <v>598</v>
      </c>
      <c r="J14" s="320" t="s">
        <v>1038</v>
      </c>
      <c r="K14" s="320" t="s">
        <v>1038</v>
      </c>
      <c r="L14" s="320" t="s">
        <v>453</v>
      </c>
      <c r="M14" s="321">
        <v>3053</v>
      </c>
      <c r="N14" s="320" t="s">
        <v>221</v>
      </c>
      <c r="O14" s="320" t="s">
        <v>1860</v>
      </c>
      <c r="P14" s="320" t="s">
        <v>181</v>
      </c>
      <c r="Q14" s="320" t="s">
        <v>507</v>
      </c>
      <c r="R14" s="320" t="s">
        <v>507</v>
      </c>
      <c r="S14" s="320" t="s">
        <v>507</v>
      </c>
      <c r="T14" s="320" t="s">
        <v>507</v>
      </c>
      <c r="U14" s="320" t="s">
        <v>507</v>
      </c>
      <c r="V14" s="323" t="s">
        <v>284</v>
      </c>
      <c r="W14" s="324" t="s">
        <v>1861</v>
      </c>
      <c r="X14" s="319" t="s">
        <v>1862</v>
      </c>
    </row>
    <row r="15" ht="24.75" customHeight="1" s="5" customFormat="1">
      <c r="A15" s="315" t="s">
        <v>181</v>
      </c>
      <c r="B15" s="316" t="s">
        <v>300</v>
      </c>
      <c r="C15" s="317" t="s">
        <v>1863</v>
      </c>
      <c r="D15" s="5"/>
      <c r="E15" s="319" t="s">
        <v>1864</v>
      </c>
      <c r="F15" s="320" t="s">
        <v>1211</v>
      </c>
      <c r="G15" s="320" t="s">
        <v>1189</v>
      </c>
      <c r="H15" s="320"/>
      <c r="I15" s="320" t="s">
        <v>323</v>
      </c>
      <c r="J15" s="320" t="s">
        <v>1038</v>
      </c>
      <c r="K15" s="320" t="s">
        <v>1038</v>
      </c>
      <c r="L15" s="320" t="s">
        <v>453</v>
      </c>
      <c r="M15" s="321">
        <v>3216</v>
      </c>
      <c r="N15" s="320" t="s">
        <v>223</v>
      </c>
      <c r="O15" s="320" t="s">
        <v>461</v>
      </c>
      <c r="P15" s="320" t="s">
        <v>181</v>
      </c>
      <c r="Q15" s="320" t="s">
        <v>507</v>
      </c>
      <c r="R15" s="320" t="s">
        <v>507</v>
      </c>
      <c r="S15" s="320" t="s">
        <v>507</v>
      </c>
      <c r="T15" s="320" t="s">
        <v>507</v>
      </c>
      <c r="U15" s="320" t="s">
        <v>507</v>
      </c>
      <c r="V15" s="323" t="s">
        <v>284</v>
      </c>
      <c r="W15" s="324" t="s">
        <v>1865</v>
      </c>
      <c r="X15" s="319" t="s">
        <v>1857</v>
      </c>
    </row>
    <row r="16" ht="24.75" customHeight="1" s="5" customFormat="1">
      <c r="A16" s="315" t="s">
        <v>320</v>
      </c>
      <c r="B16" s="316" t="s">
        <v>300</v>
      </c>
      <c r="C16" s="317" t="s">
        <v>1866</v>
      </c>
      <c r="D16" s="5"/>
      <c r="E16" s="319" t="s">
        <v>1867</v>
      </c>
      <c r="F16" s="320" t="s">
        <v>1211</v>
      </c>
      <c r="G16" s="320" t="s">
        <v>1189</v>
      </c>
      <c r="H16" s="320"/>
      <c r="I16" s="320" t="s">
        <v>376</v>
      </c>
      <c r="J16" s="320" t="s">
        <v>1038</v>
      </c>
      <c r="K16" s="320" t="s">
        <v>1038</v>
      </c>
      <c r="L16" s="320" t="s">
        <v>453</v>
      </c>
      <c r="M16" s="321">
        <v>3085</v>
      </c>
      <c r="N16" s="320" t="s">
        <v>494</v>
      </c>
      <c r="O16" s="320" t="s">
        <v>1868</v>
      </c>
      <c r="P16" s="320" t="s">
        <v>210</v>
      </c>
      <c r="Q16" s="320" t="s">
        <v>507</v>
      </c>
      <c r="R16" s="320" t="s">
        <v>507</v>
      </c>
      <c r="S16" s="320" t="s">
        <v>507</v>
      </c>
      <c r="T16" s="320" t="s">
        <v>507</v>
      </c>
      <c r="U16" s="320" t="s">
        <v>507</v>
      </c>
      <c r="V16" s="323" t="s">
        <v>284</v>
      </c>
      <c r="W16" s="324" t="s">
        <v>1869</v>
      </c>
      <c r="X16" s="319" t="s">
        <v>1857</v>
      </c>
    </row>
    <row r="17" ht="28.5" customHeight="1" s="5" customFormat="1">
      <c r="A17" s="325" t="s">
        <v>154</v>
      </c>
      <c r="B17" s="326" t="s">
        <v>339</v>
      </c>
      <c r="C17" s="327" t="s">
        <v>1870</v>
      </c>
      <c r="D17" s="5"/>
      <c r="E17" s="325" t="s">
        <v>64</v>
      </c>
      <c r="F17" s="325" t="s">
        <v>1211</v>
      </c>
      <c r="G17" s="325" t="s">
        <v>1189</v>
      </c>
      <c r="H17" s="325"/>
      <c r="I17" s="325"/>
      <c r="J17" s="325" t="s">
        <v>64</v>
      </c>
      <c r="K17" s="325" t="s">
        <v>64</v>
      </c>
      <c r="L17" s="325" t="s">
        <v>453</v>
      </c>
      <c r="M17" s="325" t="s">
        <v>453</v>
      </c>
      <c r="N17" s="325"/>
      <c r="O17" s="325"/>
      <c r="P17" s="325"/>
      <c r="Q17" s="325"/>
      <c r="R17" s="325"/>
      <c r="S17" s="325"/>
      <c r="T17" s="325"/>
      <c r="U17" s="325"/>
      <c r="V17" s="316" t="s">
        <v>339</v>
      </c>
      <c r="W17" s="328" t="s">
        <v>1871</v>
      </c>
      <c r="X17" s="328" t="s">
        <v>342</v>
      </c>
    </row>
    <row r="18" ht="34.5" customHeight="1" s="5" customFormat="1">
      <c r="A18" s="329" t="s">
        <v>154</v>
      </c>
      <c r="B18" s="326" t="s">
        <v>339</v>
      </c>
      <c r="C18" s="330" t="s">
        <v>1872</v>
      </c>
      <c r="D18" s="5"/>
      <c r="E18" s="329" t="s">
        <v>64</v>
      </c>
      <c r="F18" s="329" t="s">
        <v>1211</v>
      </c>
      <c r="G18" s="329" t="s">
        <v>1189</v>
      </c>
      <c r="H18" s="329"/>
      <c r="I18" s="329"/>
      <c r="J18" s="329"/>
      <c r="K18" s="329"/>
      <c r="L18" s="329"/>
      <c r="M18" s="331">
        <v>3118</v>
      </c>
      <c r="N18" s="329"/>
      <c r="O18" s="329"/>
      <c r="P18" s="329"/>
      <c r="Q18" s="329"/>
      <c r="R18" s="329"/>
      <c r="S18" s="329"/>
      <c r="T18" s="329"/>
      <c r="U18" s="329"/>
      <c r="V18" s="316" t="s">
        <v>339</v>
      </c>
      <c r="W18" s="332" t="s">
        <v>1061</v>
      </c>
      <c r="X18" s="332" t="s">
        <v>1062</v>
      </c>
    </row>
    <row r="20" ht="14.25" customHeight="1" s="5" customFormat="1">
      <c r="A20" s="333" t="s">
        <v>1063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2" ht="18" customHeight="1" s="5" customFormat="1">
      <c r="A22" s="334" t="s">
        <v>349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15.75" customHeight="1" s="5" customFormat="1">
      <c r="A23" s="335" t="s">
        <v>1064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15.75" customHeight="1" s="5" customFormat="1">
      <c r="A24" s="5"/>
      <c r="B24" s="336" t="s">
        <v>351</v>
      </c>
      <c r="C24" s="336" t="s">
        <v>352</v>
      </c>
      <c r="D24" s="5"/>
      <c r="E24" s="336" t="s">
        <v>353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20.25" customHeight="1" s="5" customFormat="1">
      <c r="A25" s="337" t="s">
        <v>160</v>
      </c>
      <c r="B25" s="338">
        <f>'Current Rents'!D41</f>
        <v>2908</v>
      </c>
      <c r="C25" s="339">
        <v>3118</v>
      </c>
      <c r="D25" s="5"/>
      <c r="E25" s="340">
        <f>B25-C25</f>
        <v>-210</v>
      </c>
      <c r="F25" s="161" t="str">
        <f>IF(E25&lt;-75,"LOOK INTO INCREASING THE RENT!","")</f>
        <v>LOOK INTO INCREASING THE RENT!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</sheetData>
  <mergeCells>
    <mergeCell ref="A5:X5"/>
    <mergeCell ref="A23:H23"/>
    <mergeCell ref="C8:D8"/>
    <mergeCell ref="C9:D9"/>
    <mergeCell ref="A6:X6"/>
    <mergeCell ref="C12:D12"/>
    <mergeCell ref="C17:D17"/>
    <mergeCell ref="C18:D18"/>
    <mergeCell ref="A4:X4"/>
    <mergeCell ref="A22:H22"/>
    <mergeCell ref="C7:D7"/>
    <mergeCell ref="C24:D24"/>
    <mergeCell ref="C11:D11"/>
    <mergeCell ref="A3:U3"/>
    <mergeCell ref="D13:D16"/>
    <mergeCell ref="C10:D10"/>
    <mergeCell ref="V3:X3"/>
    <mergeCell ref="A20:X20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DC1BDF8-16F2-EF4A-6BA8-B247930CB168}" mc:Ignorable="x14ac xr xr2 xr3">
  <dimension ref="A1:X25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style="5" width="9.00390625" customWidth="1"/>
    <col min="2" max="2" style="5" width="18.57421875" customWidth="1"/>
    <col min="3" max="3" style="5" width="42.00390625" customWidth="1"/>
    <col min="4" max="4" style="5" width="4.7109375" customWidth="1"/>
    <col min="5" max="5" style="5" width="31.00390625" customWidth="1"/>
    <col min="6" max="6" style="5" width="14.28125" customWidth="1"/>
    <col min="7" max="7" style="5" width="9.28125" customWidth="1"/>
    <col min="8" max="9" style="5" width="13.00390625" customWidth="1"/>
    <col min="10" max="10" style="5" width="7.00390625" hidden="1" customWidth="1"/>
    <col min="11" max="11" style="5" width="13.00390625" customWidth="1"/>
    <col min="12" max="12" style="5" width="5.28125" hidden="1" customWidth="1"/>
    <col min="13" max="13" style="5" width="16.7109375" customWidth="1"/>
    <col min="14" max="14" style="5" width="9.421875" customWidth="1"/>
    <col min="15" max="21" style="5" width="13.00390625" customWidth="1"/>
    <col min="22" max="22" style="5" width="24.57421875" customWidth="1"/>
    <col min="23" max="23" style="5" width="55.7109375" customWidth="1"/>
    <col min="24" max="24" style="5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36" customHeight="1" s="5" customFormat="1">
      <c r="A3" s="295" t="s">
        <v>1873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296" t="s">
        <v>1874</v>
      </c>
      <c r="W3" s="5"/>
      <c r="X3" s="5"/>
    </row>
    <row r="4" ht="18" customHeight="1" s="5" customFormat="1">
      <c r="A4" s="297" t="s">
        <v>1875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14.25" customHeight="1" s="5" customFormat="1">
      <c r="A5" s="298" t="s">
        <v>1012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25.5" customHeight="1" s="5" customFormat="1">
      <c r="A6" s="299" t="s">
        <v>1013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25.5" customHeight="1" s="5" customFormat="1">
      <c r="A7" s="300" t="s">
        <v>233</v>
      </c>
      <c r="B7" s="300" t="s">
        <v>234</v>
      </c>
      <c r="C7" s="300" t="s">
        <v>3</v>
      </c>
      <c r="D7" s="5"/>
      <c r="E7" s="300" t="s">
        <v>235</v>
      </c>
      <c r="F7" s="300" t="s">
        <v>236</v>
      </c>
      <c r="G7" s="300" t="s">
        <v>237</v>
      </c>
      <c r="H7" s="300" t="s">
        <v>238</v>
      </c>
      <c r="I7" s="300" t="s">
        <v>239</v>
      </c>
      <c r="J7" s="300" t="s">
        <v>240</v>
      </c>
      <c r="K7" s="300" t="s">
        <v>241</v>
      </c>
      <c r="L7" s="300" t="s">
        <v>242</v>
      </c>
      <c r="M7" s="301" t="s">
        <v>360</v>
      </c>
      <c r="N7" s="300" t="s">
        <v>6</v>
      </c>
      <c r="O7" s="300" t="s">
        <v>248</v>
      </c>
      <c r="P7" s="300" t="s">
        <v>249</v>
      </c>
      <c r="Q7" s="300" t="s">
        <v>250</v>
      </c>
      <c r="R7" s="300" t="s">
        <v>251</v>
      </c>
      <c r="S7" s="300" t="s">
        <v>252</v>
      </c>
      <c r="T7" s="300" t="s">
        <v>253</v>
      </c>
      <c r="U7" s="300" t="s">
        <v>254</v>
      </c>
      <c r="V7" s="301" t="s">
        <v>255</v>
      </c>
      <c r="W7" s="300" t="s">
        <v>256</v>
      </c>
      <c r="X7" s="300" t="s">
        <v>257</v>
      </c>
    </row>
    <row r="8" ht="21.75" customHeight="1" s="5" customFormat="1">
      <c r="A8" s="302" t="s">
        <v>258</v>
      </c>
      <c r="B8" s="303" t="s">
        <v>259</v>
      </c>
      <c r="C8" s="304" t="s">
        <v>1876</v>
      </c>
      <c r="D8" s="5"/>
      <c r="E8" s="304" t="s">
        <v>1211</v>
      </c>
      <c r="F8" s="305" t="s">
        <v>1211</v>
      </c>
      <c r="G8" s="305" t="s">
        <v>1189</v>
      </c>
      <c r="H8" s="305" t="s">
        <v>1835</v>
      </c>
      <c r="I8" s="305" t="s">
        <v>265</v>
      </c>
      <c r="J8" s="305" t="s">
        <v>1193</v>
      </c>
      <c r="K8" s="305" t="s">
        <v>1194</v>
      </c>
      <c r="L8" s="305" t="s">
        <v>456</v>
      </c>
      <c r="M8" s="306">
        <f>'Current Rents'!E42</f>
        <v>1842</v>
      </c>
      <c r="N8" s="305" t="s">
        <v>180</v>
      </c>
      <c r="O8" s="305" t="s">
        <v>407</v>
      </c>
      <c r="P8" s="305">
        <v>0</v>
      </c>
      <c r="Q8" s="305" t="s">
        <v>897</v>
      </c>
      <c r="R8" s="305" t="s">
        <v>273</v>
      </c>
      <c r="S8" s="305" t="s">
        <v>273</v>
      </c>
      <c r="T8" s="305" t="s">
        <v>273</v>
      </c>
      <c r="U8" s="305" t="s">
        <v>273</v>
      </c>
      <c r="V8" s="303" t="s">
        <v>259</v>
      </c>
      <c r="W8" s="307" t="s">
        <v>1877</v>
      </c>
      <c r="X8" s="304" t="s">
        <v>275</v>
      </c>
    </row>
    <row r="9" ht="21.75" customHeight="1" s="5" customFormat="1">
      <c r="A9" s="308" t="s">
        <v>276</v>
      </c>
      <c r="B9" s="309" t="s">
        <v>277</v>
      </c>
      <c r="C9" s="310" t="s">
        <v>1878</v>
      </c>
      <c r="D9" s="5"/>
      <c r="E9" s="311" t="s">
        <v>1879</v>
      </c>
      <c r="F9" s="308" t="s">
        <v>1211</v>
      </c>
      <c r="G9" s="308" t="s">
        <v>1189</v>
      </c>
      <c r="H9" s="308" t="s">
        <v>1880</v>
      </c>
      <c r="I9" s="308" t="s">
        <v>556</v>
      </c>
      <c r="J9" s="308" t="s">
        <v>1193</v>
      </c>
      <c r="K9" s="308" t="s">
        <v>1194</v>
      </c>
      <c r="L9" s="308" t="s">
        <v>456</v>
      </c>
      <c r="M9" s="308" t="s">
        <v>283</v>
      </c>
      <c r="N9" s="308" t="s">
        <v>180</v>
      </c>
      <c r="O9" s="308" t="s">
        <v>372</v>
      </c>
      <c r="P9" s="308" t="s">
        <v>276</v>
      </c>
      <c r="Q9" s="308" t="s">
        <v>272</v>
      </c>
      <c r="R9" s="308" t="s">
        <v>273</v>
      </c>
      <c r="S9" s="308" t="s">
        <v>273</v>
      </c>
      <c r="T9" s="308" t="s">
        <v>273</v>
      </c>
      <c r="U9" s="308" t="s">
        <v>273</v>
      </c>
      <c r="V9" s="312" t="s">
        <v>284</v>
      </c>
      <c r="W9" s="313" t="s">
        <v>1881</v>
      </c>
      <c r="X9" s="311" t="s">
        <v>286</v>
      </c>
    </row>
    <row r="10" ht="21.75" customHeight="1" s="5" customFormat="1">
      <c r="A10" s="308" t="s">
        <v>210</v>
      </c>
      <c r="B10" s="309" t="s">
        <v>277</v>
      </c>
      <c r="C10" s="310" t="s">
        <v>1882</v>
      </c>
      <c r="D10" s="5"/>
      <c r="E10" s="311" t="s">
        <v>1883</v>
      </c>
      <c r="F10" s="308" t="s">
        <v>1211</v>
      </c>
      <c r="G10" s="308" t="s">
        <v>1189</v>
      </c>
      <c r="H10" s="308" t="s">
        <v>1847</v>
      </c>
      <c r="I10" s="308" t="s">
        <v>679</v>
      </c>
      <c r="J10" s="308" t="s">
        <v>1193</v>
      </c>
      <c r="K10" s="308" t="s">
        <v>1194</v>
      </c>
      <c r="L10" s="308" t="s">
        <v>456</v>
      </c>
      <c r="M10" s="308" t="s">
        <v>283</v>
      </c>
      <c r="N10" s="308" t="s">
        <v>469</v>
      </c>
      <c r="O10" s="308" t="s">
        <v>407</v>
      </c>
      <c r="P10" s="308" t="s">
        <v>462</v>
      </c>
      <c r="Q10" s="308" t="s">
        <v>272</v>
      </c>
      <c r="R10" s="308" t="s">
        <v>273</v>
      </c>
      <c r="S10" s="308" t="s">
        <v>273</v>
      </c>
      <c r="T10" s="308" t="s">
        <v>273</v>
      </c>
      <c r="U10" s="308" t="s">
        <v>273</v>
      </c>
      <c r="V10" s="312" t="s">
        <v>284</v>
      </c>
      <c r="W10" s="313" t="s">
        <v>1884</v>
      </c>
      <c r="X10" s="311" t="s">
        <v>286</v>
      </c>
    </row>
    <row r="11" ht="21.75" customHeight="1" s="5" customFormat="1">
      <c r="A11" s="308" t="s">
        <v>181</v>
      </c>
      <c r="B11" s="309" t="s">
        <v>277</v>
      </c>
      <c r="C11" s="310" t="s">
        <v>1885</v>
      </c>
      <c r="D11" s="5"/>
      <c r="E11" s="311" t="s">
        <v>1886</v>
      </c>
      <c r="F11" s="308" t="s">
        <v>1211</v>
      </c>
      <c r="G11" s="308" t="s">
        <v>1189</v>
      </c>
      <c r="H11" s="308" t="s">
        <v>1887</v>
      </c>
      <c r="I11" s="308" t="s">
        <v>1526</v>
      </c>
      <c r="J11" s="308" t="s">
        <v>1193</v>
      </c>
      <c r="K11" s="308" t="s">
        <v>1194</v>
      </c>
      <c r="L11" s="308" t="s">
        <v>456</v>
      </c>
      <c r="M11" s="308" t="s">
        <v>283</v>
      </c>
      <c r="N11" s="308" t="s">
        <v>203</v>
      </c>
      <c r="O11" s="308" t="s">
        <v>377</v>
      </c>
      <c r="P11" s="308" t="s">
        <v>210</v>
      </c>
      <c r="Q11" s="308" t="s">
        <v>272</v>
      </c>
      <c r="R11" s="308" t="s">
        <v>273</v>
      </c>
      <c r="S11" s="308" t="s">
        <v>273</v>
      </c>
      <c r="T11" s="308" t="s">
        <v>273</v>
      </c>
      <c r="U11" s="308" t="s">
        <v>273</v>
      </c>
      <c r="V11" s="312" t="s">
        <v>284</v>
      </c>
      <c r="W11" s="313" t="s">
        <v>1888</v>
      </c>
      <c r="X11" s="311" t="s">
        <v>286</v>
      </c>
    </row>
    <row r="12" ht="21.75" customHeight="1" s="5" customFormat="1">
      <c r="A12" s="308" t="s">
        <v>320</v>
      </c>
      <c r="B12" s="309" t="s">
        <v>277</v>
      </c>
      <c r="C12" s="310" t="s">
        <v>1889</v>
      </c>
      <c r="D12" s="5"/>
      <c r="E12" s="311" t="s">
        <v>1890</v>
      </c>
      <c r="F12" s="308" t="s">
        <v>1211</v>
      </c>
      <c r="G12" s="308" t="s">
        <v>1189</v>
      </c>
      <c r="H12" s="308" t="s">
        <v>1847</v>
      </c>
      <c r="I12" s="308" t="s">
        <v>481</v>
      </c>
      <c r="J12" s="308" t="s">
        <v>1193</v>
      </c>
      <c r="K12" s="308" t="s">
        <v>1194</v>
      </c>
      <c r="L12" s="308" t="s">
        <v>456</v>
      </c>
      <c r="M12" s="308" t="s">
        <v>283</v>
      </c>
      <c r="N12" s="308" t="s">
        <v>180</v>
      </c>
      <c r="O12" s="308" t="s">
        <v>407</v>
      </c>
      <c r="P12" s="308" t="s">
        <v>462</v>
      </c>
      <c r="Q12" s="308" t="s">
        <v>272</v>
      </c>
      <c r="R12" s="308" t="s">
        <v>273</v>
      </c>
      <c r="S12" s="308" t="s">
        <v>273</v>
      </c>
      <c r="T12" s="308" t="s">
        <v>273</v>
      </c>
      <c r="U12" s="308" t="s">
        <v>273</v>
      </c>
      <c r="V12" s="312" t="s">
        <v>284</v>
      </c>
      <c r="W12" s="313" t="s">
        <v>1891</v>
      </c>
      <c r="X12" s="311" t="s">
        <v>286</v>
      </c>
    </row>
    <row r="13" ht="24.75" customHeight="1" s="5" customFormat="1">
      <c r="A13" s="315" t="s">
        <v>276</v>
      </c>
      <c r="B13" s="316" t="s">
        <v>300</v>
      </c>
      <c r="C13" s="317" t="s">
        <v>1854</v>
      </c>
      <c r="D13" s="318" t="s">
        <v>302</v>
      </c>
      <c r="E13" s="319" t="s">
        <v>1855</v>
      </c>
      <c r="F13" s="320" t="s">
        <v>1211</v>
      </c>
      <c r="G13" s="320" t="s">
        <v>1189</v>
      </c>
      <c r="H13" s="320"/>
      <c r="I13" s="320" t="s">
        <v>305</v>
      </c>
      <c r="J13" s="320" t="s">
        <v>1038</v>
      </c>
      <c r="K13" s="320" t="s">
        <v>1038</v>
      </c>
      <c r="L13" s="320" t="s">
        <v>456</v>
      </c>
      <c r="M13" s="321">
        <v>4017</v>
      </c>
      <c r="N13" s="320" t="s">
        <v>180</v>
      </c>
      <c r="O13" s="320" t="s">
        <v>377</v>
      </c>
      <c r="P13" s="320" t="s">
        <v>210</v>
      </c>
      <c r="Q13" s="320" t="s">
        <v>507</v>
      </c>
      <c r="R13" s="320" t="s">
        <v>507</v>
      </c>
      <c r="S13" s="320" t="s">
        <v>507</v>
      </c>
      <c r="T13" s="320" t="s">
        <v>507</v>
      </c>
      <c r="U13" s="320" t="s">
        <v>507</v>
      </c>
      <c r="V13" s="323" t="s">
        <v>284</v>
      </c>
      <c r="W13" s="324" t="s">
        <v>1892</v>
      </c>
      <c r="X13" s="319" t="s">
        <v>1857</v>
      </c>
    </row>
    <row r="14" ht="24.75" customHeight="1" s="5" customFormat="1">
      <c r="A14" s="315" t="s">
        <v>210</v>
      </c>
      <c r="B14" s="316" t="s">
        <v>300</v>
      </c>
      <c r="C14" s="317" t="s">
        <v>1893</v>
      </c>
      <c r="D14" s="5"/>
      <c r="E14" s="319" t="s">
        <v>1894</v>
      </c>
      <c r="F14" s="320" t="s">
        <v>1211</v>
      </c>
      <c r="G14" s="320" t="s">
        <v>1189</v>
      </c>
      <c r="H14" s="320"/>
      <c r="I14" s="320" t="s">
        <v>881</v>
      </c>
      <c r="J14" s="320" t="s">
        <v>1038</v>
      </c>
      <c r="K14" s="320" t="s">
        <v>1038</v>
      </c>
      <c r="L14" s="320" t="s">
        <v>456</v>
      </c>
      <c r="M14" s="321">
        <v>4501</v>
      </c>
      <c r="N14" s="320" t="s">
        <v>164</v>
      </c>
      <c r="O14" s="320" t="s">
        <v>461</v>
      </c>
      <c r="P14" s="320" t="s">
        <v>210</v>
      </c>
      <c r="Q14" s="320" t="s">
        <v>507</v>
      </c>
      <c r="R14" s="320" t="s">
        <v>507</v>
      </c>
      <c r="S14" s="320" t="s">
        <v>507</v>
      </c>
      <c r="T14" s="320" t="s">
        <v>507</v>
      </c>
      <c r="U14" s="320" t="s">
        <v>507</v>
      </c>
      <c r="V14" s="323" t="s">
        <v>284</v>
      </c>
      <c r="W14" s="324" t="s">
        <v>1895</v>
      </c>
      <c r="X14" s="319" t="s">
        <v>1857</v>
      </c>
    </row>
    <row r="15" ht="24.75" customHeight="1" s="5" customFormat="1">
      <c r="A15" s="315" t="s">
        <v>181</v>
      </c>
      <c r="B15" s="316" t="s">
        <v>300</v>
      </c>
      <c r="C15" s="317" t="s">
        <v>1858</v>
      </c>
      <c r="D15" s="5"/>
      <c r="E15" s="319" t="s">
        <v>1859</v>
      </c>
      <c r="F15" s="320" t="s">
        <v>1211</v>
      </c>
      <c r="G15" s="320" t="s">
        <v>1189</v>
      </c>
      <c r="H15" s="320"/>
      <c r="I15" s="320" t="s">
        <v>598</v>
      </c>
      <c r="J15" s="320" t="s">
        <v>1038</v>
      </c>
      <c r="K15" s="320" t="s">
        <v>1038</v>
      </c>
      <c r="L15" s="320" t="s">
        <v>456</v>
      </c>
      <c r="M15" s="321">
        <v>3746</v>
      </c>
      <c r="N15" s="320" t="s">
        <v>520</v>
      </c>
      <c r="O15" s="320" t="s">
        <v>407</v>
      </c>
      <c r="P15" s="320" t="s">
        <v>462</v>
      </c>
      <c r="Q15" s="320" t="s">
        <v>507</v>
      </c>
      <c r="R15" s="320" t="s">
        <v>507</v>
      </c>
      <c r="S15" s="320" t="s">
        <v>507</v>
      </c>
      <c r="T15" s="320" t="s">
        <v>507</v>
      </c>
      <c r="U15" s="320" t="s">
        <v>507</v>
      </c>
      <c r="V15" s="323" t="s">
        <v>284</v>
      </c>
      <c r="W15" s="324" t="s">
        <v>1896</v>
      </c>
      <c r="X15" s="319" t="s">
        <v>1857</v>
      </c>
    </row>
    <row r="16" ht="24.75" customHeight="1" s="5" customFormat="1">
      <c r="A16" s="315" t="s">
        <v>320</v>
      </c>
      <c r="B16" s="316" t="s">
        <v>300</v>
      </c>
      <c r="C16" s="317" t="s">
        <v>1863</v>
      </c>
      <c r="D16" s="5"/>
      <c r="E16" s="319" t="s">
        <v>1864</v>
      </c>
      <c r="F16" s="320" t="s">
        <v>1211</v>
      </c>
      <c r="G16" s="320" t="s">
        <v>1189</v>
      </c>
      <c r="H16" s="320"/>
      <c r="I16" s="320" t="s">
        <v>323</v>
      </c>
      <c r="J16" s="320" t="s">
        <v>1038</v>
      </c>
      <c r="K16" s="320" t="s">
        <v>1038</v>
      </c>
      <c r="L16" s="320" t="s">
        <v>456</v>
      </c>
      <c r="M16" s="321">
        <v>4294</v>
      </c>
      <c r="N16" s="320" t="s">
        <v>223</v>
      </c>
      <c r="O16" s="320" t="s">
        <v>377</v>
      </c>
      <c r="P16" s="320" t="s">
        <v>210</v>
      </c>
      <c r="Q16" s="320" t="s">
        <v>507</v>
      </c>
      <c r="R16" s="320" t="s">
        <v>507</v>
      </c>
      <c r="S16" s="320" t="s">
        <v>507</v>
      </c>
      <c r="T16" s="320" t="s">
        <v>507</v>
      </c>
      <c r="U16" s="320" t="s">
        <v>507</v>
      </c>
      <c r="V16" s="323" t="s">
        <v>284</v>
      </c>
      <c r="W16" s="324" t="s">
        <v>1897</v>
      </c>
      <c r="X16" s="319" t="s">
        <v>1857</v>
      </c>
    </row>
    <row r="17" ht="28.5" customHeight="1" s="5" customFormat="1">
      <c r="A17" s="325" t="s">
        <v>154</v>
      </c>
      <c r="B17" s="326" t="s">
        <v>339</v>
      </c>
      <c r="C17" s="327" t="s">
        <v>1870</v>
      </c>
      <c r="D17" s="5"/>
      <c r="E17" s="325" t="s">
        <v>64</v>
      </c>
      <c r="F17" s="325" t="s">
        <v>1211</v>
      </c>
      <c r="G17" s="325" t="s">
        <v>1189</v>
      </c>
      <c r="H17" s="325"/>
      <c r="I17" s="325"/>
      <c r="J17" s="325" t="s">
        <v>64</v>
      </c>
      <c r="K17" s="325" t="s">
        <v>64</v>
      </c>
      <c r="L17" s="325" t="s">
        <v>456</v>
      </c>
      <c r="M17" s="325" t="s">
        <v>456</v>
      </c>
      <c r="N17" s="325"/>
      <c r="O17" s="325"/>
      <c r="P17" s="325"/>
      <c r="Q17" s="325"/>
      <c r="R17" s="325"/>
      <c r="S17" s="325"/>
      <c r="T17" s="325"/>
      <c r="U17" s="325"/>
      <c r="V17" s="316" t="s">
        <v>339</v>
      </c>
      <c r="W17" s="328" t="s">
        <v>1871</v>
      </c>
      <c r="X17" s="328" t="s">
        <v>342</v>
      </c>
    </row>
    <row r="18" ht="34.5" customHeight="1" s="5" customFormat="1">
      <c r="A18" s="329" t="s">
        <v>154</v>
      </c>
      <c r="B18" s="326" t="s">
        <v>339</v>
      </c>
      <c r="C18" s="330" t="s">
        <v>1872</v>
      </c>
      <c r="D18" s="5"/>
      <c r="E18" s="329" t="s">
        <v>64</v>
      </c>
      <c r="F18" s="329" t="s">
        <v>1211</v>
      </c>
      <c r="G18" s="329" t="s">
        <v>1189</v>
      </c>
      <c r="H18" s="329"/>
      <c r="I18" s="329"/>
      <c r="J18" s="329"/>
      <c r="K18" s="329"/>
      <c r="L18" s="329"/>
      <c r="M18" s="331">
        <v>4140</v>
      </c>
      <c r="N18" s="329"/>
      <c r="O18" s="329"/>
      <c r="P18" s="329"/>
      <c r="Q18" s="329"/>
      <c r="R18" s="329"/>
      <c r="S18" s="329"/>
      <c r="T18" s="329"/>
      <c r="U18" s="329"/>
      <c r="V18" s="316" t="s">
        <v>339</v>
      </c>
      <c r="W18" s="332" t="s">
        <v>1061</v>
      </c>
      <c r="X18" s="332" t="s">
        <v>1062</v>
      </c>
    </row>
    <row r="20" ht="14.25" customHeight="1" s="5" customFormat="1">
      <c r="A20" s="333" t="s">
        <v>1063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2" ht="18" customHeight="1" s="5" customFormat="1">
      <c r="A22" s="334" t="s">
        <v>349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15.75" customHeight="1" s="5" customFormat="1">
      <c r="A23" s="335" t="s">
        <v>1064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15.75" customHeight="1" s="5" customFormat="1">
      <c r="A24" s="5"/>
      <c r="B24" s="336" t="s">
        <v>351</v>
      </c>
      <c r="C24" s="336" t="s">
        <v>352</v>
      </c>
      <c r="D24" s="5"/>
      <c r="E24" s="336" t="s">
        <v>353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20.25" customHeight="1" s="5" customFormat="1">
      <c r="A25" s="337" t="s">
        <v>151</v>
      </c>
      <c r="B25" s="338">
        <f>'Current Rents'!E42</f>
        <v>1842</v>
      </c>
      <c r="C25" s="339">
        <v>4140</v>
      </c>
      <c r="D25" s="5"/>
      <c r="E25" s="340">
        <f>B25-C25</f>
        <v>-2298</v>
      </c>
      <c r="F25" s="161" t="str">
        <f>IF(E25&lt;-75,"LOOK INTO INCREASING THE RENT!","")</f>
        <v>LOOK INTO INCREASING THE RENT!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</sheetData>
  <mergeCells>
    <mergeCell ref="A5:X5"/>
    <mergeCell ref="A23:H23"/>
    <mergeCell ref="C8:D8"/>
    <mergeCell ref="C9:D9"/>
    <mergeCell ref="A6:X6"/>
    <mergeCell ref="C12:D12"/>
    <mergeCell ref="C17:D17"/>
    <mergeCell ref="C18:D18"/>
    <mergeCell ref="A4:X4"/>
    <mergeCell ref="A22:H22"/>
    <mergeCell ref="C7:D7"/>
    <mergeCell ref="C24:D24"/>
    <mergeCell ref="C11:D11"/>
    <mergeCell ref="A3:U3"/>
    <mergeCell ref="D13:D16"/>
    <mergeCell ref="C10:D10"/>
    <mergeCell ref="V3:X3"/>
    <mergeCell ref="A20:X20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A48E669-CBA8-E198-5F0B-980D08D4E022}" mc:Ignorable="x14ac xr xr2 xr3">
  <dimension ref="A1:X25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style="5" width="9.00390625" customWidth="1"/>
    <col min="2" max="2" style="5" width="18.57421875" customWidth="1"/>
    <col min="3" max="3" style="5" width="42.00390625" customWidth="1"/>
    <col min="4" max="4" style="5" width="4.7109375" customWidth="1"/>
    <col min="5" max="5" style="5" width="31.00390625" customWidth="1"/>
    <col min="6" max="6" style="5" width="14.28125" customWidth="1"/>
    <col min="7" max="7" style="5" width="9.28125" customWidth="1"/>
    <col min="8" max="9" style="5" width="13.00390625" customWidth="1"/>
    <col min="10" max="10" style="5" width="7.00390625" hidden="1" customWidth="1"/>
    <col min="11" max="11" style="5" width="13.00390625" customWidth="1"/>
    <col min="12" max="12" style="5" width="5.28125" hidden="1" customWidth="1"/>
    <col min="13" max="13" style="5" width="16.7109375" customWidth="1"/>
    <col min="14" max="14" style="5" width="9.421875" customWidth="1"/>
    <col min="15" max="21" style="5" width="13.00390625" customWidth="1"/>
    <col min="22" max="22" style="5" width="24.57421875" customWidth="1"/>
    <col min="23" max="23" style="5" width="55.7109375" customWidth="1"/>
    <col min="24" max="24" style="5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36" customHeight="1" s="5" customFormat="1">
      <c r="A3" s="295" t="s">
        <v>1898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296" t="s">
        <v>1899</v>
      </c>
      <c r="W3" s="5"/>
      <c r="X3" s="5"/>
    </row>
    <row r="4" ht="18" customHeight="1" s="5" customFormat="1">
      <c r="A4" s="297" t="s">
        <v>1900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14.25" customHeight="1" s="5" customFormat="1">
      <c r="A5" s="298" t="s">
        <v>1012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25.5" customHeight="1" s="5" customFormat="1">
      <c r="A6" s="299" t="s">
        <v>1013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25.5" customHeight="1" s="5" customFormat="1">
      <c r="A7" s="300" t="s">
        <v>233</v>
      </c>
      <c r="B7" s="300" t="s">
        <v>234</v>
      </c>
      <c r="C7" s="300" t="s">
        <v>3</v>
      </c>
      <c r="D7" s="5"/>
      <c r="E7" s="300" t="s">
        <v>235</v>
      </c>
      <c r="F7" s="300" t="s">
        <v>236</v>
      </c>
      <c r="G7" s="300" t="s">
        <v>237</v>
      </c>
      <c r="H7" s="300" t="s">
        <v>238</v>
      </c>
      <c r="I7" s="300" t="s">
        <v>239</v>
      </c>
      <c r="J7" s="300" t="s">
        <v>444</v>
      </c>
      <c r="K7" s="300" t="s">
        <v>445</v>
      </c>
      <c r="L7" s="300" t="s">
        <v>446</v>
      </c>
      <c r="M7" s="301" t="s">
        <v>447</v>
      </c>
      <c r="N7" s="300" t="s">
        <v>6</v>
      </c>
      <c r="O7" s="300" t="s">
        <v>248</v>
      </c>
      <c r="P7" s="300" t="s">
        <v>249</v>
      </c>
      <c r="Q7" s="300" t="s">
        <v>250</v>
      </c>
      <c r="R7" s="300" t="s">
        <v>251</v>
      </c>
      <c r="S7" s="300" t="s">
        <v>252</v>
      </c>
      <c r="T7" s="300" t="s">
        <v>253</v>
      </c>
      <c r="U7" s="300" t="s">
        <v>254</v>
      </c>
      <c r="V7" s="301" t="s">
        <v>255</v>
      </c>
      <c r="W7" s="300" t="s">
        <v>256</v>
      </c>
      <c r="X7" s="300" t="s">
        <v>257</v>
      </c>
    </row>
    <row r="8" ht="21.75" customHeight="1" s="5" customFormat="1">
      <c r="A8" s="302" t="s">
        <v>258</v>
      </c>
      <c r="B8" s="303" t="s">
        <v>259</v>
      </c>
      <c r="C8" s="304" t="s">
        <v>1901</v>
      </c>
      <c r="D8" s="5"/>
      <c r="E8" s="304" t="s">
        <v>1211</v>
      </c>
      <c r="F8" s="305" t="s">
        <v>1211</v>
      </c>
      <c r="G8" s="305" t="s">
        <v>1189</v>
      </c>
      <c r="H8" s="305" t="s">
        <v>1835</v>
      </c>
      <c r="I8" s="305" t="s">
        <v>265</v>
      </c>
      <c r="J8" s="305" t="s">
        <v>1191</v>
      </c>
      <c r="K8" s="305" t="s">
        <v>1192</v>
      </c>
      <c r="L8" s="305" t="s">
        <v>453</v>
      </c>
      <c r="M8" s="306">
        <f>'Current Rents'!D43</f>
        <v>1612</v>
      </c>
      <c r="N8" s="305" t="s">
        <v>494</v>
      </c>
      <c r="O8" s="305" t="s">
        <v>407</v>
      </c>
      <c r="P8" s="305">
        <v>0</v>
      </c>
      <c r="Q8" s="305" t="s">
        <v>897</v>
      </c>
      <c r="R8" s="305" t="s">
        <v>273</v>
      </c>
      <c r="S8" s="305" t="s">
        <v>273</v>
      </c>
      <c r="T8" s="305" t="s">
        <v>273</v>
      </c>
      <c r="U8" s="305" t="s">
        <v>273</v>
      </c>
      <c r="V8" s="303" t="s">
        <v>259</v>
      </c>
      <c r="W8" s="307" t="s">
        <v>1902</v>
      </c>
      <c r="X8" s="304" t="s">
        <v>275</v>
      </c>
    </row>
    <row r="9" ht="21.75" customHeight="1" s="5" customFormat="1">
      <c r="A9" s="308" t="s">
        <v>276</v>
      </c>
      <c r="B9" s="309" t="s">
        <v>277</v>
      </c>
      <c r="C9" s="310" t="s">
        <v>1903</v>
      </c>
      <c r="D9" s="5"/>
      <c r="E9" s="311" t="s">
        <v>1904</v>
      </c>
      <c r="F9" s="308" t="s">
        <v>1211</v>
      </c>
      <c r="G9" s="308" t="s">
        <v>1189</v>
      </c>
      <c r="H9" s="308" t="s">
        <v>1905</v>
      </c>
      <c r="I9" s="308" t="s">
        <v>1570</v>
      </c>
      <c r="J9" s="308" t="s">
        <v>1191</v>
      </c>
      <c r="K9" s="308" t="s">
        <v>1192</v>
      </c>
      <c r="L9" s="308" t="s">
        <v>453</v>
      </c>
      <c r="M9" s="308" t="s">
        <v>283</v>
      </c>
      <c r="N9" s="308" t="s">
        <v>1906</v>
      </c>
      <c r="O9" s="308" t="s">
        <v>407</v>
      </c>
      <c r="P9" s="308" t="s">
        <v>462</v>
      </c>
      <c r="Q9" s="308" t="s">
        <v>272</v>
      </c>
      <c r="R9" s="308" t="s">
        <v>273</v>
      </c>
      <c r="S9" s="308" t="s">
        <v>273</v>
      </c>
      <c r="T9" s="308" t="s">
        <v>273</v>
      </c>
      <c r="U9" s="308" t="s">
        <v>273</v>
      </c>
      <c r="V9" s="312" t="s">
        <v>284</v>
      </c>
      <c r="W9" s="313" t="s">
        <v>1907</v>
      </c>
      <c r="X9" s="311" t="s">
        <v>286</v>
      </c>
    </row>
    <row r="10" ht="21.75" customHeight="1" s="5" customFormat="1">
      <c r="A10" s="308" t="s">
        <v>210</v>
      </c>
      <c r="B10" s="309" t="s">
        <v>277</v>
      </c>
      <c r="C10" s="310" t="s">
        <v>1908</v>
      </c>
      <c r="D10" s="5"/>
      <c r="E10" s="311" t="s">
        <v>1909</v>
      </c>
      <c r="F10" s="308" t="s">
        <v>1211</v>
      </c>
      <c r="G10" s="308" t="s">
        <v>1189</v>
      </c>
      <c r="H10" s="308" t="s">
        <v>1910</v>
      </c>
      <c r="I10" s="308" t="s">
        <v>1671</v>
      </c>
      <c r="J10" s="308" t="s">
        <v>1191</v>
      </c>
      <c r="K10" s="308" t="s">
        <v>1192</v>
      </c>
      <c r="L10" s="308" t="s">
        <v>453</v>
      </c>
      <c r="M10" s="308" t="s">
        <v>283</v>
      </c>
      <c r="N10" s="308" t="s">
        <v>221</v>
      </c>
      <c r="O10" s="308" t="s">
        <v>372</v>
      </c>
      <c r="P10" s="308" t="s">
        <v>276</v>
      </c>
      <c r="Q10" s="308" t="s">
        <v>272</v>
      </c>
      <c r="R10" s="308" t="s">
        <v>273</v>
      </c>
      <c r="S10" s="308" t="s">
        <v>273</v>
      </c>
      <c r="T10" s="308" t="s">
        <v>273</v>
      </c>
      <c r="U10" s="308" t="s">
        <v>273</v>
      </c>
      <c r="V10" s="312" t="s">
        <v>284</v>
      </c>
      <c r="W10" s="313" t="s">
        <v>1911</v>
      </c>
      <c r="X10" s="311" t="s">
        <v>286</v>
      </c>
    </row>
    <row r="11" ht="21.75" customHeight="1" s="5" customFormat="1">
      <c r="A11" s="308" t="s">
        <v>181</v>
      </c>
      <c r="B11" s="309" t="s">
        <v>277</v>
      </c>
      <c r="C11" s="310" t="s">
        <v>1912</v>
      </c>
      <c r="D11" s="5"/>
      <c r="E11" s="311" t="s">
        <v>1913</v>
      </c>
      <c r="F11" s="308" t="s">
        <v>1211</v>
      </c>
      <c r="G11" s="308" t="s">
        <v>1189</v>
      </c>
      <c r="H11" s="308" t="s">
        <v>1910</v>
      </c>
      <c r="I11" s="308" t="s">
        <v>1171</v>
      </c>
      <c r="J11" s="308" t="s">
        <v>1191</v>
      </c>
      <c r="K11" s="308" t="s">
        <v>1192</v>
      </c>
      <c r="L11" s="308" t="s">
        <v>453</v>
      </c>
      <c r="M11" s="308" t="s">
        <v>283</v>
      </c>
      <c r="N11" s="308" t="s">
        <v>494</v>
      </c>
      <c r="O11" s="308" t="s">
        <v>490</v>
      </c>
      <c r="P11" s="308" t="s">
        <v>276</v>
      </c>
      <c r="Q11" s="308" t="s">
        <v>272</v>
      </c>
      <c r="R11" s="308" t="s">
        <v>273</v>
      </c>
      <c r="S11" s="308" t="s">
        <v>273</v>
      </c>
      <c r="T11" s="308" t="s">
        <v>273</v>
      </c>
      <c r="U11" s="308" t="s">
        <v>273</v>
      </c>
      <c r="V11" s="312" t="s">
        <v>284</v>
      </c>
      <c r="W11" s="313" t="s">
        <v>1914</v>
      </c>
      <c r="X11" s="311" t="s">
        <v>286</v>
      </c>
    </row>
    <row r="12" ht="21.75" customHeight="1" s="5" customFormat="1">
      <c r="A12" s="308" t="s">
        <v>320</v>
      </c>
      <c r="B12" s="309" t="s">
        <v>277</v>
      </c>
      <c r="C12" s="310" t="s">
        <v>1915</v>
      </c>
      <c r="D12" s="5"/>
      <c r="E12" s="311" t="s">
        <v>1916</v>
      </c>
      <c r="F12" s="308" t="s">
        <v>1211</v>
      </c>
      <c r="G12" s="308" t="s">
        <v>1189</v>
      </c>
      <c r="H12" s="308" t="s">
        <v>1917</v>
      </c>
      <c r="I12" s="308" t="s">
        <v>330</v>
      </c>
      <c r="J12" s="308" t="s">
        <v>1191</v>
      </c>
      <c r="K12" s="308" t="s">
        <v>1192</v>
      </c>
      <c r="L12" s="308" t="s">
        <v>453</v>
      </c>
      <c r="M12" s="308" t="s">
        <v>283</v>
      </c>
      <c r="N12" s="308" t="s">
        <v>212</v>
      </c>
      <c r="O12" s="308" t="s">
        <v>407</v>
      </c>
      <c r="P12" s="308" t="s">
        <v>462</v>
      </c>
      <c r="Q12" s="308" t="s">
        <v>272</v>
      </c>
      <c r="R12" s="308" t="s">
        <v>273</v>
      </c>
      <c r="S12" s="308" t="s">
        <v>273</v>
      </c>
      <c r="T12" s="308" t="s">
        <v>273</v>
      </c>
      <c r="U12" s="308" t="s">
        <v>273</v>
      </c>
      <c r="V12" s="312" t="s">
        <v>284</v>
      </c>
      <c r="W12" s="313" t="s">
        <v>1918</v>
      </c>
      <c r="X12" s="311" t="s">
        <v>286</v>
      </c>
    </row>
    <row r="13" ht="24.75" customHeight="1" s="5" customFormat="1">
      <c r="A13" s="315" t="s">
        <v>276</v>
      </c>
      <c r="B13" s="316" t="s">
        <v>300</v>
      </c>
      <c r="C13" s="317" t="s">
        <v>1854</v>
      </c>
      <c r="D13" s="318" t="s">
        <v>302</v>
      </c>
      <c r="E13" s="319" t="s">
        <v>1855</v>
      </c>
      <c r="F13" s="320" t="s">
        <v>1211</v>
      </c>
      <c r="G13" s="320" t="s">
        <v>1189</v>
      </c>
      <c r="H13" s="320"/>
      <c r="I13" s="320" t="s">
        <v>305</v>
      </c>
      <c r="J13" s="320" t="s">
        <v>1038</v>
      </c>
      <c r="K13" s="320" t="s">
        <v>1038</v>
      </c>
      <c r="L13" s="320" t="s">
        <v>453</v>
      </c>
      <c r="M13" s="321">
        <v>3117</v>
      </c>
      <c r="N13" s="320" t="s">
        <v>180</v>
      </c>
      <c r="O13" s="320" t="s">
        <v>377</v>
      </c>
      <c r="P13" s="320" t="s">
        <v>210</v>
      </c>
      <c r="Q13" s="320" t="s">
        <v>507</v>
      </c>
      <c r="R13" s="320" t="s">
        <v>507</v>
      </c>
      <c r="S13" s="320" t="s">
        <v>507</v>
      </c>
      <c r="T13" s="320" t="s">
        <v>507</v>
      </c>
      <c r="U13" s="320" t="s">
        <v>507</v>
      </c>
      <c r="V13" s="323" t="s">
        <v>284</v>
      </c>
      <c r="W13" s="324" t="s">
        <v>1919</v>
      </c>
      <c r="X13" s="319" t="s">
        <v>1857</v>
      </c>
    </row>
    <row r="14" ht="24.75" customHeight="1" s="5" customFormat="1">
      <c r="A14" s="315" t="s">
        <v>210</v>
      </c>
      <c r="B14" s="316" t="s">
        <v>300</v>
      </c>
      <c r="C14" s="317" t="s">
        <v>1858</v>
      </c>
      <c r="D14" s="5"/>
      <c r="E14" s="319" t="s">
        <v>1859</v>
      </c>
      <c r="F14" s="320" t="s">
        <v>1211</v>
      </c>
      <c r="G14" s="320" t="s">
        <v>1189</v>
      </c>
      <c r="H14" s="320"/>
      <c r="I14" s="320" t="s">
        <v>598</v>
      </c>
      <c r="J14" s="320" t="s">
        <v>1038</v>
      </c>
      <c r="K14" s="320" t="s">
        <v>1038</v>
      </c>
      <c r="L14" s="320" t="s">
        <v>453</v>
      </c>
      <c r="M14" s="321">
        <v>3053</v>
      </c>
      <c r="N14" s="320" t="s">
        <v>164</v>
      </c>
      <c r="O14" s="320" t="s">
        <v>461</v>
      </c>
      <c r="P14" s="320" t="s">
        <v>210</v>
      </c>
      <c r="Q14" s="320" t="s">
        <v>507</v>
      </c>
      <c r="R14" s="320" t="s">
        <v>507</v>
      </c>
      <c r="S14" s="320" t="s">
        <v>507</v>
      </c>
      <c r="T14" s="320" t="s">
        <v>507</v>
      </c>
      <c r="U14" s="320" t="s">
        <v>507</v>
      </c>
      <c r="V14" s="323" t="s">
        <v>284</v>
      </c>
      <c r="W14" s="324" t="s">
        <v>1920</v>
      </c>
      <c r="X14" s="319" t="s">
        <v>1857</v>
      </c>
    </row>
    <row r="15" ht="24.75" customHeight="1" s="5" customFormat="1">
      <c r="A15" s="315" t="s">
        <v>181</v>
      </c>
      <c r="B15" s="316" t="s">
        <v>300</v>
      </c>
      <c r="C15" s="317" t="s">
        <v>1863</v>
      </c>
      <c r="D15" s="5"/>
      <c r="E15" s="319" t="s">
        <v>1864</v>
      </c>
      <c r="F15" s="320" t="s">
        <v>1211</v>
      </c>
      <c r="G15" s="320" t="s">
        <v>1189</v>
      </c>
      <c r="H15" s="320"/>
      <c r="I15" s="320" t="s">
        <v>323</v>
      </c>
      <c r="J15" s="320" t="s">
        <v>1038</v>
      </c>
      <c r="K15" s="320" t="s">
        <v>1038</v>
      </c>
      <c r="L15" s="320" t="s">
        <v>453</v>
      </c>
      <c r="M15" s="321">
        <v>3216</v>
      </c>
      <c r="N15" s="320" t="s">
        <v>520</v>
      </c>
      <c r="O15" s="320" t="s">
        <v>407</v>
      </c>
      <c r="P15" s="320" t="s">
        <v>462</v>
      </c>
      <c r="Q15" s="320" t="s">
        <v>507</v>
      </c>
      <c r="R15" s="320" t="s">
        <v>507</v>
      </c>
      <c r="S15" s="320" t="s">
        <v>507</v>
      </c>
      <c r="T15" s="320" t="s">
        <v>507</v>
      </c>
      <c r="U15" s="320" t="s">
        <v>507</v>
      </c>
      <c r="V15" s="323" t="s">
        <v>284</v>
      </c>
      <c r="W15" s="324" t="s">
        <v>1921</v>
      </c>
      <c r="X15" s="319" t="s">
        <v>1857</v>
      </c>
    </row>
    <row r="16" ht="24.75" customHeight="1" s="5" customFormat="1">
      <c r="A16" s="315" t="s">
        <v>320</v>
      </c>
      <c r="B16" s="316" t="s">
        <v>300</v>
      </c>
      <c r="C16" s="317" t="s">
        <v>1866</v>
      </c>
      <c r="D16" s="5"/>
      <c r="E16" s="319" t="s">
        <v>1867</v>
      </c>
      <c r="F16" s="320" t="s">
        <v>1211</v>
      </c>
      <c r="G16" s="320" t="s">
        <v>1189</v>
      </c>
      <c r="H16" s="320"/>
      <c r="I16" s="320" t="s">
        <v>376</v>
      </c>
      <c r="J16" s="320" t="s">
        <v>1038</v>
      </c>
      <c r="K16" s="320" t="s">
        <v>1038</v>
      </c>
      <c r="L16" s="320" t="s">
        <v>453</v>
      </c>
      <c r="M16" s="321">
        <v>3085</v>
      </c>
      <c r="N16" s="320" t="s">
        <v>191</v>
      </c>
      <c r="O16" s="320" t="s">
        <v>461</v>
      </c>
      <c r="P16" s="320" t="s">
        <v>210</v>
      </c>
      <c r="Q16" s="320" t="s">
        <v>507</v>
      </c>
      <c r="R16" s="320" t="s">
        <v>507</v>
      </c>
      <c r="S16" s="320" t="s">
        <v>507</v>
      </c>
      <c r="T16" s="320" t="s">
        <v>507</v>
      </c>
      <c r="U16" s="320" t="s">
        <v>507</v>
      </c>
      <c r="V16" s="323" t="s">
        <v>284</v>
      </c>
      <c r="W16" s="324" t="s">
        <v>1922</v>
      </c>
      <c r="X16" s="319" t="s">
        <v>1857</v>
      </c>
    </row>
    <row r="17" ht="28.5" customHeight="1" s="5" customFormat="1">
      <c r="A17" s="325" t="s">
        <v>154</v>
      </c>
      <c r="B17" s="326" t="s">
        <v>339</v>
      </c>
      <c r="C17" s="327" t="s">
        <v>1870</v>
      </c>
      <c r="D17" s="5"/>
      <c r="E17" s="325" t="s">
        <v>64</v>
      </c>
      <c r="F17" s="325" t="s">
        <v>1211</v>
      </c>
      <c r="G17" s="325" t="s">
        <v>1189</v>
      </c>
      <c r="H17" s="325"/>
      <c r="I17" s="325"/>
      <c r="J17" s="325" t="s">
        <v>64</v>
      </c>
      <c r="K17" s="325" t="s">
        <v>64</v>
      </c>
      <c r="L17" s="325" t="s">
        <v>453</v>
      </c>
      <c r="M17" s="325" t="s">
        <v>453</v>
      </c>
      <c r="N17" s="325"/>
      <c r="O17" s="325"/>
      <c r="P17" s="325"/>
      <c r="Q17" s="325"/>
      <c r="R17" s="325"/>
      <c r="S17" s="325"/>
      <c r="T17" s="325"/>
      <c r="U17" s="325"/>
      <c r="V17" s="316" t="s">
        <v>339</v>
      </c>
      <c r="W17" s="328" t="s">
        <v>1871</v>
      </c>
      <c r="X17" s="328" t="s">
        <v>342</v>
      </c>
    </row>
    <row r="18" ht="34.5" customHeight="1" s="5" customFormat="1">
      <c r="A18" s="329" t="s">
        <v>154</v>
      </c>
      <c r="B18" s="326" t="s">
        <v>339</v>
      </c>
      <c r="C18" s="330" t="s">
        <v>1872</v>
      </c>
      <c r="D18" s="5"/>
      <c r="E18" s="329" t="s">
        <v>64</v>
      </c>
      <c r="F18" s="329" t="s">
        <v>1211</v>
      </c>
      <c r="G18" s="329" t="s">
        <v>1189</v>
      </c>
      <c r="H18" s="329"/>
      <c r="I18" s="329"/>
      <c r="J18" s="329"/>
      <c r="K18" s="329"/>
      <c r="L18" s="329"/>
      <c r="M18" s="331">
        <v>3118</v>
      </c>
      <c r="N18" s="329"/>
      <c r="O18" s="329"/>
      <c r="P18" s="329"/>
      <c r="Q18" s="329"/>
      <c r="R18" s="329"/>
      <c r="S18" s="329"/>
      <c r="T18" s="329"/>
      <c r="U18" s="329"/>
      <c r="V18" s="316" t="s">
        <v>339</v>
      </c>
      <c r="W18" s="332" t="s">
        <v>1061</v>
      </c>
      <c r="X18" s="332" t="s">
        <v>1062</v>
      </c>
    </row>
    <row r="20" ht="14.25" customHeight="1" s="5" customFormat="1">
      <c r="A20" s="333" t="s">
        <v>1063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2" ht="18" customHeight="1" s="5" customFormat="1">
      <c r="A22" s="334" t="s">
        <v>349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15.75" customHeight="1" s="5" customFormat="1">
      <c r="A23" s="335" t="s">
        <v>1064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15.75" customHeight="1" s="5" customFormat="1">
      <c r="A24" s="5"/>
      <c r="B24" s="336" t="s">
        <v>351</v>
      </c>
      <c r="C24" s="336" t="s">
        <v>352</v>
      </c>
      <c r="D24" s="5"/>
      <c r="E24" s="336" t="s">
        <v>353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20.25" customHeight="1" s="5" customFormat="1">
      <c r="A25" s="337" t="s">
        <v>160</v>
      </c>
      <c r="B25" s="338">
        <f>'Current Rents'!D43</f>
        <v>1612</v>
      </c>
      <c r="C25" s="339">
        <v>3118</v>
      </c>
      <c r="D25" s="5"/>
      <c r="E25" s="340">
        <f>B25-C25</f>
        <v>-1506</v>
      </c>
      <c r="F25" s="161" t="str">
        <f>IF(E25&lt;-75,"LOOK INTO INCREASING THE RENT!","")</f>
        <v>LOOK INTO INCREASING THE RENT!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</sheetData>
  <mergeCells>
    <mergeCell ref="A5:X5"/>
    <mergeCell ref="A23:H23"/>
    <mergeCell ref="C8:D8"/>
    <mergeCell ref="C9:D9"/>
    <mergeCell ref="A6:X6"/>
    <mergeCell ref="C12:D12"/>
    <mergeCell ref="C17:D17"/>
    <mergeCell ref="C18:D18"/>
    <mergeCell ref="A4:X4"/>
    <mergeCell ref="A22:H22"/>
    <mergeCell ref="C7:D7"/>
    <mergeCell ref="C24:D24"/>
    <mergeCell ref="C11:D11"/>
    <mergeCell ref="A3:U3"/>
    <mergeCell ref="D13:D16"/>
    <mergeCell ref="C10:D10"/>
    <mergeCell ref="V3:X3"/>
    <mergeCell ref="A20:X20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453272C-A248-D7B4-E6C4-FA069F7E4357}" mc:Ignorable="x14ac xr xr2 xr3"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style="5" width="9.00390625" customWidth="1"/>
    <col min="2" max="2" style="5" width="18.57421875" customWidth="1"/>
    <col min="3" max="3" style="5" width="42.00390625" customWidth="1"/>
    <col min="4" max="4" style="5" width="4.7109375" customWidth="1"/>
    <col min="5" max="5" style="5" width="31.00390625" customWidth="1"/>
    <col min="6" max="6" style="5" width="14.28125" customWidth="1"/>
    <col min="7" max="7" style="5" width="9.28125" customWidth="1"/>
    <col min="8" max="9" style="5" width="13.00390625" customWidth="1"/>
    <col min="10" max="10" style="5" width="7.00390625" hidden="1" customWidth="1"/>
    <col min="11" max="11" style="5" width="13.00390625" customWidth="1"/>
    <col min="12" max="12" style="5" width="5.28125" hidden="1" customWidth="1"/>
    <col min="13" max="13" style="5" width="16.7109375" customWidth="1"/>
    <col min="14" max="14" style="5" width="7.00390625" hidden="1" customWidth="1"/>
    <col min="15" max="15" style="5" width="13.00390625" customWidth="1"/>
    <col min="16" max="16" style="5" width="5.28125" hidden="1" customWidth="1"/>
    <col min="17" max="17" style="5" width="16.7109375" customWidth="1"/>
    <col min="18" max="18" style="5" width="9.421875" customWidth="1"/>
    <col min="19" max="25" style="5" width="13.00390625" customWidth="1"/>
    <col min="26" max="26" style="5" width="24.57421875" customWidth="1"/>
    <col min="27" max="27" style="5" width="55.7109375" customWidth="1"/>
    <col min="28" max="28" style="5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36" customHeight="1" s="5" customFormat="1">
      <c r="A3" s="295" t="s">
        <v>1923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296" t="s">
        <v>1924</v>
      </c>
      <c r="AA3" s="5"/>
      <c r="AB3" s="5"/>
    </row>
    <row r="4" ht="18" customHeight="1" s="5" customFormat="1">
      <c r="A4" s="297" t="s">
        <v>1925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ht="14.25" customHeight="1" s="5" customFormat="1">
      <c r="A5" s="298" t="s">
        <v>1012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ht="25.5" customHeight="1" s="5" customFormat="1">
      <c r="A6" s="299" t="s">
        <v>1013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ht="25.5" customHeight="1" s="5" customFormat="1">
      <c r="A7" s="300" t="s">
        <v>233</v>
      </c>
      <c r="B7" s="300" t="s">
        <v>234</v>
      </c>
      <c r="C7" s="300" t="s">
        <v>3</v>
      </c>
      <c r="D7" s="5"/>
      <c r="E7" s="300" t="s">
        <v>235</v>
      </c>
      <c r="F7" s="300" t="s">
        <v>236</v>
      </c>
      <c r="G7" s="300" t="s">
        <v>237</v>
      </c>
      <c r="H7" s="300" t="s">
        <v>238</v>
      </c>
      <c r="I7" s="300" t="s">
        <v>239</v>
      </c>
      <c r="J7" s="300" t="s">
        <v>444</v>
      </c>
      <c r="K7" s="300" t="s">
        <v>445</v>
      </c>
      <c r="L7" s="300" t="s">
        <v>446</v>
      </c>
      <c r="M7" s="301" t="s">
        <v>447</v>
      </c>
      <c r="N7" s="300" t="s">
        <v>240</v>
      </c>
      <c r="O7" s="300" t="s">
        <v>241</v>
      </c>
      <c r="P7" s="300" t="s">
        <v>242</v>
      </c>
      <c r="Q7" s="301" t="s">
        <v>360</v>
      </c>
      <c r="R7" s="300" t="s">
        <v>6</v>
      </c>
      <c r="S7" s="300" t="s">
        <v>248</v>
      </c>
      <c r="T7" s="300" t="s">
        <v>249</v>
      </c>
      <c r="U7" s="300" t="s">
        <v>250</v>
      </c>
      <c r="V7" s="300" t="s">
        <v>251</v>
      </c>
      <c r="W7" s="300" t="s">
        <v>252</v>
      </c>
      <c r="X7" s="300" t="s">
        <v>253</v>
      </c>
      <c r="Y7" s="300" t="s">
        <v>254</v>
      </c>
      <c r="Z7" s="301" t="s">
        <v>255</v>
      </c>
      <c r="AA7" s="300" t="s">
        <v>256</v>
      </c>
      <c r="AB7" s="300" t="s">
        <v>257</v>
      </c>
    </row>
    <row r="8" ht="21.75" customHeight="1" s="5" customFormat="1">
      <c r="A8" s="302" t="s">
        <v>258</v>
      </c>
      <c r="B8" s="303" t="s">
        <v>259</v>
      </c>
      <c r="C8" s="304" t="s">
        <v>1926</v>
      </c>
      <c r="D8" s="5"/>
      <c r="E8" s="304" t="s">
        <v>1927</v>
      </c>
      <c r="F8" s="305" t="s">
        <v>1928</v>
      </c>
      <c r="G8" s="305" t="s">
        <v>1189</v>
      </c>
      <c r="H8" s="305" t="s">
        <v>1929</v>
      </c>
      <c r="I8" s="305" t="s">
        <v>265</v>
      </c>
      <c r="J8" s="305" t="s">
        <v>1930</v>
      </c>
      <c r="K8" s="305" t="s">
        <v>1931</v>
      </c>
      <c r="L8" s="305" t="s">
        <v>1932</v>
      </c>
      <c r="M8" s="306">
        <f>'Current Rents'!D44</f>
        <v>1252</v>
      </c>
      <c r="N8" s="305" t="s">
        <v>1931</v>
      </c>
      <c r="O8" s="305" t="s">
        <v>1933</v>
      </c>
      <c r="P8" s="305" t="s">
        <v>1934</v>
      </c>
      <c r="Q8" s="306">
        <f>'Current Rents'!E44</f>
        <v>1374</v>
      </c>
      <c r="R8" s="305" t="s">
        <v>1026</v>
      </c>
      <c r="S8" s="305" t="s">
        <v>1027</v>
      </c>
      <c r="T8" s="305">
        <v>0</v>
      </c>
      <c r="U8" s="305" t="s">
        <v>273</v>
      </c>
      <c r="V8" s="305" t="s">
        <v>273</v>
      </c>
      <c r="W8" s="305" t="s">
        <v>272</v>
      </c>
      <c r="X8" s="305" t="s">
        <v>272</v>
      </c>
      <c r="Y8" s="305" t="s">
        <v>273</v>
      </c>
      <c r="Z8" s="303" t="s">
        <v>259</v>
      </c>
      <c r="AA8" s="307" t="s">
        <v>1935</v>
      </c>
      <c r="AB8" s="304" t="s">
        <v>275</v>
      </c>
    </row>
    <row r="9" ht="21.75" customHeight="1" s="5" customFormat="1">
      <c r="A9" s="308" t="s">
        <v>276</v>
      </c>
      <c r="B9" s="309" t="s">
        <v>277</v>
      </c>
      <c r="C9" s="310" t="s">
        <v>1936</v>
      </c>
      <c r="D9" s="5"/>
      <c r="E9" s="311" t="s">
        <v>1937</v>
      </c>
      <c r="F9" s="308" t="s">
        <v>1928</v>
      </c>
      <c r="G9" s="308" t="s">
        <v>1189</v>
      </c>
      <c r="H9" s="308" t="s">
        <v>1938</v>
      </c>
      <c r="I9" s="308" t="s">
        <v>311</v>
      </c>
      <c r="J9" s="308" t="s">
        <v>1930</v>
      </c>
      <c r="K9" s="308" t="s">
        <v>1931</v>
      </c>
      <c r="L9" s="308" t="s">
        <v>1932</v>
      </c>
      <c r="M9" s="308" t="s">
        <v>283</v>
      </c>
      <c r="N9" s="308" t="s">
        <v>1931</v>
      </c>
      <c r="O9" s="308" t="s">
        <v>1933</v>
      </c>
      <c r="P9" s="308" t="s">
        <v>1934</v>
      </c>
      <c r="Q9" s="308" t="s">
        <v>1939</v>
      </c>
      <c r="R9" s="308" t="s">
        <v>1940</v>
      </c>
      <c r="S9" s="308" t="s">
        <v>1016</v>
      </c>
      <c r="T9" s="308" t="s">
        <v>276</v>
      </c>
      <c r="U9" s="308" t="s">
        <v>272</v>
      </c>
      <c r="V9" s="308" t="s">
        <v>273</v>
      </c>
      <c r="W9" s="308" t="s">
        <v>273</v>
      </c>
      <c r="X9" s="308" t="s">
        <v>273</v>
      </c>
      <c r="Y9" s="308" t="s">
        <v>273</v>
      </c>
      <c r="Z9" s="312" t="s">
        <v>284</v>
      </c>
      <c r="AA9" s="313" t="s">
        <v>1941</v>
      </c>
      <c r="AB9" s="311" t="s">
        <v>967</v>
      </c>
    </row>
    <row r="10" ht="21.75" customHeight="1" s="5" customFormat="1">
      <c r="A10" s="308" t="s">
        <v>210</v>
      </c>
      <c r="B10" s="309" t="s">
        <v>277</v>
      </c>
      <c r="C10" s="310" t="s">
        <v>1942</v>
      </c>
      <c r="D10" s="5"/>
      <c r="E10" s="311" t="s">
        <v>1943</v>
      </c>
      <c r="F10" s="308" t="s">
        <v>1944</v>
      </c>
      <c r="G10" s="308" t="s">
        <v>1189</v>
      </c>
      <c r="H10" s="308" t="s">
        <v>1945</v>
      </c>
      <c r="I10" s="308" t="s">
        <v>1946</v>
      </c>
      <c r="J10" s="308" t="s">
        <v>1930</v>
      </c>
      <c r="K10" s="308" t="s">
        <v>1931</v>
      </c>
      <c r="L10" s="308" t="s">
        <v>1932</v>
      </c>
      <c r="M10" s="308" t="s">
        <v>283</v>
      </c>
      <c r="N10" s="308" t="s">
        <v>1931</v>
      </c>
      <c r="O10" s="308" t="s">
        <v>1933</v>
      </c>
      <c r="P10" s="308" t="s">
        <v>1934</v>
      </c>
      <c r="Q10" s="308" t="s">
        <v>283</v>
      </c>
      <c r="R10" s="308" t="s">
        <v>1947</v>
      </c>
      <c r="S10" s="308" t="s">
        <v>1027</v>
      </c>
      <c r="T10" s="308" t="s">
        <v>462</v>
      </c>
      <c r="U10" s="308" t="s">
        <v>272</v>
      </c>
      <c r="V10" s="308" t="s">
        <v>273</v>
      </c>
      <c r="W10" s="308" t="s">
        <v>273</v>
      </c>
      <c r="X10" s="308" t="s">
        <v>273</v>
      </c>
      <c r="Y10" s="308" t="s">
        <v>273</v>
      </c>
      <c r="Z10" s="312" t="s">
        <v>284</v>
      </c>
      <c r="AA10" s="313" t="s">
        <v>1948</v>
      </c>
      <c r="AB10" s="311" t="s">
        <v>967</v>
      </c>
    </row>
    <row r="11" ht="21.75" customHeight="1" s="5" customFormat="1">
      <c r="A11" s="308" t="s">
        <v>181</v>
      </c>
      <c r="B11" s="309" t="s">
        <v>277</v>
      </c>
      <c r="C11" s="310" t="s">
        <v>1949</v>
      </c>
      <c r="D11" s="5"/>
      <c r="E11" s="311" t="s">
        <v>1950</v>
      </c>
      <c r="F11" s="308" t="s">
        <v>1951</v>
      </c>
      <c r="G11" s="308" t="s">
        <v>1189</v>
      </c>
      <c r="H11" s="308" t="s">
        <v>1952</v>
      </c>
      <c r="I11" s="308" t="s">
        <v>1953</v>
      </c>
      <c r="J11" s="308" t="s">
        <v>1930</v>
      </c>
      <c r="K11" s="308" t="s">
        <v>1931</v>
      </c>
      <c r="L11" s="308" t="s">
        <v>1932</v>
      </c>
      <c r="M11" s="308" t="s">
        <v>283</v>
      </c>
      <c r="N11" s="308" t="s">
        <v>1931</v>
      </c>
      <c r="O11" s="308" t="s">
        <v>1933</v>
      </c>
      <c r="P11" s="308" t="s">
        <v>1934</v>
      </c>
      <c r="Q11" s="308" t="s">
        <v>283</v>
      </c>
      <c r="R11" s="308" t="s">
        <v>1026</v>
      </c>
      <c r="S11" s="308" t="s">
        <v>1027</v>
      </c>
      <c r="T11" s="308" t="s">
        <v>462</v>
      </c>
      <c r="U11" s="308" t="s">
        <v>272</v>
      </c>
      <c r="V11" s="308" t="s">
        <v>273</v>
      </c>
      <c r="W11" s="308" t="s">
        <v>273</v>
      </c>
      <c r="X11" s="308" t="s">
        <v>273</v>
      </c>
      <c r="Y11" s="308" t="s">
        <v>273</v>
      </c>
      <c r="Z11" s="314" t="s">
        <v>298</v>
      </c>
      <c r="AA11" s="313" t="s">
        <v>1954</v>
      </c>
      <c r="AB11" s="311" t="s">
        <v>967</v>
      </c>
    </row>
    <row r="12" ht="21.75" customHeight="1" s="5" customFormat="1">
      <c r="A12" s="308" t="s">
        <v>320</v>
      </c>
      <c r="B12" s="309" t="s">
        <v>277</v>
      </c>
      <c r="C12" s="310" t="s">
        <v>1955</v>
      </c>
      <c r="D12" s="5"/>
      <c r="E12" s="311" t="s">
        <v>1956</v>
      </c>
      <c r="F12" s="308" t="s">
        <v>1951</v>
      </c>
      <c r="G12" s="308" t="s">
        <v>1189</v>
      </c>
      <c r="H12" s="308" t="s">
        <v>1952</v>
      </c>
      <c r="I12" s="308" t="s">
        <v>1957</v>
      </c>
      <c r="J12" s="308" t="s">
        <v>1930</v>
      </c>
      <c r="K12" s="308" t="s">
        <v>1931</v>
      </c>
      <c r="L12" s="308" t="s">
        <v>1932</v>
      </c>
      <c r="M12" s="308" t="s">
        <v>283</v>
      </c>
      <c r="N12" s="308" t="s">
        <v>1931</v>
      </c>
      <c r="O12" s="308" t="s">
        <v>1933</v>
      </c>
      <c r="P12" s="308" t="s">
        <v>1934</v>
      </c>
      <c r="Q12" s="308" t="s">
        <v>283</v>
      </c>
      <c r="R12" s="308" t="s">
        <v>1026</v>
      </c>
      <c r="S12" s="308" t="s">
        <v>1016</v>
      </c>
      <c r="T12" s="308" t="s">
        <v>276</v>
      </c>
      <c r="U12" s="308" t="s">
        <v>272</v>
      </c>
      <c r="V12" s="308" t="s">
        <v>273</v>
      </c>
      <c r="W12" s="308" t="s">
        <v>273</v>
      </c>
      <c r="X12" s="308" t="s">
        <v>273</v>
      </c>
      <c r="Y12" s="308" t="s">
        <v>273</v>
      </c>
      <c r="Z12" s="314" t="s">
        <v>298</v>
      </c>
      <c r="AA12" s="313" t="s">
        <v>1958</v>
      </c>
      <c r="AB12" s="311" t="s">
        <v>967</v>
      </c>
    </row>
    <row r="13" ht="24.75" customHeight="1" s="5" customFormat="1">
      <c r="A13" s="315" t="s">
        <v>276</v>
      </c>
      <c r="B13" s="316" t="s">
        <v>300</v>
      </c>
      <c r="C13" s="317" t="s">
        <v>1959</v>
      </c>
      <c r="D13" s="318" t="s">
        <v>302</v>
      </c>
      <c r="E13" s="319" t="s">
        <v>1960</v>
      </c>
      <c r="F13" s="320" t="s">
        <v>1928</v>
      </c>
      <c r="G13" s="320" t="s">
        <v>1189</v>
      </c>
      <c r="H13" s="320"/>
      <c r="I13" s="320" t="s">
        <v>881</v>
      </c>
      <c r="J13" s="320" t="s">
        <v>1038</v>
      </c>
      <c r="K13" s="320" t="s">
        <v>1038</v>
      </c>
      <c r="L13" s="320" t="s">
        <v>1932</v>
      </c>
      <c r="M13" s="321">
        <v>1395</v>
      </c>
      <c r="N13" s="320" t="s">
        <v>1038</v>
      </c>
      <c r="O13" s="320" t="s">
        <v>1038</v>
      </c>
      <c r="P13" s="320" t="s">
        <v>1934</v>
      </c>
      <c r="Q13" s="321">
        <v>1695</v>
      </c>
      <c r="R13" s="320" t="s">
        <v>1423</v>
      </c>
      <c r="S13" s="320" t="s">
        <v>629</v>
      </c>
      <c r="T13" s="320" t="s">
        <v>276</v>
      </c>
      <c r="U13" s="320" t="s">
        <v>507</v>
      </c>
      <c r="V13" s="320" t="s">
        <v>507</v>
      </c>
      <c r="W13" s="320" t="s">
        <v>507</v>
      </c>
      <c r="X13" s="320" t="s">
        <v>507</v>
      </c>
      <c r="Y13" s="320" t="s">
        <v>507</v>
      </c>
      <c r="Z13" s="323" t="s">
        <v>284</v>
      </c>
      <c r="AA13" s="324" t="s">
        <v>1961</v>
      </c>
      <c r="AB13" s="319" t="s">
        <v>1962</v>
      </c>
    </row>
    <row r="14" ht="24.75" customHeight="1" s="5" customFormat="1">
      <c r="A14" s="315" t="s">
        <v>210</v>
      </c>
      <c r="B14" s="316" t="s">
        <v>300</v>
      </c>
      <c r="C14" s="317" t="s">
        <v>1963</v>
      </c>
      <c r="D14" s="5"/>
      <c r="E14" s="319" t="s">
        <v>1964</v>
      </c>
      <c r="F14" s="320" t="s">
        <v>1928</v>
      </c>
      <c r="G14" s="320" t="s">
        <v>1189</v>
      </c>
      <c r="H14" s="320"/>
      <c r="I14" s="320" t="s">
        <v>323</v>
      </c>
      <c r="J14" s="320" t="s">
        <v>1038</v>
      </c>
      <c r="K14" s="320" t="s">
        <v>1038</v>
      </c>
      <c r="L14" s="320" t="s">
        <v>1932</v>
      </c>
      <c r="M14" s="321">
        <v>1825</v>
      </c>
      <c r="N14" s="320" t="s">
        <v>1038</v>
      </c>
      <c r="O14" s="320" t="s">
        <v>1038</v>
      </c>
      <c r="P14" s="320" t="s">
        <v>1934</v>
      </c>
      <c r="Q14" s="321">
        <v>2225</v>
      </c>
      <c r="R14" s="320" t="s">
        <v>1690</v>
      </c>
      <c r="S14" s="320" t="s">
        <v>1034</v>
      </c>
      <c r="T14" s="320" t="s">
        <v>210</v>
      </c>
      <c r="U14" s="320" t="s">
        <v>507</v>
      </c>
      <c r="V14" s="320" t="s">
        <v>507</v>
      </c>
      <c r="W14" s="320" t="s">
        <v>507</v>
      </c>
      <c r="X14" s="320" t="s">
        <v>507</v>
      </c>
      <c r="Y14" s="320" t="s">
        <v>507</v>
      </c>
      <c r="Z14" s="323" t="s">
        <v>284</v>
      </c>
      <c r="AA14" s="324" t="s">
        <v>1965</v>
      </c>
      <c r="AB14" s="319" t="s">
        <v>1966</v>
      </c>
    </row>
    <row r="15" ht="24.75" customHeight="1" s="5" customFormat="1">
      <c r="A15" s="315" t="s">
        <v>181</v>
      </c>
      <c r="B15" s="316" t="s">
        <v>300</v>
      </c>
      <c r="C15" s="317" t="s">
        <v>1967</v>
      </c>
      <c r="D15" s="5"/>
      <c r="E15" s="319" t="s">
        <v>1968</v>
      </c>
      <c r="F15" s="320" t="s">
        <v>1928</v>
      </c>
      <c r="G15" s="320" t="s">
        <v>1189</v>
      </c>
      <c r="H15" s="320"/>
      <c r="I15" s="320" t="s">
        <v>930</v>
      </c>
      <c r="J15" s="320" t="s">
        <v>1038</v>
      </c>
      <c r="K15" s="320" t="s">
        <v>1038</v>
      </c>
      <c r="L15" s="320" t="s">
        <v>1932</v>
      </c>
      <c r="M15" s="321">
        <v>1825</v>
      </c>
      <c r="N15" s="320" t="s">
        <v>1038</v>
      </c>
      <c r="O15" s="320" t="s">
        <v>1038</v>
      </c>
      <c r="P15" s="320" t="s">
        <v>1934</v>
      </c>
      <c r="Q15" s="321">
        <v>1760</v>
      </c>
      <c r="R15" s="320" t="s">
        <v>1265</v>
      </c>
      <c r="S15" s="320" t="s">
        <v>636</v>
      </c>
      <c r="T15" s="320" t="s">
        <v>210</v>
      </c>
      <c r="U15" s="320" t="s">
        <v>507</v>
      </c>
      <c r="V15" s="320" t="s">
        <v>507</v>
      </c>
      <c r="W15" s="320" t="s">
        <v>507</v>
      </c>
      <c r="X15" s="320" t="s">
        <v>507</v>
      </c>
      <c r="Y15" s="320" t="s">
        <v>507</v>
      </c>
      <c r="Z15" s="323" t="s">
        <v>284</v>
      </c>
      <c r="AA15" s="324" t="s">
        <v>1969</v>
      </c>
      <c r="AB15" s="319" t="s">
        <v>1966</v>
      </c>
    </row>
    <row r="16" ht="24.75" customHeight="1" s="5" customFormat="1">
      <c r="A16" s="315" t="s">
        <v>320</v>
      </c>
      <c r="B16" s="316" t="s">
        <v>300</v>
      </c>
      <c r="C16" s="317" t="s">
        <v>1970</v>
      </c>
      <c r="D16" s="5"/>
      <c r="E16" s="319" t="s">
        <v>1971</v>
      </c>
      <c r="F16" s="320" t="s">
        <v>1928</v>
      </c>
      <c r="G16" s="320" t="s">
        <v>1189</v>
      </c>
      <c r="H16" s="320"/>
      <c r="I16" s="320" t="s">
        <v>499</v>
      </c>
      <c r="J16" s="320" t="s">
        <v>1038</v>
      </c>
      <c r="K16" s="320" t="s">
        <v>1038</v>
      </c>
      <c r="L16" s="320" t="s">
        <v>1932</v>
      </c>
      <c r="M16" s="321">
        <v>1750</v>
      </c>
      <c r="N16" s="320" t="s">
        <v>1038</v>
      </c>
      <c r="O16" s="320" t="s">
        <v>1038</v>
      </c>
      <c r="P16" s="320" t="s">
        <v>1934</v>
      </c>
      <c r="Q16" s="321">
        <v>1800</v>
      </c>
      <c r="R16" s="320" t="s">
        <v>748</v>
      </c>
      <c r="S16" s="320" t="s">
        <v>1016</v>
      </c>
      <c r="T16" s="320" t="s">
        <v>276</v>
      </c>
      <c r="U16" s="320" t="s">
        <v>507</v>
      </c>
      <c r="V16" s="320" t="s">
        <v>507</v>
      </c>
      <c r="W16" s="320" t="s">
        <v>507</v>
      </c>
      <c r="X16" s="320" t="s">
        <v>507</v>
      </c>
      <c r="Y16" s="320" t="s">
        <v>507</v>
      </c>
      <c r="Z16" s="323" t="s">
        <v>284</v>
      </c>
      <c r="AA16" s="324" t="s">
        <v>1972</v>
      </c>
      <c r="AB16" s="319" t="s">
        <v>1966</v>
      </c>
    </row>
    <row r="17" ht="28.5" customHeight="1" s="5" customFormat="1">
      <c r="A17" s="325" t="s">
        <v>154</v>
      </c>
      <c r="B17" s="326" t="s">
        <v>339</v>
      </c>
      <c r="C17" s="327" t="s">
        <v>1973</v>
      </c>
      <c r="D17" s="5"/>
      <c r="E17" s="325" t="s">
        <v>64</v>
      </c>
      <c r="F17" s="325" t="s">
        <v>1928</v>
      </c>
      <c r="G17" s="325" t="s">
        <v>1189</v>
      </c>
      <c r="H17" s="325"/>
      <c r="I17" s="325"/>
      <c r="J17" s="325" t="s">
        <v>64</v>
      </c>
      <c r="K17" s="325" t="s">
        <v>64</v>
      </c>
      <c r="L17" s="325" t="s">
        <v>1932</v>
      </c>
      <c r="M17" s="325" t="s">
        <v>1932</v>
      </c>
      <c r="N17" s="325" t="s">
        <v>64</v>
      </c>
      <c r="O17" s="325" t="s">
        <v>64</v>
      </c>
      <c r="P17" s="325" t="s">
        <v>1934</v>
      </c>
      <c r="Q17" s="325" t="s">
        <v>1934</v>
      </c>
      <c r="R17" s="325"/>
      <c r="S17" s="325"/>
      <c r="T17" s="325"/>
      <c r="U17" s="325"/>
      <c r="V17" s="325"/>
      <c r="W17" s="325"/>
      <c r="X17" s="325"/>
      <c r="Y17" s="325"/>
      <c r="Z17" s="316" t="s">
        <v>339</v>
      </c>
      <c r="AA17" s="328" t="s">
        <v>1974</v>
      </c>
      <c r="AB17" s="328" t="s">
        <v>342</v>
      </c>
    </row>
    <row r="18" ht="34.5" customHeight="1" s="5" customFormat="1">
      <c r="A18" s="329" t="s">
        <v>154</v>
      </c>
      <c r="B18" s="326" t="s">
        <v>339</v>
      </c>
      <c r="C18" s="330" t="s">
        <v>1975</v>
      </c>
      <c r="D18" s="5"/>
      <c r="E18" s="329" t="s">
        <v>64</v>
      </c>
      <c r="F18" s="329" t="s">
        <v>1928</v>
      </c>
      <c r="G18" s="329" t="s">
        <v>1189</v>
      </c>
      <c r="H18" s="329"/>
      <c r="I18" s="329"/>
      <c r="J18" s="329"/>
      <c r="K18" s="329"/>
      <c r="L18" s="329"/>
      <c r="M18" s="331">
        <v>1699</v>
      </c>
      <c r="N18" s="329"/>
      <c r="O18" s="329"/>
      <c r="P18" s="329"/>
      <c r="Q18" s="331">
        <v>1870</v>
      </c>
      <c r="R18" s="329"/>
      <c r="S18" s="329"/>
      <c r="T18" s="329"/>
      <c r="U18" s="329"/>
      <c r="V18" s="329"/>
      <c r="W18" s="329"/>
      <c r="X18" s="329"/>
      <c r="Y18" s="329"/>
      <c r="Z18" s="316" t="s">
        <v>339</v>
      </c>
      <c r="AA18" s="332" t="s">
        <v>1061</v>
      </c>
      <c r="AB18" s="332" t="s">
        <v>1062</v>
      </c>
    </row>
    <row r="20" ht="14.25" customHeight="1" s="5" customFormat="1">
      <c r="A20" s="333" t="s">
        <v>1063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2" ht="18" customHeight="1" s="5" customFormat="1">
      <c r="A22" s="334" t="s">
        <v>349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ht="15.75" customHeight="1" s="5" customFormat="1">
      <c r="A23" s="335" t="s">
        <v>1064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ht="15.75" customHeight="1" s="5" customFormat="1">
      <c r="A24" s="5"/>
      <c r="B24" s="336" t="s">
        <v>351</v>
      </c>
      <c r="C24" s="336" t="s">
        <v>352</v>
      </c>
      <c r="D24" s="5"/>
      <c r="E24" s="336" t="s">
        <v>353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ht="20.25" customHeight="1" s="5" customFormat="1">
      <c r="A25" s="337" t="s">
        <v>160</v>
      </c>
      <c r="B25" s="338">
        <f>'Current Rents'!D44</f>
        <v>1252</v>
      </c>
      <c r="C25" s="339">
        <v>1699</v>
      </c>
      <c r="D25" s="5"/>
      <c r="E25" s="340">
        <f t="shared" si="0" ref="E25:E26">B25-C25</f>
        <v>-447</v>
      </c>
      <c r="F25" s="161" t="str">
        <f>IF(E25&lt;-75,"LOOK INTO INCREASING THE RENT!","")</f>
        <v>LOOK INTO INCREASING THE RENT!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ht="20.25" customHeight="1" s="5" customFormat="1">
      <c r="A26" s="337" t="s">
        <v>151</v>
      </c>
      <c r="B26" s="338">
        <f>'Current Rents'!E44</f>
        <v>1374</v>
      </c>
      <c r="C26" s="339">
        <v>1870</v>
      </c>
      <c r="D26" s="5"/>
      <c r="E26" s="340">
        <f t="shared" si="0"/>
        <v>-496</v>
      </c>
      <c r="F26" s="161" t="str">
        <f>IF(E26&lt;-75,"LOOK INTO INCREASING THE RENT!","")</f>
        <v>LOOK INTO INCREASING THE RENT!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</sheetData>
  <mergeCells>
    <mergeCell ref="Z3:AB3"/>
    <mergeCell ref="A4:AB4"/>
    <mergeCell ref="A23:H23"/>
    <mergeCell ref="C8:D8"/>
    <mergeCell ref="C9:D9"/>
    <mergeCell ref="C12:D12"/>
    <mergeCell ref="C18:D18"/>
    <mergeCell ref="C17:D17"/>
    <mergeCell ref="A22:H22"/>
    <mergeCell ref="C10:D10"/>
    <mergeCell ref="C7:D7"/>
    <mergeCell ref="A3:Y3"/>
    <mergeCell ref="A20:AB20"/>
    <mergeCell ref="C24:D24"/>
    <mergeCell ref="C11:D11"/>
    <mergeCell ref="A5:AB5"/>
    <mergeCell ref="D13:D16"/>
    <mergeCell ref="A6:AB6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8C03D46-5C99-A058-8767-64AC18DDA258}" mc:Ignorable="x14ac xr xr2 xr3"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style="5" width="9.00390625" customWidth="1"/>
    <col min="2" max="2" style="5" width="18.57421875" customWidth="1"/>
    <col min="3" max="3" style="5" width="42.00390625" customWidth="1"/>
    <col min="4" max="4" style="5" width="4.7109375" customWidth="1"/>
    <col min="5" max="5" style="5" width="31.00390625" customWidth="1"/>
    <col min="6" max="6" style="5" width="14.28125" customWidth="1"/>
    <col min="7" max="7" style="5" width="9.28125" customWidth="1"/>
    <col min="8" max="9" style="5" width="13.00390625" customWidth="1"/>
    <col min="10" max="10" style="5" width="7.00390625" hidden="1" customWidth="1"/>
    <col min="11" max="11" style="5" width="13.00390625" customWidth="1"/>
    <col min="12" max="12" style="5" width="5.28125" hidden="1" customWidth="1"/>
    <col min="13" max="13" style="5" width="16.7109375" customWidth="1"/>
    <col min="14" max="14" style="5" width="7.00390625" hidden="1" customWidth="1"/>
    <col min="15" max="15" style="5" width="13.00390625" customWidth="1"/>
    <col min="16" max="16" style="5" width="5.28125" hidden="1" customWidth="1"/>
    <col min="17" max="17" style="5" width="16.7109375" customWidth="1"/>
    <col min="18" max="18" style="5" width="9.421875" customWidth="1"/>
    <col min="19" max="25" style="5" width="13.00390625" customWidth="1"/>
    <col min="26" max="26" style="5" width="24.57421875" customWidth="1"/>
    <col min="27" max="27" style="5" width="55.7109375" customWidth="1"/>
    <col min="28" max="28" style="5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36" customHeight="1" s="5" customFormat="1">
      <c r="A3" s="295" t="s">
        <v>1976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296" t="s">
        <v>1977</v>
      </c>
      <c r="AA3" s="5"/>
      <c r="AB3" s="5"/>
    </row>
    <row r="4" ht="18" customHeight="1" s="5" customFormat="1">
      <c r="A4" s="297" t="s">
        <v>1978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ht="14.25" customHeight="1" s="5" customFormat="1">
      <c r="A5" s="298" t="s">
        <v>1012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ht="25.5" customHeight="1" s="5" customFormat="1">
      <c r="A6" s="299" t="s">
        <v>1013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ht="25.5" customHeight="1" s="5" customFormat="1">
      <c r="A7" s="300" t="s">
        <v>233</v>
      </c>
      <c r="B7" s="300" t="s">
        <v>234</v>
      </c>
      <c r="C7" s="300" t="s">
        <v>3</v>
      </c>
      <c r="D7" s="5"/>
      <c r="E7" s="300" t="s">
        <v>235</v>
      </c>
      <c r="F7" s="300" t="s">
        <v>236</v>
      </c>
      <c r="G7" s="300" t="s">
        <v>237</v>
      </c>
      <c r="H7" s="300" t="s">
        <v>238</v>
      </c>
      <c r="I7" s="300" t="s">
        <v>239</v>
      </c>
      <c r="J7" s="300" t="s">
        <v>444</v>
      </c>
      <c r="K7" s="300" t="s">
        <v>445</v>
      </c>
      <c r="L7" s="300" t="s">
        <v>446</v>
      </c>
      <c r="M7" s="301" t="s">
        <v>447</v>
      </c>
      <c r="N7" s="300" t="s">
        <v>240</v>
      </c>
      <c r="O7" s="300" t="s">
        <v>241</v>
      </c>
      <c r="P7" s="300" t="s">
        <v>242</v>
      </c>
      <c r="Q7" s="301" t="s">
        <v>360</v>
      </c>
      <c r="R7" s="300" t="s">
        <v>6</v>
      </c>
      <c r="S7" s="300" t="s">
        <v>248</v>
      </c>
      <c r="T7" s="300" t="s">
        <v>249</v>
      </c>
      <c r="U7" s="300" t="s">
        <v>250</v>
      </c>
      <c r="V7" s="300" t="s">
        <v>251</v>
      </c>
      <c r="W7" s="300" t="s">
        <v>252</v>
      </c>
      <c r="X7" s="300" t="s">
        <v>253</v>
      </c>
      <c r="Y7" s="300" t="s">
        <v>254</v>
      </c>
      <c r="Z7" s="301" t="s">
        <v>255</v>
      </c>
      <c r="AA7" s="300" t="s">
        <v>256</v>
      </c>
      <c r="AB7" s="300" t="s">
        <v>257</v>
      </c>
    </row>
    <row r="8" ht="21.75" customHeight="1" s="5" customFormat="1">
      <c r="A8" s="302" t="s">
        <v>258</v>
      </c>
      <c r="B8" s="303" t="s">
        <v>259</v>
      </c>
      <c r="C8" s="304" t="s">
        <v>1979</v>
      </c>
      <c r="D8" s="5"/>
      <c r="E8" s="304" t="s">
        <v>1980</v>
      </c>
      <c r="F8" s="305" t="s">
        <v>1928</v>
      </c>
      <c r="G8" s="305" t="s">
        <v>1189</v>
      </c>
      <c r="H8" s="305" t="s">
        <v>1929</v>
      </c>
      <c r="I8" s="305" t="s">
        <v>265</v>
      </c>
      <c r="J8" s="305" t="s">
        <v>1930</v>
      </c>
      <c r="K8" s="305" t="s">
        <v>1931</v>
      </c>
      <c r="L8" s="305" t="s">
        <v>1932</v>
      </c>
      <c r="M8" s="306">
        <f>'Current Rents'!D45</f>
        <v>1212</v>
      </c>
      <c r="N8" s="305" t="s">
        <v>1931</v>
      </c>
      <c r="O8" s="305" t="s">
        <v>1933</v>
      </c>
      <c r="P8" s="305" t="s">
        <v>1934</v>
      </c>
      <c r="Q8" s="306">
        <f>'Current Rents'!E45</f>
        <v>1383</v>
      </c>
      <c r="R8" s="305" t="s">
        <v>1026</v>
      </c>
      <c r="S8" s="305" t="s">
        <v>1027</v>
      </c>
      <c r="T8" s="305">
        <v>0</v>
      </c>
      <c r="U8" s="305" t="s">
        <v>273</v>
      </c>
      <c r="V8" s="305" t="s">
        <v>273</v>
      </c>
      <c r="W8" s="305" t="s">
        <v>272</v>
      </c>
      <c r="X8" s="305" t="s">
        <v>272</v>
      </c>
      <c r="Y8" s="305" t="s">
        <v>273</v>
      </c>
      <c r="Z8" s="303" t="s">
        <v>259</v>
      </c>
      <c r="AA8" s="307" t="s">
        <v>1935</v>
      </c>
      <c r="AB8" s="304" t="s">
        <v>275</v>
      </c>
    </row>
    <row r="9" ht="21.75" customHeight="1" s="5" customFormat="1">
      <c r="A9" s="308" t="s">
        <v>276</v>
      </c>
      <c r="B9" s="309" t="s">
        <v>277</v>
      </c>
      <c r="C9" s="310" t="s">
        <v>1936</v>
      </c>
      <c r="D9" s="5"/>
      <c r="E9" s="311" t="s">
        <v>1937</v>
      </c>
      <c r="F9" s="308" t="s">
        <v>1928</v>
      </c>
      <c r="G9" s="308" t="s">
        <v>1189</v>
      </c>
      <c r="H9" s="308" t="s">
        <v>1938</v>
      </c>
      <c r="I9" s="308" t="s">
        <v>311</v>
      </c>
      <c r="J9" s="308" t="s">
        <v>1930</v>
      </c>
      <c r="K9" s="308" t="s">
        <v>1931</v>
      </c>
      <c r="L9" s="308" t="s">
        <v>1932</v>
      </c>
      <c r="M9" s="308" t="s">
        <v>283</v>
      </c>
      <c r="N9" s="308" t="s">
        <v>1931</v>
      </c>
      <c r="O9" s="308" t="s">
        <v>1933</v>
      </c>
      <c r="P9" s="308" t="s">
        <v>1934</v>
      </c>
      <c r="Q9" s="308" t="s">
        <v>1939</v>
      </c>
      <c r="R9" s="308" t="s">
        <v>1940</v>
      </c>
      <c r="S9" s="308" t="s">
        <v>1016</v>
      </c>
      <c r="T9" s="308" t="s">
        <v>276</v>
      </c>
      <c r="U9" s="308" t="s">
        <v>272</v>
      </c>
      <c r="V9" s="308" t="s">
        <v>273</v>
      </c>
      <c r="W9" s="308" t="s">
        <v>273</v>
      </c>
      <c r="X9" s="308" t="s">
        <v>273</v>
      </c>
      <c r="Y9" s="308" t="s">
        <v>273</v>
      </c>
      <c r="Z9" s="312" t="s">
        <v>284</v>
      </c>
      <c r="AA9" s="313" t="s">
        <v>1941</v>
      </c>
      <c r="AB9" s="311" t="s">
        <v>967</v>
      </c>
    </row>
    <row r="10" ht="21.75" customHeight="1" s="5" customFormat="1">
      <c r="A10" s="308" t="s">
        <v>210</v>
      </c>
      <c r="B10" s="309" t="s">
        <v>277</v>
      </c>
      <c r="C10" s="310" t="s">
        <v>1942</v>
      </c>
      <c r="D10" s="5"/>
      <c r="E10" s="311" t="s">
        <v>1943</v>
      </c>
      <c r="F10" s="308" t="s">
        <v>1944</v>
      </c>
      <c r="G10" s="308" t="s">
        <v>1189</v>
      </c>
      <c r="H10" s="308" t="s">
        <v>1945</v>
      </c>
      <c r="I10" s="308" t="s">
        <v>1946</v>
      </c>
      <c r="J10" s="308" t="s">
        <v>1930</v>
      </c>
      <c r="K10" s="308" t="s">
        <v>1931</v>
      </c>
      <c r="L10" s="308" t="s">
        <v>1932</v>
      </c>
      <c r="M10" s="308" t="s">
        <v>283</v>
      </c>
      <c r="N10" s="308" t="s">
        <v>1931</v>
      </c>
      <c r="O10" s="308" t="s">
        <v>1933</v>
      </c>
      <c r="P10" s="308" t="s">
        <v>1934</v>
      </c>
      <c r="Q10" s="308" t="s">
        <v>283</v>
      </c>
      <c r="R10" s="308" t="s">
        <v>1947</v>
      </c>
      <c r="S10" s="308" t="s">
        <v>1027</v>
      </c>
      <c r="T10" s="308" t="s">
        <v>462</v>
      </c>
      <c r="U10" s="308" t="s">
        <v>272</v>
      </c>
      <c r="V10" s="308" t="s">
        <v>273</v>
      </c>
      <c r="W10" s="308" t="s">
        <v>273</v>
      </c>
      <c r="X10" s="308" t="s">
        <v>273</v>
      </c>
      <c r="Y10" s="308" t="s">
        <v>273</v>
      </c>
      <c r="Z10" s="312" t="s">
        <v>284</v>
      </c>
      <c r="AA10" s="313" t="s">
        <v>1948</v>
      </c>
      <c r="AB10" s="311" t="s">
        <v>967</v>
      </c>
    </row>
    <row r="11" ht="21.75" customHeight="1" s="5" customFormat="1">
      <c r="A11" s="308" t="s">
        <v>181</v>
      </c>
      <c r="B11" s="309" t="s">
        <v>277</v>
      </c>
      <c r="C11" s="310" t="s">
        <v>1949</v>
      </c>
      <c r="D11" s="5"/>
      <c r="E11" s="311" t="s">
        <v>1950</v>
      </c>
      <c r="F11" s="308" t="s">
        <v>1951</v>
      </c>
      <c r="G11" s="308" t="s">
        <v>1189</v>
      </c>
      <c r="H11" s="308" t="s">
        <v>1952</v>
      </c>
      <c r="I11" s="308" t="s">
        <v>1953</v>
      </c>
      <c r="J11" s="308" t="s">
        <v>1930</v>
      </c>
      <c r="K11" s="308" t="s">
        <v>1931</v>
      </c>
      <c r="L11" s="308" t="s">
        <v>1932</v>
      </c>
      <c r="M11" s="308" t="s">
        <v>283</v>
      </c>
      <c r="N11" s="308" t="s">
        <v>1931</v>
      </c>
      <c r="O11" s="308" t="s">
        <v>1933</v>
      </c>
      <c r="P11" s="308" t="s">
        <v>1934</v>
      </c>
      <c r="Q11" s="308" t="s">
        <v>283</v>
      </c>
      <c r="R11" s="308" t="s">
        <v>1026</v>
      </c>
      <c r="S11" s="308" t="s">
        <v>1027</v>
      </c>
      <c r="T11" s="308" t="s">
        <v>462</v>
      </c>
      <c r="U11" s="308" t="s">
        <v>272</v>
      </c>
      <c r="V11" s="308" t="s">
        <v>273</v>
      </c>
      <c r="W11" s="308" t="s">
        <v>273</v>
      </c>
      <c r="X11" s="308" t="s">
        <v>273</v>
      </c>
      <c r="Y11" s="308" t="s">
        <v>273</v>
      </c>
      <c r="Z11" s="314" t="s">
        <v>298</v>
      </c>
      <c r="AA11" s="313" t="s">
        <v>1954</v>
      </c>
      <c r="AB11" s="311" t="s">
        <v>967</v>
      </c>
    </row>
    <row r="12" ht="21.75" customHeight="1" s="5" customFormat="1">
      <c r="A12" s="308" t="s">
        <v>320</v>
      </c>
      <c r="B12" s="309" t="s">
        <v>277</v>
      </c>
      <c r="C12" s="310" t="s">
        <v>1955</v>
      </c>
      <c r="D12" s="5"/>
      <c r="E12" s="311" t="s">
        <v>1956</v>
      </c>
      <c r="F12" s="308" t="s">
        <v>1951</v>
      </c>
      <c r="G12" s="308" t="s">
        <v>1189</v>
      </c>
      <c r="H12" s="308" t="s">
        <v>1952</v>
      </c>
      <c r="I12" s="308" t="s">
        <v>1957</v>
      </c>
      <c r="J12" s="308" t="s">
        <v>1930</v>
      </c>
      <c r="K12" s="308" t="s">
        <v>1931</v>
      </c>
      <c r="L12" s="308" t="s">
        <v>1932</v>
      </c>
      <c r="M12" s="308" t="s">
        <v>283</v>
      </c>
      <c r="N12" s="308" t="s">
        <v>1931</v>
      </c>
      <c r="O12" s="308" t="s">
        <v>1933</v>
      </c>
      <c r="P12" s="308" t="s">
        <v>1934</v>
      </c>
      <c r="Q12" s="308" t="s">
        <v>283</v>
      </c>
      <c r="R12" s="308" t="s">
        <v>1026</v>
      </c>
      <c r="S12" s="308" t="s">
        <v>1016</v>
      </c>
      <c r="T12" s="308" t="s">
        <v>276</v>
      </c>
      <c r="U12" s="308" t="s">
        <v>272</v>
      </c>
      <c r="V12" s="308" t="s">
        <v>273</v>
      </c>
      <c r="W12" s="308" t="s">
        <v>273</v>
      </c>
      <c r="X12" s="308" t="s">
        <v>273</v>
      </c>
      <c r="Y12" s="308" t="s">
        <v>273</v>
      </c>
      <c r="Z12" s="314" t="s">
        <v>298</v>
      </c>
      <c r="AA12" s="313" t="s">
        <v>1958</v>
      </c>
      <c r="AB12" s="311" t="s">
        <v>967</v>
      </c>
    </row>
    <row r="13" ht="24.75" customHeight="1" s="5" customFormat="1">
      <c r="A13" s="315" t="s">
        <v>276</v>
      </c>
      <c r="B13" s="316" t="s">
        <v>300</v>
      </c>
      <c r="C13" s="317" t="s">
        <v>1959</v>
      </c>
      <c r="D13" s="318" t="s">
        <v>302</v>
      </c>
      <c r="E13" s="319" t="s">
        <v>1960</v>
      </c>
      <c r="F13" s="320" t="s">
        <v>1928</v>
      </c>
      <c r="G13" s="320" t="s">
        <v>1189</v>
      </c>
      <c r="H13" s="320"/>
      <c r="I13" s="320" t="s">
        <v>881</v>
      </c>
      <c r="J13" s="320" t="s">
        <v>1038</v>
      </c>
      <c r="K13" s="320" t="s">
        <v>1038</v>
      </c>
      <c r="L13" s="320" t="s">
        <v>1932</v>
      </c>
      <c r="M13" s="321">
        <v>1395</v>
      </c>
      <c r="N13" s="320" t="s">
        <v>1038</v>
      </c>
      <c r="O13" s="320" t="s">
        <v>1038</v>
      </c>
      <c r="P13" s="320" t="s">
        <v>1934</v>
      </c>
      <c r="Q13" s="321">
        <v>1695</v>
      </c>
      <c r="R13" s="320" t="s">
        <v>1423</v>
      </c>
      <c r="S13" s="320" t="s">
        <v>629</v>
      </c>
      <c r="T13" s="320" t="s">
        <v>276</v>
      </c>
      <c r="U13" s="320" t="s">
        <v>507</v>
      </c>
      <c r="V13" s="320" t="s">
        <v>507</v>
      </c>
      <c r="W13" s="320" t="s">
        <v>507</v>
      </c>
      <c r="X13" s="320" t="s">
        <v>507</v>
      </c>
      <c r="Y13" s="320" t="s">
        <v>507</v>
      </c>
      <c r="Z13" s="323" t="s">
        <v>284</v>
      </c>
      <c r="AA13" s="324" t="s">
        <v>1981</v>
      </c>
      <c r="AB13" s="319" t="s">
        <v>1962</v>
      </c>
    </row>
    <row r="14" ht="24.75" customHeight="1" s="5" customFormat="1">
      <c r="A14" s="315" t="s">
        <v>210</v>
      </c>
      <c r="B14" s="316" t="s">
        <v>300</v>
      </c>
      <c r="C14" s="317" t="s">
        <v>1963</v>
      </c>
      <c r="D14" s="5"/>
      <c r="E14" s="319" t="s">
        <v>1964</v>
      </c>
      <c r="F14" s="320" t="s">
        <v>1928</v>
      </c>
      <c r="G14" s="320" t="s">
        <v>1189</v>
      </c>
      <c r="H14" s="320"/>
      <c r="I14" s="320" t="s">
        <v>323</v>
      </c>
      <c r="J14" s="320" t="s">
        <v>1038</v>
      </c>
      <c r="K14" s="320" t="s">
        <v>1038</v>
      </c>
      <c r="L14" s="320" t="s">
        <v>1932</v>
      </c>
      <c r="M14" s="321">
        <v>1825</v>
      </c>
      <c r="N14" s="320" t="s">
        <v>1038</v>
      </c>
      <c r="O14" s="320" t="s">
        <v>1038</v>
      </c>
      <c r="P14" s="320" t="s">
        <v>1934</v>
      </c>
      <c r="Q14" s="321">
        <v>2225</v>
      </c>
      <c r="R14" s="320" t="s">
        <v>1690</v>
      </c>
      <c r="S14" s="320" t="s">
        <v>1034</v>
      </c>
      <c r="T14" s="320" t="s">
        <v>210</v>
      </c>
      <c r="U14" s="320" t="s">
        <v>507</v>
      </c>
      <c r="V14" s="320" t="s">
        <v>507</v>
      </c>
      <c r="W14" s="320" t="s">
        <v>507</v>
      </c>
      <c r="X14" s="320" t="s">
        <v>507</v>
      </c>
      <c r="Y14" s="320" t="s">
        <v>507</v>
      </c>
      <c r="Z14" s="323" t="s">
        <v>284</v>
      </c>
      <c r="AA14" s="324" t="s">
        <v>1982</v>
      </c>
      <c r="AB14" s="319" t="s">
        <v>1966</v>
      </c>
    </row>
    <row r="15" ht="24.75" customHeight="1" s="5" customFormat="1">
      <c r="A15" s="315" t="s">
        <v>181</v>
      </c>
      <c r="B15" s="316" t="s">
        <v>300</v>
      </c>
      <c r="C15" s="317" t="s">
        <v>1967</v>
      </c>
      <c r="D15" s="5"/>
      <c r="E15" s="319" t="s">
        <v>1968</v>
      </c>
      <c r="F15" s="320" t="s">
        <v>1928</v>
      </c>
      <c r="G15" s="320" t="s">
        <v>1189</v>
      </c>
      <c r="H15" s="320"/>
      <c r="I15" s="320" t="s">
        <v>930</v>
      </c>
      <c r="J15" s="320" t="s">
        <v>1038</v>
      </c>
      <c r="K15" s="320" t="s">
        <v>1038</v>
      </c>
      <c r="L15" s="320" t="s">
        <v>1932</v>
      </c>
      <c r="M15" s="321">
        <v>1825</v>
      </c>
      <c r="N15" s="320" t="s">
        <v>1038</v>
      </c>
      <c r="O15" s="320" t="s">
        <v>1038</v>
      </c>
      <c r="P15" s="320" t="s">
        <v>1934</v>
      </c>
      <c r="Q15" s="321">
        <v>1760</v>
      </c>
      <c r="R15" s="320" t="s">
        <v>1265</v>
      </c>
      <c r="S15" s="320" t="s">
        <v>636</v>
      </c>
      <c r="T15" s="320" t="s">
        <v>210</v>
      </c>
      <c r="U15" s="320" t="s">
        <v>507</v>
      </c>
      <c r="V15" s="320" t="s">
        <v>507</v>
      </c>
      <c r="W15" s="320" t="s">
        <v>507</v>
      </c>
      <c r="X15" s="320" t="s">
        <v>507</v>
      </c>
      <c r="Y15" s="320" t="s">
        <v>507</v>
      </c>
      <c r="Z15" s="323" t="s">
        <v>284</v>
      </c>
      <c r="AA15" s="324" t="s">
        <v>1983</v>
      </c>
      <c r="AB15" s="319" t="s">
        <v>1966</v>
      </c>
    </row>
    <row r="16" ht="24.75" customHeight="1" s="5" customFormat="1">
      <c r="A16" s="315" t="s">
        <v>320</v>
      </c>
      <c r="B16" s="316" t="s">
        <v>300</v>
      </c>
      <c r="C16" s="317" t="s">
        <v>1970</v>
      </c>
      <c r="D16" s="5"/>
      <c r="E16" s="319" t="s">
        <v>1971</v>
      </c>
      <c r="F16" s="320" t="s">
        <v>1928</v>
      </c>
      <c r="G16" s="320" t="s">
        <v>1189</v>
      </c>
      <c r="H16" s="320"/>
      <c r="I16" s="320" t="s">
        <v>499</v>
      </c>
      <c r="J16" s="320" t="s">
        <v>1038</v>
      </c>
      <c r="K16" s="320" t="s">
        <v>1038</v>
      </c>
      <c r="L16" s="320" t="s">
        <v>1932</v>
      </c>
      <c r="M16" s="321">
        <v>1750</v>
      </c>
      <c r="N16" s="320" t="s">
        <v>1038</v>
      </c>
      <c r="O16" s="320" t="s">
        <v>1038</v>
      </c>
      <c r="P16" s="320" t="s">
        <v>1934</v>
      </c>
      <c r="Q16" s="321">
        <v>1800</v>
      </c>
      <c r="R16" s="320" t="s">
        <v>748</v>
      </c>
      <c r="S16" s="320" t="s">
        <v>1016</v>
      </c>
      <c r="T16" s="320" t="s">
        <v>276</v>
      </c>
      <c r="U16" s="320" t="s">
        <v>507</v>
      </c>
      <c r="V16" s="320" t="s">
        <v>507</v>
      </c>
      <c r="W16" s="320" t="s">
        <v>507</v>
      </c>
      <c r="X16" s="320" t="s">
        <v>507</v>
      </c>
      <c r="Y16" s="320" t="s">
        <v>507</v>
      </c>
      <c r="Z16" s="323" t="s">
        <v>284</v>
      </c>
      <c r="AA16" s="324" t="s">
        <v>1984</v>
      </c>
      <c r="AB16" s="319" t="s">
        <v>1966</v>
      </c>
    </row>
    <row r="17" ht="28.5" customHeight="1" s="5" customFormat="1">
      <c r="A17" s="325" t="s">
        <v>154</v>
      </c>
      <c r="B17" s="326" t="s">
        <v>339</v>
      </c>
      <c r="C17" s="327" t="s">
        <v>1973</v>
      </c>
      <c r="D17" s="5"/>
      <c r="E17" s="325" t="s">
        <v>64</v>
      </c>
      <c r="F17" s="325" t="s">
        <v>1928</v>
      </c>
      <c r="G17" s="325" t="s">
        <v>1189</v>
      </c>
      <c r="H17" s="325"/>
      <c r="I17" s="325"/>
      <c r="J17" s="325" t="s">
        <v>64</v>
      </c>
      <c r="K17" s="325" t="s">
        <v>64</v>
      </c>
      <c r="L17" s="325" t="s">
        <v>1932</v>
      </c>
      <c r="M17" s="325" t="s">
        <v>1932</v>
      </c>
      <c r="N17" s="325" t="s">
        <v>64</v>
      </c>
      <c r="O17" s="325" t="s">
        <v>64</v>
      </c>
      <c r="P17" s="325" t="s">
        <v>1934</v>
      </c>
      <c r="Q17" s="325" t="s">
        <v>1934</v>
      </c>
      <c r="R17" s="325"/>
      <c r="S17" s="325"/>
      <c r="T17" s="325"/>
      <c r="U17" s="325"/>
      <c r="V17" s="325"/>
      <c r="W17" s="325"/>
      <c r="X17" s="325"/>
      <c r="Y17" s="325"/>
      <c r="Z17" s="316" t="s">
        <v>339</v>
      </c>
      <c r="AA17" s="328" t="s">
        <v>1974</v>
      </c>
      <c r="AB17" s="328" t="s">
        <v>342</v>
      </c>
    </row>
    <row r="18" ht="34.5" customHeight="1" s="5" customFormat="1">
      <c r="A18" s="329" t="s">
        <v>154</v>
      </c>
      <c r="B18" s="326" t="s">
        <v>339</v>
      </c>
      <c r="C18" s="330" t="s">
        <v>1975</v>
      </c>
      <c r="D18" s="5"/>
      <c r="E18" s="329" t="s">
        <v>64</v>
      </c>
      <c r="F18" s="329" t="s">
        <v>1928</v>
      </c>
      <c r="G18" s="329" t="s">
        <v>1189</v>
      </c>
      <c r="H18" s="329"/>
      <c r="I18" s="329"/>
      <c r="J18" s="329"/>
      <c r="K18" s="329"/>
      <c r="L18" s="329"/>
      <c r="M18" s="331">
        <v>1699</v>
      </c>
      <c r="N18" s="329"/>
      <c r="O18" s="329"/>
      <c r="P18" s="329"/>
      <c r="Q18" s="331">
        <v>1870</v>
      </c>
      <c r="R18" s="329"/>
      <c r="S18" s="329"/>
      <c r="T18" s="329"/>
      <c r="U18" s="329"/>
      <c r="V18" s="329"/>
      <c r="W18" s="329"/>
      <c r="X18" s="329"/>
      <c r="Y18" s="329"/>
      <c r="Z18" s="316" t="s">
        <v>339</v>
      </c>
      <c r="AA18" s="332" t="s">
        <v>1061</v>
      </c>
      <c r="AB18" s="332" t="s">
        <v>1062</v>
      </c>
    </row>
    <row r="20" ht="14.25" customHeight="1" s="5" customFormat="1">
      <c r="A20" s="333" t="s">
        <v>1063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2" ht="18" customHeight="1" s="5" customFormat="1">
      <c r="A22" s="334" t="s">
        <v>349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ht="15.75" customHeight="1" s="5" customFormat="1">
      <c r="A23" s="335" t="s">
        <v>1064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ht="15.75" customHeight="1" s="5" customFormat="1">
      <c r="A24" s="5"/>
      <c r="B24" s="336" t="s">
        <v>351</v>
      </c>
      <c r="C24" s="336" t="s">
        <v>352</v>
      </c>
      <c r="D24" s="5"/>
      <c r="E24" s="336" t="s">
        <v>353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ht="20.25" customHeight="1" s="5" customFormat="1">
      <c r="A25" s="337" t="s">
        <v>160</v>
      </c>
      <c r="B25" s="338">
        <f>'Current Rents'!D45</f>
        <v>1212</v>
      </c>
      <c r="C25" s="339">
        <v>1699</v>
      </c>
      <c r="D25" s="5"/>
      <c r="E25" s="340">
        <f t="shared" si="0" ref="E25:E26">B25-C25</f>
        <v>-487</v>
      </c>
      <c r="F25" s="161" t="str">
        <f>IF(E25&lt;-75,"LOOK INTO INCREASING THE RENT!","")</f>
        <v>LOOK INTO INCREASING THE RENT!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ht="20.25" customHeight="1" s="5" customFormat="1">
      <c r="A26" s="337" t="s">
        <v>151</v>
      </c>
      <c r="B26" s="338">
        <f>'Current Rents'!E45</f>
        <v>1383</v>
      </c>
      <c r="C26" s="339">
        <v>1870</v>
      </c>
      <c r="D26" s="5"/>
      <c r="E26" s="340">
        <f t="shared" si="0"/>
        <v>-487</v>
      </c>
      <c r="F26" s="161" t="str">
        <f>IF(E26&lt;-75,"LOOK INTO INCREASING THE RENT!","")</f>
        <v>LOOK INTO INCREASING THE RENT!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</sheetData>
  <mergeCells>
    <mergeCell ref="Z3:AB3"/>
    <mergeCell ref="A4:AB4"/>
    <mergeCell ref="A23:H23"/>
    <mergeCell ref="C8:D8"/>
    <mergeCell ref="C9:D9"/>
    <mergeCell ref="C12:D12"/>
    <mergeCell ref="C18:D18"/>
    <mergeCell ref="C17:D17"/>
    <mergeCell ref="A22:H22"/>
    <mergeCell ref="C10:D10"/>
    <mergeCell ref="C7:D7"/>
    <mergeCell ref="A3:Y3"/>
    <mergeCell ref="A20:AB20"/>
    <mergeCell ref="C24:D24"/>
    <mergeCell ref="C11:D11"/>
    <mergeCell ref="A5:AB5"/>
    <mergeCell ref="D13:D16"/>
    <mergeCell ref="A6:AB6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E82A5A8-6388-66A2-AD38-6C7AB0F317B8}" mc:Ignorable="x14ac xr xr2 xr3">
  <dimension ref="A1:AJ25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style="5" width="9.00390625" customWidth="1"/>
    <col min="2" max="2" style="5" width="18.57421875" customWidth="1"/>
    <col min="3" max="3" style="5" width="42.00390625" customWidth="1"/>
    <col min="4" max="4" style="5" width="4.7109375" customWidth="1"/>
    <col min="5" max="5" style="5" width="31.00390625" customWidth="1"/>
    <col min="6" max="6" style="5" width="14.28125" customWidth="1"/>
    <col min="7" max="7" style="5" width="9.28125" customWidth="1"/>
    <col min="8" max="9" style="5" width="13.00390625" customWidth="1"/>
    <col min="10" max="10" style="5" width="7.00390625" hidden="1" customWidth="1"/>
    <col min="11" max="11" style="5" width="13.00390625" customWidth="1"/>
    <col min="12" max="12" style="5" width="5.28125" hidden="1" customWidth="1"/>
    <col min="13" max="13" style="5" width="16.7109375" customWidth="1"/>
    <col min="14" max="14" style="5" width="7.00390625" hidden="1" customWidth="1"/>
    <col min="15" max="15" style="5" width="13.00390625" customWidth="1"/>
    <col min="16" max="16" style="5" width="5.28125" hidden="1" customWidth="1"/>
    <col min="17" max="17" style="5" width="16.7109375" customWidth="1"/>
    <col min="18" max="18" style="5" width="7.00390625" hidden="1" customWidth="1"/>
    <col min="19" max="19" style="5" width="13.00390625" customWidth="1"/>
    <col min="20" max="20" style="5" width="5.28125" hidden="1" customWidth="1"/>
    <col min="21" max="21" style="5" width="16.7109375" customWidth="1"/>
    <col min="22" max="22" style="5" width="7.00390625" hidden="1" customWidth="1"/>
    <col min="23" max="23" style="5" width="13.00390625" customWidth="1"/>
    <col min="24" max="24" style="5" width="5.28125" hidden="1" customWidth="1"/>
    <col min="25" max="25" style="5" width="16.7109375" customWidth="1"/>
    <col min="26" max="26" style="5" width="9.421875" customWidth="1"/>
    <col min="27" max="33" style="5" width="13.00390625" customWidth="1"/>
    <col min="34" max="34" style="5" width="24.57421875" customWidth="1"/>
    <col min="35" max="35" style="5" width="55.7109375" customWidth="1"/>
    <col min="36" max="36" style="5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36" customHeight="1" s="5" customFormat="1">
      <c r="A3" s="295" t="s">
        <v>1985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296" t="s">
        <v>1986</v>
      </c>
      <c r="AI3" s="5"/>
      <c r="AJ3" s="5"/>
    </row>
    <row r="4" ht="18" customHeight="1" s="5" customFormat="1">
      <c r="A4" s="297" t="s">
        <v>1987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14.25" customHeight="1" s="5" customFormat="1">
      <c r="A5" s="298" t="s">
        <v>1012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ht="25.5" customHeight="1" s="5" customFormat="1">
      <c r="A6" s="299" t="s">
        <v>1013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ht="25.5" customHeight="1" s="5" customFormat="1">
      <c r="A7" s="300" t="s">
        <v>233</v>
      </c>
      <c r="B7" s="300" t="s">
        <v>234</v>
      </c>
      <c r="C7" s="300" t="s">
        <v>3</v>
      </c>
      <c r="D7" s="5"/>
      <c r="E7" s="300" t="s">
        <v>235</v>
      </c>
      <c r="F7" s="300" t="s">
        <v>236</v>
      </c>
      <c r="G7" s="300" t="s">
        <v>237</v>
      </c>
      <c r="H7" s="300" t="s">
        <v>238</v>
      </c>
      <c r="I7" s="300" t="s">
        <v>239</v>
      </c>
      <c r="J7" s="300" t="s">
        <v>444</v>
      </c>
      <c r="K7" s="300" t="s">
        <v>445</v>
      </c>
      <c r="L7" s="300" t="s">
        <v>446</v>
      </c>
      <c r="M7" s="301" t="s">
        <v>447</v>
      </c>
      <c r="N7" s="300" t="s">
        <v>240</v>
      </c>
      <c r="O7" s="300" t="s">
        <v>241</v>
      </c>
      <c r="P7" s="300" t="s">
        <v>242</v>
      </c>
      <c r="Q7" s="301" t="s">
        <v>360</v>
      </c>
      <c r="R7" s="300" t="s">
        <v>244</v>
      </c>
      <c r="S7" s="300" t="s">
        <v>245</v>
      </c>
      <c r="T7" s="300" t="s">
        <v>246</v>
      </c>
      <c r="U7" s="301" t="s">
        <v>361</v>
      </c>
      <c r="V7" s="300" t="s">
        <v>697</v>
      </c>
      <c r="W7" s="300" t="s">
        <v>698</v>
      </c>
      <c r="X7" s="300" t="s">
        <v>699</v>
      </c>
      <c r="Y7" s="301" t="s">
        <v>700</v>
      </c>
      <c r="Z7" s="300" t="s">
        <v>6</v>
      </c>
      <c r="AA7" s="300" t="s">
        <v>248</v>
      </c>
      <c r="AB7" s="300" t="s">
        <v>249</v>
      </c>
      <c r="AC7" s="300" t="s">
        <v>250</v>
      </c>
      <c r="AD7" s="300" t="s">
        <v>251</v>
      </c>
      <c r="AE7" s="300" t="s">
        <v>252</v>
      </c>
      <c r="AF7" s="300" t="s">
        <v>253</v>
      </c>
      <c r="AG7" s="300" t="s">
        <v>254</v>
      </c>
      <c r="AH7" s="301" t="s">
        <v>255</v>
      </c>
      <c r="AI7" s="300" t="s">
        <v>256</v>
      </c>
      <c r="AJ7" s="300" t="s">
        <v>257</v>
      </c>
    </row>
    <row r="8" ht="21.75" customHeight="1" s="5" customFormat="1">
      <c r="A8" s="302" t="s">
        <v>258</v>
      </c>
      <c r="B8" s="303" t="s">
        <v>259</v>
      </c>
      <c r="C8" s="304" t="s">
        <v>1988</v>
      </c>
      <c r="D8" s="5"/>
      <c r="E8" s="304" t="s">
        <v>1989</v>
      </c>
      <c r="F8" s="305" t="s">
        <v>1990</v>
      </c>
      <c r="G8" s="305" t="s">
        <v>1189</v>
      </c>
      <c r="H8" s="305" t="s">
        <v>1991</v>
      </c>
      <c r="I8" s="305" t="s">
        <v>265</v>
      </c>
      <c r="J8" s="305" t="s">
        <v>1992</v>
      </c>
      <c r="K8" s="305" t="s">
        <v>1993</v>
      </c>
      <c r="L8" s="305" t="s">
        <v>1994</v>
      </c>
      <c r="M8" s="306" t="str">
        <f>'Current Rents'!D46</f>
        <v>—</v>
      </c>
      <c r="N8" s="305" t="s">
        <v>1993</v>
      </c>
      <c r="O8" s="305" t="s">
        <v>1995</v>
      </c>
      <c r="P8" s="305" t="s">
        <v>1996</v>
      </c>
      <c r="Q8" s="306">
        <f>'Current Rents'!E46</f>
        <v>1364</v>
      </c>
      <c r="R8" s="305" t="s">
        <v>1997</v>
      </c>
      <c r="S8" s="305" t="s">
        <v>1998</v>
      </c>
      <c r="T8" s="305" t="s">
        <v>1999</v>
      </c>
      <c r="U8" s="306">
        <f>'Current Rents'!F46</f>
        <v>1577.5</v>
      </c>
      <c r="V8" s="305" t="s">
        <v>1026</v>
      </c>
      <c r="W8" s="305" t="s">
        <v>636</v>
      </c>
      <c r="X8" s="305" t="s">
        <v>462</v>
      </c>
      <c r="Y8" s="306">
        <f>'Current Rents'!G46</f>
        <v>1731</v>
      </c>
      <c r="Z8" s="305" t="s">
        <v>273</v>
      </c>
      <c r="AA8" s="305" t="s">
        <v>273</v>
      </c>
      <c r="AB8" s="305">
        <v>0</v>
      </c>
      <c r="AC8" s="305" t="s">
        <v>273</v>
      </c>
      <c r="AD8" s="305" t="s">
        <v>259</v>
      </c>
      <c r="AE8" s="305" t="s">
        <v>2000</v>
      </c>
      <c r="AF8" s="305" t="s">
        <v>275</v>
      </c>
      <c r="AG8" s="305"/>
      <c r="AH8" s="303" t="s">
        <v>259</v>
      </c>
      <c r="AI8" s="307"/>
      <c r="AJ8" s="304"/>
    </row>
    <row r="9" ht="21.75" customHeight="1" s="5" customFormat="1">
      <c r="A9" s="308" t="s">
        <v>276</v>
      </c>
      <c r="B9" s="309" t="s">
        <v>277</v>
      </c>
      <c r="C9" s="310" t="s">
        <v>2001</v>
      </c>
      <c r="D9" s="5"/>
      <c r="E9" s="311" t="s">
        <v>2002</v>
      </c>
      <c r="F9" s="308" t="s">
        <v>2003</v>
      </c>
      <c r="G9" s="308" t="s">
        <v>1189</v>
      </c>
      <c r="H9" s="308" t="s">
        <v>2004</v>
      </c>
      <c r="I9" s="308" t="s">
        <v>512</v>
      </c>
      <c r="J9" s="308" t="s">
        <v>1992</v>
      </c>
      <c r="K9" s="308" t="s">
        <v>1993</v>
      </c>
      <c r="L9" s="308" t="s">
        <v>1994</v>
      </c>
      <c r="M9" s="308" t="s">
        <v>283</v>
      </c>
      <c r="N9" s="308" t="s">
        <v>1993</v>
      </c>
      <c r="O9" s="308" t="s">
        <v>1995</v>
      </c>
      <c r="P9" s="308" t="s">
        <v>1996</v>
      </c>
      <c r="Q9" s="308" t="s">
        <v>283</v>
      </c>
      <c r="R9" s="308" t="s">
        <v>1997</v>
      </c>
      <c r="S9" s="308" t="s">
        <v>1998</v>
      </c>
      <c r="T9" s="308" t="s">
        <v>1999</v>
      </c>
      <c r="U9" s="308" t="s">
        <v>283</v>
      </c>
      <c r="V9" s="308" t="s">
        <v>1026</v>
      </c>
      <c r="W9" s="308" t="s">
        <v>1027</v>
      </c>
      <c r="X9" s="308" t="s">
        <v>210</v>
      </c>
      <c r="Y9" s="308" t="s">
        <v>272</v>
      </c>
      <c r="Z9" s="308" t="s">
        <v>273</v>
      </c>
      <c r="AA9" s="308" t="s">
        <v>273</v>
      </c>
      <c r="AB9" s="308" t="s">
        <v>273</v>
      </c>
      <c r="AC9" s="308" t="s">
        <v>273</v>
      </c>
      <c r="AD9" s="308" t="s">
        <v>284</v>
      </c>
      <c r="AE9" s="308" t="s">
        <v>2005</v>
      </c>
      <c r="AF9" s="308" t="s">
        <v>967</v>
      </c>
      <c r="AG9" s="308"/>
      <c r="AH9" s="312"/>
      <c r="AI9" s="313"/>
      <c r="AJ9" s="311"/>
    </row>
    <row r="10" ht="21.75" customHeight="1" s="5" customFormat="1">
      <c r="A10" s="308" t="s">
        <v>210</v>
      </c>
      <c r="B10" s="309" t="s">
        <v>277</v>
      </c>
      <c r="C10" s="310" t="s">
        <v>2006</v>
      </c>
      <c r="D10" s="5"/>
      <c r="E10" s="311" t="s">
        <v>2007</v>
      </c>
      <c r="F10" s="308" t="s">
        <v>1990</v>
      </c>
      <c r="G10" s="308" t="s">
        <v>1189</v>
      </c>
      <c r="H10" s="308" t="s">
        <v>1991</v>
      </c>
      <c r="I10" s="308" t="s">
        <v>311</v>
      </c>
      <c r="J10" s="308" t="s">
        <v>1992</v>
      </c>
      <c r="K10" s="308" t="s">
        <v>1993</v>
      </c>
      <c r="L10" s="308" t="s">
        <v>1994</v>
      </c>
      <c r="M10" s="308" t="s">
        <v>283</v>
      </c>
      <c r="N10" s="308" t="s">
        <v>1993</v>
      </c>
      <c r="O10" s="308" t="s">
        <v>1995</v>
      </c>
      <c r="P10" s="308" t="s">
        <v>1996</v>
      </c>
      <c r="Q10" s="308" t="s">
        <v>283</v>
      </c>
      <c r="R10" s="308" t="s">
        <v>1997</v>
      </c>
      <c r="S10" s="308" t="s">
        <v>1998</v>
      </c>
      <c r="T10" s="308" t="s">
        <v>1999</v>
      </c>
      <c r="U10" s="308" t="s">
        <v>283</v>
      </c>
      <c r="V10" s="308" t="s">
        <v>180</v>
      </c>
      <c r="W10" s="308" t="s">
        <v>629</v>
      </c>
      <c r="X10" s="308" t="s">
        <v>276</v>
      </c>
      <c r="Y10" s="308" t="s">
        <v>272</v>
      </c>
      <c r="Z10" s="308" t="s">
        <v>273</v>
      </c>
      <c r="AA10" s="308" t="s">
        <v>273</v>
      </c>
      <c r="AB10" s="308" t="s">
        <v>273</v>
      </c>
      <c r="AC10" s="308" t="s">
        <v>273</v>
      </c>
      <c r="AD10" s="308" t="s">
        <v>284</v>
      </c>
      <c r="AE10" s="308" t="s">
        <v>2008</v>
      </c>
      <c r="AF10" s="308" t="s">
        <v>967</v>
      </c>
      <c r="AG10" s="308"/>
      <c r="AH10" s="312"/>
      <c r="AI10" s="313"/>
      <c r="AJ10" s="311"/>
    </row>
    <row r="11" ht="21.75" customHeight="1" s="5" customFormat="1">
      <c r="A11" s="308" t="s">
        <v>181</v>
      </c>
      <c r="B11" s="309" t="s">
        <v>277</v>
      </c>
      <c r="C11" s="310" t="s">
        <v>2009</v>
      </c>
      <c r="D11" s="5"/>
      <c r="E11" s="311" t="s">
        <v>1927</v>
      </c>
      <c r="F11" s="308" t="s">
        <v>1928</v>
      </c>
      <c r="G11" s="308" t="s">
        <v>1189</v>
      </c>
      <c r="H11" s="308" t="s">
        <v>1929</v>
      </c>
      <c r="I11" s="308" t="s">
        <v>2010</v>
      </c>
      <c r="J11" s="308" t="s">
        <v>1992</v>
      </c>
      <c r="K11" s="308" t="s">
        <v>1993</v>
      </c>
      <c r="L11" s="308" t="s">
        <v>1994</v>
      </c>
      <c r="M11" s="308" t="s">
        <v>2011</v>
      </c>
      <c r="N11" s="308" t="s">
        <v>1993</v>
      </c>
      <c r="O11" s="308" t="s">
        <v>1995</v>
      </c>
      <c r="P11" s="308" t="s">
        <v>1996</v>
      </c>
      <c r="Q11" s="308" t="s">
        <v>2012</v>
      </c>
      <c r="R11" s="308" t="s">
        <v>1997</v>
      </c>
      <c r="S11" s="308" t="s">
        <v>1998</v>
      </c>
      <c r="T11" s="308" t="s">
        <v>1999</v>
      </c>
      <c r="U11" s="308" t="s">
        <v>283</v>
      </c>
      <c r="V11" s="308" t="s">
        <v>1026</v>
      </c>
      <c r="W11" s="308" t="s">
        <v>636</v>
      </c>
      <c r="X11" s="308" t="s">
        <v>462</v>
      </c>
      <c r="Y11" s="308" t="s">
        <v>272</v>
      </c>
      <c r="Z11" s="308" t="s">
        <v>273</v>
      </c>
      <c r="AA11" s="308" t="s">
        <v>273</v>
      </c>
      <c r="AB11" s="308" t="s">
        <v>273</v>
      </c>
      <c r="AC11" s="308" t="s">
        <v>273</v>
      </c>
      <c r="AD11" s="308" t="s">
        <v>982</v>
      </c>
      <c r="AE11" s="308" t="s">
        <v>2013</v>
      </c>
      <c r="AF11" s="308" t="s">
        <v>967</v>
      </c>
      <c r="AG11" s="308"/>
      <c r="AH11" s="312"/>
      <c r="AI11" s="313"/>
      <c r="AJ11" s="311"/>
    </row>
    <row r="12" ht="21.75" customHeight="1" s="5" customFormat="1">
      <c r="A12" s="308" t="s">
        <v>320</v>
      </c>
      <c r="B12" s="309" t="s">
        <v>277</v>
      </c>
      <c r="C12" s="310" t="s">
        <v>2014</v>
      </c>
      <c r="D12" s="5"/>
      <c r="E12" s="311" t="s">
        <v>1980</v>
      </c>
      <c r="F12" s="308" t="s">
        <v>1928</v>
      </c>
      <c r="G12" s="308" t="s">
        <v>1189</v>
      </c>
      <c r="H12" s="308" t="s">
        <v>1938</v>
      </c>
      <c r="I12" s="308" t="s">
        <v>2015</v>
      </c>
      <c r="J12" s="308" t="s">
        <v>1992</v>
      </c>
      <c r="K12" s="308" t="s">
        <v>1993</v>
      </c>
      <c r="L12" s="308" t="s">
        <v>1994</v>
      </c>
      <c r="M12" s="308" t="s">
        <v>283</v>
      </c>
      <c r="N12" s="308" t="s">
        <v>1993</v>
      </c>
      <c r="O12" s="308" t="s">
        <v>1995</v>
      </c>
      <c r="P12" s="308" t="s">
        <v>1996</v>
      </c>
      <c r="Q12" s="308" t="s">
        <v>283</v>
      </c>
      <c r="R12" s="308" t="s">
        <v>1997</v>
      </c>
      <c r="S12" s="308" t="s">
        <v>1998</v>
      </c>
      <c r="T12" s="308" t="s">
        <v>1999</v>
      </c>
      <c r="U12" s="308" t="s">
        <v>283</v>
      </c>
      <c r="V12" s="308" t="s">
        <v>1026</v>
      </c>
      <c r="W12" s="308" t="s">
        <v>636</v>
      </c>
      <c r="X12" s="308" t="s">
        <v>462</v>
      </c>
      <c r="Y12" s="308" t="s">
        <v>272</v>
      </c>
      <c r="Z12" s="308" t="s">
        <v>273</v>
      </c>
      <c r="AA12" s="308" t="s">
        <v>273</v>
      </c>
      <c r="AB12" s="308" t="s">
        <v>273</v>
      </c>
      <c r="AC12" s="308" t="s">
        <v>273</v>
      </c>
      <c r="AD12" s="308" t="s">
        <v>982</v>
      </c>
      <c r="AE12" s="308" t="s">
        <v>2016</v>
      </c>
      <c r="AF12" s="308" t="s">
        <v>967</v>
      </c>
      <c r="AG12" s="308"/>
      <c r="AH12" s="312"/>
      <c r="AI12" s="313"/>
      <c r="AJ12" s="311"/>
    </row>
    <row r="13" ht="24.75" customHeight="1" s="5" customFormat="1">
      <c r="A13" s="315" t="s">
        <v>276</v>
      </c>
      <c r="B13" s="316" t="s">
        <v>300</v>
      </c>
      <c r="C13" s="317" t="s">
        <v>2017</v>
      </c>
      <c r="D13" s="318" t="s">
        <v>302</v>
      </c>
      <c r="E13" s="319" t="s">
        <v>2018</v>
      </c>
      <c r="F13" s="320" t="s">
        <v>1990</v>
      </c>
      <c r="G13" s="320" t="s">
        <v>1189</v>
      </c>
      <c r="H13" s="320"/>
      <c r="I13" s="320" t="s">
        <v>930</v>
      </c>
      <c r="J13" s="320" t="s">
        <v>1038</v>
      </c>
      <c r="K13" s="320" t="s">
        <v>1038</v>
      </c>
      <c r="L13" s="320" t="s">
        <v>1994</v>
      </c>
      <c r="M13" s="321">
        <v>1365</v>
      </c>
      <c r="N13" s="320" t="s">
        <v>1038</v>
      </c>
      <c r="O13" s="320" t="s">
        <v>1038</v>
      </c>
      <c r="P13" s="320" t="s">
        <v>1996</v>
      </c>
      <c r="Q13" s="321">
        <v>1420</v>
      </c>
      <c r="R13" s="320" t="s">
        <v>1038</v>
      </c>
      <c r="S13" s="320" t="s">
        <v>1038</v>
      </c>
      <c r="T13" s="320" t="s">
        <v>1999</v>
      </c>
      <c r="U13" s="321">
        <v>2050</v>
      </c>
      <c r="V13" s="320" t="s">
        <v>64</v>
      </c>
      <c r="W13" s="320" t="s">
        <v>636</v>
      </c>
      <c r="X13" s="320" t="s">
        <v>462</v>
      </c>
      <c r="Y13" s="322" t="s">
        <v>507</v>
      </c>
      <c r="Z13" s="320" t="s">
        <v>507</v>
      </c>
      <c r="AA13" s="320" t="s">
        <v>507</v>
      </c>
      <c r="AB13" s="320" t="s">
        <v>507</v>
      </c>
      <c r="AC13" s="320" t="s">
        <v>507</v>
      </c>
      <c r="AD13" s="320" t="s">
        <v>284</v>
      </c>
      <c r="AE13" s="320" t="s">
        <v>2019</v>
      </c>
      <c r="AF13" s="320" t="s">
        <v>2020</v>
      </c>
      <c r="AG13" s="320"/>
      <c r="AH13" s="323"/>
      <c r="AI13" s="324"/>
      <c r="AJ13" s="319"/>
    </row>
    <row r="14" ht="28.5" customHeight="1" s="5" customFormat="1">
      <c r="A14" s="325" t="s">
        <v>154</v>
      </c>
      <c r="B14" s="326" t="s">
        <v>339</v>
      </c>
      <c r="C14" s="327" t="s">
        <v>2021</v>
      </c>
      <c r="D14" s="5"/>
      <c r="E14" s="325" t="s">
        <v>64</v>
      </c>
      <c r="F14" s="325" t="s">
        <v>1990</v>
      </c>
      <c r="G14" s="325" t="s">
        <v>1189</v>
      </c>
      <c r="H14" s="325"/>
      <c r="I14" s="325"/>
      <c r="J14" s="325" t="s">
        <v>64</v>
      </c>
      <c r="K14" s="325" t="s">
        <v>64</v>
      </c>
      <c r="L14" s="325" t="s">
        <v>1994</v>
      </c>
      <c r="M14" s="325" t="s">
        <v>1994</v>
      </c>
      <c r="N14" s="325" t="s">
        <v>64</v>
      </c>
      <c r="O14" s="325" t="s">
        <v>64</v>
      </c>
      <c r="P14" s="325" t="s">
        <v>1996</v>
      </c>
      <c r="Q14" s="325" t="s">
        <v>1996</v>
      </c>
      <c r="R14" s="325" t="s">
        <v>64</v>
      </c>
      <c r="S14" s="325" t="s">
        <v>64</v>
      </c>
      <c r="T14" s="325" t="s">
        <v>1999</v>
      </c>
      <c r="U14" s="325" t="s">
        <v>1999</v>
      </c>
      <c r="V14" s="325" t="s">
        <v>64</v>
      </c>
      <c r="W14" s="325" t="s">
        <v>64</v>
      </c>
      <c r="X14" s="325" t="s">
        <v>462</v>
      </c>
      <c r="Y14" s="325" t="s">
        <v>462</v>
      </c>
      <c r="Z14" s="325"/>
      <c r="AA14" s="325"/>
      <c r="AB14" s="325"/>
      <c r="AC14" s="325"/>
      <c r="AD14" s="325"/>
      <c r="AE14" s="325"/>
      <c r="AF14" s="325"/>
      <c r="AG14" s="325"/>
      <c r="AH14" s="316" t="s">
        <v>339</v>
      </c>
      <c r="AI14" s="328" t="s">
        <v>2022</v>
      </c>
      <c r="AJ14" s="328" t="s">
        <v>342</v>
      </c>
    </row>
    <row r="15" ht="34.5" customHeight="1" s="5" customFormat="1">
      <c r="A15" s="329" t="s">
        <v>154</v>
      </c>
      <c r="B15" s="326" t="s">
        <v>339</v>
      </c>
      <c r="C15" s="330" t="s">
        <v>2023</v>
      </c>
      <c r="D15" s="5"/>
      <c r="E15" s="329" t="s">
        <v>64</v>
      </c>
      <c r="F15" s="329" t="s">
        <v>1990</v>
      </c>
      <c r="G15" s="329" t="s">
        <v>1189</v>
      </c>
      <c r="H15" s="329"/>
      <c r="I15" s="329"/>
      <c r="J15" s="329"/>
      <c r="K15" s="329"/>
      <c r="L15" s="329"/>
      <c r="M15" s="331">
        <v>1365</v>
      </c>
      <c r="N15" s="329"/>
      <c r="O15" s="329"/>
      <c r="P15" s="329"/>
      <c r="Q15" s="331">
        <v>1420</v>
      </c>
      <c r="R15" s="329"/>
      <c r="S15" s="329"/>
      <c r="T15" s="329"/>
      <c r="U15" s="331">
        <v>2050</v>
      </c>
      <c r="V15" s="329"/>
      <c r="W15" s="329"/>
      <c r="X15" s="329"/>
      <c r="Y15" s="331"/>
      <c r="Z15" s="329"/>
      <c r="AA15" s="329"/>
      <c r="AB15" s="329"/>
      <c r="AC15" s="329"/>
      <c r="AD15" s="329"/>
      <c r="AE15" s="329"/>
      <c r="AF15" s="329"/>
      <c r="AG15" s="329"/>
      <c r="AH15" s="316" t="s">
        <v>339</v>
      </c>
      <c r="AI15" s="332" t="s">
        <v>2024</v>
      </c>
      <c r="AJ15" s="332" t="s">
        <v>1062</v>
      </c>
    </row>
    <row r="17" ht="14.25" customHeight="1" s="5" customFormat="1">
      <c r="A17" s="333" t="s">
        <v>1063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</row>
    <row r="19" ht="18" customHeight="1" s="5" customFormat="1">
      <c r="A19" s="334" t="s">
        <v>349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 ht="15.75" customHeight="1" s="5" customFormat="1">
      <c r="A20" s="335" t="s">
        <v>2025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1" ht="15.75" customHeight="1" s="5" customFormat="1">
      <c r="A21" s="5"/>
      <c r="B21" s="336" t="s">
        <v>351</v>
      </c>
      <c r="C21" s="336" t="s">
        <v>352</v>
      </c>
      <c r="D21" s="5"/>
      <c r="E21" s="336" t="s">
        <v>353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</row>
    <row r="22" ht="20.25" customHeight="1" s="5" customFormat="1">
      <c r="A22" s="337" t="s">
        <v>160</v>
      </c>
      <c r="B22" s="338" t="str">
        <f>'Current Rents'!D46</f>
        <v>—</v>
      </c>
      <c r="C22" s="339">
        <v>1365</v>
      </c>
      <c r="D22" s="5"/>
      <c r="E22" s="340" t="e">
        <f t="shared" si="0" ref="E22:E25">B22-C22</f>
        <v>#VALUE!</v>
      </c>
      <c r="F22" s="161" t="e">
        <f>IF(E22&lt;-75,"LOOK INTO INCREASING THE RENT!","")</f>
        <v>#VALUE!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  <row r="23" ht="20.25" customHeight="1" s="5" customFormat="1">
      <c r="A23" s="337" t="s">
        <v>151</v>
      </c>
      <c r="B23" s="338">
        <f>'Current Rents'!E46</f>
        <v>1364</v>
      </c>
      <c r="C23" s="339">
        <v>1420</v>
      </c>
      <c r="D23" s="5"/>
      <c r="E23" s="340">
        <f t="shared" si="0"/>
        <v>-56</v>
      </c>
      <c r="F23" s="161" t="str">
        <f>IF(E23&lt;-75,"LOOK INTO INCREASING THE RENT!","")</f>
        <v/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 ht="20.25" customHeight="1" s="5" customFormat="1">
      <c r="A24" s="337" t="s">
        <v>152</v>
      </c>
      <c r="B24" s="338">
        <f>'Current Rents'!F46</f>
        <v>1577.5</v>
      </c>
      <c r="C24" s="339">
        <v>2050</v>
      </c>
      <c r="D24" s="5"/>
      <c r="E24" s="340">
        <f t="shared" si="0"/>
        <v>-472.5</v>
      </c>
      <c r="F24" s="161" t="str">
        <f>IF(E24&lt;-75,"LOOK INTO INCREASING THE RENT!","")</f>
        <v>LOOK INTO INCREASING THE RENT!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</row>
    <row r="25" ht="20.25" customHeight="1" s="5" customFormat="1">
      <c r="A25" s="337" t="s">
        <v>155</v>
      </c>
      <c r="B25" s="338">
        <f>'Current Rents'!G46</f>
        <v>1731</v>
      </c>
      <c r="C25" s="339">
        <v>0</v>
      </c>
      <c r="D25" s="5"/>
      <c r="E25" s="340">
        <f t="shared" si="0"/>
        <v>1731</v>
      </c>
      <c r="F25" s="161" t="str">
        <f>IF(E25&lt;-75,"LOOK INTO INCREASING THE RENT!","")</f>
        <v/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</row>
  </sheetData>
  <mergeCells>
    <mergeCell ref="A20:H20"/>
    <mergeCell ref="A3:AG3"/>
    <mergeCell ref="C14:D14"/>
    <mergeCell ref="C8:D8"/>
    <mergeCell ref="C9:D9"/>
    <mergeCell ref="AH3:AJ3"/>
    <mergeCell ref="C12:D12"/>
    <mergeCell ref="A5:AJ5"/>
    <mergeCell ref="C7:D7"/>
    <mergeCell ref="A17:AJ17"/>
    <mergeCell ref="A6:AJ6"/>
    <mergeCell ref="C21:D21"/>
    <mergeCell ref="D13"/>
    <mergeCell ref="A4:AJ4"/>
    <mergeCell ref="C15:D15"/>
    <mergeCell ref="C11:D11"/>
    <mergeCell ref="C10:D10"/>
    <mergeCell ref="A19:H19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4BB244A-3B38-8A98-BAD8-FE3776BDF458}" mc:Ignorable="x14ac xr xr2 xr3">
  <dimension ref="A1:AF24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style="5" width="9.00390625" customWidth="1"/>
    <col min="2" max="2" style="5" width="18.57421875" customWidth="1"/>
    <col min="3" max="3" style="5" width="42.00390625" customWidth="1"/>
    <col min="4" max="4" style="5" width="4.7109375" customWidth="1"/>
    <col min="5" max="5" style="5" width="31.00390625" customWidth="1"/>
    <col min="6" max="6" style="5" width="14.28125" customWidth="1"/>
    <col min="7" max="7" style="5" width="9.28125" customWidth="1"/>
    <col min="8" max="9" style="5" width="13.00390625" customWidth="1"/>
    <col min="10" max="10" style="5" width="7.00390625" hidden="1" customWidth="1"/>
    <col min="11" max="11" style="5" width="13.00390625" customWidth="1"/>
    <col min="12" max="12" style="5" width="5.28125" hidden="1" customWidth="1"/>
    <col min="13" max="13" style="5" width="16.7109375" customWidth="1"/>
    <col min="14" max="14" style="5" width="7.00390625" hidden="1" customWidth="1"/>
    <col min="15" max="15" style="5" width="13.00390625" customWidth="1"/>
    <col min="16" max="16" style="5" width="5.28125" hidden="1" customWidth="1"/>
    <col min="17" max="17" style="5" width="16.7109375" customWidth="1"/>
    <col min="18" max="18" style="5" width="7.00390625" hidden="1" customWidth="1"/>
    <col min="19" max="19" style="5" width="13.00390625" customWidth="1"/>
    <col min="20" max="20" style="5" width="5.28125" hidden="1" customWidth="1"/>
    <col min="21" max="21" style="5" width="16.7109375" customWidth="1"/>
    <col min="22" max="22" style="5" width="9.421875" customWidth="1"/>
    <col min="23" max="29" style="5" width="13.00390625" customWidth="1"/>
    <col min="30" max="30" style="5" width="24.57421875" customWidth="1"/>
    <col min="31" max="31" style="5" width="55.7109375" customWidth="1"/>
    <col min="32" max="32" style="5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36" customHeight="1" s="5" customFormat="1">
      <c r="A3" s="295" t="s">
        <v>2026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296" t="s">
        <v>2027</v>
      </c>
      <c r="AE3" s="5"/>
      <c r="AF3" s="5"/>
    </row>
    <row r="4" ht="18" customHeight="1" s="5" customFormat="1">
      <c r="A4" s="297" t="s">
        <v>2028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14.25" customHeight="1" s="5" customFormat="1">
      <c r="A5" s="298" t="s">
        <v>1012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25.5" customHeight="1" s="5" customFormat="1">
      <c r="A6" s="299" t="s">
        <v>1013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25.5" customHeight="1" s="5" customFormat="1">
      <c r="A7" s="300" t="s">
        <v>233</v>
      </c>
      <c r="B7" s="300" t="s">
        <v>234</v>
      </c>
      <c r="C7" s="300" t="s">
        <v>3</v>
      </c>
      <c r="D7" s="5"/>
      <c r="E7" s="300" t="s">
        <v>235</v>
      </c>
      <c r="F7" s="300" t="s">
        <v>236</v>
      </c>
      <c r="G7" s="300" t="s">
        <v>237</v>
      </c>
      <c r="H7" s="300" t="s">
        <v>238</v>
      </c>
      <c r="I7" s="300" t="s">
        <v>239</v>
      </c>
      <c r="J7" s="300" t="s">
        <v>444</v>
      </c>
      <c r="K7" s="300" t="s">
        <v>445</v>
      </c>
      <c r="L7" s="300" t="s">
        <v>446</v>
      </c>
      <c r="M7" s="301" t="s">
        <v>447</v>
      </c>
      <c r="N7" s="300" t="s">
        <v>240</v>
      </c>
      <c r="O7" s="300" t="s">
        <v>241</v>
      </c>
      <c r="P7" s="300" t="s">
        <v>242</v>
      </c>
      <c r="Q7" s="301" t="s">
        <v>360</v>
      </c>
      <c r="R7" s="300" t="s">
        <v>244</v>
      </c>
      <c r="S7" s="300" t="s">
        <v>245</v>
      </c>
      <c r="T7" s="300" t="s">
        <v>246</v>
      </c>
      <c r="U7" s="301" t="s">
        <v>361</v>
      </c>
      <c r="V7" s="300" t="s">
        <v>6</v>
      </c>
      <c r="W7" s="300" t="s">
        <v>248</v>
      </c>
      <c r="X7" s="300" t="s">
        <v>249</v>
      </c>
      <c r="Y7" s="300" t="s">
        <v>250</v>
      </c>
      <c r="Z7" s="300" t="s">
        <v>251</v>
      </c>
      <c r="AA7" s="300" t="s">
        <v>252</v>
      </c>
      <c r="AB7" s="300" t="s">
        <v>253</v>
      </c>
      <c r="AC7" s="300" t="s">
        <v>254</v>
      </c>
      <c r="AD7" s="301" t="s">
        <v>255</v>
      </c>
      <c r="AE7" s="300" t="s">
        <v>256</v>
      </c>
      <c r="AF7" s="300" t="s">
        <v>257</v>
      </c>
    </row>
    <row r="8" ht="21.75" customHeight="1" s="5" customFormat="1">
      <c r="A8" s="302" t="s">
        <v>258</v>
      </c>
      <c r="B8" s="303" t="s">
        <v>259</v>
      </c>
      <c r="C8" s="304" t="s">
        <v>2029</v>
      </c>
      <c r="D8" s="5"/>
      <c r="E8" s="304" t="s">
        <v>2007</v>
      </c>
      <c r="F8" s="305" t="s">
        <v>1990</v>
      </c>
      <c r="G8" s="305" t="s">
        <v>1189</v>
      </c>
      <c r="H8" s="305" t="s">
        <v>1991</v>
      </c>
      <c r="I8" s="305" t="s">
        <v>265</v>
      </c>
      <c r="J8" s="305" t="s">
        <v>1992</v>
      </c>
      <c r="K8" s="305" t="s">
        <v>1993</v>
      </c>
      <c r="L8" s="305" t="s">
        <v>1994</v>
      </c>
      <c r="M8" s="306">
        <f>'Current Rents'!D47</f>
        <v>723.88</v>
      </c>
      <c r="N8" s="305" t="s">
        <v>1993</v>
      </c>
      <c r="O8" s="305" t="s">
        <v>1995</v>
      </c>
      <c r="P8" s="305" t="s">
        <v>1996</v>
      </c>
      <c r="Q8" s="306">
        <f>'Current Rents'!E47</f>
        <v>855.17</v>
      </c>
      <c r="R8" s="305" t="s">
        <v>1997</v>
      </c>
      <c r="S8" s="305" t="s">
        <v>1998</v>
      </c>
      <c r="T8" s="305" t="s">
        <v>1999</v>
      </c>
      <c r="U8" s="306" t="str">
        <f>'Current Rents'!F47</f>
        <v>—</v>
      </c>
      <c r="V8" s="305" t="s">
        <v>180</v>
      </c>
      <c r="W8" s="305" t="s">
        <v>636</v>
      </c>
      <c r="X8" s="305">
        <v>0</v>
      </c>
      <c r="Y8" s="305" t="s">
        <v>273</v>
      </c>
      <c r="Z8" s="305" t="s">
        <v>273</v>
      </c>
      <c r="AA8" s="305" t="s">
        <v>273</v>
      </c>
      <c r="AB8" s="305" t="s">
        <v>273</v>
      </c>
      <c r="AC8" s="305" t="s">
        <v>273</v>
      </c>
      <c r="AD8" s="303" t="s">
        <v>259</v>
      </c>
      <c r="AE8" s="307"/>
      <c r="AF8" s="304"/>
    </row>
    <row r="9" ht="21.75" customHeight="1" s="5" customFormat="1">
      <c r="A9" s="308" t="s">
        <v>276</v>
      </c>
      <c r="B9" s="309" t="s">
        <v>277</v>
      </c>
      <c r="C9" s="310" t="s">
        <v>2030</v>
      </c>
      <c r="D9" s="5"/>
      <c r="E9" s="311" t="s">
        <v>2031</v>
      </c>
      <c r="F9" s="308" t="s">
        <v>1990</v>
      </c>
      <c r="G9" s="308" t="s">
        <v>1189</v>
      </c>
      <c r="H9" s="308" t="s">
        <v>1991</v>
      </c>
      <c r="I9" s="308" t="s">
        <v>1325</v>
      </c>
      <c r="J9" s="308" t="s">
        <v>1992</v>
      </c>
      <c r="K9" s="308" t="s">
        <v>1993</v>
      </c>
      <c r="L9" s="308" t="s">
        <v>1994</v>
      </c>
      <c r="M9" s="308" t="s">
        <v>283</v>
      </c>
      <c r="N9" s="308" t="s">
        <v>1993</v>
      </c>
      <c r="O9" s="308" t="s">
        <v>1995</v>
      </c>
      <c r="P9" s="308" t="s">
        <v>1996</v>
      </c>
      <c r="Q9" s="308" t="s">
        <v>283</v>
      </c>
      <c r="R9" s="308" t="s">
        <v>1997</v>
      </c>
      <c r="S9" s="308" t="s">
        <v>1998</v>
      </c>
      <c r="T9" s="308" t="s">
        <v>1999</v>
      </c>
      <c r="U9" s="308" t="s">
        <v>283</v>
      </c>
      <c r="V9" s="308" t="s">
        <v>1026</v>
      </c>
      <c r="W9" s="308" t="s">
        <v>1027</v>
      </c>
      <c r="X9" s="308" t="s">
        <v>210</v>
      </c>
      <c r="Y9" s="308" t="s">
        <v>272</v>
      </c>
      <c r="Z9" s="308" t="s">
        <v>273</v>
      </c>
      <c r="AA9" s="308" t="s">
        <v>273</v>
      </c>
      <c r="AB9" s="308" t="s">
        <v>273</v>
      </c>
      <c r="AC9" s="308" t="s">
        <v>273</v>
      </c>
      <c r="AD9" s="312"/>
      <c r="AE9" s="313"/>
      <c r="AF9" s="311"/>
    </row>
    <row r="10" ht="21.75" customHeight="1" s="5" customFormat="1">
      <c r="A10" s="308" t="s">
        <v>210</v>
      </c>
      <c r="B10" s="309" t="s">
        <v>277</v>
      </c>
      <c r="C10" s="310" t="s">
        <v>2001</v>
      </c>
      <c r="D10" s="5"/>
      <c r="E10" s="311" t="s">
        <v>2002</v>
      </c>
      <c r="F10" s="308" t="s">
        <v>2003</v>
      </c>
      <c r="G10" s="308" t="s">
        <v>1189</v>
      </c>
      <c r="H10" s="308" t="s">
        <v>2004</v>
      </c>
      <c r="I10" s="308" t="s">
        <v>512</v>
      </c>
      <c r="J10" s="308" t="s">
        <v>1992</v>
      </c>
      <c r="K10" s="308" t="s">
        <v>1993</v>
      </c>
      <c r="L10" s="308" t="s">
        <v>1994</v>
      </c>
      <c r="M10" s="308" t="s">
        <v>283</v>
      </c>
      <c r="N10" s="308" t="s">
        <v>1993</v>
      </c>
      <c r="O10" s="308" t="s">
        <v>1995</v>
      </c>
      <c r="P10" s="308" t="s">
        <v>1996</v>
      </c>
      <c r="Q10" s="308" t="s">
        <v>283</v>
      </c>
      <c r="R10" s="308" t="s">
        <v>1997</v>
      </c>
      <c r="S10" s="308" t="s">
        <v>1998</v>
      </c>
      <c r="T10" s="308" t="s">
        <v>1999</v>
      </c>
      <c r="U10" s="308" t="s">
        <v>283</v>
      </c>
      <c r="V10" s="308" t="s">
        <v>1026</v>
      </c>
      <c r="W10" s="308" t="s">
        <v>1027</v>
      </c>
      <c r="X10" s="308" t="s">
        <v>210</v>
      </c>
      <c r="Y10" s="308" t="s">
        <v>272</v>
      </c>
      <c r="Z10" s="308" t="s">
        <v>273</v>
      </c>
      <c r="AA10" s="308" t="s">
        <v>273</v>
      </c>
      <c r="AB10" s="308" t="s">
        <v>273</v>
      </c>
      <c r="AC10" s="308" t="s">
        <v>273</v>
      </c>
      <c r="AD10" s="312"/>
      <c r="AE10" s="313"/>
      <c r="AF10" s="311"/>
    </row>
    <row r="11" ht="21.75" customHeight="1" s="5" customFormat="1">
      <c r="A11" s="308" t="s">
        <v>181</v>
      </c>
      <c r="B11" s="309" t="s">
        <v>277</v>
      </c>
      <c r="C11" s="310" t="s">
        <v>2032</v>
      </c>
      <c r="D11" s="5"/>
      <c r="E11" s="311" t="s">
        <v>2033</v>
      </c>
      <c r="F11" s="308" t="s">
        <v>1928</v>
      </c>
      <c r="G11" s="308" t="s">
        <v>1189</v>
      </c>
      <c r="H11" s="308" t="s">
        <v>1938</v>
      </c>
      <c r="I11" s="308" t="s">
        <v>2034</v>
      </c>
      <c r="J11" s="308" t="s">
        <v>1992</v>
      </c>
      <c r="K11" s="308" t="s">
        <v>1993</v>
      </c>
      <c r="L11" s="308" t="s">
        <v>1994</v>
      </c>
      <c r="M11" s="308" t="s">
        <v>283</v>
      </c>
      <c r="N11" s="308" t="s">
        <v>1993</v>
      </c>
      <c r="O11" s="308" t="s">
        <v>1995</v>
      </c>
      <c r="P11" s="308" t="s">
        <v>1996</v>
      </c>
      <c r="Q11" s="308" t="s">
        <v>283</v>
      </c>
      <c r="R11" s="308" t="s">
        <v>1997</v>
      </c>
      <c r="S11" s="308" t="s">
        <v>1998</v>
      </c>
      <c r="T11" s="308" t="s">
        <v>1999</v>
      </c>
      <c r="U11" s="308" t="s">
        <v>283</v>
      </c>
      <c r="V11" s="308" t="s">
        <v>170</v>
      </c>
      <c r="W11" s="308" t="s">
        <v>636</v>
      </c>
      <c r="X11" s="308" t="s">
        <v>462</v>
      </c>
      <c r="Y11" s="308" t="s">
        <v>272</v>
      </c>
      <c r="Z11" s="308" t="s">
        <v>273</v>
      </c>
      <c r="AA11" s="308" t="s">
        <v>273</v>
      </c>
      <c r="AB11" s="308" t="s">
        <v>273</v>
      </c>
      <c r="AC11" s="308" t="s">
        <v>273</v>
      </c>
      <c r="AD11" s="312"/>
      <c r="AE11" s="313"/>
      <c r="AF11" s="311"/>
    </row>
    <row r="12" ht="21.75" customHeight="1" s="5" customFormat="1">
      <c r="A12" s="308" t="s">
        <v>320</v>
      </c>
      <c r="B12" s="309" t="s">
        <v>277</v>
      </c>
      <c r="C12" s="310" t="s">
        <v>2035</v>
      </c>
      <c r="D12" s="5"/>
      <c r="E12" s="311" t="s">
        <v>2036</v>
      </c>
      <c r="F12" s="308" t="s">
        <v>2037</v>
      </c>
      <c r="G12" s="308" t="s">
        <v>1189</v>
      </c>
      <c r="H12" s="308" t="s">
        <v>2038</v>
      </c>
      <c r="I12" s="308" t="s">
        <v>2039</v>
      </c>
      <c r="J12" s="308" t="s">
        <v>1992</v>
      </c>
      <c r="K12" s="308" t="s">
        <v>1993</v>
      </c>
      <c r="L12" s="308" t="s">
        <v>1994</v>
      </c>
      <c r="M12" s="308" t="s">
        <v>283</v>
      </c>
      <c r="N12" s="308" t="s">
        <v>1993</v>
      </c>
      <c r="O12" s="308" t="s">
        <v>1995</v>
      </c>
      <c r="P12" s="308" t="s">
        <v>1996</v>
      </c>
      <c r="Q12" s="308" t="s">
        <v>283</v>
      </c>
      <c r="R12" s="308" t="s">
        <v>1997</v>
      </c>
      <c r="S12" s="308" t="s">
        <v>1998</v>
      </c>
      <c r="T12" s="308" t="s">
        <v>1999</v>
      </c>
      <c r="U12" s="308" t="s">
        <v>283</v>
      </c>
      <c r="V12" s="308" t="s">
        <v>2040</v>
      </c>
      <c r="W12" s="308" t="s">
        <v>636</v>
      </c>
      <c r="X12" s="308" t="s">
        <v>462</v>
      </c>
      <c r="Y12" s="308" t="s">
        <v>272</v>
      </c>
      <c r="Z12" s="308" t="s">
        <v>273</v>
      </c>
      <c r="AA12" s="308" t="s">
        <v>273</v>
      </c>
      <c r="AB12" s="308" t="s">
        <v>273</v>
      </c>
      <c r="AC12" s="308" t="s">
        <v>273</v>
      </c>
      <c r="AD12" s="312"/>
      <c r="AE12" s="313"/>
      <c r="AF12" s="311"/>
    </row>
    <row r="13" ht="24.75" customHeight="1" s="5" customFormat="1">
      <c r="A13" s="315" t="s">
        <v>276</v>
      </c>
      <c r="B13" s="316" t="s">
        <v>300</v>
      </c>
      <c r="C13" s="317" t="s">
        <v>2017</v>
      </c>
      <c r="D13" s="318" t="s">
        <v>302</v>
      </c>
      <c r="E13" s="319" t="s">
        <v>2018</v>
      </c>
      <c r="F13" s="320" t="s">
        <v>1990</v>
      </c>
      <c r="G13" s="320" t="s">
        <v>1189</v>
      </c>
      <c r="H13" s="320"/>
      <c r="I13" s="320" t="s">
        <v>930</v>
      </c>
      <c r="J13" s="320" t="s">
        <v>1038</v>
      </c>
      <c r="K13" s="320" t="s">
        <v>1038</v>
      </c>
      <c r="L13" s="320" t="s">
        <v>1994</v>
      </c>
      <c r="M13" s="321">
        <v>1365</v>
      </c>
      <c r="N13" s="320" t="s">
        <v>1038</v>
      </c>
      <c r="O13" s="320" t="s">
        <v>1038</v>
      </c>
      <c r="P13" s="320" t="s">
        <v>1996</v>
      </c>
      <c r="Q13" s="321">
        <v>1420</v>
      </c>
      <c r="R13" s="320" t="s">
        <v>1038</v>
      </c>
      <c r="S13" s="320" t="s">
        <v>1038</v>
      </c>
      <c r="T13" s="320" t="s">
        <v>1999</v>
      </c>
      <c r="U13" s="321">
        <v>2050</v>
      </c>
      <c r="V13" s="320" t="s">
        <v>64</v>
      </c>
      <c r="W13" s="320" t="s">
        <v>636</v>
      </c>
      <c r="X13" s="320" t="s">
        <v>462</v>
      </c>
      <c r="Y13" s="320" t="s">
        <v>507</v>
      </c>
      <c r="Z13" s="320" t="s">
        <v>507</v>
      </c>
      <c r="AA13" s="320" t="s">
        <v>507</v>
      </c>
      <c r="AB13" s="320" t="s">
        <v>507</v>
      </c>
      <c r="AC13" s="320" t="s">
        <v>507</v>
      </c>
      <c r="AD13" s="323"/>
      <c r="AE13" s="324"/>
      <c r="AF13" s="319"/>
    </row>
    <row r="14" ht="28.5" customHeight="1" s="5" customFormat="1">
      <c r="A14" s="325" t="s">
        <v>154</v>
      </c>
      <c r="B14" s="326" t="s">
        <v>339</v>
      </c>
      <c r="C14" s="327" t="s">
        <v>2021</v>
      </c>
      <c r="D14" s="5"/>
      <c r="E14" s="325" t="s">
        <v>64</v>
      </c>
      <c r="F14" s="325" t="s">
        <v>1990</v>
      </c>
      <c r="G14" s="325" t="s">
        <v>1189</v>
      </c>
      <c r="H14" s="325"/>
      <c r="I14" s="325"/>
      <c r="J14" s="325" t="s">
        <v>64</v>
      </c>
      <c r="K14" s="325" t="s">
        <v>64</v>
      </c>
      <c r="L14" s="325" t="s">
        <v>1994</v>
      </c>
      <c r="M14" s="325" t="s">
        <v>1994</v>
      </c>
      <c r="N14" s="325" t="s">
        <v>64</v>
      </c>
      <c r="O14" s="325" t="s">
        <v>64</v>
      </c>
      <c r="P14" s="325" t="s">
        <v>1996</v>
      </c>
      <c r="Q14" s="325" t="s">
        <v>1996</v>
      </c>
      <c r="R14" s="325" t="s">
        <v>64</v>
      </c>
      <c r="S14" s="325" t="s">
        <v>64</v>
      </c>
      <c r="T14" s="325" t="s">
        <v>1999</v>
      </c>
      <c r="U14" s="325" t="s">
        <v>1999</v>
      </c>
      <c r="V14" s="325"/>
      <c r="W14" s="325"/>
      <c r="X14" s="325"/>
      <c r="Y14" s="325"/>
      <c r="Z14" s="325"/>
      <c r="AA14" s="325"/>
      <c r="AB14" s="325"/>
      <c r="AC14" s="325"/>
      <c r="AD14" s="316" t="s">
        <v>339</v>
      </c>
      <c r="AE14" s="328" t="s">
        <v>2022</v>
      </c>
      <c r="AF14" s="328" t="s">
        <v>342</v>
      </c>
    </row>
    <row r="15" ht="34.5" customHeight="1" s="5" customFormat="1">
      <c r="A15" s="329" t="s">
        <v>154</v>
      </c>
      <c r="B15" s="326" t="s">
        <v>339</v>
      </c>
      <c r="C15" s="330" t="s">
        <v>2023</v>
      </c>
      <c r="D15" s="5"/>
      <c r="E15" s="329" t="s">
        <v>64</v>
      </c>
      <c r="F15" s="329" t="s">
        <v>1990</v>
      </c>
      <c r="G15" s="329" t="s">
        <v>1189</v>
      </c>
      <c r="H15" s="329"/>
      <c r="I15" s="329"/>
      <c r="J15" s="329"/>
      <c r="K15" s="329"/>
      <c r="L15" s="329"/>
      <c r="M15" s="331">
        <v>1365</v>
      </c>
      <c r="N15" s="329"/>
      <c r="O15" s="329"/>
      <c r="P15" s="329"/>
      <c r="Q15" s="331">
        <v>1420</v>
      </c>
      <c r="R15" s="329"/>
      <c r="S15" s="329"/>
      <c r="T15" s="329"/>
      <c r="U15" s="331">
        <v>2050</v>
      </c>
      <c r="V15" s="329"/>
      <c r="W15" s="329"/>
      <c r="X15" s="329"/>
      <c r="Y15" s="329"/>
      <c r="Z15" s="329"/>
      <c r="AA15" s="329"/>
      <c r="AB15" s="329"/>
      <c r="AC15" s="329"/>
      <c r="AD15" s="316" t="s">
        <v>339</v>
      </c>
      <c r="AE15" s="332" t="s">
        <v>2024</v>
      </c>
      <c r="AF15" s="332" t="s">
        <v>1062</v>
      </c>
    </row>
    <row r="17" ht="14.25" customHeight="1" s="5" customFormat="1">
      <c r="A17" s="333" t="s">
        <v>1063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9" ht="18" customHeight="1" s="5" customFormat="1">
      <c r="A19" s="334" t="s">
        <v>349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ht="15.75" customHeight="1" s="5" customFormat="1">
      <c r="A20" s="335" t="s">
        <v>2025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ht="15.75" customHeight="1" s="5" customFormat="1">
      <c r="A21" s="5"/>
      <c r="B21" s="336" t="s">
        <v>351</v>
      </c>
      <c r="C21" s="336" t="s">
        <v>352</v>
      </c>
      <c r="D21" s="5"/>
      <c r="E21" s="336" t="s">
        <v>353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ht="20.25" customHeight="1" s="5" customFormat="1">
      <c r="A22" s="337" t="s">
        <v>160</v>
      </c>
      <c r="B22" s="338">
        <f>'Current Rents'!D47</f>
        <v>723.88</v>
      </c>
      <c r="C22" s="339">
        <v>1365</v>
      </c>
      <c r="D22" s="5"/>
      <c r="E22" s="340">
        <f t="shared" si="0" ref="E22:E24">B22-C22</f>
        <v>-641.12</v>
      </c>
      <c r="F22" s="161" t="str">
        <f>IF(E22&lt;-75,"LOOK INTO INCREASING THE RENT!","")</f>
        <v>LOOK INTO INCREASING THE RENT!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ht="20.25" customHeight="1" s="5" customFormat="1">
      <c r="A23" s="337" t="s">
        <v>151</v>
      </c>
      <c r="B23" s="338">
        <f>'Current Rents'!E47</f>
        <v>855.17</v>
      </c>
      <c r="C23" s="339">
        <v>1420</v>
      </c>
      <c r="D23" s="5"/>
      <c r="E23" s="340">
        <f t="shared" si="0"/>
        <v>-564.83</v>
      </c>
      <c r="F23" s="161" t="str">
        <f>IF(E23&lt;-75,"LOOK INTO INCREASING THE RENT!","")</f>
        <v>LOOK INTO INCREASING THE RENT!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ht="20.25" customHeight="1" s="5" customFormat="1">
      <c r="A24" s="337" t="s">
        <v>152</v>
      </c>
      <c r="B24" s="338" t="str">
        <f>'Current Rents'!F47</f>
        <v>—</v>
      </c>
      <c r="C24" s="339">
        <v>2050</v>
      </c>
      <c r="D24" s="5"/>
      <c r="E24" s="340" t="e">
        <f t="shared" si="0"/>
        <v>#VALUE!</v>
      </c>
      <c r="F24" s="161" t="e">
        <f>IF(E24&lt;-75,"LOOK INTO INCREASING THE RENT!","")</f>
        <v>#VALUE!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</sheetData>
  <mergeCells>
    <mergeCell ref="A20:H20"/>
    <mergeCell ref="AD3:AF3"/>
    <mergeCell ref="C14:D14"/>
    <mergeCell ref="A3:AC3"/>
    <mergeCell ref="C8:D8"/>
    <mergeCell ref="C9:D9"/>
    <mergeCell ref="C12:D12"/>
    <mergeCell ref="C7:D7"/>
    <mergeCell ref="C21:D21"/>
    <mergeCell ref="D13"/>
    <mergeCell ref="A6:AF6"/>
    <mergeCell ref="A5:AF5"/>
    <mergeCell ref="C15:D15"/>
    <mergeCell ref="C11:D11"/>
    <mergeCell ref="A17:AF17"/>
    <mergeCell ref="C10:D10"/>
    <mergeCell ref="A4:AF4"/>
    <mergeCell ref="A19:H19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17657F8-B6D8-7A58-DBE8-BE326F6E9BB8}" mc:Ignorable="x14ac xr xr2 xr3">
  <dimension ref="A1:AB23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style="5" width="9.00390625" customWidth="1"/>
    <col min="2" max="2" style="5" width="18.57421875" customWidth="1"/>
    <col min="3" max="3" style="5" width="42.00390625" customWidth="1"/>
    <col min="4" max="4" style="5" width="4.7109375" customWidth="1"/>
    <col min="5" max="5" style="5" width="31.00390625" customWidth="1"/>
    <col min="6" max="6" style="5" width="14.28125" customWidth="1"/>
    <col min="7" max="7" style="5" width="9.28125" customWidth="1"/>
    <col min="8" max="9" style="5" width="13.00390625" customWidth="1"/>
    <col min="10" max="10" style="5" width="7.00390625" hidden="1" customWidth="1"/>
    <col min="11" max="11" style="5" width="13.00390625" customWidth="1"/>
    <col min="12" max="12" style="5" width="5.28125" hidden="1" customWidth="1"/>
    <col min="13" max="13" style="5" width="16.7109375" customWidth="1"/>
    <col min="14" max="14" style="5" width="7.00390625" hidden="1" customWidth="1"/>
    <col min="15" max="15" style="5" width="13.00390625" customWidth="1"/>
    <col min="16" max="16" style="5" width="5.28125" hidden="1" customWidth="1"/>
    <col min="17" max="17" style="5" width="16.7109375" customWidth="1"/>
    <col min="18" max="18" style="5" width="9.421875" customWidth="1"/>
    <col min="19" max="25" style="5" width="13.00390625" customWidth="1"/>
    <col min="26" max="26" style="5" width="24.57421875" customWidth="1"/>
    <col min="27" max="27" style="5" width="55.7109375" customWidth="1"/>
    <col min="28" max="28" style="5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36" customHeight="1" s="5" customFormat="1">
      <c r="A3" s="295" t="s">
        <v>2041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296" t="s">
        <v>2042</v>
      </c>
      <c r="AA3" s="5"/>
      <c r="AB3" s="5"/>
    </row>
    <row r="4" ht="18" customHeight="1" s="5" customFormat="1">
      <c r="A4" s="297" t="s">
        <v>2043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ht="14.25" customHeight="1" s="5" customFormat="1">
      <c r="A5" s="298" t="s">
        <v>1012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ht="25.5" customHeight="1" s="5" customFormat="1">
      <c r="A6" s="299" t="s">
        <v>1013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ht="25.5" customHeight="1" s="5" customFormat="1">
      <c r="A7" s="300" t="s">
        <v>233</v>
      </c>
      <c r="B7" s="300" t="s">
        <v>234</v>
      </c>
      <c r="C7" s="300" t="s">
        <v>3</v>
      </c>
      <c r="D7" s="5"/>
      <c r="E7" s="300" t="s">
        <v>235</v>
      </c>
      <c r="F7" s="300" t="s">
        <v>236</v>
      </c>
      <c r="G7" s="300" t="s">
        <v>237</v>
      </c>
      <c r="H7" s="300" t="s">
        <v>238</v>
      </c>
      <c r="I7" s="300" t="s">
        <v>239</v>
      </c>
      <c r="J7" s="300" t="s">
        <v>240</v>
      </c>
      <c r="K7" s="300" t="s">
        <v>241</v>
      </c>
      <c r="L7" s="300" t="s">
        <v>242</v>
      </c>
      <c r="M7" s="301" t="s">
        <v>360</v>
      </c>
      <c r="N7" s="300" t="s">
        <v>244</v>
      </c>
      <c r="O7" s="300" t="s">
        <v>245</v>
      </c>
      <c r="P7" s="300" t="s">
        <v>246</v>
      </c>
      <c r="Q7" s="301" t="s">
        <v>361</v>
      </c>
      <c r="R7" s="300" t="s">
        <v>6</v>
      </c>
      <c r="S7" s="300" t="s">
        <v>248</v>
      </c>
      <c r="T7" s="300" t="s">
        <v>249</v>
      </c>
      <c r="U7" s="300" t="s">
        <v>250</v>
      </c>
      <c r="V7" s="300" t="s">
        <v>251</v>
      </c>
      <c r="W7" s="300" t="s">
        <v>252</v>
      </c>
      <c r="X7" s="300" t="s">
        <v>253</v>
      </c>
      <c r="Y7" s="300" t="s">
        <v>254</v>
      </c>
      <c r="Z7" s="301" t="s">
        <v>255</v>
      </c>
      <c r="AA7" s="300" t="s">
        <v>256</v>
      </c>
      <c r="AB7" s="300" t="s">
        <v>257</v>
      </c>
    </row>
    <row r="8" ht="21.75" customHeight="1" s="5" customFormat="1">
      <c r="A8" s="302" t="s">
        <v>258</v>
      </c>
      <c r="B8" s="303" t="s">
        <v>259</v>
      </c>
      <c r="C8" s="304" t="s">
        <v>2044</v>
      </c>
      <c r="D8" s="5"/>
      <c r="E8" s="304" t="s">
        <v>2045</v>
      </c>
      <c r="F8" s="305" t="s">
        <v>2003</v>
      </c>
      <c r="G8" s="305" t="s">
        <v>1189</v>
      </c>
      <c r="H8" s="305" t="s">
        <v>2004</v>
      </c>
      <c r="I8" s="305" t="s">
        <v>265</v>
      </c>
      <c r="J8" s="305" t="s">
        <v>1993</v>
      </c>
      <c r="K8" s="305" t="s">
        <v>1995</v>
      </c>
      <c r="L8" s="305" t="s">
        <v>1996</v>
      </c>
      <c r="M8" s="306">
        <f>'Current Rents'!E48</f>
        <v>1308</v>
      </c>
      <c r="N8" s="305" t="s">
        <v>1997</v>
      </c>
      <c r="O8" s="305" t="s">
        <v>1998</v>
      </c>
      <c r="P8" s="305" t="s">
        <v>1999</v>
      </c>
      <c r="Q8" s="306">
        <f>'Current Rents'!F48</f>
        <v>1526.47</v>
      </c>
      <c r="R8" s="305" t="s">
        <v>1026</v>
      </c>
      <c r="S8" s="305" t="s">
        <v>636</v>
      </c>
      <c r="T8" s="305">
        <v>0</v>
      </c>
      <c r="U8" s="305" t="s">
        <v>273</v>
      </c>
      <c r="V8" s="305" t="s">
        <v>273</v>
      </c>
      <c r="W8" s="305" t="s">
        <v>273</v>
      </c>
      <c r="X8" s="305" t="s">
        <v>273</v>
      </c>
      <c r="Y8" s="305" t="s">
        <v>273</v>
      </c>
      <c r="Z8" s="303" t="s">
        <v>259</v>
      </c>
      <c r="AA8" s="307" t="s">
        <v>2000</v>
      </c>
      <c r="AB8" s="304" t="s">
        <v>275</v>
      </c>
    </row>
    <row r="9" ht="21.75" customHeight="1" s="5" customFormat="1">
      <c r="A9" s="308" t="s">
        <v>276</v>
      </c>
      <c r="B9" s="309" t="s">
        <v>277</v>
      </c>
      <c r="C9" s="310" t="s">
        <v>2030</v>
      </c>
      <c r="D9" s="5"/>
      <c r="E9" s="311" t="s">
        <v>2031</v>
      </c>
      <c r="F9" s="308" t="s">
        <v>1990</v>
      </c>
      <c r="G9" s="308" t="s">
        <v>1189</v>
      </c>
      <c r="H9" s="308" t="s">
        <v>1991</v>
      </c>
      <c r="I9" s="308" t="s">
        <v>2046</v>
      </c>
      <c r="J9" s="308" t="s">
        <v>1993</v>
      </c>
      <c r="K9" s="308" t="s">
        <v>1995</v>
      </c>
      <c r="L9" s="308" t="s">
        <v>1996</v>
      </c>
      <c r="M9" s="308" t="s">
        <v>283</v>
      </c>
      <c r="N9" s="308" t="s">
        <v>1997</v>
      </c>
      <c r="O9" s="308" t="s">
        <v>1998</v>
      </c>
      <c r="P9" s="308" t="s">
        <v>1999</v>
      </c>
      <c r="Q9" s="308" t="s">
        <v>283</v>
      </c>
      <c r="R9" s="308" t="s">
        <v>1026</v>
      </c>
      <c r="S9" s="308" t="s">
        <v>1027</v>
      </c>
      <c r="T9" s="308" t="s">
        <v>210</v>
      </c>
      <c r="U9" s="308" t="s">
        <v>272</v>
      </c>
      <c r="V9" s="308" t="s">
        <v>273</v>
      </c>
      <c r="W9" s="308" t="s">
        <v>273</v>
      </c>
      <c r="X9" s="308" t="s">
        <v>273</v>
      </c>
      <c r="Y9" s="308" t="s">
        <v>273</v>
      </c>
      <c r="Z9" s="312" t="s">
        <v>284</v>
      </c>
      <c r="AA9" s="313" t="s">
        <v>2047</v>
      </c>
      <c r="AB9" s="311" t="s">
        <v>967</v>
      </c>
    </row>
    <row r="10" ht="21.75" customHeight="1" s="5" customFormat="1">
      <c r="A10" s="308" t="s">
        <v>210</v>
      </c>
      <c r="B10" s="309" t="s">
        <v>277</v>
      </c>
      <c r="C10" s="310" t="s">
        <v>2006</v>
      </c>
      <c r="D10" s="5"/>
      <c r="E10" s="311" t="s">
        <v>2007</v>
      </c>
      <c r="F10" s="308" t="s">
        <v>1990</v>
      </c>
      <c r="G10" s="308" t="s">
        <v>1189</v>
      </c>
      <c r="H10" s="308" t="s">
        <v>1991</v>
      </c>
      <c r="I10" s="308" t="s">
        <v>336</v>
      </c>
      <c r="J10" s="308" t="s">
        <v>1993</v>
      </c>
      <c r="K10" s="308" t="s">
        <v>1995</v>
      </c>
      <c r="L10" s="308" t="s">
        <v>1996</v>
      </c>
      <c r="M10" s="308" t="s">
        <v>283</v>
      </c>
      <c r="N10" s="308" t="s">
        <v>1997</v>
      </c>
      <c r="O10" s="308" t="s">
        <v>1998</v>
      </c>
      <c r="P10" s="308" t="s">
        <v>1999</v>
      </c>
      <c r="Q10" s="308" t="s">
        <v>283</v>
      </c>
      <c r="R10" s="308" t="s">
        <v>180</v>
      </c>
      <c r="S10" s="308" t="s">
        <v>629</v>
      </c>
      <c r="T10" s="308" t="s">
        <v>276</v>
      </c>
      <c r="U10" s="308" t="s">
        <v>272</v>
      </c>
      <c r="V10" s="308" t="s">
        <v>273</v>
      </c>
      <c r="W10" s="308" t="s">
        <v>273</v>
      </c>
      <c r="X10" s="308" t="s">
        <v>273</v>
      </c>
      <c r="Y10" s="308" t="s">
        <v>273</v>
      </c>
      <c r="Z10" s="312" t="s">
        <v>284</v>
      </c>
      <c r="AA10" s="313" t="s">
        <v>2048</v>
      </c>
      <c r="AB10" s="311" t="s">
        <v>967</v>
      </c>
    </row>
    <row r="11" ht="21.75" customHeight="1" s="5" customFormat="1">
      <c r="A11" s="308" t="s">
        <v>181</v>
      </c>
      <c r="B11" s="309" t="s">
        <v>277</v>
      </c>
      <c r="C11" s="310" t="s">
        <v>2009</v>
      </c>
      <c r="D11" s="5"/>
      <c r="E11" s="311" t="s">
        <v>1927</v>
      </c>
      <c r="F11" s="308" t="s">
        <v>1928</v>
      </c>
      <c r="G11" s="308" t="s">
        <v>1189</v>
      </c>
      <c r="H11" s="308" t="s">
        <v>1929</v>
      </c>
      <c r="I11" s="308" t="s">
        <v>2049</v>
      </c>
      <c r="J11" s="308" t="s">
        <v>1993</v>
      </c>
      <c r="K11" s="308" t="s">
        <v>1995</v>
      </c>
      <c r="L11" s="308" t="s">
        <v>1996</v>
      </c>
      <c r="M11" s="308" t="s">
        <v>2012</v>
      </c>
      <c r="N11" s="308" t="s">
        <v>1997</v>
      </c>
      <c r="O11" s="308" t="s">
        <v>1998</v>
      </c>
      <c r="P11" s="308" t="s">
        <v>1999</v>
      </c>
      <c r="Q11" s="308" t="s">
        <v>283</v>
      </c>
      <c r="R11" s="308" t="s">
        <v>1026</v>
      </c>
      <c r="S11" s="308" t="s">
        <v>636</v>
      </c>
      <c r="T11" s="308" t="s">
        <v>462</v>
      </c>
      <c r="U11" s="308" t="s">
        <v>272</v>
      </c>
      <c r="V11" s="308" t="s">
        <v>273</v>
      </c>
      <c r="W11" s="308" t="s">
        <v>273</v>
      </c>
      <c r="X11" s="308" t="s">
        <v>273</v>
      </c>
      <c r="Y11" s="308" t="s">
        <v>273</v>
      </c>
      <c r="Z11" s="341" t="s">
        <v>982</v>
      </c>
      <c r="AA11" s="313" t="s">
        <v>2050</v>
      </c>
      <c r="AB11" s="311" t="s">
        <v>967</v>
      </c>
    </row>
    <row r="12" ht="21.75" customHeight="1" s="5" customFormat="1">
      <c r="A12" s="308" t="s">
        <v>320</v>
      </c>
      <c r="B12" s="309" t="s">
        <v>277</v>
      </c>
      <c r="C12" s="310" t="s">
        <v>2014</v>
      </c>
      <c r="D12" s="5"/>
      <c r="E12" s="311" t="s">
        <v>1980</v>
      </c>
      <c r="F12" s="308" t="s">
        <v>1928</v>
      </c>
      <c r="G12" s="308" t="s">
        <v>1189</v>
      </c>
      <c r="H12" s="308" t="s">
        <v>1938</v>
      </c>
      <c r="I12" s="308" t="s">
        <v>2051</v>
      </c>
      <c r="J12" s="308" t="s">
        <v>1993</v>
      </c>
      <c r="K12" s="308" t="s">
        <v>1995</v>
      </c>
      <c r="L12" s="308" t="s">
        <v>1996</v>
      </c>
      <c r="M12" s="308" t="s">
        <v>283</v>
      </c>
      <c r="N12" s="308" t="s">
        <v>1997</v>
      </c>
      <c r="O12" s="308" t="s">
        <v>1998</v>
      </c>
      <c r="P12" s="308" t="s">
        <v>1999</v>
      </c>
      <c r="Q12" s="308" t="s">
        <v>283</v>
      </c>
      <c r="R12" s="308" t="s">
        <v>1026</v>
      </c>
      <c r="S12" s="308" t="s">
        <v>636</v>
      </c>
      <c r="T12" s="308" t="s">
        <v>462</v>
      </c>
      <c r="U12" s="308" t="s">
        <v>272</v>
      </c>
      <c r="V12" s="308" t="s">
        <v>273</v>
      </c>
      <c r="W12" s="308" t="s">
        <v>273</v>
      </c>
      <c r="X12" s="308" t="s">
        <v>273</v>
      </c>
      <c r="Y12" s="308" t="s">
        <v>273</v>
      </c>
      <c r="Z12" s="341" t="s">
        <v>982</v>
      </c>
      <c r="AA12" s="313" t="s">
        <v>2052</v>
      </c>
      <c r="AB12" s="311" t="s">
        <v>967</v>
      </c>
    </row>
    <row r="13" ht="24.75" customHeight="1" s="5" customFormat="1">
      <c r="A13" s="315" t="s">
        <v>276</v>
      </c>
      <c r="B13" s="316" t="s">
        <v>300</v>
      </c>
      <c r="C13" s="317" t="s">
        <v>2017</v>
      </c>
      <c r="D13" s="318" t="s">
        <v>302</v>
      </c>
      <c r="E13" s="319" t="s">
        <v>2018</v>
      </c>
      <c r="F13" s="320" t="s">
        <v>1990</v>
      </c>
      <c r="G13" s="320" t="s">
        <v>1189</v>
      </c>
      <c r="H13" s="320"/>
      <c r="I13" s="320" t="s">
        <v>930</v>
      </c>
      <c r="J13" s="320" t="s">
        <v>1038</v>
      </c>
      <c r="K13" s="320" t="s">
        <v>1038</v>
      </c>
      <c r="L13" s="320" t="s">
        <v>1996</v>
      </c>
      <c r="M13" s="321">
        <v>1650</v>
      </c>
      <c r="N13" s="320" t="s">
        <v>1038</v>
      </c>
      <c r="O13" s="320" t="s">
        <v>1038</v>
      </c>
      <c r="P13" s="320" t="s">
        <v>1999</v>
      </c>
      <c r="Q13" s="321">
        <v>2050</v>
      </c>
      <c r="R13" s="320" t="s">
        <v>64</v>
      </c>
      <c r="S13" s="320" t="s">
        <v>636</v>
      </c>
      <c r="T13" s="320" t="s">
        <v>462</v>
      </c>
      <c r="U13" s="320" t="s">
        <v>507</v>
      </c>
      <c r="V13" s="320" t="s">
        <v>507</v>
      </c>
      <c r="W13" s="320" t="s">
        <v>507</v>
      </c>
      <c r="X13" s="320" t="s">
        <v>507</v>
      </c>
      <c r="Y13" s="320" t="s">
        <v>507</v>
      </c>
      <c r="Z13" s="323" t="s">
        <v>284</v>
      </c>
      <c r="AA13" s="324" t="s">
        <v>2019</v>
      </c>
      <c r="AB13" s="319" t="s">
        <v>2053</v>
      </c>
    </row>
    <row r="14" ht="28.5" customHeight="1" s="5" customFormat="1">
      <c r="A14" s="325" t="s">
        <v>154</v>
      </c>
      <c r="B14" s="326" t="s">
        <v>339</v>
      </c>
      <c r="C14" s="327" t="s">
        <v>2054</v>
      </c>
      <c r="D14" s="5"/>
      <c r="E14" s="325" t="s">
        <v>64</v>
      </c>
      <c r="F14" s="325" t="s">
        <v>2003</v>
      </c>
      <c r="G14" s="325" t="s">
        <v>1189</v>
      </c>
      <c r="H14" s="325"/>
      <c r="I14" s="325"/>
      <c r="J14" s="325" t="s">
        <v>64</v>
      </c>
      <c r="K14" s="325" t="s">
        <v>64</v>
      </c>
      <c r="L14" s="325" t="s">
        <v>1996</v>
      </c>
      <c r="M14" s="325" t="s">
        <v>1996</v>
      </c>
      <c r="N14" s="325" t="s">
        <v>64</v>
      </c>
      <c r="O14" s="325" t="s">
        <v>64</v>
      </c>
      <c r="P14" s="325" t="s">
        <v>1999</v>
      </c>
      <c r="Q14" s="325" t="s">
        <v>1999</v>
      </c>
      <c r="R14" s="325"/>
      <c r="S14" s="325"/>
      <c r="T14" s="325"/>
      <c r="U14" s="325"/>
      <c r="V14" s="325"/>
      <c r="W14" s="325"/>
      <c r="X14" s="325"/>
      <c r="Y14" s="325"/>
      <c r="Z14" s="316" t="s">
        <v>339</v>
      </c>
      <c r="AA14" s="328" t="s">
        <v>2055</v>
      </c>
      <c r="AB14" s="328" t="s">
        <v>342</v>
      </c>
    </row>
    <row r="15" ht="34.5" customHeight="1" s="5" customFormat="1">
      <c r="A15" s="329" t="s">
        <v>154</v>
      </c>
      <c r="B15" s="326" t="s">
        <v>339</v>
      </c>
      <c r="C15" s="330" t="s">
        <v>2056</v>
      </c>
      <c r="D15" s="5"/>
      <c r="E15" s="329" t="s">
        <v>64</v>
      </c>
      <c r="F15" s="329" t="s">
        <v>2003</v>
      </c>
      <c r="G15" s="329" t="s">
        <v>1189</v>
      </c>
      <c r="H15" s="329"/>
      <c r="I15" s="329"/>
      <c r="J15" s="329"/>
      <c r="K15" s="329"/>
      <c r="L15" s="329"/>
      <c r="M15" s="331">
        <v>1650</v>
      </c>
      <c r="N15" s="329"/>
      <c r="O15" s="329"/>
      <c r="P15" s="329"/>
      <c r="Q15" s="331">
        <v>2050</v>
      </c>
      <c r="R15" s="329"/>
      <c r="S15" s="329"/>
      <c r="T15" s="329"/>
      <c r="U15" s="329"/>
      <c r="V15" s="329"/>
      <c r="W15" s="329"/>
      <c r="X15" s="329"/>
      <c r="Y15" s="329"/>
      <c r="Z15" s="316" t="s">
        <v>339</v>
      </c>
      <c r="AA15" s="332" t="s">
        <v>2024</v>
      </c>
      <c r="AB15" s="332" t="s">
        <v>1062</v>
      </c>
    </row>
    <row r="17" ht="14.25" customHeight="1" s="5" customFormat="1">
      <c r="A17" s="333" t="s">
        <v>1063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9" ht="18" customHeight="1" s="5" customFormat="1">
      <c r="A19" s="334" t="s">
        <v>349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ht="15.75" customHeight="1" s="5" customFormat="1">
      <c r="A20" s="335" t="s">
        <v>2025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ht="15.75" customHeight="1" s="5" customFormat="1">
      <c r="A21" s="5"/>
      <c r="B21" s="336" t="s">
        <v>351</v>
      </c>
      <c r="C21" s="336" t="s">
        <v>352</v>
      </c>
      <c r="D21" s="5"/>
      <c r="E21" s="336" t="s">
        <v>353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ht="20.25" customHeight="1" s="5" customFormat="1">
      <c r="A22" s="337" t="s">
        <v>151</v>
      </c>
      <c r="B22" s="338">
        <f>'Current Rents'!E48</f>
        <v>1308</v>
      </c>
      <c r="C22" s="339">
        <v>1650</v>
      </c>
      <c r="D22" s="5"/>
      <c r="E22" s="340">
        <f t="shared" si="0" ref="E22:E23">B22-C22</f>
        <v>-342</v>
      </c>
      <c r="F22" s="161" t="str">
        <f>IF(E22&lt;-75,"LOOK INTO INCREASING THE RENT!","")</f>
        <v>LOOK INTO INCREASING THE RENT!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ht="20.25" customHeight="1" s="5" customFormat="1">
      <c r="A23" s="337" t="s">
        <v>152</v>
      </c>
      <c r="B23" s="338">
        <f>'Current Rents'!F48</f>
        <v>1526.47</v>
      </c>
      <c r="C23" s="339">
        <v>2050</v>
      </c>
      <c r="D23" s="5"/>
      <c r="E23" s="340">
        <f t="shared" si="0"/>
        <v>-523.53</v>
      </c>
      <c r="F23" s="161" t="str">
        <f>IF(E23&lt;-75,"LOOK INTO INCREASING THE RENT!","")</f>
        <v>LOOK INTO INCREASING THE RENT!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</sheetData>
  <mergeCells>
    <mergeCell ref="Z3:AB3"/>
    <mergeCell ref="A4:AB4"/>
    <mergeCell ref="C14:D14"/>
    <mergeCell ref="A17:AB17"/>
    <mergeCell ref="A20:H20"/>
    <mergeCell ref="C8:D8"/>
    <mergeCell ref="C9:D9"/>
    <mergeCell ref="C12:D12"/>
    <mergeCell ref="C10:D10"/>
    <mergeCell ref="C7:D7"/>
    <mergeCell ref="A3:Y3"/>
    <mergeCell ref="C21:D21"/>
    <mergeCell ref="D13"/>
    <mergeCell ref="C15:D15"/>
    <mergeCell ref="C11:D11"/>
    <mergeCell ref="A5:AB5"/>
    <mergeCell ref="A6:AB6"/>
    <mergeCell ref="A19:H19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A40906E-5C8A-E6FD-2318-191521002508}" mc:Ignorable="x14ac xr xr2 xr3">
  <dimension ref="A1:AJ24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style="5" width="9.00390625" customWidth="1"/>
    <col min="2" max="2" style="5" width="18.57421875" customWidth="1"/>
    <col min="3" max="3" style="5" width="42.00390625" customWidth="1"/>
    <col min="4" max="4" style="5" width="4.7109375" customWidth="1"/>
    <col min="5" max="5" style="5" width="31.00390625" customWidth="1"/>
    <col min="6" max="6" style="5" width="14.28125" customWidth="1"/>
    <col min="7" max="7" style="5" width="9.28125" customWidth="1"/>
    <col min="8" max="9" style="5" width="13.00390625" customWidth="1"/>
    <col min="10" max="10" style="5" width="7.00390625" hidden="1" customWidth="1"/>
    <col min="11" max="11" style="5" width="13.00390625" customWidth="1"/>
    <col min="12" max="12" style="5" width="5.28125" hidden="1" customWidth="1"/>
    <col min="13" max="13" style="5" width="16.7109375" customWidth="1"/>
    <col min="14" max="14" style="5" width="7.00390625" hidden="1" customWidth="1"/>
    <col min="15" max="15" style="5" width="13.00390625" customWidth="1"/>
    <col min="16" max="16" style="5" width="5.28125" hidden="1" customWidth="1"/>
    <col min="17" max="17" style="5" width="16.7109375" customWidth="1"/>
    <col min="18" max="18" style="5" width="7.00390625" hidden="1" customWidth="1"/>
    <col min="19" max="19" style="5" width="13.00390625" customWidth="1"/>
    <col min="20" max="20" style="5" width="5.28125" hidden="1" customWidth="1"/>
    <col min="21" max="21" style="5" width="16.7109375" customWidth="1"/>
    <col min="22" max="22" style="5" width="7.00390625" hidden="1" customWidth="1"/>
    <col min="23" max="23" style="5" width="13.00390625" customWidth="1"/>
    <col min="24" max="24" style="5" width="5.28125" hidden="1" customWidth="1"/>
    <col min="25" max="25" style="5" width="16.7109375" customWidth="1"/>
    <col min="26" max="26" style="5" width="9.421875" customWidth="1"/>
    <col min="27" max="33" style="5" width="13.00390625" customWidth="1"/>
    <col min="34" max="34" style="5" width="24.57421875" customWidth="1"/>
    <col min="35" max="35" style="5" width="55.7109375" customWidth="1"/>
    <col min="36" max="36" style="5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36" customHeight="1" s="5" customFormat="1">
      <c r="A3" s="295" t="s">
        <v>2057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296" t="s">
        <v>2058</v>
      </c>
      <c r="AI3" s="5"/>
      <c r="AJ3" s="5"/>
    </row>
    <row r="4" ht="18" customHeight="1" s="5" customFormat="1">
      <c r="A4" s="297" t="s">
        <v>2059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14.25" customHeight="1" s="5" customFormat="1">
      <c r="A5" s="298" t="s">
        <v>1012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ht="25.5" customHeight="1" s="5" customFormat="1">
      <c r="A6" s="299" t="s">
        <v>1013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ht="25.5" customHeight="1" s="5" customFormat="1">
      <c r="A7" s="300" t="s">
        <v>233</v>
      </c>
      <c r="B7" s="300" t="s">
        <v>234</v>
      </c>
      <c r="C7" s="300" t="s">
        <v>3</v>
      </c>
      <c r="D7" s="5"/>
      <c r="E7" s="300" t="s">
        <v>235</v>
      </c>
      <c r="F7" s="300" t="s">
        <v>236</v>
      </c>
      <c r="G7" s="300" t="s">
        <v>237</v>
      </c>
      <c r="H7" s="300" t="s">
        <v>238</v>
      </c>
      <c r="I7" s="300" t="s">
        <v>239</v>
      </c>
      <c r="J7" s="300" t="s">
        <v>240</v>
      </c>
      <c r="K7" s="300" t="s">
        <v>241</v>
      </c>
      <c r="L7" s="300" t="s">
        <v>242</v>
      </c>
      <c r="M7" s="301" t="s">
        <v>360</v>
      </c>
      <c r="N7" s="300" t="s">
        <v>244</v>
      </c>
      <c r="O7" s="300" t="s">
        <v>245</v>
      </c>
      <c r="P7" s="300" t="s">
        <v>246</v>
      </c>
      <c r="Q7" s="301" t="s">
        <v>361</v>
      </c>
      <c r="R7" s="300" t="s">
        <v>697</v>
      </c>
      <c r="S7" s="300" t="s">
        <v>698</v>
      </c>
      <c r="T7" s="300" t="s">
        <v>699</v>
      </c>
      <c r="U7" s="301" t="s">
        <v>700</v>
      </c>
      <c r="V7" s="300" t="s">
        <v>701</v>
      </c>
      <c r="W7" s="300" t="s">
        <v>702</v>
      </c>
      <c r="X7" s="300" t="s">
        <v>703</v>
      </c>
      <c r="Y7" s="301" t="s">
        <v>2060</v>
      </c>
      <c r="Z7" s="300" t="s">
        <v>6</v>
      </c>
      <c r="AA7" s="300" t="s">
        <v>248</v>
      </c>
      <c r="AB7" s="300" t="s">
        <v>249</v>
      </c>
      <c r="AC7" s="300" t="s">
        <v>250</v>
      </c>
      <c r="AD7" s="300" t="s">
        <v>251</v>
      </c>
      <c r="AE7" s="300" t="s">
        <v>252</v>
      </c>
      <c r="AF7" s="300" t="s">
        <v>253</v>
      </c>
      <c r="AG7" s="300" t="s">
        <v>254</v>
      </c>
      <c r="AH7" s="301" t="s">
        <v>255</v>
      </c>
      <c r="AI7" s="300" t="s">
        <v>256</v>
      </c>
      <c r="AJ7" s="300" t="s">
        <v>257</v>
      </c>
    </row>
    <row r="8" ht="21.75" customHeight="1" s="5" customFormat="1">
      <c r="A8" s="302" t="s">
        <v>258</v>
      </c>
      <c r="B8" s="303" t="s">
        <v>259</v>
      </c>
      <c r="C8" s="304" t="s">
        <v>2061</v>
      </c>
      <c r="D8" s="5"/>
      <c r="E8" s="304" t="s">
        <v>1990</v>
      </c>
      <c r="F8" s="305" t="s">
        <v>1990</v>
      </c>
      <c r="G8" s="305" t="s">
        <v>1189</v>
      </c>
      <c r="H8" s="305" t="s">
        <v>1991</v>
      </c>
      <c r="I8" s="305" t="s">
        <v>265</v>
      </c>
      <c r="J8" s="305" t="s">
        <v>1993</v>
      </c>
      <c r="K8" s="305" t="s">
        <v>1995</v>
      </c>
      <c r="L8" s="305" t="s">
        <v>1996</v>
      </c>
      <c r="M8" s="306">
        <f>'Current Rents'!E49</f>
        <v>1140</v>
      </c>
      <c r="N8" s="305" t="s">
        <v>1997</v>
      </c>
      <c r="O8" s="305" t="s">
        <v>1998</v>
      </c>
      <c r="P8" s="305" t="s">
        <v>1999</v>
      </c>
      <c r="Q8" s="306">
        <f>'Current Rents'!F49</f>
        <v>1317</v>
      </c>
      <c r="R8" s="305" t="s">
        <v>1995</v>
      </c>
      <c r="S8" s="305" t="s">
        <v>2062</v>
      </c>
      <c r="T8" s="305" t="s">
        <v>2063</v>
      </c>
      <c r="U8" s="306">
        <f>'Current Rents'!G49</f>
        <v>1470</v>
      </c>
      <c r="V8" s="305" t="s">
        <v>2064</v>
      </c>
      <c r="W8" s="305" t="s">
        <v>2065</v>
      </c>
      <c r="X8" s="305" t="s">
        <v>2066</v>
      </c>
      <c r="Y8" s="306">
        <f>'Current Rents'!H49</f>
        <v>1784</v>
      </c>
      <c r="Z8" s="305" t="s">
        <v>2067</v>
      </c>
      <c r="AA8" s="305" t="s">
        <v>1454</v>
      </c>
      <c r="AB8" s="305">
        <v>0</v>
      </c>
      <c r="AC8" s="305" t="s">
        <v>897</v>
      </c>
      <c r="AD8" s="305" t="s">
        <v>273</v>
      </c>
      <c r="AE8" s="305" t="s">
        <v>273</v>
      </c>
      <c r="AF8" s="305" t="s">
        <v>273</v>
      </c>
      <c r="AG8" s="305" t="s">
        <v>273</v>
      </c>
      <c r="AH8" s="303" t="s">
        <v>259</v>
      </c>
      <c r="AI8" s="307" t="s">
        <v>2068</v>
      </c>
      <c r="AJ8" s="304" t="s">
        <v>275</v>
      </c>
    </row>
    <row r="9" ht="21.75" customHeight="1" s="5" customFormat="1">
      <c r="A9" s="308" t="s">
        <v>276</v>
      </c>
      <c r="B9" s="309" t="s">
        <v>277</v>
      </c>
      <c r="C9" s="310" t="s">
        <v>2030</v>
      </c>
      <c r="D9" s="5"/>
      <c r="E9" s="311" t="s">
        <v>2031</v>
      </c>
      <c r="F9" s="308" t="s">
        <v>1990</v>
      </c>
      <c r="G9" s="308" t="s">
        <v>1189</v>
      </c>
      <c r="H9" s="308" t="s">
        <v>1991</v>
      </c>
      <c r="I9" s="308" t="s">
        <v>1325</v>
      </c>
      <c r="J9" s="308" t="s">
        <v>1993</v>
      </c>
      <c r="K9" s="308" t="s">
        <v>1995</v>
      </c>
      <c r="L9" s="308" t="s">
        <v>1996</v>
      </c>
      <c r="M9" s="308" t="s">
        <v>283</v>
      </c>
      <c r="N9" s="308" t="s">
        <v>1997</v>
      </c>
      <c r="O9" s="308" t="s">
        <v>1998</v>
      </c>
      <c r="P9" s="308" t="s">
        <v>1999</v>
      </c>
      <c r="Q9" s="308" t="s">
        <v>283</v>
      </c>
      <c r="R9" s="308" t="s">
        <v>1995</v>
      </c>
      <c r="S9" s="308" t="s">
        <v>2062</v>
      </c>
      <c r="T9" s="308" t="s">
        <v>2063</v>
      </c>
      <c r="U9" s="308" t="s">
        <v>283</v>
      </c>
      <c r="V9" s="308" t="s">
        <v>2064</v>
      </c>
      <c r="W9" s="308" t="s">
        <v>2065</v>
      </c>
      <c r="X9" s="308" t="s">
        <v>2066</v>
      </c>
      <c r="Y9" s="308" t="s">
        <v>283</v>
      </c>
      <c r="Z9" s="308" t="s">
        <v>1026</v>
      </c>
      <c r="AA9" s="308" t="s">
        <v>1027</v>
      </c>
      <c r="AB9" s="308" t="s">
        <v>181</v>
      </c>
      <c r="AC9" s="308" t="s">
        <v>272</v>
      </c>
      <c r="AD9" s="308" t="s">
        <v>273</v>
      </c>
      <c r="AE9" s="308" t="s">
        <v>273</v>
      </c>
      <c r="AF9" s="308" t="s">
        <v>273</v>
      </c>
      <c r="AG9" s="308" t="s">
        <v>273</v>
      </c>
      <c r="AH9" s="312" t="s">
        <v>284</v>
      </c>
      <c r="AI9" s="313" t="s">
        <v>2069</v>
      </c>
      <c r="AJ9" s="311" t="s">
        <v>967</v>
      </c>
    </row>
    <row r="10" ht="21.75" customHeight="1" s="5" customFormat="1">
      <c r="A10" s="308" t="s">
        <v>210</v>
      </c>
      <c r="B10" s="309" t="s">
        <v>277</v>
      </c>
      <c r="C10" s="310" t="s">
        <v>2001</v>
      </c>
      <c r="D10" s="5"/>
      <c r="E10" s="311" t="s">
        <v>2002</v>
      </c>
      <c r="F10" s="308" t="s">
        <v>2003</v>
      </c>
      <c r="G10" s="308" t="s">
        <v>1189</v>
      </c>
      <c r="H10" s="308" t="s">
        <v>2004</v>
      </c>
      <c r="I10" s="308" t="s">
        <v>512</v>
      </c>
      <c r="J10" s="308" t="s">
        <v>1993</v>
      </c>
      <c r="K10" s="308" t="s">
        <v>1995</v>
      </c>
      <c r="L10" s="308" t="s">
        <v>1996</v>
      </c>
      <c r="M10" s="308" t="s">
        <v>283</v>
      </c>
      <c r="N10" s="308" t="s">
        <v>1997</v>
      </c>
      <c r="O10" s="308" t="s">
        <v>1998</v>
      </c>
      <c r="P10" s="308" t="s">
        <v>1999</v>
      </c>
      <c r="Q10" s="308" t="s">
        <v>283</v>
      </c>
      <c r="R10" s="308" t="s">
        <v>1995</v>
      </c>
      <c r="S10" s="308" t="s">
        <v>2062</v>
      </c>
      <c r="T10" s="308" t="s">
        <v>2063</v>
      </c>
      <c r="U10" s="308" t="s">
        <v>283</v>
      </c>
      <c r="V10" s="308" t="s">
        <v>2064</v>
      </c>
      <c r="W10" s="308" t="s">
        <v>2065</v>
      </c>
      <c r="X10" s="308" t="s">
        <v>2066</v>
      </c>
      <c r="Y10" s="308" t="s">
        <v>283</v>
      </c>
      <c r="Z10" s="308" t="s">
        <v>1026</v>
      </c>
      <c r="AA10" s="308" t="s">
        <v>1027</v>
      </c>
      <c r="AB10" s="308" t="s">
        <v>181</v>
      </c>
      <c r="AC10" s="308" t="s">
        <v>272</v>
      </c>
      <c r="AD10" s="308" t="s">
        <v>273</v>
      </c>
      <c r="AE10" s="308" t="s">
        <v>273</v>
      </c>
      <c r="AF10" s="308" t="s">
        <v>273</v>
      </c>
      <c r="AG10" s="308" t="s">
        <v>273</v>
      </c>
      <c r="AH10" s="312" t="s">
        <v>284</v>
      </c>
      <c r="AI10" s="313" t="s">
        <v>2070</v>
      </c>
      <c r="AJ10" s="311" t="s">
        <v>967</v>
      </c>
    </row>
    <row r="11" ht="21.75" customHeight="1" s="5" customFormat="1">
      <c r="A11" s="308" t="s">
        <v>181</v>
      </c>
      <c r="B11" s="309" t="s">
        <v>277</v>
      </c>
      <c r="C11" s="310" t="s">
        <v>2071</v>
      </c>
      <c r="D11" s="5"/>
      <c r="E11" s="311" t="s">
        <v>2072</v>
      </c>
      <c r="F11" s="308" t="s">
        <v>2073</v>
      </c>
      <c r="G11" s="308" t="s">
        <v>1189</v>
      </c>
      <c r="H11" s="308" t="s">
        <v>2074</v>
      </c>
      <c r="I11" s="308" t="s">
        <v>2075</v>
      </c>
      <c r="J11" s="308" t="s">
        <v>1993</v>
      </c>
      <c r="K11" s="308" t="s">
        <v>1995</v>
      </c>
      <c r="L11" s="308" t="s">
        <v>1996</v>
      </c>
      <c r="M11" s="308" t="s">
        <v>283</v>
      </c>
      <c r="N11" s="308" t="s">
        <v>1997</v>
      </c>
      <c r="O11" s="308" t="s">
        <v>1998</v>
      </c>
      <c r="P11" s="308" t="s">
        <v>1999</v>
      </c>
      <c r="Q11" s="308" t="s">
        <v>283</v>
      </c>
      <c r="R11" s="308" t="s">
        <v>1995</v>
      </c>
      <c r="S11" s="308" t="s">
        <v>2062</v>
      </c>
      <c r="T11" s="308" t="s">
        <v>2063</v>
      </c>
      <c r="U11" s="308" t="s">
        <v>283</v>
      </c>
      <c r="V11" s="308" t="s">
        <v>2064</v>
      </c>
      <c r="W11" s="308" t="s">
        <v>2065</v>
      </c>
      <c r="X11" s="308" t="s">
        <v>2066</v>
      </c>
      <c r="Y11" s="308" t="s">
        <v>283</v>
      </c>
      <c r="Z11" s="308" t="s">
        <v>219</v>
      </c>
      <c r="AA11" s="308" t="s">
        <v>1454</v>
      </c>
      <c r="AB11" s="308" t="s">
        <v>462</v>
      </c>
      <c r="AC11" s="308" t="s">
        <v>272</v>
      </c>
      <c r="AD11" s="308" t="s">
        <v>273</v>
      </c>
      <c r="AE11" s="308" t="s">
        <v>273</v>
      </c>
      <c r="AF11" s="308" t="s">
        <v>273</v>
      </c>
      <c r="AG11" s="308" t="s">
        <v>273</v>
      </c>
      <c r="AH11" s="312" t="s">
        <v>284</v>
      </c>
      <c r="AI11" s="313" t="s">
        <v>2076</v>
      </c>
      <c r="AJ11" s="311" t="s">
        <v>967</v>
      </c>
    </row>
    <row r="12" ht="24.75" customHeight="1" s="5" customFormat="1">
      <c r="A12" s="315" t="s">
        <v>276</v>
      </c>
      <c r="B12" s="316" t="s">
        <v>300</v>
      </c>
      <c r="C12" s="317" t="s">
        <v>2017</v>
      </c>
      <c r="D12" s="318" t="s">
        <v>302</v>
      </c>
      <c r="E12" s="319" t="s">
        <v>2018</v>
      </c>
      <c r="F12" s="320" t="s">
        <v>1990</v>
      </c>
      <c r="G12" s="320" t="s">
        <v>1189</v>
      </c>
      <c r="H12" s="320"/>
      <c r="I12" s="320" t="s">
        <v>930</v>
      </c>
      <c r="J12" s="320" t="s">
        <v>1038</v>
      </c>
      <c r="K12" s="320" t="s">
        <v>1038</v>
      </c>
      <c r="L12" s="320" t="s">
        <v>1996</v>
      </c>
      <c r="M12" s="321">
        <v>1650</v>
      </c>
      <c r="N12" s="320" t="s">
        <v>1038</v>
      </c>
      <c r="O12" s="320" t="s">
        <v>1038</v>
      </c>
      <c r="P12" s="320" t="s">
        <v>1999</v>
      </c>
      <c r="Q12" s="321">
        <v>2050</v>
      </c>
      <c r="R12" s="320" t="s">
        <v>1038</v>
      </c>
      <c r="S12" s="320" t="s">
        <v>1038</v>
      </c>
      <c r="T12" s="320" t="s">
        <v>2063</v>
      </c>
      <c r="U12" s="322" t="s">
        <v>64</v>
      </c>
      <c r="V12" s="320" t="s">
        <v>1038</v>
      </c>
      <c r="W12" s="320" t="s">
        <v>1038</v>
      </c>
      <c r="X12" s="320" t="s">
        <v>2066</v>
      </c>
      <c r="Y12" s="322" t="s">
        <v>283</v>
      </c>
      <c r="Z12" s="320" t="s">
        <v>64</v>
      </c>
      <c r="AA12" s="320" t="s">
        <v>1454</v>
      </c>
      <c r="AB12" s="320" t="s">
        <v>462</v>
      </c>
      <c r="AC12" s="320" t="s">
        <v>507</v>
      </c>
      <c r="AD12" s="320" t="s">
        <v>507</v>
      </c>
      <c r="AE12" s="320" t="s">
        <v>507</v>
      </c>
      <c r="AF12" s="320" t="s">
        <v>507</v>
      </c>
      <c r="AG12" s="320" t="s">
        <v>507</v>
      </c>
      <c r="AH12" s="323" t="s">
        <v>284</v>
      </c>
      <c r="AI12" s="324" t="s">
        <v>1475</v>
      </c>
      <c r="AJ12" s="319" t="s">
        <v>2020</v>
      </c>
    </row>
    <row r="13" ht="28.5" customHeight="1" s="5" customFormat="1">
      <c r="A13" s="325" t="s">
        <v>154</v>
      </c>
      <c r="B13" s="326" t="s">
        <v>339</v>
      </c>
      <c r="C13" s="327" t="s">
        <v>2021</v>
      </c>
      <c r="D13" s="5"/>
      <c r="E13" s="325" t="s">
        <v>64</v>
      </c>
      <c r="F13" s="325" t="s">
        <v>1990</v>
      </c>
      <c r="G13" s="325" t="s">
        <v>1189</v>
      </c>
      <c r="H13" s="325"/>
      <c r="I13" s="325"/>
      <c r="J13" s="325" t="s">
        <v>64</v>
      </c>
      <c r="K13" s="325" t="s">
        <v>64</v>
      </c>
      <c r="L13" s="325" t="s">
        <v>1996</v>
      </c>
      <c r="M13" s="325" t="s">
        <v>1996</v>
      </c>
      <c r="N13" s="325" t="s">
        <v>64</v>
      </c>
      <c r="O13" s="325" t="s">
        <v>64</v>
      </c>
      <c r="P13" s="325" t="s">
        <v>1999</v>
      </c>
      <c r="Q13" s="325" t="s">
        <v>1999</v>
      </c>
      <c r="R13" s="325" t="s">
        <v>64</v>
      </c>
      <c r="S13" s="325" t="s">
        <v>64</v>
      </c>
      <c r="T13" s="325" t="s">
        <v>2063</v>
      </c>
      <c r="U13" s="325" t="s">
        <v>2063</v>
      </c>
      <c r="V13" s="325" t="s">
        <v>64</v>
      </c>
      <c r="W13" s="325" t="s">
        <v>64</v>
      </c>
      <c r="X13" s="325" t="s">
        <v>2066</v>
      </c>
      <c r="Y13" s="325" t="s">
        <v>2066</v>
      </c>
      <c r="Z13" s="325"/>
      <c r="AA13" s="325"/>
      <c r="AB13" s="325"/>
      <c r="AC13" s="325"/>
      <c r="AD13" s="325"/>
      <c r="AE13" s="325"/>
      <c r="AF13" s="325"/>
      <c r="AG13" s="325"/>
      <c r="AH13" s="316" t="s">
        <v>339</v>
      </c>
      <c r="AI13" s="328" t="s">
        <v>2022</v>
      </c>
      <c r="AJ13" s="328" t="s">
        <v>342</v>
      </c>
    </row>
    <row r="14" ht="34.5" customHeight="1" s="5" customFormat="1">
      <c r="A14" s="329" t="s">
        <v>154</v>
      </c>
      <c r="B14" s="326" t="s">
        <v>339</v>
      </c>
      <c r="C14" s="330" t="s">
        <v>2023</v>
      </c>
      <c r="D14" s="5"/>
      <c r="E14" s="329" t="s">
        <v>64</v>
      </c>
      <c r="F14" s="329" t="s">
        <v>1990</v>
      </c>
      <c r="G14" s="329" t="s">
        <v>1189</v>
      </c>
      <c r="H14" s="329"/>
      <c r="I14" s="329"/>
      <c r="J14" s="329"/>
      <c r="K14" s="329"/>
      <c r="L14" s="329"/>
      <c r="M14" s="331">
        <v>1650</v>
      </c>
      <c r="N14" s="329"/>
      <c r="O14" s="329"/>
      <c r="P14" s="329"/>
      <c r="Q14" s="331">
        <v>2050</v>
      </c>
      <c r="R14" s="329"/>
      <c r="S14" s="329"/>
      <c r="T14" s="329"/>
      <c r="U14" s="331"/>
      <c r="V14" s="329"/>
      <c r="W14" s="329"/>
      <c r="X14" s="329"/>
      <c r="Y14" s="331"/>
      <c r="Z14" s="329"/>
      <c r="AA14" s="329"/>
      <c r="AB14" s="329"/>
      <c r="AC14" s="329"/>
      <c r="AD14" s="329"/>
      <c r="AE14" s="329"/>
      <c r="AF14" s="329"/>
      <c r="AG14" s="329"/>
      <c r="AH14" s="316" t="s">
        <v>339</v>
      </c>
      <c r="AI14" s="332" t="s">
        <v>2024</v>
      </c>
      <c r="AJ14" s="332" t="s">
        <v>1062</v>
      </c>
    </row>
    <row r="16" ht="14.25" customHeight="1" s="5" customFormat="1">
      <c r="A16" s="333" t="s">
        <v>1063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8" ht="18" customHeight="1" s="5" customFormat="1">
      <c r="A18" s="334" t="s">
        <v>349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 ht="15.75" customHeight="1" s="5" customFormat="1">
      <c r="A19" s="335" t="s">
        <v>2025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 ht="15.75" customHeight="1" s="5" customFormat="1">
      <c r="A20" s="5"/>
      <c r="B20" s="336" t="s">
        <v>351</v>
      </c>
      <c r="C20" s="336" t="s">
        <v>352</v>
      </c>
      <c r="D20" s="5"/>
      <c r="E20" s="336" t="s">
        <v>353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1" ht="20.25" customHeight="1" s="5" customFormat="1">
      <c r="A21" s="337" t="s">
        <v>151</v>
      </c>
      <c r="B21" s="338">
        <f>'Current Rents'!E49</f>
        <v>1140</v>
      </c>
      <c r="C21" s="339">
        <v>1650</v>
      </c>
      <c r="D21" s="5"/>
      <c r="E21" s="340">
        <f t="shared" si="0" ref="E21:E24">B21-C21</f>
        <v>-510</v>
      </c>
      <c r="F21" s="161" t="str">
        <f>IF(E21&lt;-75,"LOOK INTO INCREASING THE RENT!","")</f>
        <v>LOOK INTO INCREASING THE RENT!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</row>
    <row r="22" ht="20.25" customHeight="1" s="5" customFormat="1">
      <c r="A22" s="337" t="s">
        <v>152</v>
      </c>
      <c r="B22" s="338">
        <f>'Current Rents'!F49</f>
        <v>1317</v>
      </c>
      <c r="C22" s="339">
        <v>2050</v>
      </c>
      <c r="D22" s="5"/>
      <c r="E22" s="340">
        <f t="shared" si="0"/>
        <v>-733</v>
      </c>
      <c r="F22" s="161" t="str">
        <f>IF(E22&lt;-75,"LOOK INTO INCREASING THE RENT!","")</f>
        <v>LOOK INTO INCREASING THE RENT!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  <row r="23" ht="20.25" customHeight="1" s="5" customFormat="1">
      <c r="A23" s="337" t="s">
        <v>155</v>
      </c>
      <c r="B23" s="338">
        <f>'Current Rents'!G49</f>
        <v>1470</v>
      </c>
      <c r="C23" s="339">
        <v>0</v>
      </c>
      <c r="D23" s="5"/>
      <c r="E23" s="340">
        <f t="shared" si="0"/>
        <v>1470</v>
      </c>
      <c r="F23" s="161" t="str">
        <f>IF(E23&lt;-75,"LOOK INTO INCREASING THE RENT!","")</f>
        <v/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 ht="20.25" customHeight="1" s="5" customFormat="1">
      <c r="A24" s="337" t="s">
        <v>174</v>
      </c>
      <c r="B24" s="338">
        <f>'Current Rents'!H49</f>
        <v>1784</v>
      </c>
      <c r="C24" s="339">
        <v>0</v>
      </c>
      <c r="D24" s="5"/>
      <c r="E24" s="340">
        <f t="shared" si="0"/>
        <v>1784</v>
      </c>
      <c r="F24" s="161" t="str">
        <f>IF(E24&lt;-75,"LOOK INTO INCREASING THE RENT!","")</f>
        <v/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</row>
  </sheetData>
  <mergeCells>
    <mergeCell ref="A3:AG3"/>
    <mergeCell ref="A16:AJ16"/>
    <mergeCell ref="C14:D14"/>
    <mergeCell ref="C8:D8"/>
    <mergeCell ref="C9:D9"/>
    <mergeCell ref="AH3:AJ3"/>
    <mergeCell ref="A5:AJ5"/>
    <mergeCell ref="C13:D13"/>
    <mergeCell ref="A18:H18"/>
    <mergeCell ref="C7:D7"/>
    <mergeCell ref="A6:AJ6"/>
    <mergeCell ref="A4:AJ4"/>
    <mergeCell ref="D12"/>
    <mergeCell ref="C11:D11"/>
    <mergeCell ref="C20:D20"/>
    <mergeCell ref="C10:D10"/>
    <mergeCell ref="A19:H19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E2933A9-C75C-51B8-3312-7EFEE10F8398}" mc:Ignorable="x14ac xr xr2 xr3">
  <dimension ref="A1:AJ25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style="5" width="9.00390625" customWidth="1"/>
    <col min="2" max="2" style="5" width="18.57421875" customWidth="1"/>
    <col min="3" max="3" style="5" width="42.00390625" customWidth="1"/>
    <col min="4" max="4" style="5" width="4.7109375" customWidth="1"/>
    <col min="5" max="5" style="5" width="31.00390625" customWidth="1"/>
    <col min="6" max="6" style="5" width="14.28125" customWidth="1"/>
    <col min="7" max="7" style="5" width="9.28125" customWidth="1"/>
    <col min="8" max="9" style="5" width="13.00390625" customWidth="1"/>
    <col min="10" max="10" style="5" width="7.00390625" hidden="1" customWidth="1"/>
    <col min="11" max="11" style="5" width="13.00390625" customWidth="1"/>
    <col min="12" max="12" style="5" width="5.28125" hidden="1" customWidth="1"/>
    <col min="13" max="13" style="5" width="16.7109375" customWidth="1"/>
    <col min="14" max="14" style="5" width="7.00390625" hidden="1" customWidth="1"/>
    <col min="15" max="15" style="5" width="13.00390625" customWidth="1"/>
    <col min="16" max="16" style="5" width="5.28125" hidden="1" customWidth="1"/>
    <col min="17" max="17" style="5" width="16.7109375" customWidth="1"/>
    <col min="18" max="18" style="5" width="7.00390625" hidden="1" customWidth="1"/>
    <col min="19" max="19" style="5" width="13.00390625" customWidth="1"/>
    <col min="20" max="20" style="5" width="5.28125" hidden="1" customWidth="1"/>
    <col min="21" max="21" style="5" width="16.7109375" customWidth="1"/>
    <col min="22" max="22" style="5" width="7.00390625" hidden="1" customWidth="1"/>
    <col min="23" max="23" style="5" width="13.00390625" customWidth="1"/>
    <col min="24" max="24" style="5" width="5.28125" hidden="1" customWidth="1"/>
    <col min="25" max="25" style="5" width="16.7109375" customWidth="1"/>
    <col min="26" max="26" style="5" width="9.421875" customWidth="1"/>
    <col min="27" max="33" style="5" width="13.00390625" customWidth="1"/>
    <col min="34" max="34" style="5" width="24.57421875" customWidth="1"/>
    <col min="35" max="35" style="5" width="55.7109375" customWidth="1"/>
    <col min="36" max="36" style="5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36" customHeight="1" s="5" customFormat="1">
      <c r="A3" s="295" t="s">
        <v>2077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296" t="s">
        <v>2078</v>
      </c>
      <c r="AI3" s="5"/>
      <c r="AJ3" s="5"/>
    </row>
    <row r="4" ht="18" customHeight="1" s="5" customFormat="1">
      <c r="A4" s="297" t="s">
        <v>2079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14.25" customHeight="1" s="5" customFormat="1">
      <c r="A5" s="298" t="s">
        <v>1012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ht="25.5" customHeight="1" s="5" customFormat="1">
      <c r="A6" s="299" t="s">
        <v>1013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ht="25.5" customHeight="1" s="5" customFormat="1">
      <c r="A7" s="300" t="s">
        <v>233</v>
      </c>
      <c r="B7" s="300" t="s">
        <v>234</v>
      </c>
      <c r="C7" s="300" t="s">
        <v>3</v>
      </c>
      <c r="D7" s="5"/>
      <c r="E7" s="300" t="s">
        <v>235</v>
      </c>
      <c r="F7" s="300" t="s">
        <v>236</v>
      </c>
      <c r="G7" s="300" t="s">
        <v>237</v>
      </c>
      <c r="H7" s="300" t="s">
        <v>238</v>
      </c>
      <c r="I7" s="300" t="s">
        <v>239</v>
      </c>
      <c r="J7" s="300" t="s">
        <v>444</v>
      </c>
      <c r="K7" s="300" t="s">
        <v>445</v>
      </c>
      <c r="L7" s="300" t="s">
        <v>446</v>
      </c>
      <c r="M7" s="301" t="s">
        <v>447</v>
      </c>
      <c r="N7" s="300" t="s">
        <v>240</v>
      </c>
      <c r="O7" s="300" t="s">
        <v>241</v>
      </c>
      <c r="P7" s="300" t="s">
        <v>242</v>
      </c>
      <c r="Q7" s="301" t="s">
        <v>360</v>
      </c>
      <c r="R7" s="300" t="s">
        <v>244</v>
      </c>
      <c r="S7" s="300" t="s">
        <v>245</v>
      </c>
      <c r="T7" s="300" t="s">
        <v>246</v>
      </c>
      <c r="U7" s="301" t="s">
        <v>361</v>
      </c>
      <c r="V7" s="300" t="s">
        <v>697</v>
      </c>
      <c r="W7" s="300" t="s">
        <v>698</v>
      </c>
      <c r="X7" s="300" t="s">
        <v>699</v>
      </c>
      <c r="Y7" s="301" t="s">
        <v>700</v>
      </c>
      <c r="Z7" s="300" t="s">
        <v>6</v>
      </c>
      <c r="AA7" s="300" t="s">
        <v>248</v>
      </c>
      <c r="AB7" s="300" t="s">
        <v>249</v>
      </c>
      <c r="AC7" s="300" t="s">
        <v>250</v>
      </c>
      <c r="AD7" s="300" t="s">
        <v>251</v>
      </c>
      <c r="AE7" s="300" t="s">
        <v>252</v>
      </c>
      <c r="AF7" s="300" t="s">
        <v>253</v>
      </c>
      <c r="AG7" s="300" t="s">
        <v>254</v>
      </c>
      <c r="AH7" s="301" t="s">
        <v>255</v>
      </c>
      <c r="AI7" s="300" t="s">
        <v>256</v>
      </c>
      <c r="AJ7" s="300" t="s">
        <v>257</v>
      </c>
    </row>
    <row r="8" ht="21.75" customHeight="1" s="5" customFormat="1">
      <c r="A8" s="302" t="s">
        <v>258</v>
      </c>
      <c r="B8" s="303" t="s">
        <v>259</v>
      </c>
      <c r="C8" s="304" t="s">
        <v>2080</v>
      </c>
      <c r="D8" s="5"/>
      <c r="E8" s="304" t="s">
        <v>2081</v>
      </c>
      <c r="F8" s="305" t="s">
        <v>2082</v>
      </c>
      <c r="G8" s="305" t="s">
        <v>2083</v>
      </c>
      <c r="H8" s="305" t="s">
        <v>2084</v>
      </c>
      <c r="I8" s="305" t="s">
        <v>265</v>
      </c>
      <c r="J8" s="305" t="s">
        <v>2085</v>
      </c>
      <c r="K8" s="305" t="s">
        <v>2086</v>
      </c>
      <c r="L8" s="305" t="s">
        <v>2087</v>
      </c>
      <c r="M8" s="306">
        <f>'Current Rents'!D50</f>
        <v>970</v>
      </c>
      <c r="N8" s="305" t="s">
        <v>2086</v>
      </c>
      <c r="O8" s="305" t="s">
        <v>2088</v>
      </c>
      <c r="P8" s="305" t="s">
        <v>2089</v>
      </c>
      <c r="Q8" s="306">
        <f>'Current Rents'!E50</f>
        <v>1185</v>
      </c>
      <c r="R8" s="305" t="s">
        <v>1662</v>
      </c>
      <c r="S8" s="305" t="s">
        <v>1663</v>
      </c>
      <c r="T8" s="305" t="s">
        <v>1453</v>
      </c>
      <c r="U8" s="306">
        <f>'Current Rents'!F50</f>
        <v>1400</v>
      </c>
      <c r="V8" s="305" t="s">
        <v>2088</v>
      </c>
      <c r="W8" s="305" t="s">
        <v>2090</v>
      </c>
      <c r="X8" s="305" t="s">
        <v>614</v>
      </c>
      <c r="Y8" s="306">
        <f>'Current Rents'!G50</f>
        <v>1695</v>
      </c>
      <c r="Z8" s="305" t="s">
        <v>551</v>
      </c>
      <c r="AA8" s="305" t="s">
        <v>372</v>
      </c>
      <c r="AB8" s="305">
        <v>0</v>
      </c>
      <c r="AC8" s="305" t="s">
        <v>272</v>
      </c>
      <c r="AD8" s="305" t="s">
        <v>273</v>
      </c>
      <c r="AE8" s="305" t="s">
        <v>273</v>
      </c>
      <c r="AF8" s="305" t="s">
        <v>273</v>
      </c>
      <c r="AG8" s="305" t="s">
        <v>273</v>
      </c>
      <c r="AH8" s="303" t="s">
        <v>259</v>
      </c>
      <c r="AI8" s="307" t="s">
        <v>2091</v>
      </c>
      <c r="AJ8" s="304" t="s">
        <v>275</v>
      </c>
    </row>
    <row r="9" ht="21.75" customHeight="1" s="5" customFormat="1">
      <c r="A9" s="308" t="s">
        <v>276</v>
      </c>
      <c r="B9" s="309" t="s">
        <v>277</v>
      </c>
      <c r="C9" s="310" t="s">
        <v>2092</v>
      </c>
      <c r="D9" s="5"/>
      <c r="E9" s="311" t="s">
        <v>2093</v>
      </c>
      <c r="F9" s="308" t="s">
        <v>2082</v>
      </c>
      <c r="G9" s="308" t="s">
        <v>2083</v>
      </c>
      <c r="H9" s="308" t="s">
        <v>2084</v>
      </c>
      <c r="I9" s="308" t="s">
        <v>525</v>
      </c>
      <c r="J9" s="308" t="s">
        <v>2085</v>
      </c>
      <c r="K9" s="308" t="s">
        <v>2086</v>
      </c>
      <c r="L9" s="308" t="s">
        <v>2087</v>
      </c>
      <c r="M9" s="308" t="s">
        <v>283</v>
      </c>
      <c r="N9" s="308" t="s">
        <v>2086</v>
      </c>
      <c r="O9" s="308" t="s">
        <v>2088</v>
      </c>
      <c r="P9" s="308" t="s">
        <v>2089</v>
      </c>
      <c r="Q9" s="308" t="s">
        <v>283</v>
      </c>
      <c r="R9" s="308" t="s">
        <v>1662</v>
      </c>
      <c r="S9" s="308" t="s">
        <v>1663</v>
      </c>
      <c r="T9" s="308" t="s">
        <v>1453</v>
      </c>
      <c r="U9" s="308" t="s">
        <v>283</v>
      </c>
      <c r="V9" s="308" t="s">
        <v>2088</v>
      </c>
      <c r="W9" s="308" t="s">
        <v>2090</v>
      </c>
      <c r="X9" s="308" t="s">
        <v>614</v>
      </c>
      <c r="Y9" s="308" t="s">
        <v>283</v>
      </c>
      <c r="Z9" s="308" t="s">
        <v>563</v>
      </c>
      <c r="AA9" s="308" t="s">
        <v>377</v>
      </c>
      <c r="AB9" s="308" t="s">
        <v>276</v>
      </c>
      <c r="AC9" s="308" t="s">
        <v>272</v>
      </c>
      <c r="AD9" s="308" t="s">
        <v>273</v>
      </c>
      <c r="AE9" s="308" t="s">
        <v>273</v>
      </c>
      <c r="AF9" s="308" t="s">
        <v>273</v>
      </c>
      <c r="AG9" s="308" t="s">
        <v>273</v>
      </c>
      <c r="AH9" s="312" t="s">
        <v>284</v>
      </c>
      <c r="AI9" s="313" t="s">
        <v>2094</v>
      </c>
      <c r="AJ9" s="311" t="s">
        <v>286</v>
      </c>
    </row>
    <row r="10" ht="21.75" customHeight="1" s="5" customFormat="1">
      <c r="A10" s="308" t="s">
        <v>210</v>
      </c>
      <c r="B10" s="309" t="s">
        <v>277</v>
      </c>
      <c r="C10" s="310" t="s">
        <v>2095</v>
      </c>
      <c r="D10" s="5"/>
      <c r="E10" s="311" t="s">
        <v>2096</v>
      </c>
      <c r="F10" s="308" t="s">
        <v>2097</v>
      </c>
      <c r="G10" s="308" t="s">
        <v>2083</v>
      </c>
      <c r="H10" s="308" t="s">
        <v>2098</v>
      </c>
      <c r="I10" s="308" t="s">
        <v>1957</v>
      </c>
      <c r="J10" s="308" t="s">
        <v>2085</v>
      </c>
      <c r="K10" s="308" t="s">
        <v>2086</v>
      </c>
      <c r="L10" s="308" t="s">
        <v>2087</v>
      </c>
      <c r="M10" s="308" t="s">
        <v>283</v>
      </c>
      <c r="N10" s="308" t="s">
        <v>2086</v>
      </c>
      <c r="O10" s="308" t="s">
        <v>2088</v>
      </c>
      <c r="P10" s="308" t="s">
        <v>2089</v>
      </c>
      <c r="Q10" s="308" t="s">
        <v>283</v>
      </c>
      <c r="R10" s="308" t="s">
        <v>1662</v>
      </c>
      <c r="S10" s="308" t="s">
        <v>1663</v>
      </c>
      <c r="T10" s="308" t="s">
        <v>1453</v>
      </c>
      <c r="U10" s="308" t="s">
        <v>283</v>
      </c>
      <c r="V10" s="308" t="s">
        <v>2088</v>
      </c>
      <c r="W10" s="308" t="s">
        <v>2090</v>
      </c>
      <c r="X10" s="308" t="s">
        <v>614</v>
      </c>
      <c r="Y10" s="308" t="s">
        <v>283</v>
      </c>
      <c r="Z10" s="308" t="s">
        <v>551</v>
      </c>
      <c r="AA10" s="308" t="s">
        <v>407</v>
      </c>
      <c r="AB10" s="308" t="s">
        <v>276</v>
      </c>
      <c r="AC10" s="308" t="s">
        <v>272</v>
      </c>
      <c r="AD10" s="308" t="s">
        <v>273</v>
      </c>
      <c r="AE10" s="308" t="s">
        <v>273</v>
      </c>
      <c r="AF10" s="308" t="s">
        <v>273</v>
      </c>
      <c r="AG10" s="308" t="s">
        <v>273</v>
      </c>
      <c r="AH10" s="314" t="s">
        <v>298</v>
      </c>
      <c r="AI10" s="313" t="s">
        <v>2099</v>
      </c>
      <c r="AJ10" s="311" t="s">
        <v>2100</v>
      </c>
    </row>
    <row r="11" ht="21.75" customHeight="1" s="5" customFormat="1">
      <c r="A11" s="308" t="s">
        <v>181</v>
      </c>
      <c r="B11" s="309" t="s">
        <v>277</v>
      </c>
      <c r="C11" s="310" t="s">
        <v>2101</v>
      </c>
      <c r="D11" s="5"/>
      <c r="E11" s="311" t="s">
        <v>2102</v>
      </c>
      <c r="F11" s="308" t="s">
        <v>2103</v>
      </c>
      <c r="G11" s="308" t="s">
        <v>2083</v>
      </c>
      <c r="H11" s="308" t="s">
        <v>2104</v>
      </c>
      <c r="I11" s="308" t="s">
        <v>422</v>
      </c>
      <c r="J11" s="308" t="s">
        <v>2085</v>
      </c>
      <c r="K11" s="308" t="s">
        <v>2086</v>
      </c>
      <c r="L11" s="308" t="s">
        <v>2087</v>
      </c>
      <c r="M11" s="308" t="s">
        <v>283</v>
      </c>
      <c r="N11" s="308" t="s">
        <v>2086</v>
      </c>
      <c r="O11" s="308" t="s">
        <v>2088</v>
      </c>
      <c r="P11" s="308" t="s">
        <v>2089</v>
      </c>
      <c r="Q11" s="308" t="s">
        <v>283</v>
      </c>
      <c r="R11" s="308" t="s">
        <v>1662</v>
      </c>
      <c r="S11" s="308" t="s">
        <v>1663</v>
      </c>
      <c r="T11" s="308" t="s">
        <v>1453</v>
      </c>
      <c r="U11" s="308" t="s">
        <v>283</v>
      </c>
      <c r="V11" s="308" t="s">
        <v>2088</v>
      </c>
      <c r="W11" s="308" t="s">
        <v>2090</v>
      </c>
      <c r="X11" s="308" t="s">
        <v>614</v>
      </c>
      <c r="Y11" s="308" t="s">
        <v>283</v>
      </c>
      <c r="Z11" s="308" t="s">
        <v>2105</v>
      </c>
      <c r="AA11" s="308" t="s">
        <v>1200</v>
      </c>
      <c r="AB11" s="308" t="s">
        <v>210</v>
      </c>
      <c r="AC11" s="308" t="s">
        <v>272</v>
      </c>
      <c r="AD11" s="308" t="s">
        <v>273</v>
      </c>
      <c r="AE11" s="308" t="s">
        <v>273</v>
      </c>
      <c r="AF11" s="308" t="s">
        <v>273</v>
      </c>
      <c r="AG11" s="308" t="s">
        <v>273</v>
      </c>
      <c r="AH11" s="314" t="s">
        <v>298</v>
      </c>
      <c r="AI11" s="313" t="s">
        <v>2106</v>
      </c>
      <c r="AJ11" s="311" t="s">
        <v>286</v>
      </c>
    </row>
    <row r="12" ht="21.75" customHeight="1" s="5" customFormat="1">
      <c r="A12" s="308" t="s">
        <v>320</v>
      </c>
      <c r="B12" s="309" t="s">
        <v>277</v>
      </c>
      <c r="C12" s="310" t="s">
        <v>2107</v>
      </c>
      <c r="D12" s="5"/>
      <c r="E12" s="311" t="s">
        <v>2108</v>
      </c>
      <c r="F12" s="308" t="s">
        <v>2082</v>
      </c>
      <c r="G12" s="308" t="s">
        <v>2083</v>
      </c>
      <c r="H12" s="308" t="s">
        <v>2084</v>
      </c>
      <c r="I12" s="308" t="s">
        <v>499</v>
      </c>
      <c r="J12" s="308" t="s">
        <v>2085</v>
      </c>
      <c r="K12" s="308" t="s">
        <v>2086</v>
      </c>
      <c r="L12" s="308" t="s">
        <v>2087</v>
      </c>
      <c r="M12" s="308" t="s">
        <v>283</v>
      </c>
      <c r="N12" s="308" t="s">
        <v>2086</v>
      </c>
      <c r="O12" s="308" t="s">
        <v>2088</v>
      </c>
      <c r="P12" s="308" t="s">
        <v>2089</v>
      </c>
      <c r="Q12" s="308" t="s">
        <v>283</v>
      </c>
      <c r="R12" s="308" t="s">
        <v>1662</v>
      </c>
      <c r="S12" s="308" t="s">
        <v>1663</v>
      </c>
      <c r="T12" s="308" t="s">
        <v>1453</v>
      </c>
      <c r="U12" s="308" t="s">
        <v>283</v>
      </c>
      <c r="V12" s="308" t="s">
        <v>2088</v>
      </c>
      <c r="W12" s="308" t="s">
        <v>2090</v>
      </c>
      <c r="X12" s="308" t="s">
        <v>614</v>
      </c>
      <c r="Y12" s="308" t="s">
        <v>283</v>
      </c>
      <c r="Z12" s="308" t="s">
        <v>563</v>
      </c>
      <c r="AA12" s="308" t="s">
        <v>407</v>
      </c>
      <c r="AB12" s="308" t="s">
        <v>276</v>
      </c>
      <c r="AC12" s="308" t="s">
        <v>272</v>
      </c>
      <c r="AD12" s="308" t="s">
        <v>273</v>
      </c>
      <c r="AE12" s="308" t="s">
        <v>273</v>
      </c>
      <c r="AF12" s="308" t="s">
        <v>273</v>
      </c>
      <c r="AG12" s="308" t="s">
        <v>273</v>
      </c>
      <c r="AH12" s="312" t="s">
        <v>284</v>
      </c>
      <c r="AI12" s="313" t="s">
        <v>2109</v>
      </c>
      <c r="AJ12" s="311" t="s">
        <v>2110</v>
      </c>
    </row>
    <row r="13" ht="24.75" customHeight="1" s="5" customFormat="1">
      <c r="A13" s="315" t="s">
        <v>276</v>
      </c>
      <c r="B13" s="316" t="s">
        <v>300</v>
      </c>
      <c r="C13" s="317" t="s">
        <v>2111</v>
      </c>
      <c r="D13" s="318" t="s">
        <v>302</v>
      </c>
      <c r="E13" s="319" t="s">
        <v>2112</v>
      </c>
      <c r="F13" s="320" t="s">
        <v>2082</v>
      </c>
      <c r="G13" s="320" t="s">
        <v>2083</v>
      </c>
      <c r="H13" s="320"/>
      <c r="I13" s="320" t="s">
        <v>376</v>
      </c>
      <c r="J13" s="320" t="s">
        <v>1038</v>
      </c>
      <c r="K13" s="320" t="s">
        <v>1038</v>
      </c>
      <c r="L13" s="320" t="s">
        <v>2087</v>
      </c>
      <c r="M13" s="321">
        <v>979</v>
      </c>
      <c r="N13" s="320" t="s">
        <v>1038</v>
      </c>
      <c r="O13" s="320" t="s">
        <v>1038</v>
      </c>
      <c r="P13" s="320" t="s">
        <v>2089</v>
      </c>
      <c r="Q13" s="321">
        <v>1240</v>
      </c>
      <c r="R13" s="320" t="s">
        <v>1038</v>
      </c>
      <c r="S13" s="320" t="s">
        <v>1038</v>
      </c>
      <c r="T13" s="320" t="s">
        <v>1453</v>
      </c>
      <c r="U13" s="321">
        <v>1440</v>
      </c>
      <c r="V13" s="320" t="s">
        <v>1038</v>
      </c>
      <c r="W13" s="320" t="s">
        <v>1038</v>
      </c>
      <c r="X13" s="320" t="s">
        <v>614</v>
      </c>
      <c r="Y13" s="321">
        <v>1650</v>
      </c>
      <c r="Z13" s="320" t="s">
        <v>64</v>
      </c>
      <c r="AA13" s="320" t="s">
        <v>372</v>
      </c>
      <c r="AB13" s="320" t="s">
        <v>462</v>
      </c>
      <c r="AC13" s="320" t="s">
        <v>507</v>
      </c>
      <c r="AD13" s="320" t="s">
        <v>507</v>
      </c>
      <c r="AE13" s="320" t="s">
        <v>507</v>
      </c>
      <c r="AF13" s="320" t="s">
        <v>507</v>
      </c>
      <c r="AG13" s="320" t="s">
        <v>507</v>
      </c>
      <c r="AH13" s="323" t="s">
        <v>284</v>
      </c>
      <c r="AI13" s="324" t="s">
        <v>2113</v>
      </c>
      <c r="AJ13" s="319" t="s">
        <v>2114</v>
      </c>
    </row>
    <row r="14" ht="28.5" customHeight="1" s="5" customFormat="1">
      <c r="A14" s="325" t="s">
        <v>154</v>
      </c>
      <c r="B14" s="326" t="s">
        <v>339</v>
      </c>
      <c r="C14" s="327" t="s">
        <v>2115</v>
      </c>
      <c r="D14" s="5"/>
      <c r="E14" s="325" t="s">
        <v>64</v>
      </c>
      <c r="F14" s="325" t="s">
        <v>2082</v>
      </c>
      <c r="G14" s="325" t="s">
        <v>2083</v>
      </c>
      <c r="H14" s="325"/>
      <c r="I14" s="325"/>
      <c r="J14" s="325" t="s">
        <v>64</v>
      </c>
      <c r="K14" s="325" t="s">
        <v>64</v>
      </c>
      <c r="L14" s="325" t="s">
        <v>2087</v>
      </c>
      <c r="M14" s="325" t="s">
        <v>2087</v>
      </c>
      <c r="N14" s="325" t="s">
        <v>64</v>
      </c>
      <c r="O14" s="325" t="s">
        <v>64</v>
      </c>
      <c r="P14" s="325" t="s">
        <v>2089</v>
      </c>
      <c r="Q14" s="325" t="s">
        <v>2089</v>
      </c>
      <c r="R14" s="325" t="s">
        <v>64</v>
      </c>
      <c r="S14" s="325" t="s">
        <v>64</v>
      </c>
      <c r="T14" s="325" t="s">
        <v>1453</v>
      </c>
      <c r="U14" s="325" t="s">
        <v>1453</v>
      </c>
      <c r="V14" s="325" t="s">
        <v>64</v>
      </c>
      <c r="W14" s="325" t="s">
        <v>64</v>
      </c>
      <c r="X14" s="325" t="s">
        <v>614</v>
      </c>
      <c r="Y14" s="325" t="s">
        <v>614</v>
      </c>
      <c r="Z14" s="325"/>
      <c r="AA14" s="325"/>
      <c r="AB14" s="325"/>
      <c r="AC14" s="325"/>
      <c r="AD14" s="325"/>
      <c r="AE14" s="325"/>
      <c r="AF14" s="325"/>
      <c r="AG14" s="325"/>
      <c r="AH14" s="316" t="s">
        <v>339</v>
      </c>
      <c r="AI14" s="328" t="s">
        <v>2116</v>
      </c>
      <c r="AJ14" s="328" t="s">
        <v>342</v>
      </c>
    </row>
    <row r="15" ht="34.5" customHeight="1" s="5" customFormat="1">
      <c r="A15" s="329" t="s">
        <v>154</v>
      </c>
      <c r="B15" s="326" t="s">
        <v>339</v>
      </c>
      <c r="C15" s="330" t="s">
        <v>2117</v>
      </c>
      <c r="D15" s="5"/>
      <c r="E15" s="329" t="s">
        <v>64</v>
      </c>
      <c r="F15" s="329" t="s">
        <v>2082</v>
      </c>
      <c r="G15" s="329" t="s">
        <v>2083</v>
      </c>
      <c r="H15" s="329"/>
      <c r="I15" s="329"/>
      <c r="J15" s="329"/>
      <c r="K15" s="329"/>
      <c r="L15" s="329"/>
      <c r="M15" s="331">
        <v>979</v>
      </c>
      <c r="N15" s="329"/>
      <c r="O15" s="329"/>
      <c r="P15" s="329"/>
      <c r="Q15" s="331">
        <v>1240</v>
      </c>
      <c r="R15" s="329"/>
      <c r="S15" s="329"/>
      <c r="T15" s="329"/>
      <c r="U15" s="331">
        <v>1440</v>
      </c>
      <c r="V15" s="329"/>
      <c r="W15" s="329"/>
      <c r="X15" s="329"/>
      <c r="Y15" s="331">
        <v>1650</v>
      </c>
      <c r="Z15" s="329"/>
      <c r="AA15" s="329"/>
      <c r="AB15" s="329"/>
      <c r="AC15" s="329"/>
      <c r="AD15" s="329"/>
      <c r="AE15" s="329"/>
      <c r="AF15" s="329"/>
      <c r="AG15" s="329"/>
      <c r="AH15" s="316" t="s">
        <v>339</v>
      </c>
      <c r="AI15" s="332" t="s">
        <v>2024</v>
      </c>
      <c r="AJ15" s="332" t="s">
        <v>1062</v>
      </c>
    </row>
    <row r="17" ht="14.25" customHeight="1" s="5" customFormat="1">
      <c r="A17" s="333" t="s">
        <v>1063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</row>
    <row r="19" ht="18" customHeight="1" s="5" customFormat="1">
      <c r="A19" s="334" t="s">
        <v>349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 ht="15.75" customHeight="1" s="5" customFormat="1">
      <c r="A20" s="335" t="s">
        <v>2025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1" ht="15.75" customHeight="1" s="5" customFormat="1">
      <c r="A21" s="5"/>
      <c r="B21" s="336" t="s">
        <v>351</v>
      </c>
      <c r="C21" s="336" t="s">
        <v>352</v>
      </c>
      <c r="D21" s="5"/>
      <c r="E21" s="336" t="s">
        <v>353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</row>
    <row r="22" ht="20.25" customHeight="1" s="5" customFormat="1">
      <c r="A22" s="337" t="s">
        <v>160</v>
      </c>
      <c r="B22" s="338">
        <f>'Current Rents'!D50</f>
        <v>970</v>
      </c>
      <c r="C22" s="339">
        <v>979</v>
      </c>
      <c r="D22" s="5"/>
      <c r="E22" s="340">
        <f t="shared" si="0" ref="E22:E25">B22-C22</f>
        <v>-9</v>
      </c>
      <c r="F22" s="161" t="str">
        <f>IF(E22&lt;-75,"LOOK INTO INCREASING THE RENT!","")</f>
        <v/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  <row r="23" ht="20.25" customHeight="1" s="5" customFormat="1">
      <c r="A23" s="337" t="s">
        <v>151</v>
      </c>
      <c r="B23" s="338">
        <f>'Current Rents'!E50</f>
        <v>1185</v>
      </c>
      <c r="C23" s="339">
        <v>1240</v>
      </c>
      <c r="D23" s="5"/>
      <c r="E23" s="340">
        <f t="shared" si="0"/>
        <v>-55</v>
      </c>
      <c r="F23" s="161" t="str">
        <f>IF(E23&lt;-75,"LOOK INTO INCREASING THE RENT!","")</f>
        <v/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 ht="20.25" customHeight="1" s="5" customFormat="1">
      <c r="A24" s="337" t="s">
        <v>152</v>
      </c>
      <c r="B24" s="338">
        <f>'Current Rents'!F50</f>
        <v>1400</v>
      </c>
      <c r="C24" s="339">
        <v>1440</v>
      </c>
      <c r="D24" s="5"/>
      <c r="E24" s="340">
        <f t="shared" si="0"/>
        <v>-40</v>
      </c>
      <c r="F24" s="161" t="str">
        <f>IF(E24&lt;-75,"LOOK INTO INCREASING THE RENT!","")</f>
        <v/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</row>
    <row r="25" ht="20.25" customHeight="1" s="5" customFormat="1">
      <c r="A25" s="337" t="s">
        <v>155</v>
      </c>
      <c r="B25" s="338">
        <f>'Current Rents'!G50</f>
        <v>1695</v>
      </c>
      <c r="C25" s="339">
        <v>1650</v>
      </c>
      <c r="D25" s="5"/>
      <c r="E25" s="340">
        <f t="shared" si="0"/>
        <v>45</v>
      </c>
      <c r="F25" s="161" t="str">
        <f>IF(E25&lt;-75,"LOOK INTO INCREASING THE RENT!","")</f>
        <v/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</row>
  </sheetData>
  <mergeCells>
    <mergeCell ref="A20:H20"/>
    <mergeCell ref="A3:AG3"/>
    <mergeCell ref="C14:D14"/>
    <mergeCell ref="C8:D8"/>
    <mergeCell ref="C9:D9"/>
    <mergeCell ref="AH3:AJ3"/>
    <mergeCell ref="C12:D12"/>
    <mergeCell ref="A5:AJ5"/>
    <mergeCell ref="C7:D7"/>
    <mergeCell ref="A17:AJ17"/>
    <mergeCell ref="A6:AJ6"/>
    <mergeCell ref="C21:D21"/>
    <mergeCell ref="D13"/>
    <mergeCell ref="A4:AJ4"/>
    <mergeCell ref="C15:D15"/>
    <mergeCell ref="C11:D11"/>
    <mergeCell ref="C10:D10"/>
    <mergeCell ref="A19:H19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6F21CA8-7F14-CF44-2F58-14F19B72BA5C}" mc:Ignorable="x14ac xr xr2 xr3">
  <dimension ref="A1:AJ25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style="5" width="9.00390625" customWidth="1"/>
    <col min="2" max="2" style="5" width="18.57421875" customWidth="1"/>
    <col min="3" max="3" style="5" width="42.00390625" customWidth="1"/>
    <col min="4" max="4" style="5" width="4.7109375" customWidth="1"/>
    <col min="5" max="5" style="5" width="31.00390625" customWidth="1"/>
    <col min="6" max="6" style="5" width="14.28125" customWidth="1"/>
    <col min="7" max="7" style="5" width="9.28125" customWidth="1"/>
    <col min="8" max="9" style="5" width="13.00390625" customWidth="1"/>
    <col min="10" max="10" style="5" width="7.00390625" hidden="1" customWidth="1"/>
    <col min="11" max="11" style="5" width="13.00390625" customWidth="1"/>
    <col min="12" max="12" style="5" width="5.28125" hidden="1" customWidth="1"/>
    <col min="13" max="13" style="5" width="16.7109375" customWidth="1"/>
    <col min="14" max="14" style="5" width="7.00390625" hidden="1" customWidth="1"/>
    <col min="15" max="15" style="5" width="13.00390625" customWidth="1"/>
    <col min="16" max="16" style="5" width="5.28125" hidden="1" customWidth="1"/>
    <col min="17" max="17" style="5" width="16.7109375" customWidth="1"/>
    <col min="18" max="18" style="5" width="7.00390625" hidden="1" customWidth="1"/>
    <col min="19" max="19" style="5" width="13.00390625" customWidth="1"/>
    <col min="20" max="20" style="5" width="5.28125" hidden="1" customWidth="1"/>
    <col min="21" max="21" style="5" width="16.7109375" customWidth="1"/>
    <col min="22" max="22" style="5" width="7.00390625" hidden="1" customWidth="1"/>
    <col min="23" max="23" style="5" width="13.00390625" customWidth="1"/>
    <col min="24" max="24" style="5" width="5.28125" hidden="1" customWidth="1"/>
    <col min="25" max="25" style="5" width="16.7109375" customWidth="1"/>
    <col min="26" max="26" style="5" width="9.421875" customWidth="1"/>
    <col min="27" max="33" style="5" width="13.00390625" customWidth="1"/>
    <col min="34" max="34" style="5" width="24.57421875" customWidth="1"/>
    <col min="35" max="35" style="5" width="55.7109375" customWidth="1"/>
    <col min="36" max="36" style="5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36" customHeight="1" s="5" customFormat="1">
      <c r="A3" s="295" t="s">
        <v>2118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296" t="s">
        <v>2119</v>
      </c>
      <c r="AI3" s="5"/>
      <c r="AJ3" s="5"/>
    </row>
    <row r="4" ht="18" customHeight="1" s="5" customFormat="1">
      <c r="A4" s="297" t="s">
        <v>2120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14.25" customHeight="1" s="5" customFormat="1">
      <c r="A5" s="298" t="s">
        <v>1012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ht="25.5" customHeight="1" s="5" customFormat="1">
      <c r="A6" s="299" t="s">
        <v>1013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ht="25.5" customHeight="1" s="5" customFormat="1">
      <c r="A7" s="300" t="s">
        <v>233</v>
      </c>
      <c r="B7" s="300" t="s">
        <v>234</v>
      </c>
      <c r="C7" s="300" t="s">
        <v>3</v>
      </c>
      <c r="D7" s="5"/>
      <c r="E7" s="300" t="s">
        <v>235</v>
      </c>
      <c r="F7" s="300" t="s">
        <v>236</v>
      </c>
      <c r="G7" s="300" t="s">
        <v>237</v>
      </c>
      <c r="H7" s="300" t="s">
        <v>238</v>
      </c>
      <c r="I7" s="300" t="s">
        <v>239</v>
      </c>
      <c r="J7" s="300" t="s">
        <v>444</v>
      </c>
      <c r="K7" s="300" t="s">
        <v>445</v>
      </c>
      <c r="L7" s="300" t="s">
        <v>446</v>
      </c>
      <c r="M7" s="301" t="s">
        <v>447</v>
      </c>
      <c r="N7" s="300" t="s">
        <v>240</v>
      </c>
      <c r="O7" s="300" t="s">
        <v>241</v>
      </c>
      <c r="P7" s="300" t="s">
        <v>242</v>
      </c>
      <c r="Q7" s="301" t="s">
        <v>360</v>
      </c>
      <c r="R7" s="300" t="s">
        <v>244</v>
      </c>
      <c r="S7" s="300" t="s">
        <v>245</v>
      </c>
      <c r="T7" s="300" t="s">
        <v>246</v>
      </c>
      <c r="U7" s="301" t="s">
        <v>361</v>
      </c>
      <c r="V7" s="300" t="s">
        <v>697</v>
      </c>
      <c r="W7" s="300" t="s">
        <v>698</v>
      </c>
      <c r="X7" s="300" t="s">
        <v>699</v>
      </c>
      <c r="Y7" s="301" t="s">
        <v>700</v>
      </c>
      <c r="Z7" s="300" t="s">
        <v>6</v>
      </c>
      <c r="AA7" s="300" t="s">
        <v>248</v>
      </c>
      <c r="AB7" s="300" t="s">
        <v>249</v>
      </c>
      <c r="AC7" s="300" t="s">
        <v>250</v>
      </c>
      <c r="AD7" s="300" t="s">
        <v>251</v>
      </c>
      <c r="AE7" s="300" t="s">
        <v>252</v>
      </c>
      <c r="AF7" s="300" t="s">
        <v>253</v>
      </c>
      <c r="AG7" s="300" t="s">
        <v>254</v>
      </c>
      <c r="AH7" s="301" t="s">
        <v>255</v>
      </c>
      <c r="AI7" s="300" t="s">
        <v>256</v>
      </c>
      <c r="AJ7" s="300" t="s">
        <v>257</v>
      </c>
    </row>
    <row r="8" ht="21.75" customHeight="1" s="5" customFormat="1">
      <c r="A8" s="302" t="s">
        <v>258</v>
      </c>
      <c r="B8" s="303" t="s">
        <v>259</v>
      </c>
      <c r="C8" s="304" t="s">
        <v>2121</v>
      </c>
      <c r="D8" s="5"/>
      <c r="E8" s="304" t="s">
        <v>2122</v>
      </c>
      <c r="F8" s="305" t="s">
        <v>224</v>
      </c>
      <c r="G8" s="305" t="s">
        <v>2083</v>
      </c>
      <c r="H8" s="305" t="s">
        <v>2123</v>
      </c>
      <c r="I8" s="305" t="s">
        <v>265</v>
      </c>
      <c r="J8" s="305" t="s">
        <v>2124</v>
      </c>
      <c r="K8" s="305" t="s">
        <v>2125</v>
      </c>
      <c r="L8" s="305" t="s">
        <v>2126</v>
      </c>
      <c r="M8" s="306">
        <f>'Current Rents'!D51</f>
        <v>946</v>
      </c>
      <c r="N8" s="305" t="s">
        <v>2127</v>
      </c>
      <c r="O8" s="305" t="s">
        <v>2128</v>
      </c>
      <c r="P8" s="305" t="s">
        <v>2129</v>
      </c>
      <c r="Q8" s="306">
        <f>'Current Rents'!E51</f>
        <v>1054</v>
      </c>
      <c r="R8" s="305" t="s">
        <v>2130</v>
      </c>
      <c r="S8" s="305" t="s">
        <v>2131</v>
      </c>
      <c r="T8" s="305" t="s">
        <v>2132</v>
      </c>
      <c r="U8" s="306">
        <f>'Current Rents'!F51</f>
        <v>1328</v>
      </c>
      <c r="V8" s="305" t="s">
        <v>2133</v>
      </c>
      <c r="W8" s="305" t="s">
        <v>2134</v>
      </c>
      <c r="X8" s="305" t="s">
        <v>2135</v>
      </c>
      <c r="Y8" s="306">
        <f>'Current Rents'!G51</f>
        <v>1425</v>
      </c>
      <c r="Z8" s="305" t="s">
        <v>551</v>
      </c>
      <c r="AA8" s="305" t="s">
        <v>390</v>
      </c>
      <c r="AB8" s="305">
        <v>0</v>
      </c>
      <c r="AC8" s="305" t="s">
        <v>272</v>
      </c>
      <c r="AD8" s="305" t="s">
        <v>273</v>
      </c>
      <c r="AE8" s="305" t="s">
        <v>273</v>
      </c>
      <c r="AF8" s="305" t="s">
        <v>273</v>
      </c>
      <c r="AG8" s="305" t="s">
        <v>273</v>
      </c>
      <c r="AH8" s="303" t="s">
        <v>259</v>
      </c>
      <c r="AI8" s="307" t="s">
        <v>2136</v>
      </c>
      <c r="AJ8" s="304" t="s">
        <v>275</v>
      </c>
    </row>
    <row r="9" ht="21.75" customHeight="1" s="5" customFormat="1">
      <c r="A9" s="308" t="s">
        <v>276</v>
      </c>
      <c r="B9" s="309" t="s">
        <v>277</v>
      </c>
      <c r="C9" s="310" t="s">
        <v>2137</v>
      </c>
      <c r="D9" s="5"/>
      <c r="E9" s="311" t="s">
        <v>2138</v>
      </c>
      <c r="F9" s="308" t="s">
        <v>2139</v>
      </c>
      <c r="G9" s="308" t="s">
        <v>2083</v>
      </c>
      <c r="H9" s="308" t="s">
        <v>2140</v>
      </c>
      <c r="I9" s="308" t="s">
        <v>971</v>
      </c>
      <c r="J9" s="308" t="s">
        <v>2124</v>
      </c>
      <c r="K9" s="308" t="s">
        <v>2125</v>
      </c>
      <c r="L9" s="308" t="s">
        <v>2126</v>
      </c>
      <c r="M9" s="308" t="s">
        <v>283</v>
      </c>
      <c r="N9" s="308" t="s">
        <v>2127</v>
      </c>
      <c r="O9" s="308" t="s">
        <v>2128</v>
      </c>
      <c r="P9" s="308" t="s">
        <v>2129</v>
      </c>
      <c r="Q9" s="308" t="s">
        <v>283</v>
      </c>
      <c r="R9" s="308" t="s">
        <v>2130</v>
      </c>
      <c r="S9" s="308" t="s">
        <v>2131</v>
      </c>
      <c r="T9" s="308" t="s">
        <v>2132</v>
      </c>
      <c r="U9" s="308" t="s">
        <v>283</v>
      </c>
      <c r="V9" s="308" t="s">
        <v>2133</v>
      </c>
      <c r="W9" s="308" t="s">
        <v>2134</v>
      </c>
      <c r="X9" s="308" t="s">
        <v>2135</v>
      </c>
      <c r="Y9" s="308" t="s">
        <v>283</v>
      </c>
      <c r="Z9" s="308" t="s">
        <v>551</v>
      </c>
      <c r="AA9" s="308" t="s">
        <v>390</v>
      </c>
      <c r="AB9" s="308" t="s">
        <v>462</v>
      </c>
      <c r="AC9" s="308" t="s">
        <v>272</v>
      </c>
      <c r="AD9" s="308" t="s">
        <v>273</v>
      </c>
      <c r="AE9" s="308" t="s">
        <v>273</v>
      </c>
      <c r="AF9" s="308" t="s">
        <v>273</v>
      </c>
      <c r="AG9" s="308" t="s">
        <v>273</v>
      </c>
      <c r="AH9" s="312" t="s">
        <v>284</v>
      </c>
      <c r="AI9" s="313" t="s">
        <v>2141</v>
      </c>
      <c r="AJ9" s="311" t="s">
        <v>2142</v>
      </c>
    </row>
    <row r="10" ht="21.75" customHeight="1" s="5" customFormat="1">
      <c r="A10" s="308" t="s">
        <v>210</v>
      </c>
      <c r="B10" s="309" t="s">
        <v>277</v>
      </c>
      <c r="C10" s="310" t="s">
        <v>2143</v>
      </c>
      <c r="D10" s="5"/>
      <c r="E10" s="311" t="s">
        <v>2144</v>
      </c>
      <c r="F10" s="308" t="s">
        <v>176</v>
      </c>
      <c r="G10" s="308" t="s">
        <v>2083</v>
      </c>
      <c r="H10" s="308" t="s">
        <v>2145</v>
      </c>
      <c r="I10" s="308" t="s">
        <v>1738</v>
      </c>
      <c r="J10" s="308" t="s">
        <v>2124</v>
      </c>
      <c r="K10" s="308" t="s">
        <v>2125</v>
      </c>
      <c r="L10" s="308" t="s">
        <v>2126</v>
      </c>
      <c r="M10" s="308" t="s">
        <v>283</v>
      </c>
      <c r="N10" s="308" t="s">
        <v>2127</v>
      </c>
      <c r="O10" s="308" t="s">
        <v>2128</v>
      </c>
      <c r="P10" s="308" t="s">
        <v>2129</v>
      </c>
      <c r="Q10" s="308" t="s">
        <v>283</v>
      </c>
      <c r="R10" s="308" t="s">
        <v>2130</v>
      </c>
      <c r="S10" s="308" t="s">
        <v>2131</v>
      </c>
      <c r="T10" s="308" t="s">
        <v>2132</v>
      </c>
      <c r="U10" s="308" t="s">
        <v>283</v>
      </c>
      <c r="V10" s="308" t="s">
        <v>2133</v>
      </c>
      <c r="W10" s="308" t="s">
        <v>2134</v>
      </c>
      <c r="X10" s="308" t="s">
        <v>2135</v>
      </c>
      <c r="Y10" s="308" t="s">
        <v>283</v>
      </c>
      <c r="Z10" s="308" t="s">
        <v>563</v>
      </c>
      <c r="AA10" s="308" t="s">
        <v>1381</v>
      </c>
      <c r="AB10" s="308" t="s">
        <v>276</v>
      </c>
      <c r="AC10" s="308" t="s">
        <v>272</v>
      </c>
      <c r="AD10" s="308" t="s">
        <v>273</v>
      </c>
      <c r="AE10" s="308" t="s">
        <v>273</v>
      </c>
      <c r="AF10" s="308" t="s">
        <v>273</v>
      </c>
      <c r="AG10" s="308" t="s">
        <v>273</v>
      </c>
      <c r="AH10" s="312" t="s">
        <v>284</v>
      </c>
      <c r="AI10" s="313" t="s">
        <v>2146</v>
      </c>
      <c r="AJ10" s="311" t="s">
        <v>286</v>
      </c>
    </row>
    <row r="11" ht="21.75" customHeight="1" s="5" customFormat="1">
      <c r="A11" s="308" t="s">
        <v>181</v>
      </c>
      <c r="B11" s="309" t="s">
        <v>277</v>
      </c>
      <c r="C11" s="310" t="s">
        <v>2147</v>
      </c>
      <c r="D11" s="5"/>
      <c r="E11" s="311" t="s">
        <v>2148</v>
      </c>
      <c r="F11" s="308" t="s">
        <v>2149</v>
      </c>
      <c r="G11" s="308" t="s">
        <v>2083</v>
      </c>
      <c r="H11" s="308" t="s">
        <v>2150</v>
      </c>
      <c r="I11" s="308" t="s">
        <v>422</v>
      </c>
      <c r="J11" s="308" t="s">
        <v>2124</v>
      </c>
      <c r="K11" s="308" t="s">
        <v>2125</v>
      </c>
      <c r="L11" s="308" t="s">
        <v>2126</v>
      </c>
      <c r="M11" s="308" t="s">
        <v>283</v>
      </c>
      <c r="N11" s="308" t="s">
        <v>2127</v>
      </c>
      <c r="O11" s="308" t="s">
        <v>2128</v>
      </c>
      <c r="P11" s="308" t="s">
        <v>2129</v>
      </c>
      <c r="Q11" s="308" t="s">
        <v>283</v>
      </c>
      <c r="R11" s="308" t="s">
        <v>2130</v>
      </c>
      <c r="S11" s="308" t="s">
        <v>2131</v>
      </c>
      <c r="T11" s="308" t="s">
        <v>2132</v>
      </c>
      <c r="U11" s="308" t="s">
        <v>283</v>
      </c>
      <c r="V11" s="308" t="s">
        <v>2133</v>
      </c>
      <c r="W11" s="308" t="s">
        <v>2134</v>
      </c>
      <c r="X11" s="308" t="s">
        <v>2135</v>
      </c>
      <c r="Y11" s="308" t="s">
        <v>283</v>
      </c>
      <c r="Z11" s="308" t="s">
        <v>571</v>
      </c>
      <c r="AA11" s="308" t="s">
        <v>383</v>
      </c>
      <c r="AB11" s="308" t="s">
        <v>276</v>
      </c>
      <c r="AC11" s="308" t="s">
        <v>272</v>
      </c>
      <c r="AD11" s="308" t="s">
        <v>273</v>
      </c>
      <c r="AE11" s="308" t="s">
        <v>273</v>
      </c>
      <c r="AF11" s="308" t="s">
        <v>273</v>
      </c>
      <c r="AG11" s="308" t="s">
        <v>273</v>
      </c>
      <c r="AH11" s="314" t="s">
        <v>298</v>
      </c>
      <c r="AI11" s="313" t="s">
        <v>2151</v>
      </c>
      <c r="AJ11" s="311" t="s">
        <v>286</v>
      </c>
    </row>
    <row r="12" ht="21.75" customHeight="1" s="5" customFormat="1">
      <c r="A12" s="308" t="s">
        <v>320</v>
      </c>
      <c r="B12" s="309" t="s">
        <v>277</v>
      </c>
      <c r="C12" s="310" t="s">
        <v>2152</v>
      </c>
      <c r="D12" s="5"/>
      <c r="E12" s="311" t="s">
        <v>2153</v>
      </c>
      <c r="F12" s="308" t="s">
        <v>224</v>
      </c>
      <c r="G12" s="308" t="s">
        <v>2083</v>
      </c>
      <c r="H12" s="308" t="s">
        <v>2123</v>
      </c>
      <c r="I12" s="308" t="s">
        <v>323</v>
      </c>
      <c r="J12" s="308" t="s">
        <v>2124</v>
      </c>
      <c r="K12" s="308" t="s">
        <v>2125</v>
      </c>
      <c r="L12" s="308" t="s">
        <v>2126</v>
      </c>
      <c r="M12" s="308" t="s">
        <v>283</v>
      </c>
      <c r="N12" s="308" t="s">
        <v>2127</v>
      </c>
      <c r="O12" s="308" t="s">
        <v>2128</v>
      </c>
      <c r="P12" s="308" t="s">
        <v>2129</v>
      </c>
      <c r="Q12" s="308" t="s">
        <v>283</v>
      </c>
      <c r="R12" s="308" t="s">
        <v>2130</v>
      </c>
      <c r="S12" s="308" t="s">
        <v>2131</v>
      </c>
      <c r="T12" s="308" t="s">
        <v>2132</v>
      </c>
      <c r="U12" s="308" t="s">
        <v>283</v>
      </c>
      <c r="V12" s="308" t="s">
        <v>2133</v>
      </c>
      <c r="W12" s="308" t="s">
        <v>2134</v>
      </c>
      <c r="X12" s="308" t="s">
        <v>2135</v>
      </c>
      <c r="Y12" s="308" t="s">
        <v>283</v>
      </c>
      <c r="Z12" s="308" t="s">
        <v>563</v>
      </c>
      <c r="AA12" s="308" t="s">
        <v>1381</v>
      </c>
      <c r="AB12" s="308" t="s">
        <v>276</v>
      </c>
      <c r="AC12" s="308" t="s">
        <v>272</v>
      </c>
      <c r="AD12" s="308" t="s">
        <v>273</v>
      </c>
      <c r="AE12" s="308" t="s">
        <v>273</v>
      </c>
      <c r="AF12" s="308" t="s">
        <v>273</v>
      </c>
      <c r="AG12" s="308" t="s">
        <v>273</v>
      </c>
      <c r="AH12" s="312" t="s">
        <v>284</v>
      </c>
      <c r="AI12" s="313" t="s">
        <v>2154</v>
      </c>
      <c r="AJ12" s="311" t="s">
        <v>2155</v>
      </c>
    </row>
    <row r="13" ht="24.75" customHeight="1" s="5" customFormat="1">
      <c r="A13" s="315" t="s">
        <v>276</v>
      </c>
      <c r="B13" s="316" t="s">
        <v>300</v>
      </c>
      <c r="C13" s="317" t="s">
        <v>2156</v>
      </c>
      <c r="D13" s="318" t="s">
        <v>302</v>
      </c>
      <c r="E13" s="319" t="s">
        <v>2157</v>
      </c>
      <c r="F13" s="320" t="s">
        <v>224</v>
      </c>
      <c r="G13" s="320" t="s">
        <v>2083</v>
      </c>
      <c r="H13" s="320"/>
      <c r="I13" s="320" t="s">
        <v>376</v>
      </c>
      <c r="J13" s="320" t="s">
        <v>1038</v>
      </c>
      <c r="K13" s="320" t="s">
        <v>1038</v>
      </c>
      <c r="L13" s="320" t="s">
        <v>2126</v>
      </c>
      <c r="M13" s="321">
        <v>850</v>
      </c>
      <c r="N13" s="320" t="s">
        <v>1038</v>
      </c>
      <c r="O13" s="320" t="s">
        <v>1038</v>
      </c>
      <c r="P13" s="320" t="s">
        <v>2129</v>
      </c>
      <c r="Q13" s="321">
        <v>955</v>
      </c>
      <c r="R13" s="320" t="s">
        <v>1038</v>
      </c>
      <c r="S13" s="320" t="s">
        <v>1038</v>
      </c>
      <c r="T13" s="320" t="s">
        <v>2132</v>
      </c>
      <c r="U13" s="321">
        <v>1165</v>
      </c>
      <c r="V13" s="320" t="s">
        <v>1038</v>
      </c>
      <c r="W13" s="320" t="s">
        <v>1038</v>
      </c>
      <c r="X13" s="320" t="s">
        <v>2135</v>
      </c>
      <c r="Y13" s="321">
        <v>1700</v>
      </c>
      <c r="Z13" s="320" t="s">
        <v>64</v>
      </c>
      <c r="AA13" s="320" t="s">
        <v>390</v>
      </c>
      <c r="AB13" s="320" t="s">
        <v>462</v>
      </c>
      <c r="AC13" s="320" t="s">
        <v>507</v>
      </c>
      <c r="AD13" s="320" t="s">
        <v>507</v>
      </c>
      <c r="AE13" s="320" t="s">
        <v>507</v>
      </c>
      <c r="AF13" s="320" t="s">
        <v>507</v>
      </c>
      <c r="AG13" s="320" t="s">
        <v>507</v>
      </c>
      <c r="AH13" s="323" t="s">
        <v>284</v>
      </c>
      <c r="AI13" s="324" t="s">
        <v>2158</v>
      </c>
      <c r="AJ13" s="319" t="s">
        <v>2159</v>
      </c>
    </row>
    <row r="14" ht="28.5" customHeight="1" s="5" customFormat="1">
      <c r="A14" s="325" t="s">
        <v>154</v>
      </c>
      <c r="B14" s="326" t="s">
        <v>339</v>
      </c>
      <c r="C14" s="327" t="s">
        <v>2160</v>
      </c>
      <c r="D14" s="5"/>
      <c r="E14" s="325" t="s">
        <v>64</v>
      </c>
      <c r="F14" s="325" t="s">
        <v>224</v>
      </c>
      <c r="G14" s="325" t="s">
        <v>2083</v>
      </c>
      <c r="H14" s="325"/>
      <c r="I14" s="325"/>
      <c r="J14" s="325" t="s">
        <v>64</v>
      </c>
      <c r="K14" s="325" t="s">
        <v>64</v>
      </c>
      <c r="L14" s="325" t="s">
        <v>2126</v>
      </c>
      <c r="M14" s="325" t="s">
        <v>2126</v>
      </c>
      <c r="N14" s="325" t="s">
        <v>64</v>
      </c>
      <c r="O14" s="325" t="s">
        <v>64</v>
      </c>
      <c r="P14" s="325" t="s">
        <v>2129</v>
      </c>
      <c r="Q14" s="325" t="s">
        <v>2129</v>
      </c>
      <c r="R14" s="325" t="s">
        <v>64</v>
      </c>
      <c r="S14" s="325" t="s">
        <v>64</v>
      </c>
      <c r="T14" s="325" t="s">
        <v>2132</v>
      </c>
      <c r="U14" s="325" t="s">
        <v>2132</v>
      </c>
      <c r="V14" s="325" t="s">
        <v>64</v>
      </c>
      <c r="W14" s="325" t="s">
        <v>64</v>
      </c>
      <c r="X14" s="325" t="s">
        <v>2135</v>
      </c>
      <c r="Y14" s="325" t="s">
        <v>2135</v>
      </c>
      <c r="Z14" s="325"/>
      <c r="AA14" s="325"/>
      <c r="AB14" s="325"/>
      <c r="AC14" s="325"/>
      <c r="AD14" s="325"/>
      <c r="AE14" s="325"/>
      <c r="AF14" s="325"/>
      <c r="AG14" s="325"/>
      <c r="AH14" s="316" t="s">
        <v>339</v>
      </c>
      <c r="AI14" s="328" t="s">
        <v>2161</v>
      </c>
      <c r="AJ14" s="328" t="s">
        <v>342</v>
      </c>
    </row>
    <row r="15" ht="34.5" customHeight="1" s="5" customFormat="1">
      <c r="A15" s="329" t="s">
        <v>154</v>
      </c>
      <c r="B15" s="326" t="s">
        <v>339</v>
      </c>
      <c r="C15" s="330" t="s">
        <v>2162</v>
      </c>
      <c r="D15" s="5"/>
      <c r="E15" s="329" t="s">
        <v>64</v>
      </c>
      <c r="F15" s="329" t="s">
        <v>224</v>
      </c>
      <c r="G15" s="329" t="s">
        <v>2083</v>
      </c>
      <c r="H15" s="329"/>
      <c r="I15" s="329"/>
      <c r="J15" s="329"/>
      <c r="K15" s="329"/>
      <c r="L15" s="329"/>
      <c r="M15" s="331">
        <v>850</v>
      </c>
      <c r="N15" s="329"/>
      <c r="O15" s="329"/>
      <c r="P15" s="329"/>
      <c r="Q15" s="331">
        <v>955</v>
      </c>
      <c r="R15" s="329"/>
      <c r="S15" s="329"/>
      <c r="T15" s="329"/>
      <c r="U15" s="331">
        <v>1165</v>
      </c>
      <c r="V15" s="329"/>
      <c r="W15" s="329"/>
      <c r="X15" s="329"/>
      <c r="Y15" s="331">
        <v>1700</v>
      </c>
      <c r="Z15" s="329"/>
      <c r="AA15" s="329"/>
      <c r="AB15" s="329"/>
      <c r="AC15" s="329"/>
      <c r="AD15" s="329"/>
      <c r="AE15" s="329"/>
      <c r="AF15" s="329"/>
      <c r="AG15" s="329"/>
      <c r="AH15" s="316" t="s">
        <v>339</v>
      </c>
      <c r="AI15" s="332" t="s">
        <v>2024</v>
      </c>
      <c r="AJ15" s="332" t="s">
        <v>1062</v>
      </c>
    </row>
    <row r="17" ht="14.25" customHeight="1" s="5" customFormat="1">
      <c r="A17" s="333" t="s">
        <v>1063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</row>
    <row r="19" ht="18" customHeight="1" s="5" customFormat="1">
      <c r="A19" s="334" t="s">
        <v>349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 ht="15.75" customHeight="1" s="5" customFormat="1">
      <c r="A20" s="335" t="s">
        <v>2025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1" ht="15.75" customHeight="1" s="5" customFormat="1">
      <c r="A21" s="5"/>
      <c r="B21" s="336" t="s">
        <v>351</v>
      </c>
      <c r="C21" s="336" t="s">
        <v>352</v>
      </c>
      <c r="D21" s="5"/>
      <c r="E21" s="336" t="s">
        <v>353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</row>
    <row r="22" ht="20.25" customHeight="1" s="5" customFormat="1">
      <c r="A22" s="337" t="s">
        <v>160</v>
      </c>
      <c r="B22" s="338">
        <f>'Current Rents'!D51</f>
        <v>946</v>
      </c>
      <c r="C22" s="339">
        <v>850</v>
      </c>
      <c r="D22" s="5"/>
      <c r="E22" s="340">
        <f t="shared" si="0" ref="E22:E25">B22-C22</f>
        <v>96</v>
      </c>
      <c r="F22" s="161" t="str">
        <f>IF(E22&lt;-75,"LOOK INTO INCREASING THE RENT!","")</f>
        <v/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  <row r="23" ht="20.25" customHeight="1" s="5" customFormat="1">
      <c r="A23" s="337" t="s">
        <v>151</v>
      </c>
      <c r="B23" s="338">
        <f>'Current Rents'!E51</f>
        <v>1054</v>
      </c>
      <c r="C23" s="339">
        <v>955</v>
      </c>
      <c r="D23" s="5"/>
      <c r="E23" s="340">
        <f t="shared" si="0"/>
        <v>99</v>
      </c>
      <c r="F23" s="161" t="str">
        <f>IF(E23&lt;-75,"LOOK INTO INCREASING THE RENT!","")</f>
        <v/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 ht="20.25" customHeight="1" s="5" customFormat="1">
      <c r="A24" s="337" t="s">
        <v>152</v>
      </c>
      <c r="B24" s="338">
        <f>'Current Rents'!F51</f>
        <v>1328</v>
      </c>
      <c r="C24" s="339">
        <v>1165</v>
      </c>
      <c r="D24" s="5"/>
      <c r="E24" s="340">
        <f t="shared" si="0"/>
        <v>163</v>
      </c>
      <c r="F24" s="161" t="str">
        <f>IF(E24&lt;-75,"LOOK INTO INCREASING THE RENT!","")</f>
        <v/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</row>
    <row r="25" ht="20.25" customHeight="1" s="5" customFormat="1">
      <c r="A25" s="337" t="s">
        <v>155</v>
      </c>
      <c r="B25" s="338">
        <f>'Current Rents'!G51</f>
        <v>1425</v>
      </c>
      <c r="C25" s="339">
        <v>1700</v>
      </c>
      <c r="D25" s="5"/>
      <c r="E25" s="340">
        <f t="shared" si="0"/>
        <v>-275</v>
      </c>
      <c r="F25" s="161" t="str">
        <f>IF(E25&lt;-75,"LOOK INTO INCREASING THE RENT!","")</f>
        <v>LOOK INTO INCREASING THE RENT!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</row>
  </sheetData>
  <mergeCells>
    <mergeCell ref="A20:H20"/>
    <mergeCell ref="A3:AG3"/>
    <mergeCell ref="C14:D14"/>
    <mergeCell ref="C8:D8"/>
    <mergeCell ref="C9:D9"/>
    <mergeCell ref="AH3:AJ3"/>
    <mergeCell ref="C12:D12"/>
    <mergeCell ref="A5:AJ5"/>
    <mergeCell ref="C7:D7"/>
    <mergeCell ref="A17:AJ17"/>
    <mergeCell ref="A6:AJ6"/>
    <mergeCell ref="C21:D21"/>
    <mergeCell ref="D13"/>
    <mergeCell ref="A4:AJ4"/>
    <mergeCell ref="C15:D15"/>
    <mergeCell ref="C11:D11"/>
    <mergeCell ref="C10:D10"/>
    <mergeCell ref="A19:H19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190BFB1-F8B6-B548-4388-A2D6CAA5A9B8}" mc:Ignorable="x14ac xr xr2 xr3">
  <dimension ref="A1:AB24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style="5" width="9.00390625" customWidth="1"/>
    <col min="2" max="2" style="5" width="18.57421875" customWidth="1"/>
    <col min="3" max="3" style="5" width="42.00390625" customWidth="1"/>
    <col min="4" max="4" style="5" width="4.7109375" customWidth="1"/>
    <col min="5" max="5" style="5" width="31.00390625" customWidth="1"/>
    <col min="6" max="6" style="5" width="14.28125" customWidth="1"/>
    <col min="7" max="7" style="5" width="9.28125" customWidth="1"/>
    <col min="8" max="9" style="5" width="13.00390625" customWidth="1"/>
    <col min="10" max="10" style="5" width="7.00390625" hidden="1" customWidth="1"/>
    <col min="11" max="11" style="5" width="13.00390625" customWidth="1"/>
    <col min="12" max="12" style="5" width="5.28125" hidden="1" customWidth="1"/>
    <col min="13" max="13" style="5" width="16.7109375" customWidth="1"/>
    <col min="14" max="14" style="5" width="7.00390625" hidden="1" customWidth="1"/>
    <col min="15" max="15" style="5" width="13.00390625" customWidth="1"/>
    <col min="16" max="16" style="5" width="5.28125" hidden="1" customWidth="1"/>
    <col min="17" max="17" style="5" width="16.7109375" customWidth="1"/>
    <col min="18" max="18" style="5" width="9.421875" customWidth="1"/>
    <col min="19" max="25" style="5" width="13.00390625" customWidth="1"/>
    <col min="26" max="26" style="5" width="24.57421875" customWidth="1"/>
    <col min="27" max="27" style="5" width="55.7109375" customWidth="1"/>
    <col min="28" max="28" style="5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36" customHeight="1" s="5" customFormat="1">
      <c r="A3" s="295" t="s">
        <v>2163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296" t="s">
        <v>2164</v>
      </c>
      <c r="AA3" s="5"/>
      <c r="AB3" s="5"/>
    </row>
    <row r="4" ht="18" customHeight="1" s="5" customFormat="1">
      <c r="A4" s="297" t="s">
        <v>2165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ht="14.25" customHeight="1" s="5" customFormat="1">
      <c r="A5" s="298" t="s">
        <v>1012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ht="25.5" customHeight="1" s="5" customFormat="1">
      <c r="A6" s="299" t="s">
        <v>1013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ht="25.5" customHeight="1" s="5" customFormat="1">
      <c r="A7" s="300" t="s">
        <v>233</v>
      </c>
      <c r="B7" s="300" t="s">
        <v>234</v>
      </c>
      <c r="C7" s="300" t="s">
        <v>3</v>
      </c>
      <c r="D7" s="5"/>
      <c r="E7" s="300" t="s">
        <v>235</v>
      </c>
      <c r="F7" s="300" t="s">
        <v>236</v>
      </c>
      <c r="G7" s="300" t="s">
        <v>237</v>
      </c>
      <c r="H7" s="300" t="s">
        <v>238</v>
      </c>
      <c r="I7" s="300" t="s">
        <v>239</v>
      </c>
      <c r="J7" s="300" t="s">
        <v>240</v>
      </c>
      <c r="K7" s="300" t="s">
        <v>241</v>
      </c>
      <c r="L7" s="300" t="s">
        <v>242</v>
      </c>
      <c r="M7" s="301" t="s">
        <v>360</v>
      </c>
      <c r="N7" s="300" t="s">
        <v>244</v>
      </c>
      <c r="O7" s="300" t="s">
        <v>245</v>
      </c>
      <c r="P7" s="300" t="s">
        <v>246</v>
      </c>
      <c r="Q7" s="301" t="s">
        <v>361</v>
      </c>
      <c r="R7" s="300" t="s">
        <v>6</v>
      </c>
      <c r="S7" s="300" t="s">
        <v>248</v>
      </c>
      <c r="T7" s="300" t="s">
        <v>249</v>
      </c>
      <c r="U7" s="300" t="s">
        <v>250</v>
      </c>
      <c r="V7" s="300" t="s">
        <v>251</v>
      </c>
      <c r="W7" s="300" t="s">
        <v>252</v>
      </c>
      <c r="X7" s="300" t="s">
        <v>253</v>
      </c>
      <c r="Y7" s="300" t="s">
        <v>254</v>
      </c>
      <c r="Z7" s="301" t="s">
        <v>255</v>
      </c>
      <c r="AA7" s="300" t="s">
        <v>256</v>
      </c>
      <c r="AB7" s="300" t="s">
        <v>257</v>
      </c>
    </row>
    <row r="8" ht="21.75" customHeight="1" s="5" customFormat="1">
      <c r="A8" s="302" t="s">
        <v>258</v>
      </c>
      <c r="B8" s="303" t="s">
        <v>259</v>
      </c>
      <c r="C8" s="304" t="s">
        <v>2166</v>
      </c>
      <c r="D8" s="5"/>
      <c r="E8" s="304" t="s">
        <v>2167</v>
      </c>
      <c r="F8" s="305" t="s">
        <v>2168</v>
      </c>
      <c r="G8" s="305" t="s">
        <v>2169</v>
      </c>
      <c r="H8" s="305" t="s">
        <v>2170</v>
      </c>
      <c r="I8" s="305" t="s">
        <v>265</v>
      </c>
      <c r="J8" s="305">
        <v>807</v>
      </c>
      <c r="K8" s="305">
        <v>968</v>
      </c>
      <c r="L8" s="305">
        <v>1420</v>
      </c>
      <c r="M8" s="306">
        <f>'Current Rents'!E52</f>
        <v>1388</v>
      </c>
      <c r="N8" s="305">
        <v>932</v>
      </c>
      <c r="O8" s="305">
        <v>1118</v>
      </c>
      <c r="P8" s="305">
        <v>1850</v>
      </c>
      <c r="Q8" s="306">
        <f>'Current Rents'!F52</f>
        <v>1592</v>
      </c>
      <c r="R8" s="305">
        <v>160</v>
      </c>
      <c r="S8" s="305">
        <v>2001</v>
      </c>
      <c r="T8" s="305">
        <v>0</v>
      </c>
      <c r="U8" s="305" t="s">
        <v>273</v>
      </c>
      <c r="V8" s="305" t="s">
        <v>272</v>
      </c>
      <c r="W8" s="305" t="s">
        <v>273</v>
      </c>
      <c r="X8" s="305" t="s">
        <v>272</v>
      </c>
      <c r="Y8" s="305" t="s">
        <v>273</v>
      </c>
      <c r="Z8" s="303" t="s">
        <v>259</v>
      </c>
      <c r="AA8" s="307" t="s">
        <v>2171</v>
      </c>
      <c r="AB8" s="304" t="s">
        <v>2172</v>
      </c>
    </row>
    <row r="9" ht="24.75" customHeight="1" s="5" customFormat="1">
      <c r="A9" s="315" t="s">
        <v>276</v>
      </c>
      <c r="B9" s="316" t="s">
        <v>300</v>
      </c>
      <c r="C9" s="317" t="s">
        <v>2173</v>
      </c>
      <c r="D9" s="318" t="s">
        <v>302</v>
      </c>
      <c r="E9" s="319" t="s">
        <v>2174</v>
      </c>
      <c r="F9" s="320" t="s">
        <v>2168</v>
      </c>
      <c r="G9" s="320" t="s">
        <v>2169</v>
      </c>
      <c r="H9" s="320" t="s">
        <v>2170</v>
      </c>
      <c r="I9" s="320" t="s">
        <v>930</v>
      </c>
      <c r="J9" s="320" t="s">
        <v>1038</v>
      </c>
      <c r="K9" s="320" t="s">
        <v>1038</v>
      </c>
      <c r="L9" s="320">
        <v>1420</v>
      </c>
      <c r="M9" s="321">
        <v>1413</v>
      </c>
      <c r="N9" s="320" t="s">
        <v>1038</v>
      </c>
      <c r="O9" s="320" t="s">
        <v>1038</v>
      </c>
      <c r="P9" s="320">
        <v>1850</v>
      </c>
      <c r="Q9" s="321">
        <v>1588</v>
      </c>
      <c r="R9" s="320">
        <v>168</v>
      </c>
      <c r="S9" s="320">
        <v>1985</v>
      </c>
      <c r="T9" s="320">
        <v>16</v>
      </c>
      <c r="U9" s="320" t="s">
        <v>273</v>
      </c>
      <c r="V9" s="320" t="s">
        <v>272</v>
      </c>
      <c r="W9" s="320" t="s">
        <v>273</v>
      </c>
      <c r="X9" s="320" t="s">
        <v>272</v>
      </c>
      <c r="Y9" s="320" t="s">
        <v>273</v>
      </c>
      <c r="Z9" s="343" t="s">
        <v>982</v>
      </c>
      <c r="AA9" s="324" t="s">
        <v>2175</v>
      </c>
      <c r="AB9" s="319" t="s">
        <v>2176</v>
      </c>
    </row>
    <row r="10" ht="24.75" customHeight="1" s="5" customFormat="1">
      <c r="A10" s="315" t="s">
        <v>210</v>
      </c>
      <c r="B10" s="316" t="s">
        <v>300</v>
      </c>
      <c r="C10" s="317" t="s">
        <v>2177</v>
      </c>
      <c r="D10" s="5"/>
      <c r="E10" s="319" t="s">
        <v>2178</v>
      </c>
      <c r="F10" s="320" t="s">
        <v>2168</v>
      </c>
      <c r="G10" s="320" t="s">
        <v>2169</v>
      </c>
      <c r="H10" s="320" t="s">
        <v>2179</v>
      </c>
      <c r="I10" s="320" t="s">
        <v>679</v>
      </c>
      <c r="J10" s="320" t="s">
        <v>1038</v>
      </c>
      <c r="K10" s="320" t="s">
        <v>1038</v>
      </c>
      <c r="L10" s="320">
        <v>1420</v>
      </c>
      <c r="M10" s="321">
        <v>1682</v>
      </c>
      <c r="N10" s="320" t="s">
        <v>1038</v>
      </c>
      <c r="O10" s="320" t="s">
        <v>1038</v>
      </c>
      <c r="P10" s="320">
        <v>1850</v>
      </c>
      <c r="Q10" s="321">
        <v>1977</v>
      </c>
      <c r="R10" s="320">
        <v>280</v>
      </c>
      <c r="S10" s="320">
        <v>2006</v>
      </c>
      <c r="T10" s="320">
        <v>5</v>
      </c>
      <c r="U10" s="320" t="s">
        <v>273</v>
      </c>
      <c r="V10" s="320" t="s">
        <v>272</v>
      </c>
      <c r="W10" s="320" t="s">
        <v>273</v>
      </c>
      <c r="X10" s="320" t="s">
        <v>272</v>
      </c>
      <c r="Y10" s="320" t="s">
        <v>272</v>
      </c>
      <c r="Z10" s="323" t="s">
        <v>284</v>
      </c>
      <c r="AA10" s="324" t="s">
        <v>2180</v>
      </c>
      <c r="AB10" s="319" t="s">
        <v>2181</v>
      </c>
    </row>
    <row r="11" ht="24.75" customHeight="1" s="5" customFormat="1">
      <c r="A11" s="315" t="s">
        <v>181</v>
      </c>
      <c r="B11" s="316" t="s">
        <v>300</v>
      </c>
      <c r="C11" s="317" t="s">
        <v>2182</v>
      </c>
      <c r="D11" s="5"/>
      <c r="E11" s="319" t="s">
        <v>2183</v>
      </c>
      <c r="F11" s="320" t="s">
        <v>2168</v>
      </c>
      <c r="G11" s="320" t="s">
        <v>2169</v>
      </c>
      <c r="H11" s="320" t="s">
        <v>2170</v>
      </c>
      <c r="I11" s="320" t="s">
        <v>525</v>
      </c>
      <c r="J11" s="320" t="s">
        <v>1038</v>
      </c>
      <c r="K11" s="320" t="s">
        <v>1038</v>
      </c>
      <c r="L11" s="320">
        <v>1420</v>
      </c>
      <c r="M11" s="321">
        <v>1920</v>
      </c>
      <c r="N11" s="320" t="s">
        <v>1038</v>
      </c>
      <c r="O11" s="320" t="s">
        <v>1038</v>
      </c>
      <c r="P11" s="320">
        <v>1850</v>
      </c>
      <c r="Q11" s="321">
        <v>2100</v>
      </c>
      <c r="R11" s="320">
        <v>100</v>
      </c>
      <c r="S11" s="320">
        <v>2017</v>
      </c>
      <c r="T11" s="320">
        <v>16</v>
      </c>
      <c r="U11" s="320" t="s">
        <v>273</v>
      </c>
      <c r="V11" s="320" t="s">
        <v>272</v>
      </c>
      <c r="W11" s="320" t="s">
        <v>273</v>
      </c>
      <c r="X11" s="320" t="s">
        <v>273</v>
      </c>
      <c r="Y11" s="320" t="s">
        <v>272</v>
      </c>
      <c r="Z11" s="323" t="s">
        <v>284</v>
      </c>
      <c r="AA11" s="324" t="s">
        <v>2184</v>
      </c>
      <c r="AB11" s="319" t="s">
        <v>2185</v>
      </c>
    </row>
    <row r="12" ht="24.75" customHeight="1" s="5" customFormat="1">
      <c r="A12" s="315" t="s">
        <v>320</v>
      </c>
      <c r="B12" s="316" t="s">
        <v>300</v>
      </c>
      <c r="C12" s="317" t="s">
        <v>2186</v>
      </c>
      <c r="D12" s="5"/>
      <c r="E12" s="319" t="s">
        <v>2187</v>
      </c>
      <c r="F12" s="320" t="s">
        <v>2168</v>
      </c>
      <c r="G12" s="320" t="s">
        <v>2169</v>
      </c>
      <c r="H12" s="320" t="s">
        <v>2188</v>
      </c>
      <c r="I12" s="320" t="s">
        <v>1171</v>
      </c>
      <c r="J12" s="320" t="s">
        <v>1038</v>
      </c>
      <c r="K12" s="320" t="s">
        <v>1038</v>
      </c>
      <c r="L12" s="320">
        <v>1420</v>
      </c>
      <c r="M12" s="321">
        <v>1845</v>
      </c>
      <c r="N12" s="320" t="s">
        <v>1038</v>
      </c>
      <c r="O12" s="320" t="s">
        <v>1038</v>
      </c>
      <c r="P12" s="320">
        <v>1850</v>
      </c>
      <c r="Q12" s="321">
        <v>2053</v>
      </c>
      <c r="R12" s="320">
        <v>184</v>
      </c>
      <c r="S12" s="320">
        <v>2023</v>
      </c>
      <c r="T12" s="320">
        <v>22</v>
      </c>
      <c r="U12" s="320" t="s">
        <v>273</v>
      </c>
      <c r="V12" s="320" t="s">
        <v>272</v>
      </c>
      <c r="W12" s="320" t="s">
        <v>272</v>
      </c>
      <c r="X12" s="320" t="s">
        <v>272</v>
      </c>
      <c r="Y12" s="320" t="s">
        <v>272</v>
      </c>
      <c r="Z12" s="323" t="s">
        <v>284</v>
      </c>
      <c r="AA12" s="324" t="s">
        <v>2189</v>
      </c>
      <c r="AB12" s="319" t="s">
        <v>2190</v>
      </c>
    </row>
    <row r="13" ht="24.75" customHeight="1" s="5" customFormat="1">
      <c r="A13" s="315" t="s">
        <v>326</v>
      </c>
      <c r="B13" s="316" t="s">
        <v>300</v>
      </c>
      <c r="C13" s="317" t="s">
        <v>2191</v>
      </c>
      <c r="D13" s="5"/>
      <c r="E13" s="319" t="s">
        <v>2192</v>
      </c>
      <c r="F13" s="320" t="s">
        <v>2168</v>
      </c>
      <c r="G13" s="320" t="s">
        <v>2169</v>
      </c>
      <c r="H13" s="320" t="s">
        <v>2193</v>
      </c>
      <c r="I13" s="320" t="s">
        <v>1481</v>
      </c>
      <c r="J13" s="320" t="s">
        <v>1038</v>
      </c>
      <c r="K13" s="320" t="s">
        <v>1038</v>
      </c>
      <c r="L13" s="320">
        <v>1420</v>
      </c>
      <c r="M13" s="321">
        <v>1749</v>
      </c>
      <c r="N13" s="320" t="s">
        <v>1038</v>
      </c>
      <c r="O13" s="320" t="s">
        <v>1038</v>
      </c>
      <c r="P13" s="320">
        <v>1850</v>
      </c>
      <c r="Q13" s="322" t="s">
        <v>64</v>
      </c>
      <c r="R13" s="320">
        <v>322</v>
      </c>
      <c r="S13" s="320">
        <v>2026</v>
      </c>
      <c r="T13" s="320">
        <v>25</v>
      </c>
      <c r="U13" s="320" t="s">
        <v>273</v>
      </c>
      <c r="V13" s="320" t="s">
        <v>272</v>
      </c>
      <c r="W13" s="320" t="s">
        <v>273</v>
      </c>
      <c r="X13" s="320" t="s">
        <v>272</v>
      </c>
      <c r="Y13" s="320" t="s">
        <v>272</v>
      </c>
      <c r="Z13" s="342" t="s">
        <v>298</v>
      </c>
      <c r="AA13" s="324" t="s">
        <v>2194</v>
      </c>
      <c r="AB13" s="319" t="s">
        <v>2195</v>
      </c>
    </row>
    <row r="14" ht="24.75" customHeight="1" s="5" customFormat="1">
      <c r="A14" s="315" t="s">
        <v>205</v>
      </c>
      <c r="B14" s="316" t="s">
        <v>300</v>
      </c>
      <c r="C14" s="317" t="s">
        <v>2196</v>
      </c>
      <c r="D14" s="5"/>
      <c r="E14" s="319" t="s">
        <v>2197</v>
      </c>
      <c r="F14" s="320" t="s">
        <v>2168</v>
      </c>
      <c r="G14" s="320" t="s">
        <v>2169</v>
      </c>
      <c r="H14" s="320" t="s">
        <v>2198</v>
      </c>
      <c r="I14" s="320" t="s">
        <v>1596</v>
      </c>
      <c r="J14" s="320" t="s">
        <v>1038</v>
      </c>
      <c r="K14" s="320" t="s">
        <v>1038</v>
      </c>
      <c r="L14" s="320">
        <v>1420</v>
      </c>
      <c r="M14" s="321">
        <v>1310</v>
      </c>
      <c r="N14" s="320" t="s">
        <v>1038</v>
      </c>
      <c r="O14" s="320" t="s">
        <v>1038</v>
      </c>
      <c r="P14" s="320">
        <v>1850</v>
      </c>
      <c r="Q14" s="322" t="s">
        <v>64</v>
      </c>
      <c r="R14" s="320">
        <v>100</v>
      </c>
      <c r="S14" s="320">
        <v>1986</v>
      </c>
      <c r="T14" s="320">
        <v>15</v>
      </c>
      <c r="U14" s="320" t="s">
        <v>273</v>
      </c>
      <c r="V14" s="320" t="s">
        <v>272</v>
      </c>
      <c r="W14" s="320" t="s">
        <v>273</v>
      </c>
      <c r="X14" s="320" t="s">
        <v>272</v>
      </c>
      <c r="Y14" s="320" t="s">
        <v>273</v>
      </c>
      <c r="Z14" s="323" t="s">
        <v>1163</v>
      </c>
      <c r="AA14" s="324" t="s">
        <v>2199</v>
      </c>
      <c r="AB14" s="319" t="s">
        <v>2200</v>
      </c>
    </row>
    <row r="15" ht="28.5" customHeight="1" s="5" customFormat="1">
      <c r="A15" s="325" t="s">
        <v>154</v>
      </c>
      <c r="B15" s="326" t="s">
        <v>339</v>
      </c>
      <c r="C15" s="327" t="s">
        <v>2201</v>
      </c>
      <c r="D15" s="5"/>
      <c r="E15" s="325" t="s">
        <v>64</v>
      </c>
      <c r="F15" s="325" t="s">
        <v>2168</v>
      </c>
      <c r="G15" s="325" t="s">
        <v>2169</v>
      </c>
      <c r="H15" s="325"/>
      <c r="I15" s="325"/>
      <c r="J15" s="325" t="s">
        <v>64</v>
      </c>
      <c r="K15" s="325" t="s">
        <v>64</v>
      </c>
      <c r="L15" s="325">
        <v>1420</v>
      </c>
      <c r="M15" s="325">
        <v>1420</v>
      </c>
      <c r="N15" s="325" t="s">
        <v>64</v>
      </c>
      <c r="O15" s="325" t="s">
        <v>64</v>
      </c>
      <c r="P15" s="325">
        <v>1850</v>
      </c>
      <c r="Q15" s="325">
        <v>1850</v>
      </c>
      <c r="R15" s="325"/>
      <c r="S15" s="325"/>
      <c r="T15" s="325"/>
      <c r="U15" s="325"/>
      <c r="V15" s="325"/>
      <c r="W15" s="325"/>
      <c r="X15" s="325"/>
      <c r="Y15" s="325"/>
      <c r="Z15" s="316" t="s">
        <v>339</v>
      </c>
      <c r="AA15" s="328" t="s">
        <v>2202</v>
      </c>
      <c r="AB15" s="328" t="s">
        <v>342</v>
      </c>
    </row>
    <row r="16" ht="34.5" customHeight="1" s="5" customFormat="1">
      <c r="A16" s="329" t="s">
        <v>154</v>
      </c>
      <c r="B16" s="326" t="s">
        <v>339</v>
      </c>
      <c r="C16" s="330" t="s">
        <v>2203</v>
      </c>
      <c r="D16" s="5"/>
      <c r="E16" s="329" t="s">
        <v>64</v>
      </c>
      <c r="F16" s="329" t="s">
        <v>2168</v>
      </c>
      <c r="G16" s="329" t="s">
        <v>2169</v>
      </c>
      <c r="H16" s="329"/>
      <c r="I16" s="329"/>
      <c r="J16" s="329"/>
      <c r="K16" s="329"/>
      <c r="L16" s="329"/>
      <c r="M16" s="331">
        <v>1653</v>
      </c>
      <c r="N16" s="329"/>
      <c r="O16" s="329"/>
      <c r="P16" s="329"/>
      <c r="Q16" s="331">
        <v>1930</v>
      </c>
      <c r="R16" s="329"/>
      <c r="S16" s="329"/>
      <c r="T16" s="329"/>
      <c r="U16" s="329"/>
      <c r="V16" s="329"/>
      <c r="W16" s="329"/>
      <c r="X16" s="329"/>
      <c r="Y16" s="329"/>
      <c r="Z16" s="316" t="s">
        <v>339</v>
      </c>
      <c r="AA16" s="332" t="s">
        <v>1414</v>
      </c>
      <c r="AB16" s="332" t="s">
        <v>1062</v>
      </c>
    </row>
    <row r="18" ht="14.25" customHeight="1" s="5" customFormat="1">
      <c r="A18" s="333" t="s">
        <v>1063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20" ht="18" customHeight="1" s="5" customFormat="1">
      <c r="A20" s="334" t="s">
        <v>349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ht="15.75" customHeight="1" s="5" customFormat="1">
      <c r="A21" s="335" t="s">
        <v>1415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ht="15.75" customHeight="1" s="5" customFormat="1">
      <c r="A22" s="5"/>
      <c r="B22" s="336" t="s">
        <v>351</v>
      </c>
      <c r="C22" s="336" t="s">
        <v>352</v>
      </c>
      <c r="D22" s="5"/>
      <c r="E22" s="336" t="s">
        <v>353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ht="20.25" customHeight="1" s="5" customFormat="1">
      <c r="A23" s="337" t="s">
        <v>151</v>
      </c>
      <c r="B23" s="338">
        <f>'Current Rents'!E52</f>
        <v>1388</v>
      </c>
      <c r="C23" s="339">
        <v>1653</v>
      </c>
      <c r="D23" s="5"/>
      <c r="E23" s="340">
        <f t="shared" si="0" ref="E23:E24">B23-C23</f>
        <v>-265</v>
      </c>
      <c r="F23" s="161" t="str">
        <f>IF(E23&lt;-75,"LOOK INTO INCREASING THE RENT!","")</f>
        <v>LOOK INTO INCREASING THE RENT!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ht="20.25" customHeight="1" s="5" customFormat="1">
      <c r="A24" s="337" t="s">
        <v>152</v>
      </c>
      <c r="B24" s="338">
        <f>'Current Rents'!F52</f>
        <v>1592</v>
      </c>
      <c r="C24" s="339">
        <v>1930</v>
      </c>
      <c r="D24" s="5"/>
      <c r="E24" s="340">
        <f t="shared" si="0"/>
        <v>-338</v>
      </c>
      <c r="F24" s="161" t="str">
        <f>IF(E24&lt;-75,"LOOK INTO INCREASING THE RENT!","")</f>
        <v>LOOK INTO INCREASING THE RENT!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</sheetData>
  <mergeCells>
    <mergeCell ref="Z3:AB3"/>
    <mergeCell ref="A4:AB4"/>
    <mergeCell ref="A20:H20"/>
    <mergeCell ref="A18:AB18"/>
    <mergeCell ref="C22:D22"/>
    <mergeCell ref="C8:D8"/>
    <mergeCell ref="D9:D14"/>
    <mergeCell ref="C7:D7"/>
    <mergeCell ref="A3:Y3"/>
    <mergeCell ref="C16:D16"/>
    <mergeCell ref="A21:H21"/>
    <mergeCell ref="C15:D15"/>
    <mergeCell ref="A5:AB5"/>
    <mergeCell ref="A6:AB6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2026-06-30T21:19:08Z</dcterms:created>
  <dcterms:modified xsi:type="dcterms:W3CDTF">2026-07-01T22:54:30Z</dcterms:modified>
  <cp:lastModifiedBy>Brandon Rose</cp:lastModifiedBy>
</cp:coreProperties>
</file>