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65" yWindow="210" windowWidth="35385" windowHeight="15300" tabRatio="600" firstSheet="0" activeTab="0" autoFilterDateGrouping="1"/>
  </bookViews>
  <sheets>
    <sheet xmlns:r="http://schemas.openxmlformats.org/officeDocument/2006/relationships" name="All Properties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Locations Ranked" sheetId="3" state="visible" r:id="rId3"/>
    <sheet xmlns:r="http://schemas.openxmlformats.org/officeDocument/2006/relationships" name="Char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_);[Red]\(&quot;$&quot;#,##0\)"/>
  </numFmts>
  <fonts count="33">
    <font>
      <name val="Calibri"/>
      <family val="2"/>
      <color theme="1"/>
      <sz val="11"/>
      <scheme val="minor"/>
    </font>
    <font>
      <name val="Calibri"/>
      <b val="1"/>
      <color rgb="FFF0B429"/>
      <sz val="16"/>
    </font>
    <font>
      <name val="Calibri"/>
      <i val="1"/>
      <color rgb="FFBDC3C7"/>
      <sz val="9"/>
    </font>
    <font>
      <name val="Calibri"/>
      <b val="1"/>
      <color rgb="FFFFFFFF"/>
      <sz val="11"/>
    </font>
    <font>
      <name val="Calibri"/>
      <color rgb="FFFFFFFF"/>
      <sz val="9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b val="1"/>
      <color rgb="FFF0B429"/>
      <sz val="10"/>
    </font>
    <font>
      <name val="Calibri"/>
      <b val="1"/>
      <color rgb="FFFF6B6B"/>
      <sz val="10"/>
    </font>
    <font>
      <name val="Calibri"/>
      <b val="1"/>
      <color rgb="FF7DCEA0"/>
      <sz val="9"/>
    </font>
    <font>
      <name val="Calibri"/>
      <color rgb="FF5DADE2"/>
      <sz val="8"/>
      <u val="single"/>
    </font>
    <font>
      <name val="Calibri"/>
      <b val="1"/>
      <color rgb="FFAEB6BF"/>
      <sz val="10"/>
    </font>
    <font>
      <name val="Calibri"/>
      <b val="1"/>
      <color rgb="FF7DCEA0"/>
      <sz val="10"/>
    </font>
    <font>
      <name val="Calibri"/>
      <b val="1"/>
      <color rgb="FFFF6B6B"/>
      <sz val="9"/>
    </font>
    <font>
      <name val="Calibri"/>
      <b val="1"/>
      <color rgb="FFF0B429"/>
      <sz val="14"/>
    </font>
    <font>
      <name val="Calibri"/>
      <b val="1"/>
      <color rgb="FFF0B429"/>
      <sz val="13"/>
    </font>
    <font>
      <name val="Calibri"/>
      <color rgb="FFFFFFFF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6B6B"/>
      <sz val="10"/>
    </font>
    <font>
      <name val="Calibri"/>
      <family val="2"/>
      <b val="1"/>
      <color theme="7" tint="-0.249977111117893"/>
      <sz val="14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7" tint="0.3999755851924192"/>
      <sz val="11"/>
    </font>
    <font>
      <name val="Calibri"/>
      <family val="2"/>
      <b val="1"/>
      <color theme="6" tint="-0.249977111117893"/>
      <sz val="11"/>
    </font>
    <font>
      <name val="Calibri"/>
      <family val="2"/>
      <b val="1"/>
      <color theme="9" tint="0.3999755851924192"/>
      <sz val="11"/>
    </font>
    <font>
      <name val="Calibri"/>
      <family val="2"/>
      <i val="1"/>
      <color rgb="FFBDC3C7"/>
      <sz val="8"/>
    </font>
    <font>
      <name val="Calibri"/>
      <family val="2"/>
      <b val="1"/>
      <color rgb="FFFFFFFF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5" tint="0.5999938962981048"/>
      <sz val="11"/>
    </font>
    <font>
      <name val="Calibri"/>
      <family val="2"/>
      <b val="1"/>
      <color theme="6" tint="-0.499984740745262"/>
      <sz val="11"/>
      <scheme val="minor"/>
    </font>
    <font>
      <name val="Calibri"/>
      <family val="2"/>
      <b val="1"/>
      <color theme="6" tint="-0.499984740745262"/>
      <sz val="10"/>
    </font>
    <font>
      <name val="Calibri"/>
      <family val="2"/>
      <b val="1"/>
      <sz val="12"/>
    </font>
    <font>
      <name val="Calibri"/>
      <family val="2"/>
      <b val="1"/>
      <color theme="0"/>
      <sz val="12"/>
    </font>
    <font>
      <name val="Calibri"/>
      <family val="2"/>
      <b val="1"/>
      <color theme="6" tint="-0.249977111117893"/>
      <sz val="10"/>
    </font>
  </fonts>
  <fills count="25">
    <fill>
      <patternFill/>
    </fill>
    <fill>
      <patternFill patternType="gray125"/>
    </fill>
    <fill>
      <patternFill patternType="solid">
        <fgColor rgb="FF0F1117"/>
      </patternFill>
    </fill>
    <fill>
      <patternFill patternType="solid">
        <fgColor rgb="FF1A3A5C"/>
      </patternFill>
    </fill>
    <fill>
      <patternFill patternType="solid">
        <fgColor rgb="FF1A4F7A"/>
      </patternFill>
    </fill>
    <fill>
      <patternFill patternType="solid">
        <fgColor rgb="FF1E2535"/>
      </patternFill>
    </fill>
    <fill>
      <patternFill patternType="solid">
        <fgColor rgb="FF161B27"/>
      </patternFill>
    </fill>
    <fill>
      <patternFill patternType="solid">
        <fgColor rgb="FF1A5E20"/>
      </patternFill>
    </fill>
    <fill>
      <patternFill patternType="solid">
        <fgColor rgb="FF7B241C"/>
      </patternFill>
    </fill>
    <fill>
      <patternFill patternType="solid">
        <fgColor rgb="FF512E8B"/>
      </patternFill>
    </fill>
    <fill>
      <patternFill patternType="solid">
        <fgColor rgb="FF4A235A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darkDown">
        <bgColor theme="4" tint="0.3999450666829432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darkDown">
        <bgColor theme="0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</fills>
  <borders count="11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medium">
        <color rgb="FF2E86C1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/>
      <top/>
      <bottom style="thin">
        <color rgb="FF2C3E50"/>
      </bottom>
      <diagonal/>
    </border>
    <border>
      <left style="thin">
        <color rgb="FF2C3E50"/>
      </left>
      <right style="thin">
        <color rgb="FF2C3E50"/>
      </right>
      <top/>
      <bottom style="medium">
        <color rgb="FF2E86C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4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164" fontId="12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164" fontId="21" fillId="5" borderId="2" applyAlignment="1" pivotButton="0" quotePrefix="0" xfId="0">
      <alignment horizontal="center" vertical="center" wrapText="1"/>
    </xf>
    <xf numFmtId="164" fontId="20" fillId="5" borderId="2" applyAlignment="1" pivotButton="0" quotePrefix="0" xfId="0">
      <alignment horizontal="center" vertical="center" wrapText="1"/>
    </xf>
    <xf numFmtId="164" fontId="20" fillId="6" borderId="2" applyAlignment="1" pivotButton="0" quotePrefix="0" xfId="0">
      <alignment horizontal="center" vertical="center" wrapText="1"/>
    </xf>
    <xf numFmtId="164" fontId="22" fillId="5" borderId="2" applyAlignment="1" pivotButton="0" quotePrefix="0" xfId="0">
      <alignment horizontal="center" vertical="center" wrapText="1"/>
    </xf>
    <xf numFmtId="164" fontId="23" fillId="5" borderId="2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25" fillId="4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5" fillId="8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25" fillId="10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164" fontId="27" fillId="5" borderId="2" applyAlignment="1" pivotButton="0" quotePrefix="0" xfId="0">
      <alignment horizontal="center" vertical="center" wrapText="1"/>
    </xf>
    <xf numFmtId="164" fontId="18" fillId="6" borderId="2" applyAlignment="1" pivotButton="0" quotePrefix="0" xfId="0">
      <alignment horizontal="center" vertical="center" wrapText="1"/>
    </xf>
    <xf numFmtId="0" fontId="28" fillId="11" borderId="5" applyAlignment="1" pivotButton="0" quotePrefix="0" xfId="0">
      <alignment horizontal="center" vertical="center"/>
    </xf>
    <xf numFmtId="0" fontId="28" fillId="11" borderId="6" applyAlignment="1" pivotButton="0" quotePrefix="0" xfId="0">
      <alignment horizontal="center" vertical="center"/>
    </xf>
    <xf numFmtId="0" fontId="28" fillId="11" borderId="7" applyAlignment="1" pivotButton="0" quotePrefix="0" xfId="0">
      <alignment horizontal="center" vertical="center"/>
    </xf>
    <xf numFmtId="164" fontId="8" fillId="19" borderId="2" applyAlignment="1" pivotButton="0" quotePrefix="0" xfId="0">
      <alignment horizontal="center" vertical="center" wrapText="1"/>
    </xf>
    <xf numFmtId="164" fontId="18" fillId="19" borderId="2" applyAlignment="1" pivotButton="0" quotePrefix="0" xfId="0">
      <alignment horizontal="center" vertical="center" wrapText="1"/>
    </xf>
    <xf numFmtId="0" fontId="17" fillId="20" borderId="2" applyAlignment="1" pivotButton="0" quotePrefix="0" xfId="0">
      <alignment horizontal="center" vertical="center" wrapText="1"/>
    </xf>
    <xf numFmtId="164" fontId="29" fillId="20" borderId="2" applyAlignment="1" pivotButton="0" quotePrefix="0" xfId="0">
      <alignment horizontal="center" vertical="center" wrapText="1"/>
    </xf>
    <xf numFmtId="164" fontId="22" fillId="21" borderId="2" applyAlignment="1" pivotButton="0" quotePrefix="0" xfId="0">
      <alignment horizontal="center" vertical="center" wrapText="1"/>
    </xf>
    <xf numFmtId="165" fontId="22" fillId="21" borderId="2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30" fillId="11" borderId="4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31" fillId="18" borderId="1" applyAlignment="1" pivotButton="0" quotePrefix="0" xfId="0">
      <alignment horizontal="center" vertical="center" wrapText="1"/>
    </xf>
    <xf numFmtId="165" fontId="32" fillId="22" borderId="2" applyAlignment="1" pivotButton="0" quotePrefix="0" xfId="0">
      <alignment horizontal="center" vertical="center" wrapText="1"/>
    </xf>
    <xf numFmtId="0" fontId="28" fillId="11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165" fontId="22" fillId="21" borderId="2" applyAlignment="1" pivotButton="0" quotePrefix="0" xfId="0">
      <alignment horizontal="center" vertical="center" wrapText="1"/>
    </xf>
    <xf numFmtId="165" fontId="32" fillId="22" borderId="2" applyAlignment="1" pivotButton="0" quotePrefix="0" xfId="0">
      <alignment horizontal="center" vertical="center" wrapText="1"/>
    </xf>
    <xf numFmtId="164" fontId="27" fillId="23" borderId="2" applyAlignment="1" pivotButton="0" quotePrefix="0" xfId="0">
      <alignment horizontal="center" vertical="center" wrapText="1"/>
    </xf>
    <xf numFmtId="164" fontId="8" fillId="24" borderId="2" applyAlignment="1" pivotButton="0" quotePrefix="0" xfId="0">
      <alignment horizontal="center" vertical="center" wrapText="1"/>
    </xf>
    <xf numFmtId="164" fontId="8" fillId="23" borderId="2" applyAlignment="1" pivotButton="0" quotePrefix="0" xfId="0">
      <alignment horizontal="center" vertical="center" wrapText="1"/>
    </xf>
    <xf numFmtId="164" fontId="22" fillId="24" borderId="2" applyAlignment="1" pivotButton="0" quotePrefix="0" xfId="0">
      <alignment horizontal="center" vertical="center" wrapText="1"/>
    </xf>
    <xf numFmtId="164" fontId="22" fillId="23" borderId="2" applyAlignment="1" pivotButton="0" quotePrefix="0" xfId="0">
      <alignment horizontal="center" vertical="center" wrapText="1"/>
    </xf>
    <xf numFmtId="164" fontId="21" fillId="24" borderId="2" applyAlignment="1" pivotButton="0" quotePrefix="0" xfId="0">
      <alignment horizontal="center" vertical="center" wrapText="1"/>
    </xf>
    <xf numFmtId="164" fontId="21" fillId="2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926550" cy="7772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10134600" cy="5410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</row>
      <rowOff>0</rowOff>
    </from>
    <ext cx="7772400" cy="1091565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51</row>
      <rowOff>0</rowOff>
    </from>
    <ext cx="8524875" cy="109156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0" tabSelected="1" zoomScale="110" zoomScaleNormal="110" workbookViewId="0">
      <pane ySplit="4" topLeftCell="A5" activePane="bottomLeft" state="frozen"/>
      <selection pane="bottomLeft" activeCell="M3" sqref="M3:AA3"/>
    </sheetView>
  </sheetViews>
  <sheetFormatPr baseColWidth="8" defaultRowHeight="15"/>
  <cols>
    <col width="18.7109375" customWidth="1" style="54" min="1" max="1"/>
    <col width="27.140625" customWidth="1" style="34" min="2" max="2"/>
    <col width="33.7109375" customWidth="1" style="34" min="3" max="3"/>
    <col width="12" customWidth="1" style="34" min="4" max="4"/>
    <col width="6.42578125" customWidth="1" style="34" min="5" max="5"/>
    <col width="44.42578125" customWidth="1" style="34" min="6" max="6"/>
    <col width="11" customWidth="1" style="34" min="7" max="7"/>
    <col width="7.140625" bestFit="1" customWidth="1" style="34" min="8" max="11"/>
    <col width="7.42578125" bestFit="1" customWidth="1" style="34" min="12" max="12"/>
    <col width="7.140625" bestFit="1" customWidth="1" style="34" min="13" max="13"/>
    <col width="8.5703125" bestFit="1" customWidth="1" style="34" min="14" max="14"/>
    <col width="11.140625" bestFit="1" customWidth="1" style="34" min="15" max="15"/>
    <col width="7.140625" customWidth="1" style="34" min="16" max="16"/>
    <col width="7.140625" bestFit="1" customWidth="1" style="34" min="17" max="18"/>
    <col width="11.140625" bestFit="1" customWidth="1" style="34" min="19" max="19"/>
    <col width="8" customWidth="1" style="34" min="20" max="20"/>
    <col width="7.140625" bestFit="1" customWidth="1" style="34" min="21" max="22"/>
    <col width="11.140625" bestFit="1" customWidth="1" style="34" min="23" max="23"/>
    <col width="7.140625" bestFit="1" customWidth="1" style="34" min="24" max="24"/>
    <col width="8.85546875" bestFit="1" customWidth="1" style="34" min="25" max="25"/>
    <col width="7.140625" bestFit="1" customWidth="1" style="34" min="26" max="26"/>
    <col width="8.5703125" bestFit="1" customWidth="1" style="34" min="27" max="27"/>
    <col width="14" customWidth="1" style="34" min="28" max="28"/>
    <col width="55" customWidth="1" style="34" min="29" max="29"/>
    <col width="9.140625" customWidth="1" style="34" min="30" max="16384"/>
  </cols>
  <sheetData>
    <row r="1" ht="32.1" customHeight="1" s="29">
      <c r="A1" s="30" t="inlineStr">
        <is>
          <t>APARTMENT CORP — Section 8 PHA Payment Standards (FY 2025/2026)</t>
        </is>
      </c>
    </row>
    <row r="2" ht="18" customHeight="1" s="29">
      <c r="A2" s="28" t="inlineStr">
        <is>
          <t>Housing Choice Voucher Program  |  Maximum Monthly Subsidy by Bedroom Size  |  Source: Individual PHA Payment Standard Schedules</t>
        </is>
      </c>
    </row>
    <row r="3" ht="18" customFormat="1" customHeight="1" s="41">
      <c r="A3" s="48" t="n"/>
      <c r="H3" s="75" t="inlineStr">
        <is>
          <t>SECTION 8 PAYMENT STANDARDS</t>
        </is>
      </c>
      <c r="I3" s="76" t="n"/>
      <c r="J3" s="76" t="n"/>
      <c r="K3" s="76" t="n"/>
      <c r="L3" s="77" t="n"/>
      <c r="M3" s="42" t="inlineStr">
        <is>
          <t>ApartmentCorp Rents</t>
        </is>
      </c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</row>
    <row r="4" ht="21.95" customHeight="1" s="29" thickBot="1">
      <c r="A4" s="66" t="inlineStr">
        <is>
          <t>Region</t>
        </is>
      </c>
      <c r="B4" s="66" t="inlineStr">
        <is>
          <t>Property Name</t>
        </is>
      </c>
      <c r="C4" s="66" t="inlineStr">
        <is>
          <t>Address</t>
        </is>
      </c>
      <c r="D4" s="66" t="inlineStr">
        <is>
          <t>City</t>
        </is>
      </c>
      <c r="E4" s="66" t="inlineStr">
        <is>
          <t>State</t>
        </is>
      </c>
      <c r="F4" s="66" t="inlineStr">
        <is>
          <t>PHA Name</t>
        </is>
      </c>
      <c r="G4" s="66" t="inlineStr">
        <is>
          <t>Eff. Date</t>
        </is>
      </c>
      <c r="H4" s="67" t="inlineStr">
        <is>
          <t>1 BR</t>
        </is>
      </c>
      <c r="I4" s="67" t="inlineStr">
        <is>
          <t>2 BR</t>
        </is>
      </c>
      <c r="J4" s="67" t="inlineStr">
        <is>
          <t>3 BR</t>
        </is>
      </c>
      <c r="K4" s="67" t="inlineStr">
        <is>
          <t>4 BR</t>
        </is>
      </c>
      <c r="L4" s="67" t="inlineStr">
        <is>
          <t>5 BR</t>
        </is>
      </c>
      <c r="M4" s="68" t="inlineStr">
        <is>
          <t>1 BR</t>
        </is>
      </c>
      <c r="N4" s="68" t="inlineStr">
        <is>
          <t>DIFF</t>
        </is>
      </c>
      <c r="O4" s="69" t="inlineStr">
        <is>
          <t>FMR - 2BR</t>
        </is>
      </c>
      <c r="P4" s="69" t="inlineStr">
        <is>
          <t>UAP</t>
        </is>
      </c>
      <c r="Q4" s="70" t="inlineStr">
        <is>
          <t>2 BR</t>
        </is>
      </c>
      <c r="R4" s="70" t="inlineStr">
        <is>
          <t>DIFF</t>
        </is>
      </c>
      <c r="S4" s="69" t="inlineStr">
        <is>
          <t>FMR - 3BR</t>
        </is>
      </c>
      <c r="T4" s="69" t="inlineStr">
        <is>
          <t>UAP</t>
        </is>
      </c>
      <c r="U4" s="71" t="inlineStr">
        <is>
          <t>3 BR</t>
        </is>
      </c>
      <c r="V4" s="71" t="inlineStr">
        <is>
          <t>DIFF</t>
        </is>
      </c>
      <c r="W4" s="69" t="inlineStr">
        <is>
          <t>FMR - 4BR</t>
        </is>
      </c>
      <c r="X4" s="72" t="inlineStr">
        <is>
          <t>4 BR</t>
        </is>
      </c>
      <c r="Y4" s="72" t="inlineStr">
        <is>
          <t>DIFF</t>
        </is>
      </c>
      <c r="Z4" s="73" t="inlineStr">
        <is>
          <t>5 BR</t>
        </is>
      </c>
      <c r="AA4" s="73" t="inlineStr">
        <is>
          <t>DIFF</t>
        </is>
      </c>
      <c r="AB4" s="66" t="inlineStr">
        <is>
          <t>FMR Fallback?</t>
        </is>
      </c>
      <c r="AC4" s="66" t="inlineStr">
        <is>
          <t>Source URL</t>
        </is>
      </c>
    </row>
    <row r="5" ht="18" customHeight="1" s="29">
      <c r="A5" s="49" t="inlineStr">
        <is>
          <t>R1 — FL/MS</t>
        </is>
      </c>
      <c r="B5" s="39" t="inlineStr">
        <is>
          <t>Boca Ciega</t>
        </is>
      </c>
      <c r="C5" s="35" t="inlineStr">
        <is>
          <t>3401 37th Street South, St. Petersburg, FL</t>
        </is>
      </c>
      <c r="D5" s="35" t="inlineStr">
        <is>
          <t>St. Petersburg</t>
        </is>
      </c>
      <c r="E5" s="35" t="inlineStr">
        <is>
          <t>FL</t>
        </is>
      </c>
      <c r="F5" s="35" t="inlineStr">
        <is>
          <t>St. Petersburg Housing Authority</t>
        </is>
      </c>
      <c r="G5" s="35" t="inlineStr">
        <is>
          <t>10/2024</t>
        </is>
      </c>
      <c r="H5" s="3" t="n">
        <v>2026</v>
      </c>
      <c r="I5" s="3" t="n">
        <v>2376</v>
      </c>
      <c r="J5" s="4" t="n">
        <v>3044</v>
      </c>
      <c r="K5" s="4" t="n">
        <v>3701</v>
      </c>
      <c r="L5" s="60" t="n"/>
      <c r="M5" s="60" t="n"/>
      <c r="N5" s="60" t="n"/>
      <c r="O5" s="55" t="n">
        <v>2170</v>
      </c>
      <c r="P5" s="55" t="n">
        <v>203</v>
      </c>
      <c r="Q5" s="44" t="n">
        <v>1733</v>
      </c>
      <c r="R5" s="64">
        <f>I5-Q5</f>
        <v/>
      </c>
      <c r="S5" s="55" t="n">
        <v>2780</v>
      </c>
      <c r="T5" s="55" t="n">
        <v>277</v>
      </c>
      <c r="U5" s="44" t="n">
        <v>2157</v>
      </c>
      <c r="V5" s="79">
        <f>J5-U5</f>
        <v/>
      </c>
      <c r="W5" s="60" t="n"/>
      <c r="X5" s="60" t="n"/>
      <c r="Y5" s="60" t="n"/>
      <c r="Z5" s="60" t="n"/>
      <c r="AA5" s="60" t="n"/>
      <c r="AB5" s="5" t="inlineStr">
        <is>
          <t>✓ PHA</t>
        </is>
      </c>
      <c r="AC5" s="36" t="inlineStr">
        <is>
          <t>https://www.stpeteha.org/plugins/show_image.php?id=2909</t>
        </is>
      </c>
    </row>
    <row r="6" ht="18" customHeight="1" s="29">
      <c r="A6" s="49" t="inlineStr">
        <is>
          <t>R1 — FL/MS</t>
        </is>
      </c>
      <c r="B6" s="40" t="inlineStr">
        <is>
          <t>Jefferson Arms</t>
        </is>
      </c>
      <c r="C6" s="37" t="inlineStr">
        <is>
          <t>1425 E. Clark Ave, Monticello, FL</t>
        </is>
      </c>
      <c r="D6" s="37" t="inlineStr">
        <is>
          <t>Monticello</t>
        </is>
      </c>
      <c r="E6" s="37" t="inlineStr">
        <is>
          <t>FL</t>
        </is>
      </c>
      <c r="F6" s="37" t="inlineStr">
        <is>
          <t>Northwest Florida Regional Housing Authority</t>
        </is>
      </c>
      <c r="G6" s="37" t="inlineStr">
        <is>
          <t>N/A</t>
        </is>
      </c>
      <c r="H6" s="6" t="n">
        <v>1183</v>
      </c>
      <c r="I6" s="7" t="n">
        <v>1339</v>
      </c>
      <c r="J6" s="7" t="n">
        <v>1738</v>
      </c>
      <c r="K6" s="7" t="n">
        <v>1801</v>
      </c>
      <c r="L6" s="60" t="n"/>
      <c r="M6" s="60" t="n"/>
      <c r="N6" s="60" t="n"/>
      <c r="O6" s="55" t="n">
        <v>1210</v>
      </c>
      <c r="P6" s="55" t="n">
        <v>177</v>
      </c>
      <c r="Q6" s="45" t="n">
        <v>1020</v>
      </c>
      <c r="R6" s="64">
        <f>I6-Q6</f>
        <v/>
      </c>
      <c r="S6" s="46" t="n">
        <v>1540</v>
      </c>
      <c r="T6" s="46" t="n">
        <v>232</v>
      </c>
      <c r="U6" s="45" t="n">
        <v>1150</v>
      </c>
      <c r="V6" s="79">
        <f>J6-U6</f>
        <v/>
      </c>
      <c r="W6" s="46" t="n"/>
      <c r="X6" s="60" t="n"/>
      <c r="Y6" s="80" t="n"/>
      <c r="Z6" s="60" t="n"/>
      <c r="AA6" s="60" t="n"/>
      <c r="AB6" s="8" t="inlineStr">
        <is>
          <t>⚠ FMR</t>
        </is>
      </c>
      <c r="AC6" s="38" t="inlineStr">
        <is>
          <t>https://www.huduser.gov/portal/datasets/fmr/fmrs/FY2025_code/select_Geography.odn</t>
        </is>
      </c>
    </row>
    <row r="7" ht="18" customHeight="1" s="29">
      <c r="A7" s="49" t="inlineStr">
        <is>
          <t>R1 — FL/MS</t>
        </is>
      </c>
      <c r="B7" s="39" t="inlineStr">
        <is>
          <t>Opa Locka (135th St)</t>
        </is>
      </c>
      <c r="C7" s="35" t="inlineStr">
        <is>
          <t>2860 NW 135th Street, Opa Locka, FL</t>
        </is>
      </c>
      <c r="D7" s="35" t="inlineStr">
        <is>
          <t>Opa Locka</t>
        </is>
      </c>
      <c r="E7" s="35" t="inlineStr">
        <is>
          <t>FL</t>
        </is>
      </c>
      <c r="F7" s="35" t="inlineStr">
        <is>
          <t>Miami-Dade County Department of Housing and Community Development</t>
        </is>
      </c>
      <c r="G7" s="35" t="inlineStr">
        <is>
          <t>01/2026</t>
        </is>
      </c>
      <c r="H7" s="3" t="n">
        <v>2040</v>
      </c>
      <c r="I7" s="3" t="n">
        <v>2496</v>
      </c>
      <c r="J7" s="4" t="n">
        <v>3204</v>
      </c>
      <c r="K7" s="4" t="n">
        <v>3696</v>
      </c>
      <c r="L7" s="60" t="n"/>
      <c r="M7" s="44" t="n">
        <v>1600</v>
      </c>
      <c r="N7" s="43">
        <f>H7-M7</f>
        <v/>
      </c>
      <c r="O7" s="55" t="n">
        <v>1540</v>
      </c>
      <c r="P7" s="55" t="n">
        <v>232</v>
      </c>
      <c r="Q7" s="44" t="n">
        <v>1935</v>
      </c>
      <c r="R7" s="64">
        <f>I7-Q7</f>
        <v/>
      </c>
      <c r="S7" s="55" t="n">
        <v>2780</v>
      </c>
      <c r="T7" s="81" t="n">
        <v>298</v>
      </c>
      <c r="U7" s="44" t="n">
        <v>2445</v>
      </c>
      <c r="V7" s="79">
        <f>J7-U7</f>
        <v/>
      </c>
      <c r="W7" s="60" t="n"/>
      <c r="X7" s="60" t="n"/>
      <c r="Y7" s="80" t="n"/>
      <c r="Z7" s="60" t="n"/>
      <c r="AA7" s="60" t="n"/>
      <c r="AB7" s="5" t="inlineStr">
        <is>
          <t>✓ PHA</t>
        </is>
      </c>
      <c r="AC7" s="36" t="inlineStr">
        <is>
          <t>https://www.miamidade.gov/resources/housing/documents/affordable-housing-resources/fair-market-rents.pdf</t>
        </is>
      </c>
    </row>
    <row r="8" ht="18" customHeight="1" s="29">
      <c r="A8" s="49" t="inlineStr">
        <is>
          <t>R1 — FL/MS</t>
        </is>
      </c>
      <c r="B8" s="40" t="inlineStr">
        <is>
          <t>Macedonia Garden</t>
        </is>
      </c>
      <c r="C8" s="37" t="inlineStr">
        <is>
          <t>1722 W 17th Street, Panama City, FL</t>
        </is>
      </c>
      <c r="D8" s="37" t="inlineStr">
        <is>
          <t>Panama City</t>
        </is>
      </c>
      <c r="E8" s="37" t="inlineStr">
        <is>
          <t>FL</t>
        </is>
      </c>
      <c r="F8" s="37" t="inlineStr">
        <is>
          <t>N/A</t>
        </is>
      </c>
      <c r="G8" s="37" t="inlineStr">
        <is>
          <t>FY 2026</t>
        </is>
      </c>
      <c r="H8" s="7" t="n">
        <v>1480</v>
      </c>
      <c r="I8" s="7" t="n">
        <v>1682</v>
      </c>
      <c r="J8" s="9" t="n">
        <v>2169</v>
      </c>
      <c r="K8" s="9" t="n">
        <v>2689</v>
      </c>
      <c r="L8" s="60" t="n"/>
      <c r="M8" s="60" t="n"/>
      <c r="N8" s="60" t="n"/>
      <c r="O8" s="82" t="n">
        <v>1426</v>
      </c>
      <c r="P8" s="83" t="n">
        <v>185</v>
      </c>
      <c r="Q8" s="45" t="n">
        <v>1451</v>
      </c>
      <c r="R8" s="64">
        <f>I8-Q8</f>
        <v/>
      </c>
      <c r="S8" s="84" t="n">
        <v>1818</v>
      </c>
      <c r="T8" s="85" t="n">
        <v>230</v>
      </c>
      <c r="U8" s="45" t="n">
        <v>1613</v>
      </c>
      <c r="V8" s="79">
        <f>J8-U8</f>
        <v/>
      </c>
      <c r="W8" s="55" t="n"/>
      <c r="X8" s="60" t="n"/>
      <c r="Y8" s="80" t="n"/>
      <c r="Z8" s="60" t="n"/>
      <c r="AA8" s="60" t="n"/>
      <c r="AB8" s="8" t="inlineStr">
        <is>
          <t>⚠ FMR</t>
        </is>
      </c>
      <c r="AC8" s="38" t="inlineStr">
        <is>
          <t>https://www.huduser.gov/portal/datasets/fmr/fmr2026/FY2026_FMR_Schedule.pdf</t>
        </is>
      </c>
    </row>
    <row r="9" ht="18" customHeight="1" s="29">
      <c r="A9" s="49" t="inlineStr">
        <is>
          <t>R1 — FL/MS</t>
        </is>
      </c>
      <c r="B9" s="62" t="inlineStr">
        <is>
          <t>Coral Village</t>
        </is>
      </c>
      <c r="C9" s="35" t="inlineStr">
        <is>
          <t>Cape Coral, FL</t>
        </is>
      </c>
      <c r="D9" s="35" t="inlineStr">
        <is>
          <t>Cape Coral</t>
        </is>
      </c>
      <c r="E9" s="35" t="inlineStr">
        <is>
          <t>FL</t>
        </is>
      </c>
      <c r="F9" s="35" t="inlineStr">
        <is>
          <t>Lee County Housing Authority</t>
        </is>
      </c>
      <c r="G9" s="35" t="inlineStr">
        <is>
          <t>10/2024</t>
        </is>
      </c>
      <c r="H9" s="10" t="n">
        <v>1488</v>
      </c>
      <c r="I9" s="10" t="n">
        <v>1843</v>
      </c>
      <c r="J9" s="3" t="n">
        <v>2422</v>
      </c>
      <c r="K9" s="3" t="n">
        <v>2691</v>
      </c>
      <c r="L9" s="60" t="n"/>
      <c r="M9" s="44" t="n"/>
      <c r="N9" s="43">
        <f>H9-M9</f>
        <v/>
      </c>
      <c r="O9" s="86" t="n">
        <v>1876</v>
      </c>
      <c r="P9" s="87" t="n">
        <v>210</v>
      </c>
      <c r="Q9" s="44" t="n"/>
      <c r="R9" s="64">
        <f>I9-Q9</f>
        <v/>
      </c>
      <c r="S9" s="84" t="n">
        <v>2399</v>
      </c>
      <c r="T9" s="85" t="n">
        <v>265</v>
      </c>
      <c r="U9" s="44" t="n"/>
      <c r="V9" s="79">
        <f>J9-U9</f>
        <v/>
      </c>
      <c r="W9" s="55" t="n"/>
      <c r="X9" s="44" t="n"/>
      <c r="Y9" s="79">
        <f>K9-X9</f>
        <v/>
      </c>
      <c r="Z9" s="60" t="n"/>
      <c r="AA9" s="60" t="n"/>
      <c r="AB9" s="5" t="inlineStr">
        <is>
          <t>✓ PHA</t>
        </is>
      </c>
      <c r="AC9" s="36" t="inlineStr">
        <is>
          <t>https://www.leecountyha.org/wp-content/uploads/2024/11/11-19-2024-2024-Payment-Standard.pdf</t>
        </is>
      </c>
    </row>
    <row r="10" ht="18" customHeight="1" s="29">
      <c r="A10" s="49" t="inlineStr">
        <is>
          <t>R1 — FL/MS</t>
        </is>
      </c>
      <c r="B10" s="40" t="inlineStr">
        <is>
          <t>Holiday Apartments</t>
        </is>
      </c>
      <c r="C10" s="37" t="inlineStr">
        <is>
          <t>601 Old Washington Road, Natchez, MS</t>
        </is>
      </c>
      <c r="D10" s="37" t="inlineStr">
        <is>
          <t>Natchez</t>
        </is>
      </c>
      <c r="E10" s="37" t="inlineStr">
        <is>
          <t>MS</t>
        </is>
      </c>
      <c r="F10" s="37" t="inlineStr">
        <is>
          <t>Mississippi Regional Housing Authority No. VII</t>
        </is>
      </c>
      <c r="G10" s="37" t="inlineStr">
        <is>
          <t>01/2020</t>
        </is>
      </c>
      <c r="H10" s="6" t="n">
        <v>555</v>
      </c>
      <c r="I10" s="6" t="n">
        <v>710</v>
      </c>
      <c r="J10" s="6" t="n">
        <v>885</v>
      </c>
      <c r="K10" s="6" t="n">
        <v>975</v>
      </c>
      <c r="L10" s="63" t="inlineStr">
        <is>
          <t>Look Up</t>
        </is>
      </c>
      <c r="M10" s="60" t="n"/>
      <c r="N10" s="60" t="n"/>
      <c r="O10" s="82" t="n">
        <v>820</v>
      </c>
      <c r="P10" s="83" t="n">
        <v>145</v>
      </c>
      <c r="Q10" s="45" t="n">
        <v>935</v>
      </c>
      <c r="R10" s="64">
        <f>I10-Q10</f>
        <v/>
      </c>
      <c r="S10" s="84" t="n">
        <v>1040</v>
      </c>
      <c r="T10" s="85" t="n">
        <v>185</v>
      </c>
      <c r="U10" s="45" t="n">
        <v>1073</v>
      </c>
      <c r="V10" s="79">
        <f>J10-U10</f>
        <v/>
      </c>
      <c r="W10" s="55" t="n"/>
      <c r="X10" s="45" t="n">
        <v>1147</v>
      </c>
      <c r="Y10" s="79">
        <f>K10-X10</f>
        <v/>
      </c>
      <c r="Z10" s="45" t="n">
        <v>1247</v>
      </c>
      <c r="AA10" s="55">
        <f>L10-Z10</f>
        <v/>
      </c>
      <c r="AB10" s="11" t="inlineStr">
        <is>
          <t>✓ PHA</t>
        </is>
      </c>
      <c r="AC10" s="38" t="inlineStr">
        <is>
          <t>https://0201.nccdn.net/1_2/000/000/0ee/e90/2020-PAYMENT-STANDARDS---Board-Approved.pdf</t>
        </is>
      </c>
    </row>
    <row r="11" ht="18" customHeight="1" s="29">
      <c r="A11" s="49" t="inlineStr">
        <is>
          <t>R1 — FL/MS</t>
        </is>
      </c>
      <c r="B11" s="39" t="inlineStr">
        <is>
          <t>Cumberland Apartments</t>
        </is>
      </c>
      <c r="C11" s="35" t="inlineStr">
        <is>
          <t>100 Cumberland Drive, Crystal Springs, MS</t>
        </is>
      </c>
      <c r="D11" s="35" t="inlineStr">
        <is>
          <t>Crystal Springs</t>
        </is>
      </c>
      <c r="E11" s="35" t="inlineStr">
        <is>
          <t>MS</t>
        </is>
      </c>
      <c r="F11" s="35" t="inlineStr">
        <is>
          <t>Mississippi Regional Housing Authority VI</t>
        </is>
      </c>
      <c r="G11" s="35" t="inlineStr">
        <is>
          <t>10/2025</t>
        </is>
      </c>
      <c r="H11" s="12" t="n">
        <v>690</v>
      </c>
      <c r="I11" s="12" t="n">
        <v>800</v>
      </c>
      <c r="J11" s="12" t="n">
        <v>970</v>
      </c>
      <c r="K11" s="12" t="n">
        <v>1110</v>
      </c>
      <c r="L11" s="61" t="inlineStr">
        <is>
          <t>`</t>
        </is>
      </c>
      <c r="M11" s="44" t="n">
        <v>1074</v>
      </c>
      <c r="N11" s="43">
        <f>H11-M11</f>
        <v/>
      </c>
      <c r="O11" s="86" t="n">
        <v>880</v>
      </c>
      <c r="P11" s="87" t="n">
        <v>155</v>
      </c>
      <c r="Q11" s="44" t="n">
        <v>1166</v>
      </c>
      <c r="R11" s="64">
        <f>I11-Q11</f>
        <v/>
      </c>
      <c r="S11" s="84" t="n">
        <v>1100</v>
      </c>
      <c r="T11" s="85" t="n">
        <v>195</v>
      </c>
      <c r="U11" s="44" t="n">
        <v>1290</v>
      </c>
      <c r="V11" s="79">
        <f>J11-U11</f>
        <v/>
      </c>
      <c r="W11" s="47" t="n"/>
      <c r="X11" s="44" t="n">
        <v>1443</v>
      </c>
      <c r="Y11" s="79">
        <f>K11-X11</f>
        <v/>
      </c>
      <c r="Z11" s="60" t="n"/>
      <c r="AA11" s="60" t="n"/>
      <c r="AB11" s="5" t="inlineStr">
        <is>
          <t>✓ PHA</t>
        </is>
      </c>
      <c r="AC11" s="36" t="inlineStr">
        <is>
          <t>https://www.mrha6.org/city/hinds/</t>
        </is>
      </c>
    </row>
    <row r="12" ht="18" customHeight="1" s="29">
      <c r="A12" s="49" t="inlineStr">
        <is>
          <t>R1 — FL/MS</t>
        </is>
      </c>
      <c r="B12" s="40" t="inlineStr">
        <is>
          <t>Village Green</t>
        </is>
      </c>
      <c r="C12" s="37" t="inlineStr">
        <is>
          <t>105 Creek Bend Rd, Natchez, MS</t>
        </is>
      </c>
      <c r="D12" s="37" t="inlineStr">
        <is>
          <t>Natchez</t>
        </is>
      </c>
      <c r="E12" s="37" t="inlineStr">
        <is>
          <t>MS</t>
        </is>
      </c>
      <c r="F12" s="37" t="inlineStr">
        <is>
          <t>Mississippi Regional Housing Authority No. VII</t>
        </is>
      </c>
      <c r="G12" s="37" t="inlineStr">
        <is>
          <t>01/2020</t>
        </is>
      </c>
      <c r="H12" s="6" t="n">
        <v>555</v>
      </c>
      <c r="I12" s="6" t="n">
        <v>710</v>
      </c>
      <c r="J12" s="6" t="n">
        <v>885</v>
      </c>
      <c r="K12" s="6" t="n">
        <v>975</v>
      </c>
      <c r="L12" s="61" t="inlineStr">
        <is>
          <t>`</t>
        </is>
      </c>
      <c r="M12" s="60" t="n"/>
      <c r="N12" s="60" t="n"/>
      <c r="O12" s="82" t="n">
        <v>820</v>
      </c>
      <c r="P12" s="83" t="n">
        <v>145</v>
      </c>
      <c r="Q12" s="45" t="n">
        <v>845</v>
      </c>
      <c r="R12" s="64">
        <f>I12-Q12</f>
        <v/>
      </c>
      <c r="S12" s="84" t="n">
        <v>1040</v>
      </c>
      <c r="T12" s="85" t="n">
        <v>185</v>
      </c>
      <c r="U12" s="60" t="n"/>
      <c r="V12" s="80">
        <f>J12-U12</f>
        <v/>
      </c>
      <c r="W12" s="60" t="n"/>
      <c r="X12" s="60" t="n"/>
      <c r="Y12" s="80" t="n"/>
      <c r="Z12" s="60" t="n"/>
      <c r="AA12" s="60" t="n"/>
      <c r="AB12" s="11" t="inlineStr">
        <is>
          <t>✓ PHA</t>
        </is>
      </c>
      <c r="AC12" s="38" t="inlineStr">
        <is>
          <t>https://0201.nccdn.net/1_2/000/000/0ee/e90/2020-PAYMENT-STANDARDS---Board-Approved.pdf</t>
        </is>
      </c>
    </row>
    <row r="13" ht="18" customHeight="1" s="29">
      <c r="A13" s="49" t="inlineStr">
        <is>
          <t>R1 — FL/MS</t>
        </is>
      </c>
      <c r="B13" s="62" t="inlineStr">
        <is>
          <t>Walnut Hill</t>
        </is>
      </c>
      <c r="C13" s="35" t="inlineStr">
        <is>
          <t>Natchez, MS</t>
        </is>
      </c>
      <c r="D13" s="35" t="inlineStr">
        <is>
          <t>Natchez</t>
        </is>
      </c>
      <c r="E13" s="35" t="inlineStr">
        <is>
          <t>MS</t>
        </is>
      </c>
      <c r="F13" s="35" t="inlineStr">
        <is>
          <t>Mississippi Regional Housing Authority No. VII</t>
        </is>
      </c>
      <c r="G13" s="35" t="inlineStr">
        <is>
          <t>01/2020</t>
        </is>
      </c>
      <c r="H13" s="12" t="n">
        <v>555</v>
      </c>
      <c r="I13" s="12" t="n">
        <v>710</v>
      </c>
      <c r="J13" s="12" t="n">
        <v>885</v>
      </c>
      <c r="K13" s="12" t="n">
        <v>975</v>
      </c>
      <c r="L13" s="61" t="inlineStr">
        <is>
          <t>`</t>
        </is>
      </c>
      <c r="M13" s="44" t="n"/>
      <c r="N13" s="43">
        <f>H13-M13</f>
        <v/>
      </c>
      <c r="O13" s="86" t="n">
        <v>820</v>
      </c>
      <c r="P13" s="87" t="n">
        <v>145</v>
      </c>
      <c r="Q13" s="44" t="n"/>
      <c r="R13" s="64">
        <f>I13-Q13</f>
        <v/>
      </c>
      <c r="S13" s="84" t="n">
        <v>1040</v>
      </c>
      <c r="T13" s="85" t="n">
        <v>185</v>
      </c>
      <c r="U13" s="44" t="n"/>
      <c r="V13" s="79">
        <f>J13-U13</f>
        <v/>
      </c>
      <c r="W13" s="47" t="n"/>
      <c r="X13" s="44" t="n"/>
      <c r="Y13" s="79">
        <f>K13-X13</f>
        <v/>
      </c>
      <c r="Z13" s="44" t="n"/>
      <c r="AA13" s="55">
        <f>L13-Z13</f>
        <v/>
      </c>
      <c r="AB13" s="5" t="inlineStr">
        <is>
          <t>✓ PHA</t>
        </is>
      </c>
      <c r="AC13" s="36" t="inlineStr">
        <is>
          <t>https://0201.nccdn.net/1_2/000/000/0ee/e90/2020-PAYMENT-STANDARDS---Board-Approved.pdf</t>
        </is>
      </c>
    </row>
    <row r="14" ht="18" customHeight="1" s="29">
      <c r="A14" s="50" t="inlineStr">
        <is>
          <t>R2 — OH/TX/CA</t>
        </is>
      </c>
      <c r="B14" s="62" t="inlineStr">
        <is>
          <t>River Pointe</t>
        </is>
      </c>
      <c r="C14" s="37" t="inlineStr">
        <is>
          <t>777 Avonia Drive, Columbus, OH</t>
        </is>
      </c>
      <c r="D14" s="37" t="inlineStr">
        <is>
          <t>Columbus</t>
        </is>
      </c>
      <c r="E14" s="37" t="inlineStr">
        <is>
          <t>OH</t>
        </is>
      </c>
      <c r="F14" s="37" t="inlineStr">
        <is>
          <t>Columbus Metropolitan Housing Authority</t>
        </is>
      </c>
      <c r="G14" s="37" t="inlineStr">
        <is>
          <t>04/2025</t>
        </is>
      </c>
      <c r="H14" s="6" t="n">
        <v>1171</v>
      </c>
      <c r="I14" s="7" t="n">
        <v>1432</v>
      </c>
      <c r="J14" s="7" t="n">
        <v>1731</v>
      </c>
      <c r="K14" s="7" t="n">
        <v>1919</v>
      </c>
      <c r="L14" s="61" t="inlineStr">
        <is>
          <t>`</t>
        </is>
      </c>
      <c r="M14" s="45" t="n"/>
      <c r="N14" s="43">
        <f>H14-M14</f>
        <v/>
      </c>
      <c r="O14" s="86" t="n">
        <v>1430</v>
      </c>
      <c r="P14" s="87" t="n">
        <v>198</v>
      </c>
      <c r="Q14" s="45" t="n"/>
      <c r="R14" s="64">
        <f>I14-Q14</f>
        <v/>
      </c>
      <c r="S14" s="84" t="n">
        <v>1715</v>
      </c>
      <c r="T14" s="85" t="n">
        <v>248</v>
      </c>
      <c r="U14" s="45" t="n"/>
      <c r="V14" s="79">
        <f>J14-U14</f>
        <v/>
      </c>
      <c r="W14" s="47" t="n"/>
      <c r="X14" s="45" t="n"/>
      <c r="Y14" s="79">
        <f>K14-X14</f>
        <v/>
      </c>
      <c r="Z14" s="45" t="n"/>
      <c r="AA14" s="55">
        <f>L14-Z14</f>
        <v/>
      </c>
      <c r="AB14" s="11" t="inlineStr">
        <is>
          <t>✓ PHA</t>
        </is>
      </c>
      <c r="AC14" s="38" t="inlineStr">
        <is>
          <t>https://cmhanet.com/media/documents/2025/2025%20income%20limits%20and%202025%20FMR%20payment%20standards.pdf</t>
        </is>
      </c>
    </row>
    <row r="15" ht="18" customHeight="1" s="29">
      <c r="A15" s="50" t="inlineStr">
        <is>
          <t>R2 — OH/TX/CA</t>
        </is>
      </c>
      <c r="B15" s="62" t="inlineStr">
        <is>
          <t>Breckenridge Village</t>
        </is>
      </c>
      <c r="C15" s="35" t="inlineStr">
        <is>
          <t>2001 N Floyd St, Ennis, TX</t>
        </is>
      </c>
      <c r="D15" s="35" t="inlineStr">
        <is>
          <t>Ennis</t>
        </is>
      </c>
      <c r="E15" s="35" t="inlineStr">
        <is>
          <t>TX</t>
        </is>
      </c>
      <c r="F15" s="35" t="inlineStr">
        <is>
          <t>Texas Department of Housing and Community Affairs (TDHCA)</t>
        </is>
      </c>
      <c r="G15" s="35" t="inlineStr">
        <is>
          <t>2025</t>
        </is>
      </c>
      <c r="H15" s="10" t="n">
        <v>1290</v>
      </c>
      <c r="I15" s="10" t="n">
        <v>1520</v>
      </c>
      <c r="J15" s="10" t="n">
        <v>1900</v>
      </c>
      <c r="K15" s="3" t="n">
        <v>2440</v>
      </c>
      <c r="L15" s="61" t="inlineStr">
        <is>
          <t>`</t>
        </is>
      </c>
      <c r="M15" s="44" t="n"/>
      <c r="N15" s="43">
        <f>H15-M15</f>
        <v/>
      </c>
      <c r="O15" s="86" t="n">
        <v>1931</v>
      </c>
      <c r="P15" s="87" t="n">
        <v>175</v>
      </c>
      <c r="Q15" s="44" t="n"/>
      <c r="R15" s="64">
        <f>I15-Q15</f>
        <v/>
      </c>
      <c r="S15" s="84" t="n">
        <v>2431</v>
      </c>
      <c r="T15" s="85" t="n">
        <v>220</v>
      </c>
      <c r="U15" s="44" t="n"/>
      <c r="V15" s="79">
        <f>J15-U15</f>
        <v/>
      </c>
      <c r="W15" s="47" t="n"/>
      <c r="X15" s="44" t="n"/>
      <c r="Y15" s="79">
        <f>K15-X15</f>
        <v/>
      </c>
      <c r="Z15" s="44" t="n"/>
      <c r="AA15" s="55">
        <f>L15-Z15</f>
        <v/>
      </c>
      <c r="AB15" s="5" t="inlineStr">
        <is>
          <t>✓ PHA</t>
        </is>
      </c>
      <c r="AC15" s="36" t="inlineStr">
        <is>
          <t>https://www.tdhca.texas.gov/sites/default/files/section-8/docs/25-HCV-PaymentStandards.pdf</t>
        </is>
      </c>
    </row>
    <row r="16" ht="18" customHeight="1" s="29">
      <c r="A16" s="50" t="inlineStr">
        <is>
          <t>R2 — OH/TX/CA</t>
        </is>
      </c>
      <c r="B16" s="40" t="inlineStr">
        <is>
          <t>Lexington Arms</t>
        </is>
      </c>
      <c r="C16" s="37" t="inlineStr">
        <is>
          <t>418 Lexington Dr, Waxahachie, TX</t>
        </is>
      </c>
      <c r="D16" s="37" t="inlineStr">
        <is>
          <t>Waxahachie</t>
        </is>
      </c>
      <c r="E16" s="37" t="inlineStr">
        <is>
          <t>TX</t>
        </is>
      </c>
      <c r="F16" s="37" t="inlineStr">
        <is>
          <t>Texas Department of Housing and Community Affairs (TDHCA)</t>
        </is>
      </c>
      <c r="G16" s="37" t="inlineStr">
        <is>
          <t>01/2025</t>
        </is>
      </c>
      <c r="H16" s="7" t="n">
        <v>1270</v>
      </c>
      <c r="I16" s="7" t="n">
        <v>1560</v>
      </c>
      <c r="J16" s="7" t="n">
        <v>1950</v>
      </c>
      <c r="K16" s="9" t="n">
        <v>2510</v>
      </c>
      <c r="L16" s="61" t="inlineStr">
        <is>
          <t>`</t>
        </is>
      </c>
      <c r="M16" s="45" t="n"/>
      <c r="N16" s="43">
        <f>H16-M16</f>
        <v/>
      </c>
      <c r="O16" s="86" t="n">
        <v>1931</v>
      </c>
      <c r="P16" s="87" t="n">
        <v>175</v>
      </c>
      <c r="Q16" s="45" t="n"/>
      <c r="R16" s="64">
        <f>I16-Q16</f>
        <v/>
      </c>
      <c r="S16" s="84" t="n">
        <v>2431</v>
      </c>
      <c r="T16" s="85" t="n">
        <v>220</v>
      </c>
      <c r="U16" s="45" t="n"/>
      <c r="V16" s="79">
        <f>J16-U16</f>
        <v/>
      </c>
      <c r="W16" s="47" t="n"/>
      <c r="X16" s="45" t="n"/>
      <c r="Y16" s="79">
        <f>K16-X16</f>
        <v/>
      </c>
      <c r="Z16" s="45" t="n"/>
      <c r="AA16" s="55">
        <f>L16-Z16</f>
        <v/>
      </c>
      <c r="AB16" s="11" t="inlineStr">
        <is>
          <t>✓ PHA</t>
        </is>
      </c>
      <c r="AC16" s="38" t="inlineStr">
        <is>
          <t>https://www.tdhca.texas.gov/sites/default/files/section-8/docs/25-HCV-PaymentStandards.pdf</t>
        </is>
      </c>
    </row>
    <row r="17" ht="18" customHeight="1" s="29">
      <c r="A17" s="50" t="inlineStr">
        <is>
          <t>R2 — OH/TX/CA</t>
        </is>
      </c>
      <c r="B17" s="39" t="inlineStr">
        <is>
          <t>Grace Townhomes</t>
        </is>
      </c>
      <c r="C17" s="35" t="inlineStr">
        <is>
          <t>1212 Grace Circle, Ennis, TX</t>
        </is>
      </c>
      <c r="D17" s="35" t="inlineStr">
        <is>
          <t>Ennis</t>
        </is>
      </c>
      <c r="E17" s="35" t="inlineStr">
        <is>
          <t>TX</t>
        </is>
      </c>
      <c r="F17" s="35" t="inlineStr">
        <is>
          <t>Texas Department of Housing and Community Affairs (TDHCA)</t>
        </is>
      </c>
      <c r="G17" s="35" t="inlineStr">
        <is>
          <t>2025</t>
        </is>
      </c>
      <c r="H17" s="10" t="n">
        <v>1290</v>
      </c>
      <c r="I17" s="10" t="n">
        <v>1520</v>
      </c>
      <c r="J17" s="10" t="n">
        <v>1900</v>
      </c>
      <c r="K17" s="3" t="n">
        <v>2440</v>
      </c>
      <c r="L17" s="61" t="inlineStr">
        <is>
          <t>`</t>
        </is>
      </c>
      <c r="M17" s="44" t="n"/>
      <c r="N17" s="43">
        <f>H17-M17</f>
        <v/>
      </c>
      <c r="O17" s="86" t="n">
        <v>1931</v>
      </c>
      <c r="P17" s="87" t="n">
        <v>175</v>
      </c>
      <c r="Q17" s="44" t="n"/>
      <c r="R17" s="64">
        <f>I17-Q17</f>
        <v/>
      </c>
      <c r="S17" s="84" t="n">
        <v>2431</v>
      </c>
      <c r="T17" s="85" t="n">
        <v>220</v>
      </c>
      <c r="U17" s="44" t="n"/>
      <c r="V17" s="79">
        <f>J17-U17</f>
        <v/>
      </c>
      <c r="W17" s="47" t="n"/>
      <c r="X17" s="44" t="n"/>
      <c r="Y17" s="79">
        <f>K17-X17</f>
        <v/>
      </c>
      <c r="Z17" s="44" t="n"/>
      <c r="AA17" s="55">
        <f>L17-Z17</f>
        <v/>
      </c>
      <c r="AB17" s="5" t="inlineStr">
        <is>
          <t>✓ PHA</t>
        </is>
      </c>
      <c r="AC17" s="36" t="inlineStr">
        <is>
          <t>https://www.tdhca.texas.gov/sites/default/files/section-8/docs/25-HCV-PaymentStandards.pdf</t>
        </is>
      </c>
    </row>
    <row r="18" ht="18" customHeight="1" s="29">
      <c r="A18" s="50" t="inlineStr">
        <is>
          <t>R2 — OH/TX/CA</t>
        </is>
      </c>
      <c r="B18" s="40" t="inlineStr">
        <is>
          <t>Grove Park Terrace</t>
        </is>
      </c>
      <c r="C18" s="37" t="inlineStr">
        <is>
          <t>400 Peters St, Waxahachie, TX</t>
        </is>
      </c>
      <c r="D18" s="37" t="inlineStr">
        <is>
          <t>Waxahachie</t>
        </is>
      </c>
      <c r="E18" s="37" t="inlineStr">
        <is>
          <t>TX</t>
        </is>
      </c>
      <c r="F18" s="37" t="inlineStr">
        <is>
          <t>Texas Department of Housing and Community Affairs (TDHCA)</t>
        </is>
      </c>
      <c r="G18" s="37" t="inlineStr">
        <is>
          <t>01/2025</t>
        </is>
      </c>
      <c r="H18" s="7" t="n">
        <v>1270</v>
      </c>
      <c r="I18" s="7" t="n">
        <v>1560</v>
      </c>
      <c r="J18" s="7" t="n">
        <v>1950</v>
      </c>
      <c r="K18" s="9" t="n">
        <v>2510</v>
      </c>
      <c r="L18" s="61" t="inlineStr">
        <is>
          <t>`</t>
        </is>
      </c>
      <c r="M18" s="45" t="n"/>
      <c r="N18" s="43">
        <f>H18-M18</f>
        <v/>
      </c>
      <c r="O18" s="86" t="n">
        <v>1931</v>
      </c>
      <c r="P18" s="87" t="n">
        <v>175</v>
      </c>
      <c r="Q18" s="45" t="n"/>
      <c r="R18" s="64">
        <f>I18-Q18</f>
        <v/>
      </c>
      <c r="S18" s="84" t="n">
        <v>2431</v>
      </c>
      <c r="T18" s="85" t="n">
        <v>220</v>
      </c>
      <c r="U18" s="45" t="n"/>
      <c r="V18" s="79">
        <f>J18-U18</f>
        <v/>
      </c>
      <c r="W18" s="47" t="n"/>
      <c r="X18" s="45" t="n"/>
      <c r="Y18" s="79">
        <f>K18-X18</f>
        <v/>
      </c>
      <c r="Z18" s="45" t="n"/>
      <c r="AA18" s="55">
        <f>L18-Z18</f>
        <v/>
      </c>
      <c r="AB18" s="11" t="inlineStr">
        <is>
          <t>✓ PHA</t>
        </is>
      </c>
      <c r="AC18" s="38" t="inlineStr">
        <is>
          <t>https://www.tdhca.texas.gov/sites/default/files/section-8/docs/25-HCV-PaymentStandards.pdf</t>
        </is>
      </c>
    </row>
    <row r="19" ht="18" customHeight="1" s="29">
      <c r="A19" s="50" t="inlineStr">
        <is>
          <t>R2 — OH/TX/CA</t>
        </is>
      </c>
      <c r="B19" s="39" t="inlineStr">
        <is>
          <t>Granite La Promesa</t>
        </is>
      </c>
      <c r="C19" s="35" t="inlineStr">
        <is>
          <t>Odessa, TX</t>
        </is>
      </c>
      <c r="D19" s="35" t="inlineStr">
        <is>
          <t>Odessa</t>
        </is>
      </c>
      <c r="E19" s="35" t="inlineStr">
        <is>
          <t>TX</t>
        </is>
      </c>
      <c r="F19" s="35" t="inlineStr">
        <is>
          <t>Odessa Housing Authority</t>
        </is>
      </c>
      <c r="G19" s="35" t="inlineStr">
        <is>
          <t>01/2025</t>
        </is>
      </c>
      <c r="H19" s="10" t="n">
        <v>1425</v>
      </c>
      <c r="I19" s="10" t="n">
        <v>1836</v>
      </c>
      <c r="J19" s="3" t="n">
        <v>2212</v>
      </c>
      <c r="K19" s="3" t="n">
        <v>2595</v>
      </c>
      <c r="L19" s="61" t="inlineStr">
        <is>
          <t>`</t>
        </is>
      </c>
      <c r="M19" s="44" t="n"/>
      <c r="N19" s="43" t="n"/>
      <c r="O19" s="86" t="n">
        <v>1254</v>
      </c>
      <c r="P19" s="87" t="n">
        <v>168</v>
      </c>
      <c r="Q19" s="44" t="n">
        <v>1586</v>
      </c>
      <c r="R19" s="64">
        <f>I19-Q19</f>
        <v/>
      </c>
      <c r="S19" s="84" t="n">
        <v>1573</v>
      </c>
      <c r="T19" s="85" t="n">
        <v>210</v>
      </c>
      <c r="U19" s="44" t="n">
        <v>1932</v>
      </c>
      <c r="V19" s="79">
        <f>J19-U19</f>
        <v/>
      </c>
      <c r="W19" s="47" t="n"/>
      <c r="X19" s="44" t="n"/>
      <c r="Y19" s="79">
        <f>K19-X19</f>
        <v/>
      </c>
      <c r="Z19" s="44" t="n"/>
      <c r="AA19" s="55">
        <f>L19-Z19</f>
        <v/>
      </c>
      <c r="AB19" s="5" t="inlineStr">
        <is>
          <t>✓ PHA</t>
        </is>
      </c>
      <c r="AC19" s="36" t="inlineStr">
        <is>
          <t>https://www.odessahatx.com/payment-standards</t>
        </is>
      </c>
    </row>
    <row r="20" ht="18" customHeight="1" s="29">
      <c r="A20" s="50" t="inlineStr">
        <is>
          <t>R2 — OH/TX/CA</t>
        </is>
      </c>
      <c r="B20" s="40" t="inlineStr">
        <is>
          <t>New Wilmington Arms</t>
        </is>
      </c>
      <c r="C20" s="37" t="inlineStr">
        <is>
          <t>700 W. Laurel Avenue, Compton, CA</t>
        </is>
      </c>
      <c r="D20" s="37" t="inlineStr">
        <is>
          <t>Compton</t>
        </is>
      </c>
      <c r="E20" s="37" t="inlineStr">
        <is>
          <t>CA</t>
        </is>
      </c>
      <c r="F20" s="37" t="inlineStr">
        <is>
          <t>Los Angeles County Development Authority (LACDA)</t>
        </is>
      </c>
      <c r="G20" s="37" t="inlineStr">
        <is>
          <t>01/2025</t>
        </is>
      </c>
      <c r="H20" s="7" t="n">
        <v>1440</v>
      </c>
      <c r="I20" s="7" t="n">
        <v>1629</v>
      </c>
      <c r="J20" s="9" t="n">
        <v>2061</v>
      </c>
      <c r="K20" s="9" t="n">
        <v>2916</v>
      </c>
      <c r="L20" s="61" t="inlineStr">
        <is>
          <t>`</t>
        </is>
      </c>
      <c r="M20" s="45" t="n">
        <v>1221</v>
      </c>
      <c r="N20" s="43">
        <f>H20-M20</f>
        <v/>
      </c>
      <c r="O20" s="86" t="n">
        <v>2376</v>
      </c>
      <c r="P20" s="87" t="n">
        <v>213</v>
      </c>
      <c r="Q20" s="45" t="n">
        <v>1563</v>
      </c>
      <c r="R20" s="64">
        <f>I20-Q20</f>
        <v/>
      </c>
      <c r="S20" s="84" t="n">
        <v>3044</v>
      </c>
      <c r="T20" s="85" t="n">
        <v>260</v>
      </c>
      <c r="U20" s="45" t="n">
        <v>1820</v>
      </c>
      <c r="V20" s="79">
        <f>J20-U20</f>
        <v/>
      </c>
      <c r="W20" s="47" t="n"/>
      <c r="X20" s="45" t="n">
        <v>2128</v>
      </c>
      <c r="Y20" s="79">
        <f>K20-X20</f>
        <v/>
      </c>
      <c r="Z20" s="45" t="n"/>
      <c r="AA20" s="55">
        <f>L20-Z20</f>
        <v/>
      </c>
      <c r="AB20" s="11" t="inlineStr">
        <is>
          <t>✓ PHA</t>
        </is>
      </c>
      <c r="AC20" s="38" t="inlineStr">
        <is>
          <t>https://www.lacda.org/docs/librariesprovider25/section-8-program/section-8-main-page/lacda-payment-standards.pdf?sfvrsn=9d9646aa_1</t>
        </is>
      </c>
    </row>
    <row r="21" ht="18" customHeight="1" s="29">
      <c r="A21" s="51" t="inlineStr">
        <is>
          <t>R3 — LA/FL</t>
        </is>
      </c>
      <c r="B21" s="39" t="inlineStr">
        <is>
          <t>Gates on Manhattan</t>
        </is>
      </c>
      <c r="C21" s="35" t="inlineStr">
        <is>
          <t>1050 Manhattan Blvd, Harvey, LA</t>
        </is>
      </c>
      <c r="D21" s="35" t="inlineStr">
        <is>
          <t>Harvey</t>
        </is>
      </c>
      <c r="E21" s="35" t="inlineStr">
        <is>
          <t>LA</t>
        </is>
      </c>
      <c r="F21" s="35" t="inlineStr">
        <is>
          <t>Jefferson Parish Housing Services Development District</t>
        </is>
      </c>
      <c r="G21" s="35" t="inlineStr">
        <is>
          <t>01/2026</t>
        </is>
      </c>
      <c r="H21" s="12" t="n">
        <v>1169</v>
      </c>
      <c r="I21" s="10" t="n">
        <v>1398</v>
      </c>
      <c r="J21" s="10" t="n">
        <v>1786</v>
      </c>
      <c r="K21" s="3" t="n">
        <v>2096</v>
      </c>
      <c r="L21" s="61" t="inlineStr">
        <is>
          <t>`</t>
        </is>
      </c>
      <c r="M21" s="44" t="n"/>
      <c r="N21" s="43">
        <f>H21-M21</f>
        <v/>
      </c>
      <c r="O21" s="86" t="n">
        <v>1254</v>
      </c>
      <c r="P21" s="87" t="n">
        <v>178</v>
      </c>
      <c r="Q21" s="44" t="n"/>
      <c r="R21" s="64">
        <f>I21-Q21</f>
        <v/>
      </c>
      <c r="S21" s="84" t="n">
        <v>1573</v>
      </c>
      <c r="T21" s="85" t="n">
        <v>222</v>
      </c>
      <c r="U21" s="44" t="n"/>
      <c r="V21" s="79">
        <f>J21-U21</f>
        <v/>
      </c>
      <c r="W21" s="47" t="n"/>
      <c r="X21" s="44" t="n"/>
      <c r="Y21" s="79">
        <f>K21-X21</f>
        <v/>
      </c>
      <c r="Z21" s="44" t="n"/>
      <c r="AA21" s="55">
        <f>L21-Z21</f>
        <v/>
      </c>
      <c r="AB21" s="5" t="inlineStr">
        <is>
          <t>✓ PHA</t>
        </is>
      </c>
      <c r="AC21" s="36" t="inlineStr">
        <is>
          <t>https://jphsdd.org/wp-content/uploads/2026/01/Payment-Standard.2026.HSDD_.pdf</t>
        </is>
      </c>
    </row>
    <row r="22" ht="18" customHeight="1" s="29">
      <c r="A22" s="51" t="inlineStr">
        <is>
          <t>R3 — LA/FL</t>
        </is>
      </c>
      <c r="B22" s="40" t="inlineStr">
        <is>
          <t>Ruby Diamond</t>
        </is>
      </c>
      <c r="C22" s="37" t="inlineStr">
        <is>
          <t>Marrero, LA</t>
        </is>
      </c>
      <c r="D22" s="37" t="inlineStr">
        <is>
          <t>Marrero</t>
        </is>
      </c>
      <c r="E22" s="37" t="inlineStr">
        <is>
          <t>LA</t>
        </is>
      </c>
      <c r="F22" s="37" t="inlineStr">
        <is>
          <t>Jefferson Parish Housing Services Development District</t>
        </is>
      </c>
      <c r="G22" s="37" t="inlineStr">
        <is>
          <t>01/2026</t>
        </is>
      </c>
      <c r="H22" s="6" t="n">
        <v>1169</v>
      </c>
      <c r="I22" s="7" t="n">
        <v>1398</v>
      </c>
      <c r="J22" s="7" t="n">
        <v>1786</v>
      </c>
      <c r="K22" s="9" t="n">
        <v>2096</v>
      </c>
      <c r="L22" s="61" t="inlineStr">
        <is>
          <t>`</t>
        </is>
      </c>
      <c r="M22" s="45" t="n"/>
      <c r="N22" s="43">
        <f>H22-M22</f>
        <v/>
      </c>
      <c r="O22" s="86" t="n">
        <v>1254</v>
      </c>
      <c r="P22" s="87" t="n">
        <v>178</v>
      </c>
      <c r="Q22" s="45" t="n"/>
      <c r="R22" s="64">
        <f>I22-Q22</f>
        <v/>
      </c>
      <c r="S22" s="84" t="n">
        <v>1573</v>
      </c>
      <c r="T22" s="85" t="n">
        <v>222</v>
      </c>
      <c r="U22" s="45" t="n"/>
      <c r="V22" s="79">
        <f>J22-U22</f>
        <v/>
      </c>
      <c r="W22" s="47" t="n"/>
      <c r="X22" s="45" t="n"/>
      <c r="Y22" s="79">
        <f>K22-X22</f>
        <v/>
      </c>
      <c r="Z22" s="45" t="n"/>
      <c r="AA22" s="55">
        <f>L22-Z22</f>
        <v/>
      </c>
      <c r="AB22" s="11" t="inlineStr">
        <is>
          <t>✓ PHA</t>
        </is>
      </c>
      <c r="AC22" s="38" t="inlineStr">
        <is>
          <t>https://jphsdd.org/wp-content/uploads/2026/01/Payment-Standard.2026.HSDD_.pdf</t>
        </is>
      </c>
    </row>
    <row r="23" ht="18" customHeight="1" s="29">
      <c r="A23" s="51" t="inlineStr">
        <is>
          <t>R3 — LA/FL</t>
        </is>
      </c>
      <c r="B23" s="39" t="inlineStr">
        <is>
          <t>Star Homes</t>
        </is>
      </c>
      <c r="C23" s="35" t="inlineStr">
        <is>
          <t>2020 Melba Place, Marrero, LA</t>
        </is>
      </c>
      <c r="D23" s="35" t="inlineStr">
        <is>
          <t>Marrero</t>
        </is>
      </c>
      <c r="E23" s="35" t="inlineStr">
        <is>
          <t>LA</t>
        </is>
      </c>
      <c r="F23" s="35" t="inlineStr">
        <is>
          <t>Jefferson Parish Housing Services Development District</t>
        </is>
      </c>
      <c r="G23" s="35" t="inlineStr">
        <is>
          <t>01/2026</t>
        </is>
      </c>
      <c r="H23" s="12" t="n">
        <v>1169</v>
      </c>
      <c r="I23" s="10" t="n">
        <v>1398</v>
      </c>
      <c r="J23" s="10" t="n">
        <v>1786</v>
      </c>
      <c r="K23" s="3" t="n">
        <v>2096</v>
      </c>
      <c r="L23" s="61" t="inlineStr">
        <is>
          <t>`</t>
        </is>
      </c>
      <c r="M23" s="44" t="n"/>
      <c r="N23" s="43">
        <f>H23-M23</f>
        <v/>
      </c>
      <c r="O23" s="86" t="n">
        <v>1254</v>
      </c>
      <c r="P23" s="87" t="n">
        <v>178</v>
      </c>
      <c r="Q23" s="44" t="n"/>
      <c r="R23" s="64">
        <f>I23-Q23</f>
        <v/>
      </c>
      <c r="S23" s="84" t="n">
        <v>1573</v>
      </c>
      <c r="T23" s="85" t="n">
        <v>222</v>
      </c>
      <c r="U23" s="44" t="n"/>
      <c r="V23" s="79">
        <f>J23-U23</f>
        <v/>
      </c>
      <c r="W23" s="47" t="n"/>
      <c r="X23" s="44" t="n"/>
      <c r="Y23" s="79">
        <f>K23-X23</f>
        <v/>
      </c>
      <c r="Z23" s="44" t="n"/>
      <c r="AA23" s="55">
        <f>L23-Z23</f>
        <v/>
      </c>
      <c r="AB23" s="5" t="inlineStr">
        <is>
          <t>✓ PHA</t>
        </is>
      </c>
      <c r="AC23" s="36" t="inlineStr">
        <is>
          <t>https://jphsdd.org/wp-content/uploads/2026/01/Payment-Standard.2026.HSDD_.pdf</t>
        </is>
      </c>
    </row>
    <row r="24" ht="18" customHeight="1" s="29">
      <c r="A24" s="51" t="inlineStr">
        <is>
          <t>R3 — LA/FL</t>
        </is>
      </c>
      <c r="B24" s="40" t="inlineStr">
        <is>
          <t>Thibodaux (Col. Estates)</t>
        </is>
      </c>
      <c r="C24" s="37" t="inlineStr">
        <is>
          <t>1300 Ridgefield Ave, Thibodaux, LA</t>
        </is>
      </c>
      <c r="D24" s="37" t="inlineStr">
        <is>
          <t>Thibodaux</t>
        </is>
      </c>
      <c r="E24" s="37" t="inlineStr">
        <is>
          <t>LA</t>
        </is>
      </c>
      <c r="F24" s="37" t="inlineStr">
        <is>
          <t>City of Thibodaux</t>
        </is>
      </c>
      <c r="G24" s="37" t="inlineStr">
        <is>
          <t>10/2025</t>
        </is>
      </c>
      <c r="H24" s="6" t="n">
        <v>994</v>
      </c>
      <c r="I24" s="7" t="n">
        <v>1212</v>
      </c>
      <c r="J24" s="7" t="n">
        <v>1463</v>
      </c>
      <c r="K24" s="7" t="n">
        <v>1604</v>
      </c>
      <c r="L24" s="61" t="inlineStr">
        <is>
          <t>`</t>
        </is>
      </c>
      <c r="M24" s="45" t="n"/>
      <c r="N24" s="43">
        <f>H24-M24</f>
        <v/>
      </c>
      <c r="O24" s="86" t="n">
        <v>1012</v>
      </c>
      <c r="P24" s="87" t="n">
        <v>162</v>
      </c>
      <c r="Q24" s="45" t="n"/>
      <c r="R24" s="64">
        <f>I24-Q24</f>
        <v/>
      </c>
      <c r="S24" s="84" t="n">
        <v>1264</v>
      </c>
      <c r="T24" s="85" t="n">
        <v>200</v>
      </c>
      <c r="U24" s="45" t="n"/>
      <c r="V24" s="79">
        <f>J24-U24</f>
        <v/>
      </c>
      <c r="W24" s="47" t="n"/>
      <c r="X24" s="45" t="n"/>
      <c r="Y24" s="79">
        <f>K24-X24</f>
        <v/>
      </c>
      <c r="Z24" s="45" t="n"/>
      <c r="AA24" s="55">
        <f>L24-Z24</f>
        <v/>
      </c>
      <c r="AB24" s="11" t="inlineStr">
        <is>
          <t>✓ PHA</t>
        </is>
      </c>
      <c r="AC24" s="38" t="inlineStr">
        <is>
          <t>https://www.ci.thibodaux.la.us/forms/departments/housing/HCV/Payment%20Standards/PAYMENT%20STANDARD%202026.pdf</t>
        </is>
      </c>
    </row>
    <row r="25" ht="18" customHeight="1" s="29">
      <c r="A25" s="51" t="inlineStr">
        <is>
          <t>R3 — LA/FL</t>
        </is>
      </c>
      <c r="B25" s="39" t="inlineStr">
        <is>
          <t>Marrero 3</t>
        </is>
      </c>
      <c r="C25" s="35" t="inlineStr">
        <is>
          <t>1050 Manhattan Blvd, Harvey, LA</t>
        </is>
      </c>
      <c r="D25" s="35" t="inlineStr">
        <is>
          <t>Harvey</t>
        </is>
      </c>
      <c r="E25" s="35" t="inlineStr">
        <is>
          <t>LA</t>
        </is>
      </c>
      <c r="F25" s="35" t="inlineStr">
        <is>
          <t>Jefferson Parish Housing Services Development District</t>
        </is>
      </c>
      <c r="G25" s="35" t="inlineStr">
        <is>
          <t>01/2026</t>
        </is>
      </c>
      <c r="H25" s="12" t="n">
        <v>1169</v>
      </c>
      <c r="I25" s="10" t="n">
        <v>1398</v>
      </c>
      <c r="J25" s="10" t="n">
        <v>1786</v>
      </c>
      <c r="K25" s="3" t="n">
        <v>2096</v>
      </c>
      <c r="L25" s="61" t="inlineStr">
        <is>
          <t>`</t>
        </is>
      </c>
      <c r="M25" s="44" t="n"/>
      <c r="N25" s="43">
        <f>H25-M25</f>
        <v/>
      </c>
      <c r="O25" s="86" t="n">
        <v>1254</v>
      </c>
      <c r="P25" s="87" t="n">
        <v>178</v>
      </c>
      <c r="Q25" s="44" t="n"/>
      <c r="R25" s="64">
        <f>I25-Q25</f>
        <v/>
      </c>
      <c r="S25" s="84" t="n">
        <v>1573</v>
      </c>
      <c r="T25" s="85" t="n">
        <v>222</v>
      </c>
      <c r="U25" s="44" t="n"/>
      <c r="V25" s="79">
        <f>J25-U25</f>
        <v/>
      </c>
      <c r="W25" s="47" t="n"/>
      <c r="X25" s="44" t="n"/>
      <c r="Y25" s="79">
        <f>K25-X25</f>
        <v/>
      </c>
      <c r="Z25" s="44" t="n"/>
      <c r="AA25" s="55">
        <f>L25-Z25</f>
        <v/>
      </c>
      <c r="AB25" s="5" t="inlineStr">
        <is>
          <t>✓ PHA</t>
        </is>
      </c>
      <c r="AC25" s="36" t="inlineStr">
        <is>
          <t>https://jphsdd.org/wp-content/uploads/2026/01/Payment-Standard.2026.HSDD_.pdf</t>
        </is>
      </c>
    </row>
    <row r="26" ht="18" customHeight="1" s="29">
      <c r="A26" s="51" t="inlineStr">
        <is>
          <t>R3 — LA/FL</t>
        </is>
      </c>
      <c r="B26" s="40" t="inlineStr">
        <is>
          <t>Arbor Crest</t>
        </is>
      </c>
      <c r="C26" s="37" t="inlineStr">
        <is>
          <t>64 N Cleveland Street, Quincy, FL</t>
        </is>
      </c>
      <c r="D26" s="37" t="inlineStr">
        <is>
          <t>Quincy</t>
        </is>
      </c>
      <c r="E26" s="37" t="inlineStr">
        <is>
          <t>FL</t>
        </is>
      </c>
      <c r="F26" s="37" t="inlineStr">
        <is>
          <t>Tallahassee Housing Authority</t>
        </is>
      </c>
      <c r="G26" s="37" t="inlineStr">
        <is>
          <t>11/2025</t>
        </is>
      </c>
      <c r="H26" s="6" t="n">
        <v>1143</v>
      </c>
      <c r="I26" s="7" t="n">
        <v>1284</v>
      </c>
      <c r="J26" s="7" t="n">
        <v>1590</v>
      </c>
      <c r="K26" s="7" t="n">
        <v>1700</v>
      </c>
      <c r="L26" s="61" t="inlineStr">
        <is>
          <t>`</t>
        </is>
      </c>
      <c r="M26" s="45" t="n"/>
      <c r="N26" s="43">
        <f>H26-M26</f>
        <v/>
      </c>
      <c r="O26" s="86" t="n">
        <v>1095</v>
      </c>
      <c r="P26" s="87" t="n">
        <v>160</v>
      </c>
      <c r="Q26" s="45" t="n"/>
      <c r="R26" s="79">
        <f>I26-Q26</f>
        <v/>
      </c>
      <c r="S26" s="84" t="n">
        <v>1372</v>
      </c>
      <c r="T26" s="85" t="n">
        <v>200</v>
      </c>
      <c r="U26" s="45" t="n"/>
      <c r="V26" s="79">
        <f>J26-U26</f>
        <v/>
      </c>
      <c r="W26" s="47" t="n"/>
      <c r="X26" s="45" t="n"/>
      <c r="Y26" s="79">
        <f>K26-X26</f>
        <v/>
      </c>
      <c r="Z26" s="45" t="n"/>
      <c r="AA26" s="55">
        <f>L26-Z26</f>
        <v/>
      </c>
      <c r="AB26" s="11" t="inlineStr">
        <is>
          <t>✓ PHA</t>
        </is>
      </c>
      <c r="AC26" s="38" t="inlineStr">
        <is>
          <t>https://www.tallha.org/income-limits-and-payment-standards</t>
        </is>
      </c>
    </row>
    <row r="27" ht="18" customHeight="1" s="29">
      <c r="A27" s="51" t="inlineStr">
        <is>
          <t>R3 — LA/FL</t>
        </is>
      </c>
      <c r="B27" s="39" t="inlineStr">
        <is>
          <t>Windsor/Yorkshire</t>
        </is>
      </c>
      <c r="C27" s="35" t="inlineStr">
        <is>
          <t>2020 N. Hearne Avenue, Shreveport, LA</t>
        </is>
      </c>
      <c r="D27" s="35" t="inlineStr">
        <is>
          <t>Shreveport</t>
        </is>
      </c>
      <c r="E27" s="35" t="inlineStr">
        <is>
          <t>LA</t>
        </is>
      </c>
      <c r="F27" s="35" t="inlineStr">
        <is>
          <t>N/A</t>
        </is>
      </c>
      <c r="G27" s="35" t="inlineStr">
        <is>
          <t>2025</t>
        </is>
      </c>
      <c r="H27" s="12" t="n">
        <v>892</v>
      </c>
      <c r="I27" s="12" t="n">
        <v>1017</v>
      </c>
      <c r="J27" s="10" t="n">
        <v>1317</v>
      </c>
      <c r="K27" s="10" t="n">
        <v>1394</v>
      </c>
      <c r="L27" s="61" t="inlineStr">
        <is>
          <t>`</t>
        </is>
      </c>
      <c r="M27" s="44" t="n"/>
      <c r="N27" s="43">
        <f>H27-M27</f>
        <v/>
      </c>
      <c r="O27" s="86" t="n">
        <v>1008</v>
      </c>
      <c r="P27" s="87" t="n">
        <v>170</v>
      </c>
      <c r="Q27" s="44" t="n"/>
      <c r="R27" s="79">
        <f>I27-Q27</f>
        <v/>
      </c>
      <c r="S27" s="84" t="n">
        <v>1261</v>
      </c>
      <c r="T27" s="85" t="n">
        <v>212</v>
      </c>
      <c r="U27" s="44" t="n"/>
      <c r="V27" s="79">
        <f>J27-U27</f>
        <v/>
      </c>
      <c r="W27" s="47" t="n"/>
      <c r="X27" s="44" t="n"/>
      <c r="Y27" s="79">
        <f>K27-X27</f>
        <v/>
      </c>
      <c r="Z27" s="44" t="n"/>
      <c r="AA27" s="55">
        <f>L27-Z27</f>
        <v/>
      </c>
      <c r="AB27" s="15" t="inlineStr">
        <is>
          <t>⚠ FMR</t>
        </is>
      </c>
      <c r="AC27" s="36" t="inlineStr">
        <is>
          <t>https://www.rentdata.org/shreveport-bossier-city-la-msa/2025</t>
        </is>
      </c>
    </row>
    <row r="28" ht="18" customHeight="1" s="29">
      <c r="A28" s="51" t="inlineStr">
        <is>
          <t>R3 — LA/FL</t>
        </is>
      </c>
      <c r="B28" s="40" t="inlineStr">
        <is>
          <t>North Pointe</t>
        </is>
      </c>
      <c r="C28" s="37" t="inlineStr">
        <is>
          <t>Bossier City, LA</t>
        </is>
      </c>
      <c r="D28" s="37" t="inlineStr">
        <is>
          <t>Bossier City</t>
        </is>
      </c>
      <c r="E28" s="37" t="inlineStr">
        <is>
          <t>LA</t>
        </is>
      </c>
      <c r="F28" s="37" t="inlineStr">
        <is>
          <t>Section 8 Shreveport-Bossier City - Bossier Parish, Caddo Parish, De Soto Parish</t>
        </is>
      </c>
      <c r="G28" s="37" t="inlineStr">
        <is>
          <t>11/2024</t>
        </is>
      </c>
      <c r="H28" s="6" t="n">
        <v>981</v>
      </c>
      <c r="I28" s="6" t="n">
        <v>1118</v>
      </c>
      <c r="J28" s="7" t="n">
        <v>1448</v>
      </c>
      <c r="K28" s="7" t="n">
        <v>1533</v>
      </c>
      <c r="L28" s="61" t="inlineStr">
        <is>
          <t>`</t>
        </is>
      </c>
      <c r="M28" s="45" t="n"/>
      <c r="N28" s="43">
        <f>H28-M28</f>
        <v/>
      </c>
      <c r="O28" s="86" t="n">
        <v>1008</v>
      </c>
      <c r="P28" s="87" t="n">
        <v>170</v>
      </c>
      <c r="Q28" s="45" t="n"/>
      <c r="R28" s="79">
        <f>I28-Q28</f>
        <v/>
      </c>
      <c r="S28" s="84" t="n">
        <v>1261</v>
      </c>
      <c r="T28" s="85" t="n">
        <v>212</v>
      </c>
      <c r="U28" s="45" t="n"/>
      <c r="V28" s="79">
        <f>J28-U28</f>
        <v/>
      </c>
      <c r="W28" s="47" t="n"/>
      <c r="X28" s="45" t="n"/>
      <c r="Y28" s="79">
        <f>K28-X28</f>
        <v/>
      </c>
      <c r="Z28" s="45" t="n"/>
      <c r="AA28" s="55">
        <f>L28-Z28</f>
        <v/>
      </c>
      <c r="AB28" s="11" t="inlineStr">
        <is>
          <t>✓ PHA</t>
        </is>
      </c>
      <c r="AC28" s="38" t="inlineStr">
        <is>
          <t>https://www.lhc.la.gov/hubfs/Document%20Libraries/Rental%20Opportunities/Project-Based%20Voucher%20Program/Owners%20and%20Landlords/2024-2025%20Payment%20Standards.pdf</t>
        </is>
      </c>
    </row>
    <row r="29" ht="18" customHeight="1" s="29">
      <c r="A29" s="51" t="inlineStr">
        <is>
          <t>R3 — LA/FL</t>
        </is>
      </c>
      <c r="B29" s="39" t="inlineStr">
        <is>
          <t>Granite Bayou</t>
        </is>
      </c>
      <c r="C29" s="35" t="inlineStr">
        <is>
          <t>Baton Rouge, LA</t>
        </is>
      </c>
      <c r="D29" s="35" t="inlineStr">
        <is>
          <t>Baton Rouge</t>
        </is>
      </c>
      <c r="E29" s="35" t="inlineStr">
        <is>
          <t>LA</t>
        </is>
      </c>
      <c r="F29" s="35" t="inlineStr">
        <is>
          <t>Housing Authority of East Baton Rouge Parish</t>
        </is>
      </c>
      <c r="G29" s="35" t="inlineStr">
        <is>
          <t>10/2025</t>
        </is>
      </c>
      <c r="H29" s="10" t="n">
        <v>1276</v>
      </c>
      <c r="I29" s="10" t="n">
        <v>1444</v>
      </c>
      <c r="J29" s="10" t="n">
        <v>1813</v>
      </c>
      <c r="K29" s="3" t="n">
        <v>2331</v>
      </c>
      <c r="L29" s="61" t="inlineStr">
        <is>
          <t>`</t>
        </is>
      </c>
      <c r="M29" s="44" t="n"/>
      <c r="N29" s="43">
        <f>H29-M29</f>
        <v/>
      </c>
      <c r="O29" s="86" t="n">
        <v>1254</v>
      </c>
      <c r="P29" s="87" t="n">
        <v>180</v>
      </c>
      <c r="Q29" s="44" t="n"/>
      <c r="R29" s="79">
        <f>I29-Q29</f>
        <v/>
      </c>
      <c r="S29" s="84" t="n">
        <v>1573</v>
      </c>
      <c r="T29" s="85" t="n">
        <v>225</v>
      </c>
      <c r="U29" s="44" t="n"/>
      <c r="V29" s="79">
        <f>J29-U29</f>
        <v/>
      </c>
      <c r="W29" s="47" t="n"/>
      <c r="X29" s="44" t="n"/>
      <c r="Y29" s="79">
        <f>K29-X29</f>
        <v/>
      </c>
      <c r="Z29" s="44" t="n"/>
      <c r="AA29" s="55">
        <f>L29-Z29</f>
        <v/>
      </c>
      <c r="AB29" s="5" t="inlineStr">
        <is>
          <t>✓ PHA</t>
        </is>
      </c>
      <c r="AC29" s="36" t="inlineStr">
        <is>
          <t>https://static1.squarespace.com/static/651ae4819cefd33288a8ac6b/t/68f7e74c5a7d6e0fef20fa34/1761077068328/10_01_2025+Payment+Standards.pdf</t>
        </is>
      </c>
    </row>
    <row r="30" ht="18" customHeight="1" s="29">
      <c r="A30" s="51" t="inlineStr">
        <is>
          <t>R3 — LA/FL</t>
        </is>
      </c>
      <c r="B30" s="40" t="inlineStr">
        <is>
          <t>St. Charles Place</t>
        </is>
      </c>
      <c r="C30" s="37" t="inlineStr">
        <is>
          <t>1011 18th Street, Lake Charles, LA</t>
        </is>
      </c>
      <c r="D30" s="37" t="inlineStr">
        <is>
          <t>Lake Charles</t>
        </is>
      </c>
      <c r="E30" s="37" t="inlineStr">
        <is>
          <t>LA</t>
        </is>
      </c>
      <c r="F30" s="37" t="inlineStr">
        <is>
          <t>Calcasieu Parish Housing Department</t>
        </is>
      </c>
      <c r="G30" s="37" t="inlineStr">
        <is>
          <t>11/2024</t>
        </is>
      </c>
      <c r="H30" s="6" t="n">
        <v>964</v>
      </c>
      <c r="I30" s="7" t="n">
        <v>1258</v>
      </c>
      <c r="J30" s="7" t="n">
        <v>1521</v>
      </c>
      <c r="K30" s="7" t="n">
        <v>1668</v>
      </c>
      <c r="L30" s="61" t="inlineStr">
        <is>
          <t>`</t>
        </is>
      </c>
      <c r="M30" s="45" t="n"/>
      <c r="N30" s="43">
        <f>H30-M30</f>
        <v/>
      </c>
      <c r="O30" s="86" t="n">
        <v>1012</v>
      </c>
      <c r="P30" s="87" t="n">
        <v>165</v>
      </c>
      <c r="Q30" s="45" t="n"/>
      <c r="R30" s="79">
        <f>I30-Q30</f>
        <v/>
      </c>
      <c r="S30" s="84" t="n">
        <v>1264</v>
      </c>
      <c r="T30" s="85" t="n">
        <v>205</v>
      </c>
      <c r="U30" s="45" t="n"/>
      <c r="V30" s="79">
        <f>J30-U30</f>
        <v/>
      </c>
      <c r="W30" s="47" t="n"/>
      <c r="X30" s="45" t="n"/>
      <c r="Y30" s="79">
        <f>K30-X30</f>
        <v/>
      </c>
      <c r="Z30" s="45" t="n"/>
      <c r="AA30" s="55">
        <f>L30-Z30</f>
        <v/>
      </c>
      <c r="AB30" s="11" t="inlineStr">
        <is>
          <t>✓ PHA</t>
        </is>
      </c>
      <c r="AC30" s="38" t="inlineStr">
        <is>
          <t>https://www.lhc.la.gov/hubfs/Document%20Libraries/Rental%20Opportunities/Project-Based%20Voucher%20Program/Owners%20and%20Landlords/2024-2025%20Payment%20Standards.pdf</t>
        </is>
      </c>
    </row>
    <row r="31" ht="18" customHeight="1" s="29">
      <c r="A31" s="51" t="inlineStr">
        <is>
          <t>R3 — LA/FL</t>
        </is>
      </c>
      <c r="B31" s="39" t="inlineStr">
        <is>
          <t>Pelican Bay</t>
        </is>
      </c>
      <c r="C31" s="35" t="inlineStr">
        <is>
          <t>2121 N Lobdell Blvd, Baton Rouge, LA</t>
        </is>
      </c>
      <c r="D31" s="35" t="inlineStr">
        <is>
          <t>Baton Rouge</t>
        </is>
      </c>
      <c r="E31" s="35" t="inlineStr">
        <is>
          <t>LA</t>
        </is>
      </c>
      <c r="F31" s="35" t="inlineStr">
        <is>
          <t>Housing Authority of East Baton Rouge Parish</t>
        </is>
      </c>
      <c r="G31" s="35" t="inlineStr">
        <is>
          <t>10/2025</t>
        </is>
      </c>
      <c r="H31" s="10" t="n">
        <v>1276</v>
      </c>
      <c r="I31" s="10" t="n">
        <v>1444</v>
      </c>
      <c r="J31" s="10" t="n">
        <v>1813</v>
      </c>
      <c r="K31" s="3" t="n">
        <v>2331</v>
      </c>
      <c r="L31" s="61" t="inlineStr">
        <is>
          <t>`</t>
        </is>
      </c>
      <c r="M31" s="44" t="n"/>
      <c r="N31" s="43">
        <f>H31-M31</f>
        <v/>
      </c>
      <c r="O31" s="86" t="n">
        <v>1254</v>
      </c>
      <c r="P31" s="87" t="n">
        <v>180</v>
      </c>
      <c r="Q31" s="44" t="n"/>
      <c r="R31" s="79">
        <f>I31-Q31</f>
        <v/>
      </c>
      <c r="S31" s="84" t="n">
        <v>1573</v>
      </c>
      <c r="T31" s="85" t="n">
        <v>225</v>
      </c>
      <c r="U31" s="44" t="n"/>
      <c r="V31" s="79">
        <f>J31-U31</f>
        <v/>
      </c>
      <c r="W31" s="47" t="n"/>
      <c r="X31" s="44" t="n"/>
      <c r="Y31" s="79">
        <f>K31-X31</f>
        <v/>
      </c>
      <c r="Z31" s="44" t="n"/>
      <c r="AA31" s="55">
        <f>L31-Z31</f>
        <v/>
      </c>
      <c r="AB31" s="5" t="inlineStr">
        <is>
          <t>✓ PHA</t>
        </is>
      </c>
      <c r="AC31" s="36" t="inlineStr">
        <is>
          <t>https://static1.squarespace.com/static/651ae4819cefd33288a8ac6b/t/68f7e74c5a7d6e0fef20fa34/1761077068328/10_01_2025+Payment+Standards.pdf</t>
        </is>
      </c>
    </row>
    <row r="32" ht="18" customHeight="1" s="29">
      <c r="A32" s="51" t="inlineStr">
        <is>
          <t>R3 — LA/FL</t>
        </is>
      </c>
      <c r="B32" s="40" t="inlineStr">
        <is>
          <t>Howell Place</t>
        </is>
      </c>
      <c r="C32" s="37" t="inlineStr">
        <is>
          <t>4150 72nd Avenue, Baton Rouge, LA</t>
        </is>
      </c>
      <c r="D32" s="37" t="inlineStr">
        <is>
          <t>Baton Rouge</t>
        </is>
      </c>
      <c r="E32" s="37" t="inlineStr">
        <is>
          <t>LA</t>
        </is>
      </c>
      <c r="F32" s="37" t="inlineStr">
        <is>
          <t>Housing Authority of East Baton Rouge Parish</t>
        </is>
      </c>
      <c r="G32" s="37" t="inlineStr">
        <is>
          <t>10/2025</t>
        </is>
      </c>
      <c r="H32" s="7" t="n">
        <v>1276</v>
      </c>
      <c r="I32" s="7" t="n">
        <v>1444</v>
      </c>
      <c r="J32" s="7" t="n">
        <v>1813</v>
      </c>
      <c r="K32" s="9" t="n">
        <v>2331</v>
      </c>
      <c r="L32" s="61" t="inlineStr">
        <is>
          <t>`</t>
        </is>
      </c>
      <c r="M32" s="45" t="n"/>
      <c r="N32" s="43">
        <f>H32-M32</f>
        <v/>
      </c>
      <c r="O32" s="86" t="n">
        <v>1254</v>
      </c>
      <c r="P32" s="87" t="n">
        <v>180</v>
      </c>
      <c r="Q32" s="45" t="n"/>
      <c r="R32" s="79">
        <f>I32-Q32</f>
        <v/>
      </c>
      <c r="S32" s="84" t="n">
        <v>1573</v>
      </c>
      <c r="T32" s="85" t="n">
        <v>225</v>
      </c>
      <c r="U32" s="45" t="n"/>
      <c r="V32" s="79">
        <f>J32-U32</f>
        <v/>
      </c>
      <c r="W32" s="47" t="n"/>
      <c r="X32" s="45" t="n"/>
      <c r="Y32" s="79">
        <f>K32-X32</f>
        <v/>
      </c>
      <c r="Z32" s="45" t="n"/>
      <c r="AA32" s="55">
        <f>L32-Z32</f>
        <v/>
      </c>
      <c r="AB32" s="11" t="inlineStr">
        <is>
          <t>✓ PHA</t>
        </is>
      </c>
      <c r="AC32" s="38" t="inlineStr">
        <is>
          <t>https://static1.squarespace.com/static/651ae4819cefd33288a8ac6b/t/68f7e74c5a7d6e0fef20fa34/1761077068328/10_01_2025+Payment+Standards.pdf</t>
        </is>
      </c>
    </row>
    <row r="33" ht="18" customHeight="1" s="29">
      <c r="A33" s="51" t="inlineStr">
        <is>
          <t>R3 — LA/FL</t>
        </is>
      </c>
      <c r="B33" s="39" t="inlineStr">
        <is>
          <t>Pirates Bend</t>
        </is>
      </c>
      <c r="C33" s="35" t="inlineStr">
        <is>
          <t>8165 Plank Road, Baton Rouge, LA</t>
        </is>
      </c>
      <c r="D33" s="35" t="inlineStr">
        <is>
          <t>Baton Rouge</t>
        </is>
      </c>
      <c r="E33" s="35" t="inlineStr">
        <is>
          <t>LA</t>
        </is>
      </c>
      <c r="F33" s="35" t="inlineStr">
        <is>
          <t>Housing Authority of East Baton Rouge Parish</t>
        </is>
      </c>
      <c r="G33" s="35" t="inlineStr">
        <is>
          <t>10/2025</t>
        </is>
      </c>
      <c r="H33" s="10" t="n">
        <v>1276</v>
      </c>
      <c r="I33" s="10" t="n">
        <v>1444</v>
      </c>
      <c r="J33" s="10" t="n">
        <v>1813</v>
      </c>
      <c r="K33" s="3" t="n">
        <v>2331</v>
      </c>
      <c r="L33" s="61" t="inlineStr">
        <is>
          <t>`</t>
        </is>
      </c>
      <c r="M33" s="44" t="n"/>
      <c r="N33" s="43">
        <f>H33-M33</f>
        <v/>
      </c>
      <c r="O33" s="86" t="n">
        <v>1254</v>
      </c>
      <c r="P33" s="87" t="n">
        <v>180</v>
      </c>
      <c r="Q33" s="44" t="n"/>
      <c r="R33" s="79">
        <f>I33-Q33</f>
        <v/>
      </c>
      <c r="S33" s="84" t="n">
        <v>1573</v>
      </c>
      <c r="T33" s="85" t="n">
        <v>225</v>
      </c>
      <c r="U33" s="44" t="n"/>
      <c r="V33" s="79">
        <f>J33-U33</f>
        <v/>
      </c>
      <c r="W33" s="47" t="n"/>
      <c r="X33" s="44" t="n"/>
      <c r="Y33" s="79">
        <f>K33-X33</f>
        <v/>
      </c>
      <c r="Z33" s="44" t="n"/>
      <c r="AA33" s="55">
        <f>L33-Z33</f>
        <v/>
      </c>
      <c r="AB33" s="5" t="inlineStr">
        <is>
          <t>✓ PHA</t>
        </is>
      </c>
      <c r="AC33" s="36" t="inlineStr">
        <is>
          <t>https://static1.squarespace.com/static/651ae4819cefd33288a8ac6b/t/68f7e74c5a7d6e0fef20fa34/1761077068328/10_01_2025+Payment+Standards.pdf</t>
        </is>
      </c>
    </row>
    <row r="34" ht="18" customHeight="1" s="29">
      <c r="A34" s="52" t="inlineStr">
        <is>
          <t>R4 — AR/CA/GA</t>
        </is>
      </c>
      <c r="B34" s="40" t="inlineStr">
        <is>
          <t>NWA</t>
        </is>
      </c>
      <c r="C34" s="37" t="inlineStr">
        <is>
          <t>Bentonville, AR</t>
        </is>
      </c>
      <c r="D34" s="37" t="inlineStr">
        <is>
          <t>Bentonville</t>
        </is>
      </c>
      <c r="E34" s="37" t="inlineStr">
        <is>
          <t>AR</t>
        </is>
      </c>
      <c r="F34" s="37" t="inlineStr">
        <is>
          <t>Siloam Springs Housing Authority</t>
        </is>
      </c>
      <c r="G34" s="37" t="inlineStr">
        <is>
          <t>01/2022</t>
        </is>
      </c>
      <c r="H34" s="6" t="n">
        <v>630</v>
      </c>
      <c r="I34" s="6" t="n">
        <v>780</v>
      </c>
      <c r="J34" s="6" t="n">
        <v>1110</v>
      </c>
      <c r="K34" s="7" t="n">
        <v>1340</v>
      </c>
      <c r="L34" s="61" t="inlineStr">
        <is>
          <t>`</t>
        </is>
      </c>
      <c r="M34" s="45" t="n"/>
      <c r="N34" s="43">
        <f>H34-M34</f>
        <v/>
      </c>
      <c r="O34" s="43" t="n"/>
      <c r="P34" s="43" t="n"/>
      <c r="Q34" s="45" t="n"/>
      <c r="R34" s="79">
        <f>I34-Q34</f>
        <v/>
      </c>
      <c r="S34" s="46" t="n"/>
      <c r="T34" s="46" t="n"/>
      <c r="U34" s="45" t="n"/>
      <c r="V34" s="79">
        <f>J34-U34</f>
        <v/>
      </c>
      <c r="W34" s="47" t="n"/>
      <c r="X34" s="45" t="n"/>
      <c r="Y34" s="79">
        <f>K34-X34</f>
        <v/>
      </c>
      <c r="Z34" s="45" t="n"/>
      <c r="AA34" s="55">
        <f>L34-Z34</f>
        <v/>
      </c>
      <c r="AB34" s="11" t="inlineStr">
        <is>
          <t>✓ PHA</t>
        </is>
      </c>
      <c r="AC34" s="38" t="inlineStr">
        <is>
          <t>https://bob.ai/pha/arkansas/siloam-springs-housing-authority</t>
        </is>
      </c>
    </row>
    <row r="35" ht="18" customHeight="1" s="29">
      <c r="A35" s="52" t="inlineStr">
        <is>
          <t>R4 — AR/CA/GA</t>
        </is>
      </c>
      <c r="B35" s="39" t="inlineStr">
        <is>
          <t>Anaheim</t>
        </is>
      </c>
      <c r="C35" s="35" t="inlineStr">
        <is>
          <t>Anaheim, CA</t>
        </is>
      </c>
      <c r="D35" s="35" t="inlineStr">
        <is>
          <t>Anaheim</t>
        </is>
      </c>
      <c r="E35" s="35" t="inlineStr">
        <is>
          <t>CA</t>
        </is>
      </c>
      <c r="F35" s="35" t="inlineStr">
        <is>
          <t>Orange County Housing Authority</t>
        </is>
      </c>
      <c r="G35" s="35" t="inlineStr">
        <is>
          <t>11/2025</t>
        </is>
      </c>
      <c r="H35" s="3" t="n">
        <v>2475</v>
      </c>
      <c r="I35" s="3" t="n">
        <v>2925</v>
      </c>
      <c r="J35" s="4" t="n">
        <v>3965</v>
      </c>
      <c r="K35" s="4" t="n">
        <v>4725</v>
      </c>
      <c r="L35" s="61" t="inlineStr">
        <is>
          <t>`</t>
        </is>
      </c>
      <c r="M35" s="44" t="n"/>
      <c r="N35" s="43">
        <f>H35-M35</f>
        <v/>
      </c>
      <c r="O35" s="86" t="n">
        <v>2925</v>
      </c>
      <c r="P35" s="87" t="n">
        <v>225</v>
      </c>
      <c r="Q35" s="44" t="n"/>
      <c r="R35" s="79">
        <f>I35-Q35</f>
        <v/>
      </c>
      <c r="S35" s="84" t="n">
        <v>3965</v>
      </c>
      <c r="T35" s="85" t="n">
        <v>285</v>
      </c>
      <c r="U35" s="44" t="n"/>
      <c r="V35" s="79">
        <f>J35-U35</f>
        <v/>
      </c>
      <c r="W35" s="47" t="n"/>
      <c r="X35" s="44" t="n"/>
      <c r="Y35" s="79">
        <f>K35-X35</f>
        <v/>
      </c>
      <c r="Z35" s="44" t="n"/>
      <c r="AA35" s="55">
        <f>L35-Z35</f>
        <v/>
      </c>
      <c r="AB35" s="5" t="inlineStr">
        <is>
          <t>✓ PHA</t>
        </is>
      </c>
      <c r="AC35" s="36" t="inlineStr">
        <is>
          <t>https://ochousing.org/sites/ocha/files/2025-10/2025-2026%20Payment%20Standard%20Public.pdf</t>
        </is>
      </c>
    </row>
    <row r="36" ht="18" customHeight="1" s="29">
      <c r="A36" s="52" t="inlineStr">
        <is>
          <t>R4 — AR/CA/GA</t>
        </is>
      </c>
      <c r="B36" s="40" t="inlineStr">
        <is>
          <t>Fairfax</t>
        </is>
      </c>
      <c r="C36" s="37" t="inlineStr">
        <is>
          <t>737 1/2 S Genesee Ave, Los Angeles, CA</t>
        </is>
      </c>
      <c r="D36" s="37" t="inlineStr">
        <is>
          <t>Los Angeles</t>
        </is>
      </c>
      <c r="E36" s="37" t="inlineStr">
        <is>
          <t>CA</t>
        </is>
      </c>
      <c r="F36" s="37" t="inlineStr">
        <is>
          <t>Housing Authority of the City of Los Angeles (HACLA)</t>
        </is>
      </c>
      <c r="G36" s="37" t="inlineStr">
        <is>
          <t>08/2025</t>
        </is>
      </c>
      <c r="H36" s="17" t="n">
        <v>3190</v>
      </c>
      <c r="I36" s="17" t="n">
        <v>4026</v>
      </c>
      <c r="J36" s="17" t="n">
        <v>5115</v>
      </c>
      <c r="K36" s="17" t="n">
        <v>5676</v>
      </c>
      <c r="L36" s="61" t="inlineStr">
        <is>
          <t>`</t>
        </is>
      </c>
      <c r="M36" s="45" t="n"/>
      <c r="N36" s="43">
        <f>H36-M36</f>
        <v/>
      </c>
      <c r="O36" s="86" t="n">
        <v>2376</v>
      </c>
      <c r="P36" s="87" t="n">
        <v>248</v>
      </c>
      <c r="Q36" s="45" t="n"/>
      <c r="R36" s="79">
        <f>I36-Q36</f>
        <v/>
      </c>
      <c r="S36" s="84" t="n">
        <v>3044</v>
      </c>
      <c r="T36" s="85" t="n">
        <v>312</v>
      </c>
      <c r="U36" s="45" t="n"/>
      <c r="V36" s="79">
        <f>J36-U36</f>
        <v/>
      </c>
      <c r="W36" s="47" t="n"/>
      <c r="X36" s="45" t="n"/>
      <c r="Y36" s="79">
        <f>K36-X36</f>
        <v/>
      </c>
      <c r="Z36" s="45" t="n"/>
      <c r="AA36" s="55">
        <f>L36-Z36</f>
        <v/>
      </c>
      <c r="AB36" s="11" t="inlineStr">
        <is>
          <t>✓ PHA</t>
        </is>
      </c>
      <c r="AC36" s="38" t="inlineStr">
        <is>
          <t>https://www.hacla.org/en/about-section-8/payment-standards</t>
        </is>
      </c>
    </row>
    <row r="37" ht="18" customHeight="1" s="29">
      <c r="A37" s="52" t="inlineStr">
        <is>
          <t>R4 — AR/CA/GA</t>
        </is>
      </c>
      <c r="B37" s="39" t="inlineStr">
        <is>
          <t>Urban 1 &amp; 2</t>
        </is>
      </c>
      <c r="C37" s="35" t="inlineStr">
        <is>
          <t>Los Angeles, CA</t>
        </is>
      </c>
      <c r="D37" s="35" t="inlineStr">
        <is>
          <t>Los Angeles</t>
        </is>
      </c>
      <c r="E37" s="35" t="inlineStr">
        <is>
          <t>CA</t>
        </is>
      </c>
      <c r="F37" s="35" t="inlineStr">
        <is>
          <t>Housing Authority of the City of Los Angeles (HACLA)</t>
        </is>
      </c>
      <c r="G37" s="35" t="inlineStr">
        <is>
          <t>08/2025</t>
        </is>
      </c>
      <c r="H37" s="4" t="n">
        <v>3190</v>
      </c>
      <c r="I37" s="4" t="n">
        <v>4026</v>
      </c>
      <c r="J37" s="4" t="n">
        <v>5115</v>
      </c>
      <c r="K37" s="4" t="n">
        <v>5676</v>
      </c>
      <c r="L37" s="61" t="inlineStr">
        <is>
          <t>`</t>
        </is>
      </c>
      <c r="M37" s="44" t="n"/>
      <c r="N37" s="43">
        <f>H37-M37</f>
        <v/>
      </c>
      <c r="O37" s="86" t="n">
        <v>2376</v>
      </c>
      <c r="P37" s="87" t="n">
        <v>248</v>
      </c>
      <c r="Q37" s="44" t="n"/>
      <c r="R37" s="79">
        <f>I37-Q37</f>
        <v/>
      </c>
      <c r="S37" s="84" t="n">
        <v>3044</v>
      </c>
      <c r="T37" s="85" t="n">
        <v>312</v>
      </c>
      <c r="U37" s="44" t="n"/>
      <c r="V37" s="79">
        <f>J37-U37</f>
        <v/>
      </c>
      <c r="W37" s="47" t="n"/>
      <c r="X37" s="44" t="n"/>
      <c r="Y37" s="79">
        <f>K37-X37</f>
        <v/>
      </c>
      <c r="Z37" s="44" t="n"/>
      <c r="AA37" s="55">
        <f>L37-Z37</f>
        <v/>
      </c>
      <c r="AB37" s="5" t="inlineStr">
        <is>
          <t>✓ PHA</t>
        </is>
      </c>
      <c r="AC37" s="36" t="inlineStr">
        <is>
          <t>https://www.hacla.org/en/about-section-8/payment-standards</t>
        </is>
      </c>
    </row>
    <row r="38" ht="18" customHeight="1" s="29">
      <c r="A38" s="52" t="inlineStr">
        <is>
          <t>R4 — AR/CA/GA</t>
        </is>
      </c>
      <c r="B38" s="40" t="inlineStr">
        <is>
          <t>Midtown Manor</t>
        </is>
      </c>
      <c r="C38" s="37" t="inlineStr">
        <is>
          <t>Los Angeles, CA</t>
        </is>
      </c>
      <c r="D38" s="37" t="inlineStr">
        <is>
          <t>Los Angeles</t>
        </is>
      </c>
      <c r="E38" s="37" t="inlineStr">
        <is>
          <t>CA</t>
        </is>
      </c>
      <c r="F38" s="37" t="inlineStr">
        <is>
          <t>Housing Authority of the City of Los Angeles (HACLA)</t>
        </is>
      </c>
      <c r="G38" s="37" t="inlineStr">
        <is>
          <t>08/2025</t>
        </is>
      </c>
      <c r="H38" s="17" t="n">
        <v>3190</v>
      </c>
      <c r="I38" s="17" t="n">
        <v>4026</v>
      </c>
      <c r="J38" s="17" t="n">
        <v>5115</v>
      </c>
      <c r="K38" s="17" t="n">
        <v>5676</v>
      </c>
      <c r="L38" s="56" t="inlineStr">
        <is>
          <t>0 BR</t>
        </is>
      </c>
      <c r="M38" s="45" t="n">
        <v>1678</v>
      </c>
      <c r="N38" s="43">
        <f>H38-M38</f>
        <v/>
      </c>
      <c r="O38" s="86" t="n">
        <v>2376</v>
      </c>
      <c r="P38" s="87" t="n">
        <v>248</v>
      </c>
      <c r="Q38" s="45" t="n">
        <v>1842</v>
      </c>
      <c r="R38" s="79">
        <f>I38-Q38</f>
        <v/>
      </c>
      <c r="S38" s="84" t="n">
        <v>3044</v>
      </c>
      <c r="T38" s="85" t="n">
        <v>312</v>
      </c>
      <c r="U38" s="45" t="n"/>
      <c r="V38" s="79">
        <f>J38-U38</f>
        <v/>
      </c>
      <c r="W38" s="47" t="n"/>
      <c r="X38" s="45" t="n"/>
      <c r="Y38" s="79">
        <f>K38-X38</f>
        <v/>
      </c>
      <c r="Z38" s="45" t="n"/>
      <c r="AA38" s="55">
        <f>L38-Z38</f>
        <v/>
      </c>
      <c r="AB38" s="11" t="inlineStr">
        <is>
          <t>✓ PHA</t>
        </is>
      </c>
      <c r="AC38" s="38" t="inlineStr">
        <is>
          <t>https://www.hacla.org/en/about-section-8/payment-standards</t>
        </is>
      </c>
    </row>
    <row r="39" ht="18" customHeight="1" s="29">
      <c r="A39" s="52" t="inlineStr">
        <is>
          <t>R4 — AR/CA/GA</t>
        </is>
      </c>
      <c r="B39" s="39" t="inlineStr">
        <is>
          <t>Pacific Pointe</t>
        </is>
      </c>
      <c r="C39" s="35" t="inlineStr">
        <is>
          <t>1025 Rosemarie Ln, Stockton, CA</t>
        </is>
      </c>
      <c r="D39" s="35" t="inlineStr">
        <is>
          <t>Stockton</t>
        </is>
      </c>
      <c r="E39" s="35" t="inlineStr">
        <is>
          <t>CA</t>
        </is>
      </c>
      <c r="F39" s="35" t="inlineStr">
        <is>
          <t>Housing Authority of the County of San Joaquin</t>
        </is>
      </c>
      <c r="G39" s="35" t="inlineStr">
        <is>
          <t>07/2024</t>
        </is>
      </c>
      <c r="H39" s="10" t="n">
        <v>1220</v>
      </c>
      <c r="I39" s="10" t="n">
        <v>1580</v>
      </c>
      <c r="J39" s="3" t="n">
        <v>2223</v>
      </c>
      <c r="K39" s="3" t="n">
        <v>2681</v>
      </c>
      <c r="L39" s="61" t="inlineStr">
        <is>
          <t>`</t>
        </is>
      </c>
      <c r="M39" s="61" t="inlineStr">
        <is>
          <t>`</t>
        </is>
      </c>
      <c r="N39" s="43">
        <f>H39-M39</f>
        <v/>
      </c>
      <c r="O39" s="86" t="n">
        <v>1580</v>
      </c>
      <c r="P39" s="87" t="n">
        <v>195</v>
      </c>
      <c r="Q39" s="44" t="n"/>
      <c r="R39" s="79">
        <f>I39-Q39</f>
        <v/>
      </c>
      <c r="S39" s="84" t="n">
        <v>2223</v>
      </c>
      <c r="T39" s="85" t="n">
        <v>245</v>
      </c>
      <c r="U39" s="44" t="n"/>
      <c r="V39" s="79">
        <f>J39-U39</f>
        <v/>
      </c>
      <c r="W39" s="47" t="n"/>
      <c r="X39" s="44" t="n"/>
      <c r="Y39" s="79">
        <f>K39-X39</f>
        <v/>
      </c>
      <c r="Z39" s="44" t="n"/>
      <c r="AA39" s="55">
        <f>L39-Z39</f>
        <v/>
      </c>
      <c r="AB39" s="5" t="inlineStr">
        <is>
          <t>✓ PHA</t>
        </is>
      </c>
      <c r="AC39" s="36" t="inlineStr">
        <is>
          <t>https://hacsj.org/wp-content/uploads/2024/06/7.2024-Payment-Standards.pdf</t>
        </is>
      </c>
    </row>
    <row r="40" ht="18" customHeight="1" s="29">
      <c r="A40" s="52" t="inlineStr">
        <is>
          <t>R4 — AR/CA/GA</t>
        </is>
      </c>
      <c r="B40" s="40" t="inlineStr">
        <is>
          <t>Granite Ridge</t>
        </is>
      </c>
      <c r="C40" s="37" t="inlineStr">
        <is>
          <t>246 E Iris Ave, Stockton, CA</t>
        </is>
      </c>
      <c r="D40" s="37" t="inlineStr">
        <is>
          <t>Stockton</t>
        </is>
      </c>
      <c r="E40" s="37" t="inlineStr">
        <is>
          <t>CA</t>
        </is>
      </c>
      <c r="F40" s="37" t="inlineStr">
        <is>
          <t>Housing Authority of the County of San Joaquin</t>
        </is>
      </c>
      <c r="G40" s="37" t="inlineStr">
        <is>
          <t>07/2024</t>
        </is>
      </c>
      <c r="H40" s="7" t="n">
        <v>1220</v>
      </c>
      <c r="I40" s="7" t="n">
        <v>1580</v>
      </c>
      <c r="J40" s="9" t="n">
        <v>2223</v>
      </c>
      <c r="K40" s="9" t="n">
        <v>2681</v>
      </c>
      <c r="L40" s="61" t="inlineStr">
        <is>
          <t>`</t>
        </is>
      </c>
      <c r="M40" s="61" t="inlineStr">
        <is>
          <t>`</t>
        </is>
      </c>
      <c r="N40" s="43">
        <f>H40-M40</f>
        <v/>
      </c>
      <c r="O40" s="86" t="n">
        <v>1580</v>
      </c>
      <c r="P40" s="87" t="n">
        <v>195</v>
      </c>
      <c r="Q40" s="45" t="n"/>
      <c r="R40" s="79">
        <f>I40-Q40</f>
        <v/>
      </c>
      <c r="S40" s="84" t="n">
        <v>2223</v>
      </c>
      <c r="T40" s="85" t="n">
        <v>245</v>
      </c>
      <c r="U40" s="45" t="n"/>
      <c r="V40" s="79">
        <f>J40-U40</f>
        <v/>
      </c>
      <c r="W40" s="47" t="n"/>
      <c r="X40" s="45" t="n"/>
      <c r="Y40" s="79">
        <f>K40-X40</f>
        <v/>
      </c>
      <c r="Z40" s="45" t="n"/>
      <c r="AA40" s="55">
        <f>L40-Z40</f>
        <v/>
      </c>
      <c r="AB40" s="11" t="inlineStr">
        <is>
          <t>✓ PHA</t>
        </is>
      </c>
      <c r="AC40" s="38" t="inlineStr">
        <is>
          <t>https://hacsj.org/wp-content/uploads/2024/06/7.2024-Payment-Standards.pdf</t>
        </is>
      </c>
    </row>
    <row r="41" ht="18" customHeight="1" s="29">
      <c r="A41" s="52" t="inlineStr">
        <is>
          <t>R4 — AR/CA/GA</t>
        </is>
      </c>
      <c r="B41" s="39" t="inlineStr">
        <is>
          <t>Columbia Village</t>
        </is>
      </c>
      <c r="C41" s="35" t="inlineStr">
        <is>
          <t>11299 Columbia Village Dr, Sonora, CA</t>
        </is>
      </c>
      <c r="D41" s="35" t="inlineStr">
        <is>
          <t>Sonora</t>
        </is>
      </c>
      <c r="E41" s="35" t="inlineStr">
        <is>
          <t>CA</t>
        </is>
      </c>
      <c r="F41" s="35" t="inlineStr">
        <is>
          <t>Stanislaus Regional Housing Authority</t>
        </is>
      </c>
      <c r="G41" s="35" t="inlineStr">
        <is>
          <t>03/2026</t>
        </is>
      </c>
      <c r="H41" s="12" t="n">
        <v>1170</v>
      </c>
      <c r="I41" s="10" t="n">
        <v>1500</v>
      </c>
      <c r="J41" s="10" t="n">
        <v>1970</v>
      </c>
      <c r="K41" s="3" t="n">
        <v>2520</v>
      </c>
      <c r="L41" s="61" t="inlineStr">
        <is>
          <t>`</t>
        </is>
      </c>
      <c r="M41" s="61" t="inlineStr">
        <is>
          <t>`</t>
        </is>
      </c>
      <c r="N41" s="43">
        <f>H41-M41</f>
        <v/>
      </c>
      <c r="O41" s="86" t="n">
        <v>1500</v>
      </c>
      <c r="P41" s="87" t="n">
        <v>188</v>
      </c>
      <c r="Q41" s="44" t="n"/>
      <c r="R41" s="79">
        <f>I41-Q41</f>
        <v/>
      </c>
      <c r="S41" s="84" t="n">
        <v>1970</v>
      </c>
      <c r="T41" s="85" t="n">
        <v>235</v>
      </c>
      <c r="U41" s="44" t="n"/>
      <c r="V41" s="79">
        <f>J41-U41</f>
        <v/>
      </c>
      <c r="W41" s="47" t="n"/>
      <c r="X41" s="44" t="n"/>
      <c r="Y41" s="79">
        <f>K41-X41</f>
        <v/>
      </c>
      <c r="Z41" s="44" t="n"/>
      <c r="AA41" s="55">
        <f>L41-Z41</f>
        <v/>
      </c>
      <c r="AB41" s="5" t="inlineStr">
        <is>
          <t>✓ PHA</t>
        </is>
      </c>
      <c r="AC41" s="36" t="inlineStr">
        <is>
          <t>https://stanregionalha.org/wp-content/uploads/2026/02/BPS-eff-3.1.2026-2.pdf</t>
        </is>
      </c>
    </row>
    <row r="42" ht="18" customHeight="1" s="29">
      <c r="A42" s="52" t="inlineStr">
        <is>
          <t>R4 — AR/CA/GA</t>
        </is>
      </c>
      <c r="B42" s="40" t="inlineStr">
        <is>
          <t>Forest View (Senior)</t>
        </is>
      </c>
      <c r="C42" s="37" t="inlineStr">
        <is>
          <t>19499 Hess Ave, Sonora, CA</t>
        </is>
      </c>
      <c r="D42" s="37" t="inlineStr">
        <is>
          <t>Sonora</t>
        </is>
      </c>
      <c r="E42" s="37" t="inlineStr">
        <is>
          <t>CA</t>
        </is>
      </c>
      <c r="F42" s="37" t="inlineStr">
        <is>
          <t>Stanislaus Regional Housing Authority</t>
        </is>
      </c>
      <c r="G42" s="37" t="inlineStr">
        <is>
          <t>03/2026</t>
        </is>
      </c>
      <c r="H42" s="6" t="n">
        <v>1170</v>
      </c>
      <c r="I42" s="7" t="n">
        <v>1500</v>
      </c>
      <c r="J42" s="7" t="n">
        <v>1970</v>
      </c>
      <c r="K42" s="9" t="n">
        <v>2520</v>
      </c>
      <c r="L42" s="61" t="inlineStr">
        <is>
          <t>`</t>
        </is>
      </c>
      <c r="M42" s="61" t="inlineStr">
        <is>
          <t>`</t>
        </is>
      </c>
      <c r="N42" s="43">
        <f>H42-M42</f>
        <v/>
      </c>
      <c r="O42" s="86" t="n">
        <v>1500</v>
      </c>
      <c r="P42" s="87" t="n">
        <v>188</v>
      </c>
      <c r="Q42" s="45" t="n"/>
      <c r="R42" s="79">
        <f>I42-Q42</f>
        <v/>
      </c>
      <c r="S42" s="84" t="n">
        <v>1970</v>
      </c>
      <c r="T42" s="85" t="n">
        <v>235</v>
      </c>
      <c r="U42" s="45" t="n"/>
      <c r="V42" s="79">
        <f>J42-U42</f>
        <v/>
      </c>
      <c r="W42" s="47" t="n"/>
      <c r="X42" s="45" t="n"/>
      <c r="Y42" s="79">
        <f>K42-X42</f>
        <v/>
      </c>
      <c r="Z42" s="45" t="n"/>
      <c r="AA42" s="55">
        <f>L42-Z42</f>
        <v/>
      </c>
      <c r="AB42" s="11" t="inlineStr">
        <is>
          <t>✓ PHA</t>
        </is>
      </c>
      <c r="AC42" s="38" t="inlineStr">
        <is>
          <t>https://stanregionalha.org/wp-content/uploads/2026/02/BPS-eff-3.1.2026-2.pdf</t>
        </is>
      </c>
    </row>
    <row r="43" ht="18" customHeight="1" s="29">
      <c r="A43" s="52" t="inlineStr">
        <is>
          <t>R4 — AR/CA/GA</t>
        </is>
      </c>
      <c r="B43" s="39" t="inlineStr">
        <is>
          <t>Oak Hills</t>
        </is>
      </c>
      <c r="C43" s="35" t="inlineStr">
        <is>
          <t>10260 Preston Lane, Jamestown, CA</t>
        </is>
      </c>
      <c r="D43" s="35" t="inlineStr">
        <is>
          <t>Jamestown</t>
        </is>
      </c>
      <c r="E43" s="35" t="inlineStr">
        <is>
          <t>CA</t>
        </is>
      </c>
      <c r="F43" s="35" t="inlineStr">
        <is>
          <t>Stanislaus Regional Housing Authority</t>
        </is>
      </c>
      <c r="G43" s="35" t="inlineStr">
        <is>
          <t>10/2024</t>
        </is>
      </c>
      <c r="H43" s="10" t="n">
        <v>1209</v>
      </c>
      <c r="I43" s="10" t="n">
        <v>1566</v>
      </c>
      <c r="J43" s="3" t="n">
        <v>2194</v>
      </c>
      <c r="K43" s="3" t="n">
        <v>2549</v>
      </c>
      <c r="L43" s="61" t="inlineStr">
        <is>
          <t>`</t>
        </is>
      </c>
      <c r="M43" s="61" t="inlineStr">
        <is>
          <t>`</t>
        </is>
      </c>
      <c r="N43" s="43">
        <f>H43-M43</f>
        <v/>
      </c>
      <c r="O43" s="86" t="n">
        <v>1500</v>
      </c>
      <c r="P43" s="87" t="n">
        <v>188</v>
      </c>
      <c r="Q43" s="44" t="n"/>
      <c r="R43" s="79">
        <f>I43-Q43</f>
        <v/>
      </c>
      <c r="S43" s="84" t="n">
        <v>1970</v>
      </c>
      <c r="T43" s="85" t="n">
        <v>235</v>
      </c>
      <c r="U43" s="44" t="n"/>
      <c r="V43" s="79">
        <f>J43-U43</f>
        <v/>
      </c>
      <c r="W43" s="47" t="n"/>
      <c r="X43" s="44" t="n"/>
      <c r="Y43" s="79">
        <f>K43-X43</f>
        <v/>
      </c>
      <c r="Z43" s="44" t="n"/>
      <c r="AA43" s="55">
        <f>L43-Z43</f>
        <v/>
      </c>
      <c r="AB43" s="5" t="inlineStr">
        <is>
          <t>✓ PHA</t>
        </is>
      </c>
      <c r="AC43" s="36" t="inlineStr">
        <is>
          <t>https://stanregionalha.org/wp-content/uploads/2024/08/10-1-24-payment-standards.pdf</t>
        </is>
      </c>
    </row>
    <row r="44" ht="18" customHeight="1" s="29">
      <c r="A44" s="52" t="inlineStr">
        <is>
          <t>R4 — AR/CA/GA</t>
        </is>
      </c>
      <c r="B44" s="40" t="inlineStr">
        <is>
          <t>River Garden</t>
        </is>
      </c>
      <c r="C44" s="37" t="inlineStr">
        <is>
          <t>Sonora, CA</t>
        </is>
      </c>
      <c r="D44" s="37" t="inlineStr">
        <is>
          <t>Sonora</t>
        </is>
      </c>
      <c r="E44" s="37" t="inlineStr">
        <is>
          <t>CA</t>
        </is>
      </c>
      <c r="F44" s="37" t="inlineStr">
        <is>
          <t>Stanislaus Regional Housing Authority</t>
        </is>
      </c>
      <c r="G44" s="37" t="inlineStr">
        <is>
          <t>03/2026</t>
        </is>
      </c>
      <c r="H44" s="6" t="n">
        <v>1170</v>
      </c>
      <c r="I44" s="7" t="n">
        <v>1500</v>
      </c>
      <c r="J44" s="7" t="n">
        <v>1970</v>
      </c>
      <c r="K44" s="9" t="n">
        <v>2520</v>
      </c>
      <c r="L44" s="61" t="inlineStr">
        <is>
          <t>`</t>
        </is>
      </c>
      <c r="M44" s="61" t="inlineStr">
        <is>
          <t>`</t>
        </is>
      </c>
      <c r="N44" s="43">
        <f>H44-M44</f>
        <v/>
      </c>
      <c r="O44" s="86" t="n">
        <v>1500</v>
      </c>
      <c r="P44" s="87" t="n">
        <v>188</v>
      </c>
      <c r="Q44" s="45" t="n"/>
      <c r="R44" s="79">
        <f>I44-Q44</f>
        <v/>
      </c>
      <c r="S44" s="84" t="n">
        <v>1970</v>
      </c>
      <c r="T44" s="85" t="n">
        <v>235</v>
      </c>
      <c r="U44" s="45" t="n"/>
      <c r="V44" s="79">
        <f>J44-U44</f>
        <v/>
      </c>
      <c r="W44" s="47" t="n"/>
      <c r="X44" s="45" t="n"/>
      <c r="Y44" s="79">
        <f>K44-X44</f>
        <v/>
      </c>
      <c r="Z44" s="45" t="n"/>
      <c r="AA44" s="55">
        <f>L44-Z44</f>
        <v/>
      </c>
      <c r="AB44" s="11" t="inlineStr">
        <is>
          <t>✓ PHA</t>
        </is>
      </c>
      <c r="AC44" s="38" t="inlineStr">
        <is>
          <t>https://stanregionalha.org/wp-content/uploads/2026/02/BPS-eff-3.1.2026-2.pdf</t>
        </is>
      </c>
    </row>
    <row r="45" ht="18" customHeight="1" s="29">
      <c r="A45" s="52" t="inlineStr">
        <is>
          <t>R4 — AR/CA/GA</t>
        </is>
      </c>
      <c r="B45" s="39" t="inlineStr">
        <is>
          <t>Riverchase</t>
        </is>
      </c>
      <c r="C45" s="35" t="inlineStr">
        <is>
          <t>106 Tybee Court, Augusta, GA</t>
        </is>
      </c>
      <c r="D45" s="35" t="inlineStr">
        <is>
          <t>Augusta</t>
        </is>
      </c>
      <c r="E45" s="35" t="inlineStr">
        <is>
          <t>GA</t>
        </is>
      </c>
      <c r="F45" s="35" t="inlineStr">
        <is>
          <t>Augusta Housing Authority</t>
        </is>
      </c>
      <c r="G45" s="35" t="inlineStr">
        <is>
          <t>10/2025</t>
        </is>
      </c>
      <c r="H45" s="12" t="n">
        <v>1090</v>
      </c>
      <c r="I45" s="10" t="n">
        <v>1416</v>
      </c>
      <c r="J45" s="10" t="n">
        <v>1819</v>
      </c>
      <c r="K45" s="3" t="n">
        <v>2158</v>
      </c>
      <c r="L45" s="61" t="inlineStr">
        <is>
          <t>`</t>
        </is>
      </c>
      <c r="M45" s="44" t="n"/>
      <c r="N45" s="43">
        <f>H45-M45</f>
        <v/>
      </c>
      <c r="O45" s="86" t="n">
        <v>1090</v>
      </c>
      <c r="P45" s="87" t="n">
        <v>174</v>
      </c>
      <c r="Q45" s="44" t="n"/>
      <c r="R45" s="79">
        <f>I45-Q45</f>
        <v/>
      </c>
      <c r="S45" s="84" t="n">
        <v>1416</v>
      </c>
      <c r="T45" s="85" t="n">
        <v>218</v>
      </c>
      <c r="U45" s="44" t="n"/>
      <c r="V45" s="79">
        <f>J45-U45</f>
        <v/>
      </c>
      <c r="W45" s="47" t="n"/>
      <c r="X45" s="44" t="n"/>
      <c r="Y45" s="79">
        <f>K45-X45</f>
        <v/>
      </c>
      <c r="Z45" s="44" t="n"/>
      <c r="AA45" s="55">
        <f>L45-Z45</f>
        <v/>
      </c>
      <c r="AB45" s="5" t="inlineStr">
        <is>
          <t>✓ PHA</t>
        </is>
      </c>
      <c r="AC45" s="36" t="inlineStr">
        <is>
          <t>https://www.augustahousing.org/uploads/1/3/8/6/138640633/aha_oct_2025_voucher_payment_standards.pdf</t>
        </is>
      </c>
    </row>
    <row r="46" ht="18" customHeight="1" s="29">
      <c r="A46" s="53" t="inlineStr">
        <is>
          <t>R5 — NC</t>
        </is>
      </c>
      <c r="B46" s="40" t="inlineStr">
        <is>
          <t>Silver Springs Terrace</t>
        </is>
      </c>
      <c r="C46" s="37" t="inlineStr">
        <is>
          <t>950 NE 20th Street, Hickory, NC</t>
        </is>
      </c>
      <c r="D46" s="37" t="inlineStr">
        <is>
          <t>Hickory</t>
        </is>
      </c>
      <c r="E46" s="37" t="inlineStr">
        <is>
          <t>NC</t>
        </is>
      </c>
      <c r="F46" s="37" t="inlineStr">
        <is>
          <t>Western Piedmont Council of Governments</t>
        </is>
      </c>
      <c r="G46" s="37" t="inlineStr">
        <is>
          <t>2026</t>
        </is>
      </c>
      <c r="H46" s="6" t="n">
        <v>908</v>
      </c>
      <c r="I46" s="6" t="n">
        <v>1095</v>
      </c>
      <c r="J46" s="7" t="n">
        <v>1372</v>
      </c>
      <c r="K46" s="7" t="n">
        <v>1660</v>
      </c>
      <c r="L46" s="61" t="inlineStr">
        <is>
          <t>`</t>
        </is>
      </c>
      <c r="M46" s="45" t="n">
        <v>970</v>
      </c>
      <c r="N46" s="43">
        <f>H46-M46</f>
        <v/>
      </c>
      <c r="O46" s="86" t="n">
        <v>908</v>
      </c>
      <c r="P46" s="87" t="n">
        <v>187</v>
      </c>
      <c r="Q46" s="45" t="n">
        <v>1185</v>
      </c>
      <c r="R46" s="79">
        <f>I46-Q46</f>
        <v/>
      </c>
      <c r="S46" s="84" t="n">
        <v>1372</v>
      </c>
      <c r="T46" s="85" t="n">
        <v>228</v>
      </c>
      <c r="U46" s="45" t="n">
        <v>1400</v>
      </c>
      <c r="V46" s="79">
        <f>J46-U46</f>
        <v/>
      </c>
      <c r="W46" s="47" t="n"/>
      <c r="X46" s="45" t="n">
        <v>1695</v>
      </c>
      <c r="Y46" s="79">
        <f>K46-X46</f>
        <v/>
      </c>
      <c r="Z46" s="45" t="n"/>
      <c r="AA46" s="55">
        <f>L46-Z46</f>
        <v/>
      </c>
      <c r="AB46" s="8" t="inlineStr">
        <is>
          <t>⚠ FMR</t>
        </is>
      </c>
      <c r="AC46" s="38" t="inlineStr">
        <is>
          <t>https://www.huduser.gov/portal/datasets/fmr/fmr2026/FY2026_FMR_Schedule.pdf</t>
        </is>
      </c>
    </row>
    <row r="47" ht="18" customHeight="1" s="29">
      <c r="A47" s="53" t="inlineStr">
        <is>
          <t>R5 — NC</t>
        </is>
      </c>
      <c r="B47" s="39" t="inlineStr">
        <is>
          <t>Thomasville Church Homes</t>
        </is>
      </c>
      <c r="C47" s="35" t="inlineStr">
        <is>
          <t>904 Doak Street, Thomasville, NC</t>
        </is>
      </c>
      <c r="D47" s="35" t="inlineStr">
        <is>
          <t>Thomasville</t>
        </is>
      </c>
      <c r="E47" s="35" t="inlineStr">
        <is>
          <t>NC</t>
        </is>
      </c>
      <c r="F47" s="35" t="inlineStr">
        <is>
          <t>Lexington Housing Authority</t>
        </is>
      </c>
      <c r="G47" s="35" t="inlineStr">
        <is>
          <t>12/2025</t>
        </is>
      </c>
      <c r="H47" s="12" t="n">
        <v>964</v>
      </c>
      <c r="I47" s="12" t="n">
        <v>1056</v>
      </c>
      <c r="J47" s="10" t="n">
        <v>1448</v>
      </c>
      <c r="K47" s="10" t="n">
        <v>1750</v>
      </c>
      <c r="L47" s="61" t="inlineStr">
        <is>
          <t>`</t>
        </is>
      </c>
      <c r="M47" s="44" t="n">
        <v>946</v>
      </c>
      <c r="N47" s="43">
        <f>H47-M47</f>
        <v/>
      </c>
      <c r="O47" s="86" t="n">
        <v>964</v>
      </c>
      <c r="P47" s="87" t="n">
        <v>102</v>
      </c>
      <c r="Q47" s="44" t="n">
        <v>1054</v>
      </c>
      <c r="R47" s="79">
        <f>I47-Q47</f>
        <v/>
      </c>
      <c r="S47" s="84" t="n">
        <v>1448</v>
      </c>
      <c r="T47" s="85" t="n">
        <v>120</v>
      </c>
      <c r="U47" s="44" t="n">
        <v>1328</v>
      </c>
      <c r="V47" s="79">
        <f>J47-U47</f>
        <v/>
      </c>
      <c r="W47" s="47" t="n"/>
      <c r="X47" s="44" t="n">
        <v>1425</v>
      </c>
      <c r="Y47" s="79">
        <f>K47-X47</f>
        <v/>
      </c>
      <c r="Z47" s="44" t="n"/>
      <c r="AA47" s="55">
        <f>L47-Z47</f>
        <v/>
      </c>
      <c r="AB47" s="5" t="inlineStr">
        <is>
          <t>✓ PHA</t>
        </is>
      </c>
      <c r="AC47" s="36" t="inlineStr">
        <is>
          <t>https://lha-nc.org/housing-choice-voucher/</t>
        </is>
      </c>
    </row>
  </sheetData>
  <mergeCells count="4">
    <mergeCell ref="M3:AA3"/>
    <mergeCell ref="A2:AC2"/>
    <mergeCell ref="H3:L3"/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style="29" min="1" max="1"/>
    <col width="14" customWidth="1" style="29" min="2" max="2"/>
    <col width="13" customWidth="1" style="29" min="3" max="6"/>
  </cols>
  <sheetData>
    <row r="1" ht="27.95" customHeight="1" s="29">
      <c r="A1" s="31" t="inlineStr">
        <is>
          <t>Average PHA Payment Standards by Region</t>
        </is>
      </c>
    </row>
    <row r="2" ht="21.95" customHeight="1" s="29">
      <c r="A2" s="1" t="inlineStr">
        <is>
          <t>Region</t>
        </is>
      </c>
      <c r="B2" s="1" t="inlineStr">
        <is>
          <t># Properties</t>
        </is>
      </c>
      <c r="C2" s="1" t="inlineStr">
        <is>
          <t>Avg 1 BR</t>
        </is>
      </c>
      <c r="D2" s="1" t="inlineStr">
        <is>
          <t>Avg 2 BR</t>
        </is>
      </c>
      <c r="E2" s="1" t="inlineStr">
        <is>
          <t>Avg 3 BR</t>
        </is>
      </c>
      <c r="F2" s="1" t="inlineStr">
        <is>
          <t>Avg 4 BR</t>
        </is>
      </c>
    </row>
    <row r="3" ht="20.1" customHeight="1" s="29">
      <c r="A3" s="19" t="inlineStr">
        <is>
          <t>R1 — FL/MS</t>
        </is>
      </c>
      <c r="B3" s="20" t="n">
        <v>9</v>
      </c>
      <c r="C3" s="9" t="n">
        <v>1175</v>
      </c>
      <c r="D3" s="9" t="n">
        <v>1407</v>
      </c>
      <c r="E3" s="9" t="n">
        <v>1800</v>
      </c>
      <c r="F3" s="9" t="n">
        <v>2068</v>
      </c>
    </row>
    <row r="4" ht="20.1" customHeight="1" s="29">
      <c r="A4" s="21" t="inlineStr">
        <is>
          <t>R2 — OH/TX/CA</t>
        </is>
      </c>
      <c r="B4" s="22" t="n">
        <v>7</v>
      </c>
      <c r="C4" s="3" t="n">
        <v>1308</v>
      </c>
      <c r="D4" s="3" t="n">
        <v>1580</v>
      </c>
      <c r="E4" s="3" t="n">
        <v>1958</v>
      </c>
      <c r="F4" s="3" t="n">
        <v>2476</v>
      </c>
    </row>
    <row r="5" ht="20.1" customHeight="1" s="29">
      <c r="A5" s="23" t="inlineStr">
        <is>
          <t>R3 — LA/FL</t>
        </is>
      </c>
      <c r="B5" s="20" t="n">
        <v>13</v>
      </c>
      <c r="C5" s="9" t="n">
        <v>1135</v>
      </c>
      <c r="D5" s="9" t="n">
        <v>1327</v>
      </c>
      <c r="E5" s="9" t="n">
        <v>1672</v>
      </c>
      <c r="F5" s="9" t="n">
        <v>1970</v>
      </c>
    </row>
    <row r="6" ht="20.1" customHeight="1" s="29">
      <c r="A6" s="24" t="inlineStr">
        <is>
          <t>R4 — AR/CA/GA</t>
        </is>
      </c>
      <c r="B6" s="22" t="n">
        <v>12</v>
      </c>
      <c r="C6" s="3" t="n">
        <v>1744</v>
      </c>
      <c r="D6" s="3" t="n">
        <v>2202</v>
      </c>
      <c r="E6" s="3" t="n">
        <v>2899</v>
      </c>
      <c r="F6" s="3" t="n">
        <v>3394</v>
      </c>
    </row>
    <row r="7" ht="20.1" customHeight="1" s="29">
      <c r="A7" s="25" t="inlineStr">
        <is>
          <t>R5 — NC</t>
        </is>
      </c>
      <c r="B7" s="20" t="n">
        <v>2</v>
      </c>
      <c r="C7" s="9" t="n">
        <v>936</v>
      </c>
      <c r="D7" s="9" t="n">
        <v>1076</v>
      </c>
      <c r="E7" s="9" t="n">
        <v>1410</v>
      </c>
      <c r="F7" s="9" t="n">
        <v>1705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:G1"/>
    </sheetView>
  </sheetViews>
  <sheetFormatPr baseColWidth="8" defaultRowHeight="15"/>
  <cols>
    <col width="7" customWidth="1" style="29" min="1" max="1"/>
    <col width="20" customWidth="1" style="29" min="2" max="2"/>
    <col width="8" customWidth="1" style="29" min="3" max="3"/>
    <col width="20" customWidth="1" style="29" min="4" max="4"/>
    <col width="11" customWidth="1" style="29" min="5" max="8"/>
  </cols>
  <sheetData>
    <row r="1" ht="26.1" customHeight="1" s="29">
      <c r="A1" s="32" t="inlineStr">
        <is>
          <t>PHA Payment Standards — Unique Locations Ranked by 2-Bedroom Standard</t>
        </is>
      </c>
    </row>
    <row r="2" ht="21.95" customHeight="1" s="29">
      <c r="A2" s="1" t="inlineStr">
        <is>
          <t>Rank</t>
        </is>
      </c>
      <c r="B2" s="1" t="inlineStr">
        <is>
          <t>City</t>
        </is>
      </c>
      <c r="C2" s="1" t="inlineStr">
        <is>
          <t>State</t>
        </is>
      </c>
      <c r="D2" s="1" t="inlineStr">
        <is>
          <t>Region</t>
        </is>
      </c>
      <c r="E2" s="1" t="inlineStr">
        <is>
          <t>1 BR</t>
        </is>
      </c>
      <c r="F2" s="1" t="inlineStr">
        <is>
          <t>2 BR</t>
        </is>
      </c>
      <c r="G2" s="1" t="inlineStr">
        <is>
          <t>3 BR</t>
        </is>
      </c>
      <c r="H2" s="1" t="inlineStr">
        <is>
          <t>4 BR</t>
        </is>
      </c>
    </row>
    <row r="3" ht="18" customHeight="1" s="29">
      <c r="A3" s="26" t="inlineStr">
        <is>
          <t>🥇 1</t>
        </is>
      </c>
      <c r="B3" s="26" t="inlineStr">
        <is>
          <t>Los Angeles</t>
        </is>
      </c>
      <c r="C3" s="26" t="inlineStr">
        <is>
          <t>CA</t>
        </is>
      </c>
      <c r="D3" s="16" t="inlineStr">
        <is>
          <t>R4 — AR/CA/GA</t>
        </is>
      </c>
      <c r="E3" s="9" t="n">
        <v>3190</v>
      </c>
      <c r="F3" s="9" t="n">
        <v>4026</v>
      </c>
      <c r="G3" s="9" t="n">
        <v>5115</v>
      </c>
      <c r="H3" s="9" t="n">
        <v>5676</v>
      </c>
    </row>
    <row r="4" ht="18" customHeight="1" s="29">
      <c r="A4" s="27" t="inlineStr">
        <is>
          <t>🥈 2</t>
        </is>
      </c>
      <c r="B4" s="27" t="inlineStr">
        <is>
          <t>Anaheim</t>
        </is>
      </c>
      <c r="C4" s="27" t="inlineStr">
        <is>
          <t>CA</t>
        </is>
      </c>
      <c r="D4" s="16" t="inlineStr">
        <is>
          <t>R4 — AR/CA/GA</t>
        </is>
      </c>
      <c r="E4" s="3" t="n">
        <v>2475</v>
      </c>
      <c r="F4" s="3" t="n">
        <v>2925</v>
      </c>
      <c r="G4" s="3" t="n">
        <v>3965</v>
      </c>
      <c r="H4" s="3" t="n">
        <v>4725</v>
      </c>
    </row>
    <row r="5" ht="18" customHeight="1" s="29">
      <c r="A5" s="26" t="inlineStr">
        <is>
          <t>🥉 3</t>
        </is>
      </c>
      <c r="B5" s="26" t="inlineStr">
        <is>
          <t>Opa Locka</t>
        </is>
      </c>
      <c r="C5" s="26" t="inlineStr">
        <is>
          <t>FL</t>
        </is>
      </c>
      <c r="D5" s="2" t="inlineStr">
        <is>
          <t>R1 — FL/MS</t>
        </is>
      </c>
      <c r="E5" s="9" t="n">
        <v>2040</v>
      </c>
      <c r="F5" s="9" t="n">
        <v>2496</v>
      </c>
      <c r="G5" s="9" t="n">
        <v>3204</v>
      </c>
      <c r="H5" s="9" t="n">
        <v>3696</v>
      </c>
    </row>
    <row r="6" ht="18" customHeight="1" s="29">
      <c r="A6" s="27" t="inlineStr">
        <is>
          <t>4</t>
        </is>
      </c>
      <c r="B6" s="27" t="inlineStr">
        <is>
          <t>St. Petersburg</t>
        </is>
      </c>
      <c r="C6" s="27" t="inlineStr">
        <is>
          <t>FL</t>
        </is>
      </c>
      <c r="D6" s="2" t="inlineStr">
        <is>
          <t>R1 — FL/MS</t>
        </is>
      </c>
      <c r="E6" s="3" t="n">
        <v>2026</v>
      </c>
      <c r="F6" s="3" t="n">
        <v>2376</v>
      </c>
      <c r="G6" s="3" t="n">
        <v>3044</v>
      </c>
      <c r="H6" s="3" t="n">
        <v>3701</v>
      </c>
    </row>
    <row r="7" ht="18" customHeight="1" s="29">
      <c r="A7" s="26" t="inlineStr">
        <is>
          <t>5</t>
        </is>
      </c>
      <c r="B7" s="26" t="inlineStr">
        <is>
          <t>Cape Coral</t>
        </is>
      </c>
      <c r="C7" s="26" t="inlineStr">
        <is>
          <t>FL</t>
        </is>
      </c>
      <c r="D7" s="2" t="inlineStr">
        <is>
          <t>R1 — FL/MS</t>
        </is>
      </c>
      <c r="E7" s="9" t="n">
        <v>1488</v>
      </c>
      <c r="F7" s="9" t="n">
        <v>1843</v>
      </c>
      <c r="G7" s="9" t="n">
        <v>2422</v>
      </c>
      <c r="H7" s="9" t="n">
        <v>2691</v>
      </c>
    </row>
    <row r="8" ht="18" customHeight="1" s="29">
      <c r="A8" s="27" t="inlineStr">
        <is>
          <t>6</t>
        </is>
      </c>
      <c r="B8" s="27" t="inlineStr">
        <is>
          <t>Odessa</t>
        </is>
      </c>
      <c r="C8" s="27" t="inlineStr">
        <is>
          <t>TX</t>
        </is>
      </c>
      <c r="D8" s="13" t="inlineStr">
        <is>
          <t>R2 — OH/TX/CA</t>
        </is>
      </c>
      <c r="E8" s="3" t="n">
        <v>1425</v>
      </c>
      <c r="F8" s="3" t="n">
        <v>1836</v>
      </c>
      <c r="G8" s="3" t="n">
        <v>2212</v>
      </c>
      <c r="H8" s="3" t="n">
        <v>2595</v>
      </c>
    </row>
    <row r="9" ht="18" customHeight="1" s="29">
      <c r="A9" s="26" t="inlineStr">
        <is>
          <t>7</t>
        </is>
      </c>
      <c r="B9" s="26" t="inlineStr">
        <is>
          <t>Panama City</t>
        </is>
      </c>
      <c r="C9" s="26" t="inlineStr">
        <is>
          <t>FL</t>
        </is>
      </c>
      <c r="D9" s="2" t="inlineStr">
        <is>
          <t>R1 — FL/MS</t>
        </is>
      </c>
      <c r="E9" s="9" t="n">
        <v>1480</v>
      </c>
      <c r="F9" s="9" t="n">
        <v>1682</v>
      </c>
      <c r="G9" s="9" t="n">
        <v>2169</v>
      </c>
      <c r="H9" s="9" t="n">
        <v>2689</v>
      </c>
    </row>
    <row r="10" ht="18" customHeight="1" s="29">
      <c r="A10" s="27" t="inlineStr">
        <is>
          <t>8</t>
        </is>
      </c>
      <c r="B10" s="27" t="inlineStr">
        <is>
          <t>Compton</t>
        </is>
      </c>
      <c r="C10" s="27" t="inlineStr">
        <is>
          <t>CA</t>
        </is>
      </c>
      <c r="D10" s="13" t="inlineStr">
        <is>
          <t>R2 — OH/TX/CA</t>
        </is>
      </c>
      <c r="E10" s="3" t="n">
        <v>1440</v>
      </c>
      <c r="F10" s="3" t="n">
        <v>1629</v>
      </c>
      <c r="G10" s="3" t="n">
        <v>2061</v>
      </c>
      <c r="H10" s="3" t="n">
        <v>2916</v>
      </c>
    </row>
    <row r="11" ht="18" customHeight="1" s="29">
      <c r="A11" s="26" t="inlineStr">
        <is>
          <t>9</t>
        </is>
      </c>
      <c r="B11" s="26" t="inlineStr">
        <is>
          <t>Stockton</t>
        </is>
      </c>
      <c r="C11" s="26" t="inlineStr">
        <is>
          <t>CA</t>
        </is>
      </c>
      <c r="D11" s="16" t="inlineStr">
        <is>
          <t>R4 — AR/CA/GA</t>
        </is>
      </c>
      <c r="E11" s="9" t="n">
        <v>1220</v>
      </c>
      <c r="F11" s="9" t="n">
        <v>1580</v>
      </c>
      <c r="G11" s="9" t="n">
        <v>2223</v>
      </c>
      <c r="H11" s="9" t="n">
        <v>2681</v>
      </c>
    </row>
    <row r="12" ht="18" customHeight="1" s="29">
      <c r="A12" s="27" t="inlineStr">
        <is>
          <t>10</t>
        </is>
      </c>
      <c r="B12" s="27" t="inlineStr">
        <is>
          <t>Jamestown</t>
        </is>
      </c>
      <c r="C12" s="27" t="inlineStr">
        <is>
          <t>CA</t>
        </is>
      </c>
      <c r="D12" s="16" t="inlineStr">
        <is>
          <t>R4 — AR/CA/GA</t>
        </is>
      </c>
      <c r="E12" s="3" t="n">
        <v>1209</v>
      </c>
      <c r="F12" s="3" t="n">
        <v>1566</v>
      </c>
      <c r="G12" s="3" t="n">
        <v>2194</v>
      </c>
      <c r="H12" s="3" t="n">
        <v>2549</v>
      </c>
    </row>
    <row r="13" ht="18" customHeight="1" s="29">
      <c r="A13" s="26" t="inlineStr">
        <is>
          <t>11</t>
        </is>
      </c>
      <c r="B13" s="26" t="inlineStr">
        <is>
          <t>Waxahachie</t>
        </is>
      </c>
      <c r="C13" s="26" t="inlineStr">
        <is>
          <t>TX</t>
        </is>
      </c>
      <c r="D13" s="13" t="inlineStr">
        <is>
          <t>R2 — OH/TX/CA</t>
        </is>
      </c>
      <c r="E13" s="9" t="n">
        <v>1270</v>
      </c>
      <c r="F13" s="9" t="n">
        <v>1560</v>
      </c>
      <c r="G13" s="9" t="n">
        <v>1950</v>
      </c>
      <c r="H13" s="9" t="n">
        <v>2510</v>
      </c>
    </row>
    <row r="14" ht="18" customHeight="1" s="29">
      <c r="A14" s="27" t="inlineStr">
        <is>
          <t>12</t>
        </is>
      </c>
      <c r="B14" s="27" t="inlineStr">
        <is>
          <t>Ennis</t>
        </is>
      </c>
      <c r="C14" s="27" t="inlineStr">
        <is>
          <t>TX</t>
        </is>
      </c>
      <c r="D14" s="13" t="inlineStr">
        <is>
          <t>R2 — OH/TX/CA</t>
        </is>
      </c>
      <c r="E14" s="3" t="n">
        <v>1290</v>
      </c>
      <c r="F14" s="3" t="n">
        <v>1520</v>
      </c>
      <c r="G14" s="3" t="n">
        <v>1900</v>
      </c>
      <c r="H14" s="3" t="n">
        <v>2440</v>
      </c>
    </row>
    <row r="15" ht="18" customHeight="1" s="29">
      <c r="A15" s="26" t="inlineStr">
        <is>
          <t>13</t>
        </is>
      </c>
      <c r="B15" s="26" t="inlineStr">
        <is>
          <t>Sonora</t>
        </is>
      </c>
      <c r="C15" s="26" t="inlineStr">
        <is>
          <t>CA</t>
        </is>
      </c>
      <c r="D15" s="16" t="inlineStr">
        <is>
          <t>R4 — AR/CA/GA</t>
        </is>
      </c>
      <c r="E15" s="9" t="n">
        <v>1170</v>
      </c>
      <c r="F15" s="9" t="n">
        <v>1500</v>
      </c>
      <c r="G15" s="9" t="n">
        <v>1970</v>
      </c>
      <c r="H15" s="9" t="n">
        <v>2520</v>
      </c>
    </row>
    <row r="16" ht="18" customHeight="1" s="29">
      <c r="A16" s="27" t="inlineStr">
        <is>
          <t>14</t>
        </is>
      </c>
      <c r="B16" s="27" t="inlineStr">
        <is>
          <t>Baton Rouge</t>
        </is>
      </c>
      <c r="C16" s="27" t="inlineStr">
        <is>
          <t>LA</t>
        </is>
      </c>
      <c r="D16" s="14" t="inlineStr">
        <is>
          <t>R3 — LA/FL</t>
        </is>
      </c>
      <c r="E16" s="3" t="n">
        <v>1276</v>
      </c>
      <c r="F16" s="3" t="n">
        <v>1444</v>
      </c>
      <c r="G16" s="3" t="n">
        <v>1813</v>
      </c>
      <c r="H16" s="3" t="n">
        <v>2331</v>
      </c>
    </row>
    <row r="17" ht="18" customHeight="1" s="29">
      <c r="A17" s="26" t="inlineStr">
        <is>
          <t>15</t>
        </is>
      </c>
      <c r="B17" s="26" t="inlineStr">
        <is>
          <t>Columbus</t>
        </is>
      </c>
      <c r="C17" s="26" t="inlineStr">
        <is>
          <t>OH</t>
        </is>
      </c>
      <c r="D17" s="13" t="inlineStr">
        <is>
          <t>R2 — OH/TX/CA</t>
        </is>
      </c>
      <c r="E17" s="9" t="n">
        <v>1171</v>
      </c>
      <c r="F17" s="9" t="n">
        <v>1432</v>
      </c>
      <c r="G17" s="9" t="n">
        <v>1731</v>
      </c>
      <c r="H17" s="9" t="n">
        <v>1919</v>
      </c>
    </row>
    <row r="18" ht="18" customHeight="1" s="29">
      <c r="A18" s="27" t="inlineStr">
        <is>
          <t>16</t>
        </is>
      </c>
      <c r="B18" s="27" t="inlineStr">
        <is>
          <t>Augusta</t>
        </is>
      </c>
      <c r="C18" s="27" t="inlineStr">
        <is>
          <t>GA</t>
        </is>
      </c>
      <c r="D18" s="16" t="inlineStr">
        <is>
          <t>R4 — AR/CA/GA</t>
        </is>
      </c>
      <c r="E18" s="3" t="n">
        <v>1090</v>
      </c>
      <c r="F18" s="3" t="n">
        <v>1416</v>
      </c>
      <c r="G18" s="3" t="n">
        <v>1819</v>
      </c>
      <c r="H18" s="3" t="n">
        <v>2158</v>
      </c>
    </row>
    <row r="19" ht="18" customHeight="1" s="29">
      <c r="A19" s="26" t="inlineStr">
        <is>
          <t>17</t>
        </is>
      </c>
      <c r="B19" s="26" t="inlineStr">
        <is>
          <t>Harvey</t>
        </is>
      </c>
      <c r="C19" s="26" t="inlineStr">
        <is>
          <t>LA</t>
        </is>
      </c>
      <c r="D19" s="14" t="inlineStr">
        <is>
          <t>R3 — LA/FL</t>
        </is>
      </c>
      <c r="E19" s="9" t="n">
        <v>1169</v>
      </c>
      <c r="F19" s="9" t="n">
        <v>1398</v>
      </c>
      <c r="G19" s="9" t="n">
        <v>1786</v>
      </c>
      <c r="H19" s="9" t="n">
        <v>2096</v>
      </c>
    </row>
    <row r="20" ht="18" customHeight="1" s="29">
      <c r="A20" s="27" t="inlineStr">
        <is>
          <t>18</t>
        </is>
      </c>
      <c r="B20" s="27" t="inlineStr">
        <is>
          <t>Marrero</t>
        </is>
      </c>
      <c r="C20" s="27" t="inlineStr">
        <is>
          <t>LA</t>
        </is>
      </c>
      <c r="D20" s="14" t="inlineStr">
        <is>
          <t>R3 — LA/FL</t>
        </is>
      </c>
      <c r="E20" s="3" t="n">
        <v>1169</v>
      </c>
      <c r="F20" s="3" t="n">
        <v>1398</v>
      </c>
      <c r="G20" s="3" t="n">
        <v>1786</v>
      </c>
      <c r="H20" s="3" t="n">
        <v>2096</v>
      </c>
    </row>
    <row r="21" ht="18" customHeight="1" s="29">
      <c r="A21" s="26" t="inlineStr">
        <is>
          <t>19</t>
        </is>
      </c>
      <c r="B21" s="26" t="inlineStr">
        <is>
          <t>Monticello</t>
        </is>
      </c>
      <c r="C21" s="26" t="inlineStr">
        <is>
          <t>FL</t>
        </is>
      </c>
      <c r="D21" s="2" t="inlineStr">
        <is>
          <t>R1 — FL/MS</t>
        </is>
      </c>
      <c r="E21" s="9" t="n">
        <v>1183</v>
      </c>
      <c r="F21" s="9" t="n">
        <v>1339</v>
      </c>
      <c r="G21" s="9" t="n">
        <v>1738</v>
      </c>
      <c r="H21" s="9" t="n">
        <v>1801</v>
      </c>
    </row>
    <row r="22" ht="18" customHeight="1" s="29">
      <c r="A22" s="27" t="inlineStr">
        <is>
          <t>20</t>
        </is>
      </c>
      <c r="B22" s="27" t="inlineStr">
        <is>
          <t>Quincy</t>
        </is>
      </c>
      <c r="C22" s="27" t="inlineStr">
        <is>
          <t>FL</t>
        </is>
      </c>
      <c r="D22" s="14" t="inlineStr">
        <is>
          <t>R3 — LA/FL</t>
        </is>
      </c>
      <c r="E22" s="3" t="n">
        <v>1143</v>
      </c>
      <c r="F22" s="3" t="n">
        <v>1284</v>
      </c>
      <c r="G22" s="3" t="n">
        <v>1590</v>
      </c>
      <c r="H22" s="3" t="n">
        <v>1700</v>
      </c>
    </row>
    <row r="23" ht="18" customHeight="1" s="29">
      <c r="A23" s="26" t="inlineStr">
        <is>
          <t>21</t>
        </is>
      </c>
      <c r="B23" s="26" t="inlineStr">
        <is>
          <t>Lake Charles</t>
        </is>
      </c>
      <c r="C23" s="26" t="inlineStr">
        <is>
          <t>LA</t>
        </is>
      </c>
      <c r="D23" s="14" t="inlineStr">
        <is>
          <t>R3 — LA/FL</t>
        </is>
      </c>
      <c r="E23" s="9" t="n">
        <v>964</v>
      </c>
      <c r="F23" s="9" t="n">
        <v>1258</v>
      </c>
      <c r="G23" s="9" t="n">
        <v>1521</v>
      </c>
      <c r="H23" s="9" t="n">
        <v>1668</v>
      </c>
    </row>
    <row r="24" ht="18" customHeight="1" s="29">
      <c r="A24" s="27" t="inlineStr">
        <is>
          <t>22</t>
        </is>
      </c>
      <c r="B24" s="27" t="inlineStr">
        <is>
          <t>Thibodaux</t>
        </is>
      </c>
      <c r="C24" s="27" t="inlineStr">
        <is>
          <t>LA</t>
        </is>
      </c>
      <c r="D24" s="14" t="inlineStr">
        <is>
          <t>R3 — LA/FL</t>
        </is>
      </c>
      <c r="E24" s="3" t="n">
        <v>994</v>
      </c>
      <c r="F24" s="3" t="n">
        <v>1212</v>
      </c>
      <c r="G24" s="3" t="n">
        <v>1463</v>
      </c>
      <c r="H24" s="3" t="n">
        <v>1604</v>
      </c>
    </row>
    <row r="25" ht="18" customHeight="1" s="29">
      <c r="A25" s="26" t="inlineStr">
        <is>
          <t>23</t>
        </is>
      </c>
      <c r="B25" s="26" t="inlineStr">
        <is>
          <t>Bossier City</t>
        </is>
      </c>
      <c r="C25" s="26" t="inlineStr">
        <is>
          <t>LA</t>
        </is>
      </c>
      <c r="D25" s="14" t="inlineStr">
        <is>
          <t>R3 — LA/FL</t>
        </is>
      </c>
      <c r="E25" s="9" t="n">
        <v>981</v>
      </c>
      <c r="F25" s="9" t="n">
        <v>1118</v>
      </c>
      <c r="G25" s="9" t="n">
        <v>1448</v>
      </c>
      <c r="H25" s="9" t="n">
        <v>1533</v>
      </c>
    </row>
    <row r="26" ht="18" customHeight="1" s="29">
      <c r="A26" s="27" t="inlineStr">
        <is>
          <t>24</t>
        </is>
      </c>
      <c r="B26" s="27" t="inlineStr">
        <is>
          <t>Hickory</t>
        </is>
      </c>
      <c r="C26" s="27" t="inlineStr">
        <is>
          <t>NC</t>
        </is>
      </c>
      <c r="D26" s="18" t="inlineStr">
        <is>
          <t>R5 — NC</t>
        </is>
      </c>
      <c r="E26" s="3" t="n">
        <v>908</v>
      </c>
      <c r="F26" s="3" t="n">
        <v>1095</v>
      </c>
      <c r="G26" s="3" t="n">
        <v>1372</v>
      </c>
      <c r="H26" s="3" t="n">
        <v>1660</v>
      </c>
    </row>
    <row r="27" ht="18" customHeight="1" s="29">
      <c r="A27" s="26" t="inlineStr">
        <is>
          <t>25</t>
        </is>
      </c>
      <c r="B27" s="26" t="inlineStr">
        <is>
          <t>Thomasville</t>
        </is>
      </c>
      <c r="C27" s="26" t="inlineStr">
        <is>
          <t>NC</t>
        </is>
      </c>
      <c r="D27" s="18" t="inlineStr">
        <is>
          <t>R5 — NC</t>
        </is>
      </c>
      <c r="E27" s="9" t="n">
        <v>964</v>
      </c>
      <c r="F27" s="9" t="n">
        <v>1056</v>
      </c>
      <c r="G27" s="9" t="n">
        <v>1448</v>
      </c>
      <c r="H27" s="9" t="n">
        <v>1750</v>
      </c>
    </row>
    <row r="28" ht="18" customHeight="1" s="29">
      <c r="A28" s="27" t="inlineStr">
        <is>
          <t>26</t>
        </is>
      </c>
      <c r="B28" s="27" t="inlineStr">
        <is>
          <t>Shreveport</t>
        </is>
      </c>
      <c r="C28" s="27" t="inlineStr">
        <is>
          <t>LA</t>
        </is>
      </c>
      <c r="D28" s="14" t="inlineStr">
        <is>
          <t>R3 — LA/FL</t>
        </is>
      </c>
      <c r="E28" s="3" t="n">
        <v>892</v>
      </c>
      <c r="F28" s="3" t="n">
        <v>1017</v>
      </c>
      <c r="G28" s="3" t="n">
        <v>1317</v>
      </c>
      <c r="H28" s="3" t="n">
        <v>1394</v>
      </c>
    </row>
    <row r="29" ht="18" customHeight="1" s="29">
      <c r="A29" s="26" t="inlineStr">
        <is>
          <t>27</t>
        </is>
      </c>
      <c r="B29" s="26" t="inlineStr">
        <is>
          <t>Crystal Springs</t>
        </is>
      </c>
      <c r="C29" s="26" t="inlineStr">
        <is>
          <t>MS</t>
        </is>
      </c>
      <c r="D29" s="2" t="inlineStr">
        <is>
          <t>R1 — FL/MS</t>
        </is>
      </c>
      <c r="E29" s="9" t="n">
        <v>690</v>
      </c>
      <c r="F29" s="9" t="n">
        <v>800</v>
      </c>
      <c r="G29" s="9" t="n">
        <v>970</v>
      </c>
      <c r="H29" s="9" t="n">
        <v>1110</v>
      </c>
    </row>
    <row r="30" ht="18" customHeight="1" s="29">
      <c r="A30" s="27" t="inlineStr">
        <is>
          <t>28</t>
        </is>
      </c>
      <c r="B30" s="27" t="inlineStr">
        <is>
          <t>Bentonville</t>
        </is>
      </c>
      <c r="C30" s="27" t="inlineStr">
        <is>
          <t>AR</t>
        </is>
      </c>
      <c r="D30" s="16" t="inlineStr">
        <is>
          <t>R4 — AR/CA/GA</t>
        </is>
      </c>
      <c r="E30" s="3" t="n">
        <v>630</v>
      </c>
      <c r="F30" s="3" t="n">
        <v>780</v>
      </c>
      <c r="G30" s="3" t="n">
        <v>1110</v>
      </c>
      <c r="H30" s="3" t="n">
        <v>1340</v>
      </c>
    </row>
    <row r="31" ht="18" customHeight="1" s="29">
      <c r="A31" s="26" t="inlineStr">
        <is>
          <t>29</t>
        </is>
      </c>
      <c r="B31" s="26" t="inlineStr">
        <is>
          <t>Natchez</t>
        </is>
      </c>
      <c r="C31" s="26" t="inlineStr">
        <is>
          <t>MS</t>
        </is>
      </c>
      <c r="D31" s="2" t="inlineStr">
        <is>
          <t>R1 — FL/MS</t>
        </is>
      </c>
      <c r="E31" s="9" t="n">
        <v>555</v>
      </c>
      <c r="F31" s="9" t="n">
        <v>710</v>
      </c>
      <c r="G31" s="9" t="n">
        <v>885</v>
      </c>
      <c r="H31" s="9" t="n">
        <v>975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showRowColHeaders="0" workbookViewId="0">
      <selection activeCell="A1" sqref="A1"/>
    </sheetView>
  </sheetViews>
  <sheetFormatPr baseColWidth="8" defaultRowHeight="15"/>
  <sheetData>
    <row r="1" ht="27.95" customHeight="1" s="29">
      <c r="A1" s="31" t="inlineStr">
        <is>
          <t>PHA Payment Standards — Visual Analysis</t>
        </is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2026-04-14T02:57:15Z</dcterms:created>
  <dcterms:modified xmlns:dcterms="http://purl.org/dc/terms/" xmlns:xsi="http://www.w3.org/2001/XMLSchema-instance" xsi:type="dcterms:W3CDTF">2026-04-20T16:57:54Z</dcterms:modified>
  <cp:lastModifiedBy>Brandon Rose</cp:lastModifiedBy>
</cp:coreProperties>
</file>