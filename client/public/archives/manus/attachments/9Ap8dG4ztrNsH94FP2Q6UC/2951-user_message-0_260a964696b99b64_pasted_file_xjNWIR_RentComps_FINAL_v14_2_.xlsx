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xr:revisionPtr revIDLastSave="0" documentId="8_{5DE822EE-2CD5-4AA6-BA3C-2FA1C16B0FA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DEX" sheetId="1" r:id="rId1"/>
    <sheet name="Excel Sharepoints" sheetId="44" r:id="rId2"/>
    <sheet name="Current Rents" sheetId="2" r:id="rId3"/>
    <sheet name="21 - Boca Ciega" sheetId="3" r:id="rId4"/>
    <sheet name="13 - Jefferson" sheetId="4" r:id="rId5"/>
    <sheet name="18 - Opa Locka" sheetId="5" r:id="rId6"/>
    <sheet name="14 - Macedonia" sheetId="6" r:id="rId7"/>
    <sheet name="48 - Coral Village" sheetId="7" r:id="rId8"/>
    <sheet name="15 - Holiday" sheetId="8" r:id="rId9"/>
    <sheet name="16 - Cumberland" sheetId="9" r:id="rId10"/>
    <sheet name="59 - Walnut Hill" sheetId="10" r:id="rId11"/>
    <sheet name="29 - River Pointe" sheetId="11" r:id="rId12"/>
    <sheet name="12 - Breckenridge" sheetId="12" r:id="rId13"/>
    <sheet name="38 - Lexington" sheetId="13" r:id="rId14"/>
    <sheet name="23 - Grace Townhomes" sheetId="14" r:id="rId15"/>
    <sheet name="46 - Grove Park" sheetId="15" r:id="rId16"/>
    <sheet name="60 - La Promesa" sheetId="16" r:id="rId17"/>
    <sheet name="3 - Wilmington" sheetId="17" r:id="rId18"/>
    <sheet name="19 - Gates" sheetId="18" r:id="rId19"/>
    <sheet name="42 - Ruby" sheetId="19" r:id="rId20"/>
    <sheet name="39 - Star" sheetId="20" r:id="rId21"/>
    <sheet name="20 - Thibodaux" sheetId="21" r:id="rId22"/>
    <sheet name="40 - Marrero" sheetId="22" r:id="rId23"/>
    <sheet name="37 - Arbor Crest" sheetId="23" r:id="rId24"/>
    <sheet name="33 - Windsor-Yorkshire" sheetId="24" r:id="rId25"/>
    <sheet name="50 - North Pointe" sheetId="25" r:id="rId26"/>
    <sheet name="53 - Bayou Pointe" sheetId="26" r:id="rId27"/>
    <sheet name="41 - St. Charles" sheetId="27" r:id="rId28"/>
    <sheet name="55 - Pelican Bay" sheetId="28" r:id="rId29"/>
    <sheet name="56 - Howell Place" sheetId="29" r:id="rId30"/>
    <sheet name="57 - Pirates Bend" sheetId="30" r:id="rId31"/>
    <sheet name="6 - Anaheim Gardens" sheetId="31" r:id="rId32"/>
    <sheet name="11 - Fairfax" sheetId="32" r:id="rId33"/>
    <sheet name="31 - Urban" sheetId="33" r:id="rId34"/>
    <sheet name="2 - Midtown" sheetId="34" r:id="rId35"/>
    <sheet name="34 - Pacific Pointe" sheetId="35" r:id="rId36"/>
    <sheet name="28 - Granite Ridge" sheetId="36" r:id="rId37"/>
    <sheet name="25 - Columbia" sheetId="37" r:id="rId38"/>
    <sheet name="26 - Forest View" sheetId="38" r:id="rId39"/>
    <sheet name="24 - Oak Hills" sheetId="39" r:id="rId40"/>
    <sheet name="58 - River Garden" sheetId="40" r:id="rId41"/>
    <sheet name="36 - Silver Springs" sheetId="41" r:id="rId42"/>
    <sheet name="44 - Thomasville" sheetId="42" r:id="rId43"/>
    <sheet name="63 - Crossroads" sheetId="43" r:id="rId4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3" l="1"/>
  <c r="C29" i="43"/>
  <c r="B24" i="43"/>
  <c r="E24" i="43" s="1"/>
  <c r="F24" i="43" s="1"/>
  <c r="B23" i="43"/>
  <c r="E23" i="43" s="1"/>
  <c r="F23" i="43" s="1"/>
  <c r="Q6" i="43"/>
  <c r="M6" i="43"/>
  <c r="C36" i="42"/>
  <c r="C35" i="42"/>
  <c r="C34" i="42"/>
  <c r="C33" i="42"/>
  <c r="B28" i="42"/>
  <c r="E28" i="42" s="1"/>
  <c r="F28" i="42" s="1"/>
  <c r="B27" i="42"/>
  <c r="E27" i="42" s="1"/>
  <c r="F27" i="42" s="1"/>
  <c r="B26" i="42"/>
  <c r="E26" i="42" s="1"/>
  <c r="F26" i="42" s="1"/>
  <c r="B25" i="42"/>
  <c r="E25" i="42" s="1"/>
  <c r="F25" i="42" s="1"/>
  <c r="Y6" i="42"/>
  <c r="U6" i="42"/>
  <c r="Q6" i="42"/>
  <c r="M6" i="42"/>
  <c r="C36" i="41"/>
  <c r="C35" i="41"/>
  <c r="C34" i="41"/>
  <c r="C33" i="41"/>
  <c r="B28" i="41"/>
  <c r="E28" i="41" s="1"/>
  <c r="F28" i="41" s="1"/>
  <c r="B27" i="41"/>
  <c r="E27" i="41" s="1"/>
  <c r="F27" i="41" s="1"/>
  <c r="B26" i="41"/>
  <c r="E26" i="41" s="1"/>
  <c r="F26" i="41" s="1"/>
  <c r="B25" i="41"/>
  <c r="E25" i="41" s="1"/>
  <c r="F25" i="41" s="1"/>
  <c r="Y6" i="41"/>
  <c r="U6" i="41"/>
  <c r="Q6" i="41"/>
  <c r="M6" i="41"/>
  <c r="C36" i="40"/>
  <c r="C35" i="40"/>
  <c r="C34" i="40"/>
  <c r="C33" i="40"/>
  <c r="B28" i="40"/>
  <c r="E28" i="40" s="1"/>
  <c r="F28" i="40" s="1"/>
  <c r="B27" i="40"/>
  <c r="E27" i="40" s="1"/>
  <c r="F27" i="40" s="1"/>
  <c r="B26" i="40"/>
  <c r="E26" i="40" s="1"/>
  <c r="F26" i="40" s="1"/>
  <c r="B25" i="40"/>
  <c r="E25" i="40" s="1"/>
  <c r="F25" i="40" s="1"/>
  <c r="Y6" i="40"/>
  <c r="U6" i="40"/>
  <c r="Q6" i="40"/>
  <c r="M6" i="40"/>
  <c r="C32" i="39"/>
  <c r="C31" i="39"/>
  <c r="B26" i="39"/>
  <c r="E26" i="39" s="1"/>
  <c r="F26" i="39" s="1"/>
  <c r="B25" i="39"/>
  <c r="E25" i="39" s="1"/>
  <c r="F25" i="39" s="1"/>
  <c r="Q6" i="39"/>
  <c r="M6" i="39"/>
  <c r="C34" i="38"/>
  <c r="C33" i="38"/>
  <c r="C32" i="38"/>
  <c r="B27" i="38"/>
  <c r="E27" i="38" s="1"/>
  <c r="F27" i="38" s="1"/>
  <c r="B26" i="38"/>
  <c r="E26" i="38" s="1"/>
  <c r="F26" i="38" s="1"/>
  <c r="B25" i="38"/>
  <c r="E25" i="38" s="1"/>
  <c r="F25" i="38" s="1"/>
  <c r="U6" i="38"/>
  <c r="Q6" i="38"/>
  <c r="M6" i="38"/>
  <c r="C34" i="37"/>
  <c r="C33" i="37"/>
  <c r="C32" i="37"/>
  <c r="B27" i="37"/>
  <c r="E27" i="37" s="1"/>
  <c r="F27" i="37" s="1"/>
  <c r="B26" i="37"/>
  <c r="E26" i="37" s="1"/>
  <c r="F26" i="37" s="1"/>
  <c r="B25" i="37"/>
  <c r="E25" i="37" s="1"/>
  <c r="F25" i="37" s="1"/>
  <c r="U6" i="37"/>
  <c r="Q6" i="37"/>
  <c r="M6" i="37"/>
  <c r="C32" i="36"/>
  <c r="C31" i="36"/>
  <c r="B26" i="36"/>
  <c r="E26" i="36" s="1"/>
  <c r="F26" i="36" s="1"/>
  <c r="B25" i="36"/>
  <c r="E25" i="36" s="1"/>
  <c r="F25" i="36" s="1"/>
  <c r="Q6" i="36"/>
  <c r="M6" i="36"/>
  <c r="C32" i="35"/>
  <c r="C31" i="35"/>
  <c r="B26" i="35"/>
  <c r="E26" i="35" s="1"/>
  <c r="F26" i="35" s="1"/>
  <c r="B25" i="35"/>
  <c r="E25" i="35" s="1"/>
  <c r="F25" i="35" s="1"/>
  <c r="Q6" i="35"/>
  <c r="M6" i="35"/>
  <c r="C30" i="34"/>
  <c r="B25" i="34"/>
  <c r="E25" i="34" s="1"/>
  <c r="F25" i="34" s="1"/>
  <c r="M6" i="34"/>
  <c r="C30" i="33"/>
  <c r="B25" i="33"/>
  <c r="E25" i="33" s="1"/>
  <c r="F25" i="33" s="1"/>
  <c r="M6" i="33"/>
  <c r="C30" i="32"/>
  <c r="B25" i="32"/>
  <c r="E25" i="32" s="1"/>
  <c r="F25" i="32" s="1"/>
  <c r="M6" i="32"/>
  <c r="C34" i="31"/>
  <c r="C33" i="31"/>
  <c r="C32" i="31"/>
  <c r="B27" i="31"/>
  <c r="E27" i="31" s="1"/>
  <c r="F27" i="31" s="1"/>
  <c r="B26" i="31"/>
  <c r="E26" i="31" s="1"/>
  <c r="F26" i="31" s="1"/>
  <c r="B25" i="31"/>
  <c r="E25" i="31" s="1"/>
  <c r="F25" i="31" s="1"/>
  <c r="U6" i="31"/>
  <c r="Q6" i="31"/>
  <c r="M6" i="31"/>
  <c r="C36" i="30"/>
  <c r="C35" i="30"/>
  <c r="C34" i="30"/>
  <c r="C33" i="30"/>
  <c r="B28" i="30"/>
  <c r="E28" i="30" s="1"/>
  <c r="F28" i="30" s="1"/>
  <c r="B27" i="30"/>
  <c r="E27" i="30" s="1"/>
  <c r="F27" i="30" s="1"/>
  <c r="B26" i="30"/>
  <c r="E26" i="30" s="1"/>
  <c r="F26" i="30" s="1"/>
  <c r="B25" i="30"/>
  <c r="E25" i="30" s="1"/>
  <c r="F25" i="30" s="1"/>
  <c r="Y6" i="30"/>
  <c r="U6" i="30"/>
  <c r="Q6" i="30"/>
  <c r="M6" i="30"/>
  <c r="C36" i="29"/>
  <c r="C35" i="29"/>
  <c r="C34" i="29"/>
  <c r="C33" i="29"/>
  <c r="B28" i="29"/>
  <c r="E28" i="29" s="1"/>
  <c r="F28" i="29" s="1"/>
  <c r="B27" i="29"/>
  <c r="E27" i="29" s="1"/>
  <c r="F27" i="29" s="1"/>
  <c r="B26" i="29"/>
  <c r="E26" i="29" s="1"/>
  <c r="F26" i="29" s="1"/>
  <c r="B25" i="29"/>
  <c r="E25" i="29" s="1"/>
  <c r="F25" i="29" s="1"/>
  <c r="Y6" i="29"/>
  <c r="U6" i="29"/>
  <c r="Q6" i="29"/>
  <c r="M6" i="29"/>
  <c r="C36" i="28"/>
  <c r="C35" i="28"/>
  <c r="C34" i="28"/>
  <c r="C33" i="28"/>
  <c r="B28" i="28"/>
  <c r="E28" i="28" s="1"/>
  <c r="F28" i="28" s="1"/>
  <c r="B27" i="28"/>
  <c r="E27" i="28" s="1"/>
  <c r="F27" i="28" s="1"/>
  <c r="B26" i="28"/>
  <c r="E26" i="28" s="1"/>
  <c r="F26" i="28" s="1"/>
  <c r="B25" i="28"/>
  <c r="E25" i="28" s="1"/>
  <c r="F25" i="28" s="1"/>
  <c r="Y6" i="28"/>
  <c r="U6" i="28"/>
  <c r="Q6" i="28"/>
  <c r="M6" i="28"/>
  <c r="C32" i="27"/>
  <c r="C31" i="27"/>
  <c r="B26" i="27"/>
  <c r="E26" i="27" s="1"/>
  <c r="F26" i="27" s="1"/>
  <c r="B25" i="27"/>
  <c r="E25" i="27" s="1"/>
  <c r="F25" i="27" s="1"/>
  <c r="Q6" i="27"/>
  <c r="M6" i="27"/>
  <c r="C32" i="26"/>
  <c r="C31" i="26"/>
  <c r="B26" i="26"/>
  <c r="E26" i="26" s="1"/>
  <c r="F26" i="26" s="1"/>
  <c r="B25" i="26"/>
  <c r="E25" i="26" s="1"/>
  <c r="F25" i="26" s="1"/>
  <c r="Q6" i="26"/>
  <c r="M6" i="26"/>
  <c r="C36" i="25"/>
  <c r="C35" i="25"/>
  <c r="C34" i="25"/>
  <c r="B29" i="25"/>
  <c r="E29" i="25" s="1"/>
  <c r="F29" i="25" s="1"/>
  <c r="B28" i="25"/>
  <c r="E28" i="25" s="1"/>
  <c r="F28" i="25" s="1"/>
  <c r="B27" i="25"/>
  <c r="E27" i="25" s="1"/>
  <c r="F27" i="25" s="1"/>
  <c r="U6" i="25"/>
  <c r="Q6" i="25"/>
  <c r="M6" i="25"/>
  <c r="C36" i="24"/>
  <c r="C35" i="24"/>
  <c r="C34" i="24"/>
  <c r="B29" i="24"/>
  <c r="E29" i="24" s="1"/>
  <c r="F29" i="24" s="1"/>
  <c r="B28" i="24"/>
  <c r="E28" i="24" s="1"/>
  <c r="F28" i="24" s="1"/>
  <c r="B27" i="24"/>
  <c r="E27" i="24" s="1"/>
  <c r="F27" i="24" s="1"/>
  <c r="U6" i="24"/>
  <c r="Q6" i="24"/>
  <c r="M6" i="24"/>
  <c r="C36" i="23"/>
  <c r="C35" i="23"/>
  <c r="C34" i="23"/>
  <c r="B29" i="23"/>
  <c r="E29" i="23" s="1"/>
  <c r="F29" i="23" s="1"/>
  <c r="B28" i="23"/>
  <c r="E28" i="23" s="1"/>
  <c r="F28" i="23" s="1"/>
  <c r="B27" i="23"/>
  <c r="E27" i="23" s="1"/>
  <c r="F27" i="23" s="1"/>
  <c r="U6" i="23"/>
  <c r="Q6" i="23"/>
  <c r="M6" i="23"/>
  <c r="C34" i="22"/>
  <c r="C33" i="22"/>
  <c r="B28" i="22"/>
  <c r="E28" i="22" s="1"/>
  <c r="F28" i="22" s="1"/>
  <c r="B27" i="22"/>
  <c r="E27" i="22" s="1"/>
  <c r="F27" i="22" s="1"/>
  <c r="Q6" i="22"/>
  <c r="M6" i="22"/>
  <c r="C36" i="21"/>
  <c r="C35" i="21"/>
  <c r="C34" i="21"/>
  <c r="B29" i="21"/>
  <c r="E29" i="21" s="1"/>
  <c r="F29" i="21" s="1"/>
  <c r="B28" i="21"/>
  <c r="E28" i="21" s="1"/>
  <c r="F28" i="21" s="1"/>
  <c r="B27" i="21"/>
  <c r="E27" i="21" s="1"/>
  <c r="F27" i="21" s="1"/>
  <c r="U6" i="21"/>
  <c r="Q6" i="21"/>
  <c r="M6" i="21"/>
  <c r="C36" i="20"/>
  <c r="C35" i="20"/>
  <c r="C34" i="20"/>
  <c r="B29" i="20"/>
  <c r="E29" i="20" s="1"/>
  <c r="F29" i="20" s="1"/>
  <c r="B28" i="20"/>
  <c r="E28" i="20" s="1"/>
  <c r="F28" i="20" s="1"/>
  <c r="B27" i="20"/>
  <c r="E27" i="20" s="1"/>
  <c r="F27" i="20" s="1"/>
  <c r="U6" i="20"/>
  <c r="Q6" i="20"/>
  <c r="M6" i="20"/>
  <c r="C34" i="19"/>
  <c r="C33" i="19"/>
  <c r="B28" i="19"/>
  <c r="E28" i="19" s="1"/>
  <c r="F28" i="19" s="1"/>
  <c r="B27" i="19"/>
  <c r="E27" i="19" s="1"/>
  <c r="F27" i="19" s="1"/>
  <c r="Q6" i="19"/>
  <c r="M6" i="19"/>
  <c r="C36" i="18"/>
  <c r="C35" i="18"/>
  <c r="C34" i="18"/>
  <c r="B29" i="18"/>
  <c r="E29" i="18" s="1"/>
  <c r="F29" i="18" s="1"/>
  <c r="B28" i="18"/>
  <c r="E28" i="18" s="1"/>
  <c r="F28" i="18" s="1"/>
  <c r="B27" i="18"/>
  <c r="E27" i="18" s="1"/>
  <c r="F27" i="18" s="1"/>
  <c r="U6" i="18"/>
  <c r="Q6" i="18"/>
  <c r="M6" i="18"/>
  <c r="C38" i="17"/>
  <c r="C37" i="17"/>
  <c r="C36" i="17"/>
  <c r="C35" i="17"/>
  <c r="B30" i="17"/>
  <c r="E30" i="17" s="1"/>
  <c r="F30" i="17" s="1"/>
  <c r="B29" i="17"/>
  <c r="E29" i="17" s="1"/>
  <c r="F29" i="17" s="1"/>
  <c r="B28" i="17"/>
  <c r="E28" i="17" s="1"/>
  <c r="F28" i="17" s="1"/>
  <c r="B27" i="17"/>
  <c r="E27" i="17" s="1"/>
  <c r="F27" i="17" s="1"/>
  <c r="Y6" i="17"/>
  <c r="U6" i="17"/>
  <c r="Q6" i="17"/>
  <c r="M6" i="17"/>
  <c r="C34" i="16"/>
  <c r="C33" i="16"/>
  <c r="B28" i="16"/>
  <c r="E28" i="16" s="1"/>
  <c r="F28" i="16" s="1"/>
  <c r="B27" i="16"/>
  <c r="E27" i="16" s="1"/>
  <c r="F27" i="16" s="1"/>
  <c r="Q6" i="16"/>
  <c r="M6" i="16"/>
  <c r="C36" i="15"/>
  <c r="C35" i="15"/>
  <c r="C34" i="15"/>
  <c r="B29" i="15"/>
  <c r="E29" i="15" s="1"/>
  <c r="F29" i="15" s="1"/>
  <c r="B28" i="15"/>
  <c r="E28" i="15" s="1"/>
  <c r="F28" i="15" s="1"/>
  <c r="B27" i="15"/>
  <c r="E27" i="15" s="1"/>
  <c r="F27" i="15" s="1"/>
  <c r="U6" i="15"/>
  <c r="Q6" i="15"/>
  <c r="M6" i="15"/>
  <c r="C36" i="14"/>
  <c r="C35" i="14"/>
  <c r="C34" i="14"/>
  <c r="B29" i="14"/>
  <c r="E29" i="14" s="1"/>
  <c r="F29" i="14" s="1"/>
  <c r="B28" i="14"/>
  <c r="E28" i="14" s="1"/>
  <c r="F28" i="14" s="1"/>
  <c r="B27" i="14"/>
  <c r="E27" i="14" s="1"/>
  <c r="F27" i="14" s="1"/>
  <c r="U6" i="14"/>
  <c r="Q6" i="14"/>
  <c r="M6" i="14"/>
  <c r="C34" i="13"/>
  <c r="C33" i="13"/>
  <c r="B28" i="13"/>
  <c r="E28" i="13" s="1"/>
  <c r="F28" i="13" s="1"/>
  <c r="B27" i="13"/>
  <c r="E27" i="13" s="1"/>
  <c r="F27" i="13" s="1"/>
  <c r="Q6" i="13"/>
  <c r="M6" i="13"/>
  <c r="B33" i="12"/>
  <c r="E33" i="12" s="1"/>
  <c r="F33" i="12" s="1"/>
  <c r="E32" i="12"/>
  <c r="F32" i="12" s="1"/>
  <c r="B32" i="12"/>
  <c r="Q13" i="12"/>
  <c r="M13" i="12"/>
  <c r="B29" i="11"/>
  <c r="E29" i="11" s="1"/>
  <c r="F29" i="11" s="1"/>
  <c r="P10" i="11"/>
  <c r="B33" i="10"/>
  <c r="B32" i="10"/>
  <c r="E32" i="10" s="1"/>
  <c r="F32" i="10" s="1"/>
  <c r="Q25" i="10"/>
  <c r="C33" i="10" s="1"/>
  <c r="E33" i="10" s="1"/>
  <c r="F33" i="10" s="1"/>
  <c r="Q13" i="10"/>
  <c r="M13" i="10"/>
  <c r="B35" i="9"/>
  <c r="E35" i="9" s="1"/>
  <c r="F35" i="9" s="1"/>
  <c r="B34" i="9"/>
  <c r="E34" i="9" s="1"/>
  <c r="F34" i="9" s="1"/>
  <c r="B33" i="9"/>
  <c r="E33" i="9" s="1"/>
  <c r="F33" i="9" s="1"/>
  <c r="B32" i="9"/>
  <c r="E32" i="9" s="1"/>
  <c r="F32" i="9" s="1"/>
  <c r="Y13" i="9"/>
  <c r="U13" i="9"/>
  <c r="Q13" i="9"/>
  <c r="M13" i="9"/>
  <c r="B34" i="8"/>
  <c r="E34" i="8" s="1"/>
  <c r="F34" i="8" s="1"/>
  <c r="B33" i="8"/>
  <c r="E33" i="8" s="1"/>
  <c r="F33" i="8" s="1"/>
  <c r="B32" i="8"/>
  <c r="E32" i="8" s="1"/>
  <c r="F32" i="8" s="1"/>
  <c r="U13" i="8"/>
  <c r="Q13" i="8"/>
  <c r="M13" i="8"/>
  <c r="B33" i="7"/>
  <c r="E33" i="7" s="1"/>
  <c r="F33" i="7" s="1"/>
  <c r="B32" i="7"/>
  <c r="E32" i="7" s="1"/>
  <c r="F32" i="7" s="1"/>
  <c r="Q13" i="7"/>
  <c r="M13" i="7"/>
  <c r="B27" i="6"/>
  <c r="E27" i="6" s="1"/>
  <c r="F27" i="6" s="1"/>
  <c r="B26" i="6"/>
  <c r="E26" i="6" s="1"/>
  <c r="F26" i="6" s="1"/>
  <c r="Q7" i="6"/>
  <c r="M7" i="6"/>
  <c r="B28" i="5"/>
  <c r="E28" i="5" s="1"/>
  <c r="F28" i="5" s="1"/>
  <c r="B27" i="5"/>
  <c r="E27" i="5" s="1"/>
  <c r="F27" i="5" s="1"/>
  <c r="B26" i="5"/>
  <c r="E26" i="5" s="1"/>
  <c r="F26" i="5" s="1"/>
  <c r="U7" i="5"/>
  <c r="Q7" i="5"/>
  <c r="M7" i="5"/>
  <c r="B26" i="4"/>
  <c r="E26" i="4" s="1"/>
  <c r="F26" i="4" s="1"/>
  <c r="B25" i="4"/>
  <c r="E25" i="4" s="1"/>
  <c r="F25" i="4" s="1"/>
  <c r="Q7" i="4"/>
  <c r="M7" i="4"/>
  <c r="E26" i="3"/>
  <c r="F26" i="3" s="1"/>
  <c r="E25" i="3"/>
  <c r="F25" i="3" s="1"/>
</calcChain>
</file>

<file path=xl/sharedStrings.xml><?xml version="1.0" encoding="utf-8"?>
<sst xmlns="http://schemas.openxmlformats.org/spreadsheetml/2006/main" count="15415" uniqueCount="2306">
  <si>
    <t>APARTMENT CORP — COMPETITIVE RENT COMP ANALYSIS 2026</t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</si>
  <si>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</si>
  <si>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</si>
  <si>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</si>
  <si>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</si>
  <si>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</si>
  <si>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</si>
  <si>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</si>
  <si>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</si>
  <si>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</si>
  <si>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</si>
  <si>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</si>
  <si>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</si>
  <si>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</si>
  <si>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</si>
  <si>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</si>
  <si>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+ 6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</si>
  <si>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</si>
  <si>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</si>
  <si>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</si>
  <si>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</si>
  <si>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</si>
  <si>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</si>
  <si>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</si>
  <si>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</si>
  <si>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</si>
  <si>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</si>
  <si>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</si>
  <si>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</si>
  <si>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</si>
  <si>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</si>
  <si>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</si>
  <si>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</si>
  <si>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</si>
  <si>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</si>
  <si>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</si>
  <si>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</si>
  <si>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</si>
  <si>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</si>
  <si>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</si>
  <si>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</si>
  <si>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</si>
  <si>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</si>
  <si>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</si>
  <si>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</si>
  <si>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</si>
  <si>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</si>
  <si>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</si>
  <si>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</si>
  <si>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</si>
  <si>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</si>
  <si>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</si>
  <si>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</si>
  <si>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</si>
  <si>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</si>
  <si>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</si>
  <si>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</si>
  <si>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</si>
  <si>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</si>
  <si>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</si>
  <si>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</si>
  <si>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</si>
  <si>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</si>
  <si>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</si>
  <si>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</si>
  <si>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</si>
  <si>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</si>
  <si>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</si>
  <si>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</si>
  <si>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</si>
  <si>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</si>
  <si>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</si>
  <si>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</si>
  <si>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</si>
  <si>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</si>
  <si>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</si>
  <si>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</si>
  <si>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</si>
  <si>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</si>
  <si>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</si>
  <si>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</si>
  <si>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</si>
  <si>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</si>
  <si>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</si>
  <si>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</si>
  <si>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</si>
  <si>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</si>
  <si>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</si>
  <si>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</si>
  <si>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</si>
  <si>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</si>
  <si>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</si>
  <si>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</si>
  <si>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</si>
  <si>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</si>
  <si>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</si>
  <si>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</si>
  <si>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</si>
  <si>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</si>
  <si>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</si>
  <si>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</si>
  <si>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</si>
  <si>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</si>
  <si>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</si>
  <si>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</si>
  <si>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</si>
  <si>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</si>
  <si>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</si>
  <si>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</si>
  <si>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</si>
  <si>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</si>
  <si>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</si>
  <si>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</si>
  <si>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</si>
  <si>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</si>
  <si>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</si>
  <si>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</si>
  <si>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</si>
  <si>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</si>
  <si>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</si>
  <si>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</si>
  <si>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</si>
  <si>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</si>
  <si>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</si>
  <si>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</si>
  <si>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</si>
  <si>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</si>
  <si>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</si>
  <si>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</si>
  <si>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</si>
  <si>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</si>
  <si>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</si>
  <si>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</si>
  <si>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</si>
  <si>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</si>
  <si>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</si>
  <si>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Crossroadsof Lee Summit</t>
  </si>
  <si>
    <t>Building Name</t>
  </si>
  <si>
    <t>Excel Rent Roll - Sharepoint URL</t>
  </si>
  <si>
    <t>Boca Ciega Rent Roll - 06-15-2026.xls</t>
  </si>
  <si>
    <t>—</t>
  </si>
  <si>
    <t>Jefferson</t>
  </si>
  <si>
    <t>JeffersonRentRoll.xls</t>
  </si>
  <si>
    <t>Opa Locka</t>
  </si>
  <si>
    <t>Macedonia</t>
  </si>
  <si>
    <t>Coral Village - Rent Roll - 06-15-2026.xls</t>
  </si>
  <si>
    <t>Holiday</t>
  </si>
  <si>
    <t>Holiday Rent Roll 06-29-2026.xls</t>
  </si>
  <si>
    <t>Cumberland Rent Roll 06-29-2026.xls</t>
  </si>
  <si>
    <t>Walnut Hill Rent Roll 06-29-2026.xls</t>
  </si>
  <si>
    <t>River Pointe Rent Roll 06-29-2026.xlsx</t>
  </si>
  <si>
    <t>Breckenridge</t>
  </si>
  <si>
    <t>Breckenridge Rent Roll 06-29-2026.xls</t>
  </si>
  <si>
    <t>Lexington</t>
  </si>
  <si>
    <t>Lexington Rent Roll 06-29-2026.xls</t>
  </si>
  <si>
    <t>Grace Townhomes Rent Roll 06-29-2026.xls</t>
  </si>
  <si>
    <t>Grove Park</t>
  </si>
  <si>
    <t>Grove Park Rent Roll 06-29-2026.xls</t>
  </si>
  <si>
    <t>La Promesa Rent Roll 06-29-2026.xlsx</t>
  </si>
  <si>
    <t>New Wilmington Arms Rent Roll 06-29-2026.xls</t>
  </si>
  <si>
    <t>Gates of Manhattan</t>
  </si>
  <si>
    <t>Gates of Manhattan Rent Roll 06-29-2026.xlsx</t>
  </si>
  <si>
    <t>Ruby</t>
  </si>
  <si>
    <t>Ruby Diamond - Rent Roll 06-12-2026.xlsx</t>
  </si>
  <si>
    <t>Star</t>
  </si>
  <si>
    <t>Star - Rent Roll 06-12-2026.xlsx</t>
  </si>
  <si>
    <t>Marrero</t>
  </si>
  <si>
    <t>Marrero - Rent Roll Detail 06-12-2026.xls</t>
  </si>
  <si>
    <t>Arbor Crest - Rent Roll - 06-15-2026.xls</t>
  </si>
  <si>
    <t>Windsor-Yorkshire</t>
  </si>
  <si>
    <t>Windsor - Thibodaux Rent Roll 06-29-2026.xls</t>
  </si>
  <si>
    <t>Yorkshire - Thibodaux Rent Roll 06-29-2026.xls</t>
  </si>
  <si>
    <t>North Pointe Rent Roll 06-29-2026.xls</t>
  </si>
  <si>
    <t>Bayou Pointe</t>
  </si>
  <si>
    <t>Bayou Pointe Rent Roll 06-29-2026.xls</t>
  </si>
  <si>
    <t>St. Charles</t>
  </si>
  <si>
    <t>St Charles Rent Roll 06-29-2026.xls</t>
  </si>
  <si>
    <t>Pelican Bay Rent Roll 06-29-2026.xls</t>
  </si>
  <si>
    <t>Howell Place Rent Roll 06-29-2026.xls</t>
  </si>
  <si>
    <t>Pirates Bend Rent Roll 06-29-2026.xls</t>
  </si>
  <si>
    <t>Anaheim Gardens</t>
  </si>
  <si>
    <t>Anaheim Gardens Rent Roll 06-29-2026.xls</t>
  </si>
  <si>
    <t>Fairfax - Rent Roll - 06-15-2026.xls</t>
  </si>
  <si>
    <t>Urban</t>
  </si>
  <si>
    <t>Urban Rehab Rent Roll 06-29-2026.xls</t>
  </si>
  <si>
    <t>Midtown</t>
  </si>
  <si>
    <t>Midtown Manor Rent Roll 06-29-2026.xls</t>
  </si>
  <si>
    <t>Pacific Pointe Rent Roll 06-29-2026.xls</t>
  </si>
  <si>
    <t>Granite Ridge Rent Roll 06-29-2026.xls</t>
  </si>
  <si>
    <t>Columbia</t>
  </si>
  <si>
    <t>Columbia Village Rent Roll 06-29-2026.xlsx</t>
  </si>
  <si>
    <t>Forest View</t>
  </si>
  <si>
    <t>Forest View Rent Roll 06-29-2026.xlsx</t>
  </si>
  <si>
    <t>Oak Hills Rent Roll 06-29-2026.xlsx</t>
  </si>
  <si>
    <t>River Gardens Rent Roll 06-29-2026.xlsx</t>
  </si>
  <si>
    <t>Silver Springs</t>
  </si>
  <si>
    <t>Silver Springs Rent Roll 06-29-2026.xls</t>
  </si>
  <si>
    <t>Thomasville</t>
  </si>
  <si>
    <t>Thomasville Rent Roll 06-29-2026.xls</t>
  </si>
  <si>
    <t>Crossroads of Lee Summit</t>
  </si>
  <si>
    <t>Crossroads Rent Roll 06-29-2026.xls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</si>
  <si>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</si>
  <si>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</si>
  <si>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</si>
  <si>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</si>
  <si>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</si>
  <si>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</si>
  <si>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</si>
  <si>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>Studio
(0BD)</t>
  </si>
  <si>
    <t>1 Bed
(1BD)</t>
  </si>
  <si>
    <t>2 Bed
(2BD)</t>
  </si>
  <si>
    <t>3 Bed
(3BD)</t>
  </si>
  <si>
    <t>4 Bed
(4BD)</t>
  </si>
  <si>
    <t>5 Bed
(5BD)</t>
  </si>
  <si>
    <t>Notes</t>
  </si>
  <si>
    <t>2BD</t>
  </si>
  <si>
    <t>3BD</t>
  </si>
  <si>
    <t>21</t>
  </si>
  <si>
    <t>4BD</t>
  </si>
  <si>
    <t>13</t>
  </si>
  <si>
    <t>18</t>
  </si>
  <si>
    <t>1BD</t>
  </si>
  <si>
    <t>14</t>
  </si>
  <si>
    <t>18 - Opa Locka (135th Apartments)</t>
  </si>
  <si>
    <t>48</t>
  </si>
  <si>
    <t>19 - Opa Locka (135th Apartments)</t>
  </si>
  <si>
    <t>15</t>
  </si>
  <si>
    <t>20 - Opa Locka (135th Apartments)</t>
  </si>
  <si>
    <t>16</t>
  </si>
  <si>
    <t>59</t>
  </si>
  <si>
    <t>29</t>
  </si>
  <si>
    <t>12</t>
  </si>
  <si>
    <t>5BD</t>
  </si>
  <si>
    <t>38</t>
  </si>
  <si>
    <t>23</t>
  </si>
  <si>
    <t>46</t>
  </si>
  <si>
    <t>60</t>
  </si>
  <si>
    <t>3</t>
  </si>
  <si>
    <t>Wilmington</t>
  </si>
  <si>
    <t>19</t>
  </si>
  <si>
    <t>Gates</t>
  </si>
  <si>
    <t>42</t>
  </si>
  <si>
    <t>39</t>
  </si>
  <si>
    <t>20</t>
  </si>
  <si>
    <t>See Windsor/Yorkshire</t>
  </si>
  <si>
    <t>40</t>
  </si>
  <si>
    <t>37</t>
  </si>
  <si>
    <t>33</t>
  </si>
  <si>
    <t>50</t>
  </si>
  <si>
    <t>63 - Crossroads</t>
  </si>
  <si>
    <t>53</t>
  </si>
  <si>
    <t>41</t>
  </si>
  <si>
    <t>55</t>
  </si>
  <si>
    <t>56</t>
  </si>
  <si>
    <t>57</t>
  </si>
  <si>
    <t>6</t>
  </si>
  <si>
    <t>11</t>
  </si>
  <si>
    <t>31</t>
  </si>
  <si>
    <t>2</t>
  </si>
  <si>
    <t>34</t>
  </si>
  <si>
    <t>28</t>
  </si>
  <si>
    <t>25</t>
  </si>
  <si>
    <t>26</t>
  </si>
  <si>
    <t>0BD</t>
  </si>
  <si>
    <t>24</t>
  </si>
  <si>
    <t>58</t>
  </si>
  <si>
    <t>36</t>
  </si>
  <si>
    <t>44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</si>
  <si>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</si>
  <si>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</si>
  <si>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</si>
  <si>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</si>
  <si>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 xml:space="preserve">21 - Boca Ciega  |  109 Units  |  LIHTC / Section 8  |  2BD &amp; 3BD  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</si>
  <si>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</si>
  <si>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</si>
  <si>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</si>
  <si>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</si>
  <si>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</si>
  <si>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</si>
  <si>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</si>
  <si>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</si>
  <si>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</si>
  <si>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</si>
  <si>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>2BD
50% AMI</t>
  </si>
  <si>
    <t>2BD
60% AMI</t>
  </si>
  <si>
    <t>2BD
FMR</t>
  </si>
  <si>
    <t>2BD - 
Actual</t>
  </si>
  <si>
    <t>3BD
50% AMI</t>
  </si>
  <si>
    <t>3BD
60% AMI</t>
  </si>
  <si>
    <t>3BD
FMR</t>
  </si>
  <si>
    <t>3BD - Actual</t>
  </si>
  <si>
    <t>Yr Built</t>
  </si>
  <si>
    <t>Yr Diff</t>
  </si>
  <si>
    <t>Utils
Incl.</t>
  </si>
  <si>
    <t>Pet
Friendly</t>
  </si>
  <si>
    <t>Gated</t>
  </si>
  <si>
    <t>Pool</t>
  </si>
  <si>
    <t>W/D
In-Unit</t>
  </si>
  <si>
    <t>Competition 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</si>
  <si>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</si>
  <si>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</si>
  <si>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</si>
  <si>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</si>
  <si>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</si>
  <si>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</si>
  <si>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</si>
  <si>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</si>
  <si>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</si>
  <si>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</si>
  <si>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</si>
  <si>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</si>
  <si>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</si>
  <si>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</si>
  <si>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</si>
  <si>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</si>
  <si>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Yes</t>
  </si>
  <si>
    <t>No</t>
  </si>
  <si>
    <t>109 units | Layered HUD/LIHTC. Year built: 1974. Subject property.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</si>
  <si>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</si>
  <si>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</si>
  <si>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</si>
  <si>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</si>
  <si>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</si>
  <si>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</si>
  <si>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</si>
  <si>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</si>
  <si>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</si>
  <si>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</si>
  <si>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</si>
  <si>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</si>
  <si>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</si>
  <si>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</si>
  <si>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</si>
  <si>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</si>
  <si>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</si>
  <si>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</si>
  <si>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</si>
  <si>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</si>
  <si>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</si>
  <si>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</si>
  <si>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</si>
  <si>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MODERATE-HIGH</t>
  </si>
  <si>
    <t>Public Housing/HUD, 1972 vintage, 96 units, 22.5 mi.</t>
  </si>
  <si>
    <t>MARKET RATE</t>
  </si>
  <si>
    <t>Addison at Bayfront</t>
  </si>
  <si>
    <t>COMPETITION</t>
  </si>
  <si>
    <t>2800 1st Ave S</t>
  </si>
  <si>
    <t>33712</t>
  </si>
  <si>
    <t>1.2 mi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</si>
  <si>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</si>
  <si>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</si>
  <si>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</si>
  <si>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</si>
  <si>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</si>
  <si>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</si>
  <si>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</si>
  <si>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</si>
  <si>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</si>
  <si>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</si>
  <si>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</si>
  <si>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</si>
  <si>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No income restrictions, 1974 vintage, 1.9 mi. 2BD $1,890 / 3BD $2,150.</t>
  </si>
  <si>
    <t>apartments.com/flagler-pointe-apartments-saint-petersburg-fl/</t>
  </si>
  <si>
    <t>4</t>
  </si>
  <si>
    <t>Sur Club</t>
  </si>
  <si>
    <t>3301 32nd Ave S</t>
  </si>
  <si>
    <t>1.5 mi</t>
  </si>
  <si>
    <t>No income restrictions, 2021 vintage, 296 units, 1.5 mi. 2BD $2,250.</t>
  </si>
  <si>
    <t>apartments.com/sur-club-saint-petersburg-fl/</t>
  </si>
  <si>
    <t>5</t>
  </si>
  <si>
    <t>Lake Maggiore</t>
  </si>
  <si>
    <t>825 32nd Ave S</t>
  </si>
  <si>
    <t>33705</t>
  </si>
  <si>
    <t>2.1 mi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</si>
  <si>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</si>
  <si>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</si>
  <si>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</si>
  <si>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</si>
  <si>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</si>
  <si>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</si>
  <si>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</si>
  <si>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</si>
  <si>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</si>
  <si>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</si>
  <si>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</si>
  <si>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</si>
  <si>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</si>
  <si>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</si>
  <si>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</si>
  <si>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</si>
  <si>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</si>
  <si>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</si>
  <si>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</si>
  <si>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</si>
  <si>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Rents</t>
  </si>
  <si>
    <t>Market Avg</t>
  </si>
  <si>
    <t>Difference</t>
  </si>
  <si>
    <t>RENT COMPARABLES ANALYSIS  —  JEFFERSON ARMS  |  MONTICELLO, FL 32344</t>
  </si>
  <si>
    <t xml:space="preserve">13 - Jefferson  |  60 Units  |  LIHTC / Section 8  |  2BD &amp; 3BD  </t>
  </si>
  <si>
    <t>1001 W Washington St, Monticello, FL 32344  |  Jefferson County</t>
  </si>
  <si>
    <t>Data as of June 16,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</si>
  <si>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</si>
  <si>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>2BD -
Actual</t>
  </si>
  <si>
    <t>3BD -
Actual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</si>
  <si>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</si>
  <si>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</si>
  <si>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</si>
  <si>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</si>
  <si>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</si>
  <si>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</si>
  <si>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</si>
  <si>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</si>
  <si>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</si>
  <si>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</si>
  <si>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1971</t>
  </si>
  <si>
    <t>60 units | LIHTC/Section 8. Year built: 1971. Subject property.</t>
  </si>
  <si>
    <t>Monticello Manor</t>
  </si>
  <si>
    <t>500 S Jefferson St</t>
  </si>
  <si>
    <t>0.5 mi</t>
  </si>
  <si>
    <t>1972</t>
  </si>
  <si>
    <t>Section 8/HUD, 1972 vintage, 40 units, 0.5 mi.</t>
  </si>
  <si>
    <t>Waukeenah Manor</t>
  </si>
  <si>
    <t>US-19, Waukeenah</t>
  </si>
  <si>
    <t>Waukeenah</t>
  </si>
  <si>
    <t>8.0 mi</t>
  </si>
  <si>
    <t>1974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</si>
  <si>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</si>
  <si>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</si>
  <si>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</si>
  <si>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</si>
  <si>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</si>
  <si>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</si>
  <si>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1975</t>
  </si>
  <si>
    <t>Section 8/HUD, 1975 vintage, 20 units, 15.0 mi.</t>
  </si>
  <si>
    <t>Magnolia Terrace</t>
  </si>
  <si>
    <t>1200 N Jefferson St</t>
  </si>
  <si>
    <t>0.3 mi</t>
  </si>
  <si>
    <t>1985</t>
  </si>
  <si>
    <t>No income restrictions, 1985 vintage, 48 units, 0.3 mi. 2BD avg $1,250/mo.</t>
  </si>
  <si>
    <t>apartments.com/magnolia-terrace-monticello-fl/</t>
  </si>
  <si>
    <t>Jefferson Commons</t>
  </si>
  <si>
    <t>450 E Pearl St</t>
  </si>
  <si>
    <t>1978</t>
  </si>
  <si>
    <t>7</t>
  </si>
  <si>
    <t>No income restrictions, 1978 vintage, 36 units, 0.5 mi. 2BD avg $1,195/mo.</t>
  </si>
  <si>
    <t>apartments.com/jefferson-commons-monticello-fl/</t>
  </si>
  <si>
    <t>Monticello Village Apts</t>
  </si>
  <si>
    <t>300 S Cherry St</t>
  </si>
  <si>
    <t>0.4 mi</t>
  </si>
  <si>
    <t>1970</t>
  </si>
  <si>
    <t>No income restrictions, 1970 vintage, 24 units, 0.4 mi. 2BD avg $1,100/mo.</t>
  </si>
  <si>
    <t>apartments.com/monticello-village-fl/</t>
  </si>
  <si>
    <t>Tallahassee Crossing</t>
  </si>
  <si>
    <t>4200 Apalachee Pkwy</t>
  </si>
  <si>
    <t>Tallahassee</t>
  </si>
  <si>
    <t>32311</t>
  </si>
  <si>
    <t>26.0 mi</t>
  </si>
  <si>
    <t>312</t>
  </si>
  <si>
    <t>2005</t>
  </si>
  <si>
    <t>No income restrictions, 2005 vintage, 312 units, 26.0 mi. 2BD avg $1,399/mo.</t>
  </si>
  <si>
    <t>apartments.com/tallahassee-crossing-fl/</t>
  </si>
  <si>
    <t>Arbor Station Apartments</t>
  </si>
  <si>
    <t>4105 Arbor Hill Ln</t>
  </si>
  <si>
    <t>32312</t>
  </si>
  <si>
    <t>28.0 mi</t>
  </si>
  <si>
    <t>252</t>
  </si>
  <si>
    <t>1990</t>
  </si>
  <si>
    <t>No income restrictions, 1990 vintage, 252 units, 28.0 mi. 2BD avg $1,539/mo.</t>
  </si>
  <si>
    <t>apartments.com/arbor-station-apartments-tallahassee-fl/</t>
  </si>
  <si>
    <t>Capital Place at Southwood</t>
  </si>
  <si>
    <t>2300 Bluff Oak Way</t>
  </si>
  <si>
    <t>30.0 mi</t>
  </si>
  <si>
    <t>288</t>
  </si>
  <si>
    <t>2013</t>
  </si>
  <si>
    <t>No income restrictions, 2013 vintage, 288 units, 30.0 mi. 3BD avg $1,675/mo.</t>
  </si>
  <si>
    <t>apartments.com/capital-place-at-southwood-tallahassee-fl/</t>
  </si>
  <si>
    <t>FY2026 FMR — Jefferson County, FL</t>
  </si>
  <si>
    <t>HUD FMR for Jefferson County, FL, FY2026. 40th percentile rent.</t>
  </si>
  <si>
    <t>Metro Market Avg — Monticello/Tallahassee (Apr 2026)</t>
  </si>
  <si>
    <t>$1,380</t>
  </si>
  <si>
    <t>$1,507</t>
  </si>
  <si>
    <t>Live Market Average from 6 market-rate comps, Apr 30, 2026. 2BD avg $1,380; 3BD avg $1,507.</t>
  </si>
  <si>
    <t>COLOR KEY:  GREEN = Subject Property  |  TEAL = Affordable/Income-Restricted Comp  |  BLUE = Market-Rate Comp  |  LIGHT BLUE = FMR Benchmark  |  YELLOW = Market Average  |  ORANGE = Actual Rent</t>
  </si>
  <si>
    <t>RENT COMPARABLES ANALYSIS  —  OPA LOCKA 135TH ST  |  OPA LOCKA, FL 33054</t>
  </si>
  <si>
    <t>18 - Opa Locka  |  65 Units  |  LIHTC / Section 8  |  1BD, 2BD &amp; 3BD</t>
  </si>
  <si>
    <t>2860 NW 135th Street, Opa Locka, FL 33054  |  Miami-Dade County</t>
  </si>
  <si>
    <t>1BD
50% AMI</t>
  </si>
  <si>
    <t>1BD
60% AMI</t>
  </si>
  <si>
    <t>1BD
FMR</t>
  </si>
  <si>
    <t>1BD -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</si>
  <si>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</si>
  <si>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</si>
  <si>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</si>
  <si>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</si>
  <si>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</si>
  <si>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</si>
  <si>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</si>
  <si>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</si>
  <si>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</si>
  <si>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</si>
  <si>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</si>
  <si>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</si>
  <si>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</si>
  <si>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</si>
  <si>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0</t>
  </si>
  <si>
    <t>65 units | LIHTC/Section 8. Year built: 1968. Subject property.</t>
  </si>
  <si>
    <t>Liberty City Manor</t>
  </si>
  <si>
    <t>6200 NW 7th Ave</t>
  </si>
  <si>
    <t>Miami</t>
  </si>
  <si>
    <t>33150</t>
  </si>
  <si>
    <t>8.5 mi</t>
  </si>
  <si>
    <t>64</t>
  </si>
  <si>
    <t>Section 8/HUD, 1968 vintage, 64 units, 8.5 mi. Income-restricted.</t>
  </si>
  <si>
    <t>Hialeah Gardens Apartments</t>
  </si>
  <si>
    <t>1200 W 68th St</t>
  </si>
  <si>
    <t>Hialeah</t>
  </si>
  <si>
    <t>33012</t>
  </si>
  <si>
    <t>72</t>
  </si>
  <si>
    <t>Section 8/HUD, 1970 vintage, 72 units, 5.2 mi. Income-restricted.</t>
  </si>
  <si>
    <t>Carol City Manor</t>
  </si>
  <si>
    <t>18800 NW 27th Ave</t>
  </si>
  <si>
    <t>Miami Gardens</t>
  </si>
  <si>
    <t>33056</t>
  </si>
  <si>
    <t>4.1 mi</t>
  </si>
  <si>
    <t>1967</t>
  </si>
  <si>
    <t>Section 8/HUD, 1967 vintage, 60 units, 4.1 mi. Income-restricted.</t>
  </si>
  <si>
    <t>North Miami HA - Arch Creek Apts</t>
  </si>
  <si>
    <t>1800 NE 135th St</t>
  </si>
  <si>
    <t>North Miami</t>
  </si>
  <si>
    <t>33161</t>
  </si>
  <si>
    <t>6.8 mi</t>
  </si>
  <si>
    <t>68</t>
  </si>
  <si>
    <t>1969</t>
  </si>
  <si>
    <t>Public Housing/HUD, 1969 vintage, 68 units, 6.8 mi. Income-restricted.</t>
  </si>
  <si>
    <t>Sherbondy Villas</t>
  </si>
  <si>
    <t>200 S Perviz Ave</t>
  </si>
  <si>
    <t>32</t>
  </si>
  <si>
    <t>No income restrictions, 1967 vintage, 32 units, 1.2 mi. 1BD avg $1,400/mo.</t>
  </si>
  <si>
    <t>apartments.com/sherbondy-villas-opa-locka-fl/</t>
  </si>
  <si>
    <t>Wellspring Apartments</t>
  </si>
  <si>
    <t>14701 NW 27th Ave</t>
  </si>
  <si>
    <t>1.8 mi</t>
  </si>
  <si>
    <t>2024</t>
  </si>
  <si>
    <t>No income restrictions, 2024 vintage, 1.8 mi. 1BD avg $1,989; 2BD avg $2,440/mo.</t>
  </si>
  <si>
    <t>apartments.com/wellspring-apartments-opa-locka-fl/</t>
  </si>
  <si>
    <t>Individual Units — 33054 (avg)</t>
  </si>
  <si>
    <t>Various, Opa Locka, FL 33054</t>
  </si>
  <si>
    <t>&lt; 3 mi</t>
  </si>
  <si>
    <t>Various</t>
  </si>
  <si>
    <t>Varies</t>
  </si>
  <si>
    <t>Individual units listed on Zillow/Apartments.com in 33054 zip. Avg asking rents.</t>
  </si>
  <si>
    <t>Zillow/Apartments.com — 33054 zip, Apr 2026</t>
  </si>
  <si>
    <t>Oak Enclave</t>
  </si>
  <si>
    <t>2301 NW 167th St</t>
  </si>
  <si>
    <t>3.1 mi</t>
  </si>
  <si>
    <t>No income restrictions, 3.1 mi. 1BD avg $2,000; 2BD avg $2,240; 3BD avg $2,670/mo.</t>
  </si>
  <si>
    <t>apartments.com/oak-enclave-miami-gardens-fl/</t>
  </si>
  <si>
    <t>Emerald Bay</t>
  </si>
  <si>
    <t>8570 W 40th Ave</t>
  </si>
  <si>
    <t>33018</t>
  </si>
  <si>
    <t>6.0 mi</t>
  </si>
  <si>
    <t>2020</t>
  </si>
  <si>
    <t>52</t>
  </si>
  <si>
    <t>No income restrictions, 2020 vintage, 6.0 mi. 1BD avg $1,900; 2BD avg $2,200/mo.</t>
  </si>
  <si>
    <t>apartments.com/emerald-bay-hialeah-fl/</t>
  </si>
  <si>
    <t>The Oasis at Opa Locka</t>
  </si>
  <si>
    <t>13400 NW 22nd Ave</t>
  </si>
  <si>
    <t>2.5 mi</t>
  </si>
  <si>
    <t>2018</t>
  </si>
  <si>
    <t>No income restrictions, 2018 vintage, 2.5 mi. 1BD avg $1,750; 2BD avg $2,100; 3BD avg $2,500/mo.</t>
  </si>
  <si>
    <t>apartments.com/the-oasis-at-opa-locka-fl/</t>
  </si>
  <si>
    <t>FY2026 FMR — Miami-Dade County</t>
  </si>
  <si>
    <t>HUD FMR for Miami-Dade County, FL, FY2026. 40th percentile rent.</t>
  </si>
  <si>
    <t>Metro Market Avg — Opa Locka/Miami (Apr 2026)</t>
  </si>
  <si>
    <t>$1,723</t>
  </si>
  <si>
    <t>$2,148</t>
  </si>
  <si>
    <t>$2,589</t>
  </si>
  <si>
    <t>Live Market Average from 6 market-rate comps, Apr 30, 2026. 1BD avg $1,723; 2BD avg $2,148; 3BD avg $2,589.</t>
  </si>
  <si>
    <t>RENT COMPARABLES ANALYSIS  —  MACEDONIA  |  PANAMA CITY, FL 32405</t>
  </si>
  <si>
    <t xml:space="preserve">14 - Macedonia  |  100 Units  |  LIHTC / Section 8  |  2BD &amp; 3BD  </t>
  </si>
  <si>
    <t>3101 E 15th St, Panama City, FL 32405  |  Bay County  |  Panama City MSA</t>
  </si>
  <si>
    <t>Data as of April 30, 2026  |  Sources: Apartments.com, HUD FMR Database, Apartment Corp Records</t>
  </si>
  <si>
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</si>
  <si>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</si>
  <si>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</si>
  <si>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</si>
  <si>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</si>
  <si>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</si>
  <si>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</si>
  <si>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</si>
  <si>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</si>
  <si>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</si>
  <si>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</si>
  <si>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</si>
  <si>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</si>
  <si>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</si>
  <si>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</si>
  <si>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</si>
  <si>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</si>
  <si>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 Income-restricted.</t>
  </si>
  <si>
    <t>Pensacola HA - Attucks Court</t>
  </si>
  <si>
    <t>600 N Hayne St</t>
  </si>
  <si>
    <t>Pensacola</t>
  </si>
  <si>
    <t>32501</t>
  </si>
  <si>
    <t>95.0 mi</t>
  </si>
  <si>
    <t>96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</si>
  <si>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</si>
  <si>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</si>
  <si>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</si>
  <si>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</si>
  <si>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</si>
  <si>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</si>
  <si>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</si>
  <si>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104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</si>
  <si>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</si>
  <si>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</si>
  <si>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</si>
  <si>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</si>
  <si>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</si>
  <si>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</si>
  <si>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88</t>
  </si>
  <si>
    <t>Section 8/HUD, 1970 vintage, 88 units, 8.5 mi.</t>
  </si>
  <si>
    <t>Arbor Crossing at Mill Bayou</t>
  </si>
  <si>
    <t>198 Mill Bayou Blvd</t>
  </si>
  <si>
    <t>32404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</si>
  <si>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</si>
  <si>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</si>
  <si>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</si>
  <si>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</si>
  <si>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2025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</si>
  <si>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</si>
  <si>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</si>
  <si>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</si>
  <si>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</si>
  <si>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</si>
  <si>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2022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</si>
  <si>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</si>
  <si>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</si>
  <si>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</si>
  <si>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</si>
  <si>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</si>
  <si>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</si>
  <si>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</si>
  <si>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</si>
  <si>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</si>
  <si>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1993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</si>
  <si>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</si>
  <si>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</si>
  <si>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</si>
  <si>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</si>
  <si>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</si>
  <si>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</si>
  <si>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</si>
  <si>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</si>
  <si>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 40th percentile rent.</t>
  </si>
  <si>
    <t>Metro Market Avg — Panama City (Apr 2026)</t>
  </si>
  <si>
    <t>$1,586</t>
  </si>
  <si>
    <t>$1,820</t>
  </si>
  <si>
    <t>Live Market Average from 6 comps, Apr 30, 2026. 2BD avg $1,586 / 3BD avg $1,820.</t>
  </si>
  <si>
    <t>RENT COMPARABLES ANALYSIS  —  CORAL VILLAGE  |  CAPE CORAL, FL 33990</t>
  </si>
  <si>
    <t>48 - Coral Village  |  72 Units  |  Section 8 / HUD  |  1BD &amp; 2BD</t>
  </si>
  <si>
    <t>Cape Coral, FL 33990  |  Lee County  | 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</si>
  <si>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</si>
  <si>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</si>
  <si>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</si>
  <si>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</si>
  <si>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</si>
  <si>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</si>
  <si>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</si>
  <si>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</si>
  <si>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</si>
  <si>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</si>
  <si>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8/HUD. Year built: 1999. Subject property.</t>
  </si>
  <si>
    <t>Brittany II</t>
  </si>
  <si>
    <t>4050 Winkler Ave Ext</t>
  </si>
  <si>
    <t>Fort Myers</t>
  </si>
  <si>
    <t>33916</t>
  </si>
  <si>
    <t>112</t>
  </si>
  <si>
    <t>2000</t>
  </si>
  <si>
    <t>LIHTC, 2000 vintage, 112 units, 8.0 mi. Income-restricted.</t>
  </si>
  <si>
    <t>HUD LIHTC Database</t>
  </si>
  <si>
    <t>Brittany</t>
  </si>
  <si>
    <t>4054 Winkler Ave</t>
  </si>
  <si>
    <t>7.9 mi</t>
  </si>
  <si>
    <t>208</t>
  </si>
  <si>
    <t>LIHTC, 1999 vintage, 208 units, 7.9 mi. Income-restricted.</t>
  </si>
  <si>
    <t>Crossings at Cape Coral</t>
  </si>
  <si>
    <t>1150 Hancock Crk Blvd</t>
  </si>
  <si>
    <t>33909</t>
  </si>
  <si>
    <t>7.7 mi</t>
  </si>
  <si>
    <t>168</t>
  </si>
  <si>
    <t>LIHTC, 2000 vintage, 168 units, 7.7 mi. Income-restricted.</t>
  </si>
  <si>
    <t>Westchase</t>
  </si>
  <si>
    <t>3810 Metro Pkwy</t>
  </si>
  <si>
    <t>352</t>
  </si>
  <si>
    <t>LIHTC, 1999 vintage, 352 units, 6.8 mi. Income-restricted.</t>
  </si>
  <si>
    <t>Cape at Savona Point</t>
  </si>
  <si>
    <t>1730 Savona Point Cir</t>
  </si>
  <si>
    <t>33914</t>
  </si>
  <si>
    <t>2021</t>
  </si>
  <si>
    <t>22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</si>
  <si>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</si>
  <si>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</si>
  <si>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</si>
  <si>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</si>
  <si>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</si>
  <si>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</si>
  <si>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2023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</si>
  <si>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</si>
  <si>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</si>
  <si>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</si>
  <si>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</si>
  <si>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</si>
  <si>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</si>
  <si>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</si>
  <si>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</si>
  <si>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</si>
  <si>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</si>
  <si>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</si>
  <si>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</si>
  <si>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</si>
  <si>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</si>
  <si>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</si>
  <si>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</si>
  <si>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</si>
  <si>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</si>
  <si>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</si>
  <si>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</si>
  <si>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</si>
  <si>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</si>
  <si>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 40th percentile rent.</t>
  </si>
  <si>
    <t>Metro Market Avg — Cape Coral (Apr 2026)</t>
  </si>
  <si>
    <t>$1,338</t>
  </si>
  <si>
    <t>$1,533</t>
  </si>
  <si>
    <t>Live Market Average from 6 comps, Apr 30, 2026. 1BD avg $1,338 / 2BD avg $1,533.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</si>
  <si>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</si>
  <si>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</si>
  <si>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HUD FMR Area: Adams County, MS</t>
  </si>
  <si>
    <t>4BD
50% AMI</t>
  </si>
  <si>
    <t>4BD
60% AMI</t>
  </si>
  <si>
    <t>4BD
FMR</t>
  </si>
  <si>
    <t>4BD -
Actual</t>
  </si>
  <si>
    <t>5BD
50% AMI</t>
  </si>
  <si>
    <t>5BD
60% AMI</t>
  </si>
  <si>
    <t>5BD
FMR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</si>
  <si>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</si>
  <si>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</si>
  <si>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</si>
  <si>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</si>
  <si>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</si>
  <si>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</si>
  <si>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</si>
  <si>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</si>
  <si>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</si>
  <si>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</si>
  <si>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</si>
  <si>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</si>
  <si>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</si>
  <si>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</si>
  <si>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</si>
  <si>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</si>
  <si>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</si>
  <si>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</si>
  <si>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</si>
  <si>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8/HUD. Year built: 1951. Subject property.</t>
  </si>
  <si>
    <t>Natchez HA - Sadie V. Thompson Homes</t>
  </si>
  <si>
    <t>200 Sadie Thompson Dr</t>
  </si>
  <si>
    <t>1952</t>
  </si>
  <si>
    <t>Public Housing/HUD, 1952 vintage, 100 units, 1.5 mi. Income-restricted.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</si>
  <si>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</si>
  <si>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</si>
  <si>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</si>
  <si>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</si>
  <si>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</si>
  <si>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</si>
  <si>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150</t>
  </si>
  <si>
    <t>1955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</si>
  <si>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</si>
  <si>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</si>
  <si>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</si>
  <si>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</si>
  <si>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</si>
  <si>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</si>
  <si>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</si>
  <si>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1950</t>
  </si>
  <si>
    <t>Public Housing/HUD, 1950 vintage, 100 units, 145.0 mi.</t>
  </si>
  <si>
    <t>Laurel Housing Authority</t>
  </si>
  <si>
    <t>Natchez HA - Belleview Homes</t>
  </si>
  <si>
    <t>400 Belleview Ave</t>
  </si>
  <si>
    <t>120</t>
  </si>
  <si>
    <t>1953</t>
  </si>
  <si>
    <t>Public Housing/HUD, 1953 vintage, 120 units, 1.8 mi. Income-restricted.</t>
  </si>
  <si>
    <t>Camelot Apartments</t>
  </si>
  <si>
    <t>156 Jefferson Davis Blvd</t>
  </si>
  <si>
    <t>No income restrictions, 1975 vintage, 1.2 mi. 2BD avg $850/mo.</t>
  </si>
  <si>
    <t>Apartments.com / Zillow</t>
  </si>
  <si>
    <t>Bienville Apartments</t>
  </si>
  <si>
    <t>500 N Commerce St</t>
  </si>
  <si>
    <t>No income restrictions, 1970 vintage, 0.8 mi. 2BD avg $815/mo.</t>
  </si>
  <si>
    <t>Riverbreeze Manor</t>
  </si>
  <si>
    <t>144 N Shields Ln</t>
  </si>
  <si>
    <t>1980</t>
  </si>
  <si>
    <t>No income restrictions, 1980 vintage, 1.5 mi. 2BD avg $750; 3BD avg $850/mo.</t>
  </si>
  <si>
    <t>Covington II</t>
  </si>
  <si>
    <t>22 T Waring Bennett Jr Rd</t>
  </si>
  <si>
    <t>No income restrictions, 1985 vintage, 2.1 mi. 2BD avg $730/mo.</t>
  </si>
  <si>
    <t>2116 Second St (House)</t>
  </si>
  <si>
    <t>2116 Second St</t>
  </si>
  <si>
    <t>0.9 mi</t>
  </si>
  <si>
    <t>1960</t>
  </si>
  <si>
    <t>9</t>
  </si>
  <si>
    <t>Individual rental house, 1960 vintage, 0.9 mi. 3BD avg $1,150/mo.</t>
  </si>
  <si>
    <t>Zillow</t>
  </si>
  <si>
    <t>214 Margaret Ave (House)</t>
  </si>
  <si>
    <t>214 Margaret Ave</t>
  </si>
  <si>
    <t>1.3 mi</t>
  </si>
  <si>
    <t>1965</t>
  </si>
  <si>
    <t>Individual rental house, 1965 vintage, 1.3 mi. 3BD avg $1,895/mo.</t>
  </si>
  <si>
    <t>FY2026 FMR — Adams County, MS</t>
  </si>
  <si>
    <t>HUD FMR for Adams County, MS, FY2026. 40th percentile rent.</t>
  </si>
  <si>
    <t>Metro Market Avg — Natchez (Apr 2026)</t>
  </si>
  <si>
    <t>$786</t>
  </si>
  <si>
    <t>$1,298</t>
  </si>
  <si>
    <t>Live Market Average from available comps, Apr 30, 2026. 2BD avg $786 / 3BD avg $1,298.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</si>
  <si>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</si>
  <si>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</si>
  <si>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</si>
  <si>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</si>
  <si>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</si>
  <si>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</si>
  <si>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</si>
  <si>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</si>
  <si>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</si>
  <si>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</si>
  <si>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</si>
  <si>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</si>
  <si>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</si>
  <si>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</si>
  <si>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</si>
  <si>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</si>
  <si>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</si>
  <si>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</si>
  <si>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</si>
  <si>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LIHTC, 1987 vintage, 32 units, 18.4 mi.</t>
  </si>
  <si>
    <t>Towncreek Apts</t>
  </si>
  <si>
    <t>Red Dog Rd</t>
  </si>
  <si>
    <t>Carthage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</si>
  <si>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</si>
  <si>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</si>
  <si>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</si>
  <si>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</si>
  <si>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</si>
  <si>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</si>
  <si>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</si>
  <si>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</si>
  <si>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</si>
  <si>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</si>
  <si>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</si>
  <si>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</si>
  <si>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</si>
  <si>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</si>
  <si>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</si>
  <si>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</si>
  <si>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</si>
  <si>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</si>
  <si>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</si>
  <si>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</si>
  <si>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</si>
  <si>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</si>
  <si>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</si>
  <si>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</si>
  <si>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</si>
  <si>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</si>
  <si>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</si>
  <si>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</si>
  <si>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</si>
  <si>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</si>
  <si>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</si>
  <si>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</si>
  <si>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</si>
  <si>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No income restrictions, 35 mi. 2BD $1,183 / 3BD $1,697.</t>
  </si>
  <si>
    <t>Northtown Apartments</t>
  </si>
  <si>
    <t>50 Northtown Dr</t>
  </si>
  <si>
    <t>39211</t>
  </si>
  <si>
    <t>30 mi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</si>
  <si>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</si>
  <si>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</si>
  <si>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</si>
  <si>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</si>
  <si>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</si>
  <si>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</si>
  <si>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</si>
  <si>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</si>
  <si>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Live Market Average from 6 comps, Apr 30, 2026. 2BD avg $1,041 / 3BD avg $1,374.</t>
  </si>
  <si>
    <t>RENT COMPARABLES ANALYSIS  —  WALNUT HILL  |  NATCHEZ, MS 39120</t>
  </si>
  <si>
    <t>59 - Walnut Hill  |  168 Units  |  Section 8 / HUD  |  2BD &amp; 3BD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</si>
  <si>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</si>
  <si>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</si>
  <si>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</si>
  <si>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</si>
  <si>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</si>
  <si>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</si>
  <si>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</si>
  <si>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</si>
  <si>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Section 8/HUD, 1976 vintage, 150 units, 72.0 mi.</t>
  </si>
  <si>
    <t>Hattiesburg HA - Eureka Homes</t>
  </si>
  <si>
    <t>200 Eureka St</t>
  </si>
  <si>
    <t>Hattiesburg</t>
  </si>
  <si>
    <t>39401</t>
  </si>
  <si>
    <t>Public Housing/HUD, 1974 vintage, 172 units, 145.0 mi.</t>
  </si>
  <si>
    <t>Hattiesburg Housing Authority</t>
  </si>
  <si>
    <t>Natchez Terrace Apartments</t>
  </si>
  <si>
    <t>600 Seargent Prentiss Dr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</si>
  <si>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</si>
  <si>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</si>
  <si>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</si>
  <si>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</si>
  <si>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</si>
  <si>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Individual Unit — 1008 N Union St</t>
  </si>
  <si>
    <t>1008 N Union St</t>
  </si>
  <si>
    <t>Single-family rental, 1.3 mi. 3BD $1,289.</t>
  </si>
  <si>
    <t>Individual Unit — 2116 Second St</t>
  </si>
  <si>
    <t>1.0 mi</t>
  </si>
  <si>
    <t>Single-family rental, 1.0 mi. 3BD $1,150.</t>
  </si>
  <si>
    <t>HUD FMR for Adams County, MS, FY2026.</t>
  </si>
  <si>
    <t>Live Market Average from 6 comps, Apr 30, 2026. 3BD avg $786 (limited 2BD data available).</t>
  </si>
  <si>
    <t>RENT COMPARABLES ANALYSIS  —  RIVER POINTE  |  COLUMBUS, OH 43228</t>
  </si>
  <si>
    <t>29 - River Pointe  |  160 Units  |  Section 8 / HUD  |  1BD &amp; 2BD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</si>
  <si>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</si>
  <si>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</si>
  <si>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</si>
  <si>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</si>
  <si>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</si>
  <si>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</si>
  <si>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</si>
  <si>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</si>
  <si>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</si>
  <si>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</si>
  <si>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</si>
  <si>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</si>
  <si>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</si>
  <si>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</si>
  <si>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</si>
  <si>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</si>
  <si>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</si>
  <si>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 Income-restricted.</t>
  </si>
  <si>
    <t>Winchester Lakes Apts</t>
  </si>
  <si>
    <t>6621 Kodiak Dr</t>
  </si>
  <si>
    <t>Canal Winchester</t>
  </si>
  <si>
    <t>43110</t>
  </si>
  <si>
    <t>11.5 mi</t>
  </si>
  <si>
    <t>LIHTC, 1996 vintage, 150 units, 11.5 mi. Income-restricted.</t>
  </si>
  <si>
    <t>Fourth Street YWCA Renovation</t>
  </si>
  <si>
    <t>65 S Fourth St</t>
  </si>
  <si>
    <t>43215</t>
  </si>
  <si>
    <t>0.1 mi</t>
  </si>
  <si>
    <t>LIHTC, 1996 vintage, 102 units, 0.1 mi. Income-restricted.</t>
  </si>
  <si>
    <t>Strattford Lakes</t>
  </si>
  <si>
    <t>3555 Ashton Cross</t>
  </si>
  <si>
    <t>10.0 mi</t>
  </si>
  <si>
    <t>LIHTC, 1996 vintage, 124 units, 10.0 mi. Income-restricted.</t>
  </si>
  <si>
    <t>Raccoon Creek Apartments</t>
  </si>
  <si>
    <t>3819 Plane Tree Dr W</t>
  </si>
  <si>
    <t>No income restrictions, 1994 vintage, 0.5 mi. 1BD $990.</t>
  </si>
  <si>
    <t>apartments.com/raccoon-creek-columbus-oh/</t>
  </si>
  <si>
    <t>The Reserve at Parkwick</t>
  </si>
  <si>
    <t>4711 Bay Run Dr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</si>
  <si>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</si>
  <si>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</si>
  <si>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</si>
  <si>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</si>
  <si>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</si>
  <si>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No income restrictions, 1996 vintage, 2.0 mi. 1BD $995 / 2BD $1,095.</t>
  </si>
  <si>
    <t>apartments.com/waterford-pointe-columbus-oh/</t>
  </si>
  <si>
    <t>Newbridge Commons</t>
  </si>
  <si>
    <t>4551 Durrow Dr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</si>
  <si>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</si>
  <si>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</si>
  <si>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</si>
  <si>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</si>
  <si>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</si>
  <si>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</si>
  <si>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</si>
  <si>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</si>
  <si>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</si>
  <si>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</si>
  <si>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</si>
  <si>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</si>
  <si>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</si>
  <si>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Live Market Average from 6 comps, Apr 30, 2026. 1BD avg $952 / 2BD avg $1,087.</t>
  </si>
  <si>
    <t>RENT COMPARABLES ANALYSIS  —  BRECKENRIDGE VILLAGE  |  ENNIS, TX 75119</t>
  </si>
  <si>
    <t>12 - Breckenridge  |  66 Units  |  LIHTC  |  2BD &amp; 4BD</t>
  </si>
  <si>
    <t>2001 N Floyd St, Ennis, TX 75119  |  Ellis County  |  FY2026 FMR: 2BD $1,931 / 4BD $2,810</t>
  </si>
  <si>
    <t>Data as of June 2026  |  Sources: Apartments.com, HUD FMR Database, HUD LIHTC Database, Apartment Corp Records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</si>
  <si>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</si>
  <si>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</si>
  <si>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</si>
  <si>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</si>
  <si>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</si>
  <si>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</si>
  <si>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</si>
  <si>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</si>
  <si>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</si>
  <si>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</si>
  <si>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</si>
  <si>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</si>
  <si>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</si>
  <si>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</si>
  <si>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</si>
  <si>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</si>
  <si>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</si>
  <si>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</si>
  <si>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</si>
  <si>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</si>
  <si>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</si>
  <si>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</si>
  <si>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</si>
  <si>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</si>
  <si>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</si>
  <si>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</si>
  <si>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</si>
  <si>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</si>
  <si>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</si>
  <si>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</si>
  <si>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</si>
  <si>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</si>
  <si>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</si>
  <si>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Apartments.com verified, May 2026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</si>
  <si>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</si>
  <si>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</si>
  <si>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</si>
  <si>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</si>
  <si>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</si>
  <si>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</si>
  <si>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</si>
  <si>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</si>
  <si>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</si>
  <si>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</si>
  <si>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</si>
  <si>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</si>
  <si>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</si>
  <si>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</si>
  <si>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</si>
  <si>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</si>
  <si>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</si>
  <si>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</si>
  <si>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FY2026 FMR — Ellis County, TX (Dallas-Fort Worth MSA)</t>
  </si>
  <si>
    <t>HUD FMR for Ellis County, TX (Dallas-Fort Worth MSA), FY2026.</t>
  </si>
  <si>
    <t>Metro Market Avg — Ennis, TX (May 2026)</t>
  </si>
  <si>
    <t>Live Market Average from 6 comps, May 2026. 2BD avg $1,457 (2BD only — limited 4BD market rate data).</t>
  </si>
  <si>
    <t>RENT COMPARABLES ANALYSIS  —  Lexington Arms</t>
  </si>
  <si>
    <t>ID: 38</t>
  </si>
  <si>
    <t>418 Lexington Dr, Waxahachie, TX 75165  |  61 units  |  LIHTC</t>
  </si>
  <si>
    <t>Data as of June 2026  |  Sources: CoStar, Apartments.com, HUD, Zillow</t>
  </si>
  <si>
    <t>COLUMN GUIDE — Income-restricted rent limits (50% AMI, 60% AMI), HUD Fair Market Rent (FMR), and Actual Advertised Rent for each bedroom size.</t>
  </si>
  <si>
    <t>Lexington Arms (SUBJECT)</t>
  </si>
  <si>
    <t>61</t>
  </si>
  <si>
    <t>1997</t>
  </si>
  <si>
    <t>12.8 mi</t>
  </si>
  <si>
    <t>66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</si>
  <si>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</si>
  <si>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</si>
  <si>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</si>
  <si>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</si>
  <si>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$1,270</t>
  </si>
  <si>
    <t>$1,650</t>
  </si>
  <si>
    <t>80</t>
  </si>
  <si>
    <t>1998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</si>
  <si>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</si>
  <si>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</si>
  <si>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</si>
  <si>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</si>
  <si>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</si>
  <si>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</si>
  <si>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1996</t>
  </si>
  <si>
    <t>Affordable Comp #4: LIHTC property, 1996 vintage (1 yr diff), 64 units, 25.7 mi from subject. Same income-eligible renter pool.</t>
  </si>
  <si>
    <t>Bridgepoint</t>
  </si>
  <si>
    <t>2200 Brown St</t>
  </si>
  <si>
    <t>N/A (Market Rate)</t>
  </si>
  <si>
    <t>Market Rate Comp #1: No income restrictions, 1997 vintage (0 yr diff), N/A units, N/A from subject. Shows market-rate rents vs. affordable housing discount.</t>
  </si>
  <si>
    <t>HUD FY2026 FMR - Ellis County, TX (limited market rate listings in Waxahachie)</t>
  </si>
  <si>
    <t>Oxford at Crossroads Centre</t>
  </si>
  <si>
    <t>411 Alliance Blvd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</si>
  <si>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</si>
  <si>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</si>
  <si>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</si>
  <si>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</si>
  <si>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</si>
  <si>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</si>
  <si>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</si>
  <si>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</si>
  <si>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</si>
  <si>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</si>
  <si>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</si>
  <si>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</si>
  <si>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</si>
  <si>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</si>
  <si>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Bent Tree Townhomes</t>
  </si>
  <si>
    <t>1721 S IH-35 E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</si>
  <si>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</si>
  <si>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</si>
  <si>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FY2026 FMR — Dallas-Fort Worth MSA</t>
  </si>
  <si>
    <t>Metro Market Avg — Waxahachie (Apartments.com)</t>
  </si>
  <si>
    <t>COLOR KEY:  GREEN = Subject Property  |  LIGHT GREEN = Affordable Comps (LIHTC/Section 8/HUD)  |  LIGHT BLUE = Market Rate Comps  |  ORANGE = Actual Advertised Rent</t>
  </si>
  <si>
    <t>Market Average = Avg of Actual Advertised Rents from Market-Rate Comps (Apartments.com)</t>
  </si>
  <si>
    <t>PMTS — Vouchers / FMR / UAP / NET</t>
  </si>
  <si>
    <t>MKT</t>
  </si>
  <si>
    <t>VCH</t>
  </si>
  <si>
    <t>FMR</t>
  </si>
  <si>
    <t>UAP</t>
  </si>
  <si>
    <t>NET</t>
  </si>
  <si>
    <t>RENT COMPARABLES ANALYSIS  —  Grace Townhomes</t>
  </si>
  <si>
    <t>ID: 23</t>
  </si>
  <si>
    <t>1212 Grace Circle, Ennis, TX 75119  |  112 units  |  LIHTC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</si>
  <si>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</si>
  <si>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</si>
  <si>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</si>
  <si>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</si>
  <si>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</si>
  <si>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</si>
  <si>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</si>
  <si>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</si>
  <si>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</si>
  <si>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</si>
  <si>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</si>
  <si>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</si>
  <si>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</si>
  <si>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</si>
  <si>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</si>
  <si>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</si>
  <si>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</si>
  <si>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</si>
  <si>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</si>
  <si>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</si>
  <si>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</si>
  <si>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</si>
  <si>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</si>
  <si>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</si>
  <si>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</si>
  <si>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</si>
  <si>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</si>
  <si>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</si>
  <si>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</si>
  <si>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</si>
  <si>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</si>
  <si>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</si>
  <si>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</si>
  <si>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</si>
  <si>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</si>
  <si>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Market Rate Comp #2: No income restrictions, 2000 vintage (1 yr diff), 88 units, 12.5 mi from subject. Shows market-rate rents vs. affordable housing discount.</t>
  </si>
  <si>
    <t>Market Rate Comp #3: No income restrictions, 1999 vintage (2 yr diff), 72 units, 28.0 mi from subject. Shows market-rate rents vs. affordable housing discount.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</si>
  <si>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</si>
  <si>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</si>
  <si>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</si>
  <si>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</si>
  <si>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Ennis (Apartments.com)</t>
  </si>
  <si>
    <t>RENT COMPARABLES ANALYSIS  —  Grove Park Terrace</t>
  </si>
  <si>
    <t>ID: 46</t>
  </si>
  <si>
    <t>400 Peters St, Waxahachie, TX 75165  |  60 units  |  Layered HUD/LIHTC</t>
  </si>
  <si>
    <t>Grove Park Terrace (SUBJECT)</t>
  </si>
  <si>
    <t>400 Peters St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</si>
  <si>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</si>
  <si>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</si>
  <si>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</si>
  <si>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</si>
  <si>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</si>
  <si>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</si>
  <si>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</si>
  <si>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</si>
  <si>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</si>
  <si>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</si>
  <si>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</si>
  <si>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</si>
  <si>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</si>
  <si>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</si>
  <si>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</si>
  <si>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</si>
  <si>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</si>
  <si>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</si>
  <si>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</si>
  <si>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</si>
  <si>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</si>
  <si>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</si>
  <si>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</si>
  <si>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RENT COMPARABLES ANALYSIS  —  La Promesa</t>
  </si>
  <si>
    <t>ID: 60</t>
  </si>
  <si>
    <t>Odessa, Odessa, TX 79762  |  136 units  |  Layered HUD/LIHTC</t>
  </si>
  <si>
    <t>La Promesa (SUBJECT)</t>
  </si>
  <si>
    <t>Odessa</t>
  </si>
  <si>
    <t>79762</t>
  </si>
  <si>
    <t>$1,254</t>
  </si>
  <si>
    <t>$1,573</t>
  </si>
  <si>
    <t>136</t>
  </si>
  <si>
    <t>Skyline Village</t>
  </si>
  <si>
    <t>Mckinney</t>
  </si>
  <si>
    <t>1988</t>
  </si>
  <si>
    <t>10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</si>
  <si>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</si>
  <si>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</si>
  <si>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</si>
  <si>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</si>
  <si>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</si>
  <si>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1987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</si>
  <si>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</si>
  <si>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</si>
  <si>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</si>
  <si>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</si>
  <si>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</si>
  <si>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</si>
  <si>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</si>
  <si>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</si>
  <si>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</si>
  <si>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</si>
  <si>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</si>
  <si>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</si>
  <si>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</si>
  <si>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</si>
  <si>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</si>
  <si>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</si>
  <si>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</si>
  <si>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</si>
  <si>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</si>
  <si>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</si>
  <si>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</si>
  <si>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</si>
  <si>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</si>
  <si>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</si>
  <si>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</si>
  <si>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</si>
  <si>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</si>
  <si>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</si>
  <si>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</si>
  <si>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</si>
  <si>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</si>
  <si>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</si>
  <si>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</si>
  <si>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</si>
  <si>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</si>
  <si>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Odessa, TX MSA</t>
  </si>
  <si>
    <t>Metro Market Avg — Odessa (Apartments.com)</t>
  </si>
  <si>
    <t>RENT COMPARABLES ANALYSIS  —  New Wilmington Arms</t>
  </si>
  <si>
    <t>ID: 3</t>
  </si>
  <si>
    <t>700 W. Laurel Avenue, Compton, CA 90220  |  units N/A  |  Section 8/HUD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</si>
  <si>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</si>
  <si>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</si>
  <si>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</si>
  <si>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</si>
  <si>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</si>
  <si>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</si>
  <si>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</si>
  <si>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</si>
  <si>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</si>
  <si>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</si>
  <si>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</si>
  <si>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</si>
  <si>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</si>
  <si>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</si>
  <si>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1973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</si>
  <si>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</si>
  <si>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</si>
  <si>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</si>
  <si>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</si>
  <si>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</si>
  <si>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</si>
  <si>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</si>
  <si>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</si>
  <si>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</si>
  <si>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</si>
  <si>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</si>
  <si>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</si>
  <si>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</si>
  <si>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</si>
  <si>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</si>
  <si>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</si>
  <si>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</si>
  <si>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</si>
  <si>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</si>
  <si>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</si>
  <si>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</si>
  <si>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</si>
  <si>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</si>
  <si>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</si>
  <si>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</si>
  <si>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</si>
  <si>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</si>
  <si>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</si>
  <si>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</si>
  <si>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</si>
  <si>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</si>
  <si>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</si>
  <si>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</si>
  <si>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</si>
  <si>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</si>
  <si>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</si>
  <si>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</si>
  <si>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</si>
  <si>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</si>
  <si>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</si>
  <si>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</si>
  <si>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</si>
  <si>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</si>
  <si>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</si>
  <si>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Los Angeles County</t>
  </si>
  <si>
    <t>Metro Market Avg — Compton (Apartments.com)</t>
  </si>
  <si>
    <t>RENT COMPARABLES ANALYSIS  —  Gates on Manhattan</t>
  </si>
  <si>
    <t>ID: 19</t>
  </si>
  <si>
    <t>1050 Manhattan Blvd, Harvey, LA 70058  |  276 units  |  Section 8/HUD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</si>
  <si>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</si>
  <si>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</si>
  <si>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</si>
  <si>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</si>
  <si>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</si>
  <si>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</si>
  <si>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</si>
  <si>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</si>
  <si>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</si>
  <si>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</si>
  <si>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</si>
  <si>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</si>
  <si>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Westchase Apartments</t>
  </si>
  <si>
    <t>1013 Manhattan Blvd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</si>
  <si>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</si>
  <si>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</si>
  <si>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</si>
  <si>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</si>
  <si>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</si>
  <si>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</si>
  <si>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</si>
  <si>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</si>
  <si>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</si>
  <si>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</si>
  <si>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</si>
  <si>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</si>
  <si>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</si>
  <si>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</si>
  <si>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</si>
  <si>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</si>
  <si>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</si>
  <si>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</si>
  <si>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</si>
  <si>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</si>
  <si>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</si>
  <si>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</si>
  <si>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</si>
  <si>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</si>
  <si>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</si>
  <si>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</si>
  <si>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</si>
  <si>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</si>
  <si>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</si>
  <si>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</si>
  <si>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</si>
  <si>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</si>
  <si>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</si>
  <si>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</si>
  <si>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</si>
  <si>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</si>
  <si>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</si>
  <si>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</si>
  <si>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</si>
  <si>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</si>
  <si>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New Orleans MSA</t>
  </si>
  <si>
    <t>Metro Market Avg — Harvey (Apartments.com)</t>
  </si>
  <si>
    <t>RENT COMPARABLES ANALYSIS  —  Ruby Diamond</t>
  </si>
  <si>
    <t>ID: 42</t>
  </si>
  <si>
    <t>Marrero, Marrero, LA 70072  |  73 units  |  LIHTC</t>
  </si>
  <si>
    <t>Ruby Diamond (SUBJECT)</t>
  </si>
  <si>
    <t>70072</t>
  </si>
  <si>
    <t>$4,041</t>
  </si>
  <si>
    <t>$4,850</t>
  </si>
  <si>
    <t>73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</si>
  <si>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</si>
  <si>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</si>
  <si>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</si>
  <si>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</si>
  <si>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</si>
  <si>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</si>
  <si>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</si>
  <si>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</si>
  <si>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</si>
  <si>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</si>
  <si>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</si>
  <si>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</si>
  <si>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</si>
  <si>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</si>
  <si>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</si>
  <si>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</si>
  <si>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</si>
  <si>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</si>
  <si>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</si>
  <si>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</si>
  <si>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</si>
  <si>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</si>
  <si>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</si>
  <si>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</si>
  <si>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</si>
  <si>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</si>
  <si>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</si>
  <si>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</si>
  <si>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</si>
  <si>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</si>
  <si>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</si>
  <si>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</si>
  <si>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</si>
  <si>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</si>
  <si>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</si>
  <si>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</si>
  <si>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</si>
  <si>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</si>
  <si>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</si>
  <si>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Marrero (Apartments.com)</t>
  </si>
  <si>
    <t>RENT COMPARABLES ANALYSIS  —  Star Homes</t>
  </si>
  <si>
    <t>ID: 39</t>
  </si>
  <si>
    <t>2020 Melba Place, Marrero, LA 70072  |  48 units  |  LIHTC</t>
  </si>
  <si>
    <t>Star Homes (SUBJECT)</t>
  </si>
  <si>
    <t>2020 Melba Place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</si>
  <si>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</si>
  <si>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</si>
  <si>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</si>
  <si>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</si>
  <si>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</si>
  <si>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</si>
  <si>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</si>
  <si>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</si>
  <si>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</si>
  <si>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</si>
  <si>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</si>
  <si>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</si>
  <si>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</si>
  <si>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Market Rate Comp #4: No income restrictions, 2000 vintage (0 yr diff), 64 units, 5.5 mi from subject. Shows market-rate rents vs. affordable housing discount.</t>
  </si>
  <si>
    <t>RENT COMPARABLES ANALYSIS  —  Colonial Estates</t>
  </si>
  <si>
    <t>ID: 20</t>
  </si>
  <si>
    <t>1300 Ridgefield Ave, Thibodaux, LA 70301  |  107 units  |  Section 8/HUD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</si>
  <si>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</si>
  <si>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</si>
  <si>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</si>
  <si>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</si>
  <si>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</si>
  <si>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</si>
  <si>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</si>
  <si>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</si>
  <si>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</si>
  <si>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</si>
  <si>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</si>
  <si>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</si>
  <si>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</si>
  <si>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</si>
  <si>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Bayou Terrace Apartments</t>
  </si>
  <si>
    <t>600 Canal Blvd</t>
  </si>
  <si>
    <t>1976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</si>
  <si>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</si>
  <si>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</si>
  <si>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</si>
  <si>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</si>
  <si>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</si>
  <si>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18.0 mi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</si>
  <si>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</si>
  <si>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</si>
  <si>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</si>
  <si>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</si>
  <si>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</si>
  <si>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</si>
  <si>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</si>
  <si>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</si>
  <si>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1977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</si>
  <si>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</si>
  <si>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</si>
  <si>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</si>
  <si>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</si>
  <si>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</si>
  <si>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</si>
  <si>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</si>
  <si>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Chateau Audubon Apartments</t>
  </si>
  <si>
    <t>106 Beham Ct</t>
  </si>
  <si>
    <t>Market Rate Comp #1: No income restrictions, 1975 vintage (0 yr diff), N/A units, N/A from subject. Shows market-rate rents vs. affordable housing discount.</t>
  </si>
  <si>
    <t>HUD FY2026 FMR - Lafourche Parish, LA (limited market rate listings for 1965-1985 vintage)</t>
  </si>
  <si>
    <t>Bayou Reserve</t>
  </si>
  <si>
    <t>2464 Talbot Ave</t>
  </si>
  <si>
    <t>Market Rate Comp #2: No income restrictions, 1978 vintage (3 yr diff), N/A units, 20.0 mi from subject. Shows market-rate rents vs. affordable housing discount.</t>
  </si>
  <si>
    <t>HUD FY2026 FMR - Terrebonne Parish, LA</t>
  </si>
  <si>
    <t>Colonial Estates</t>
  </si>
  <si>
    <t>Market Rate Comp #3: No income restrictions, 1972 vintage (3 yr diff), N/A units, 22.0 mi from subject. Shows market-rate rents vs. affordable housing discount.</t>
  </si>
  <si>
    <t>Turnberry Townhomes</t>
  </si>
  <si>
    <t>130 Leighton Dr</t>
  </si>
  <si>
    <t>Market Rate Comp #4: No income restrictions, 1978 vintage (3 yr diff), N/A units, N/A from subject. Shows market-rate rents vs. affordable housing discount.</t>
  </si>
  <si>
    <t>HUD FY2026 FMR - Lafourche Parish, LA</t>
  </si>
  <si>
    <t>Acadia Villas Apartment Homes</t>
  </si>
  <si>
    <t>624 Percy Rd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</si>
  <si>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</si>
  <si>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1359 LA-20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</si>
  <si>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</si>
  <si>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Lafourche Parish, LA</t>
  </si>
  <si>
    <t>Metro Market Avg — Thibodaux (Apartments.com)</t>
  </si>
  <si>
    <t>RENT COMPARABLES ANALYSIS  —  Marrero 3</t>
  </si>
  <si>
    <t>ID: 40</t>
  </si>
  <si>
    <t>1050 Manhattan Blvd, Harvey, LA 70058  |  173 units  |  Section 8/HUD</t>
  </si>
  <si>
    <t>Marrero 3 (SUBJECT)</t>
  </si>
  <si>
    <t>173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</si>
  <si>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</si>
  <si>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</si>
  <si>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</si>
  <si>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</si>
  <si>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</si>
  <si>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</si>
  <si>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160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</si>
  <si>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</si>
  <si>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</si>
  <si>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</si>
  <si>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</si>
  <si>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</si>
  <si>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</si>
  <si>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</si>
  <si>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</si>
  <si>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</si>
  <si>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</si>
  <si>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</si>
  <si>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RENT COMPARABLES ANALYSIS  —  Arbor Crest</t>
  </si>
  <si>
    <t>ID: 37</t>
  </si>
  <si>
    <t>64 N Cleveland Street, Quincy, FL 32351  |  120 units  |  LIHTC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</si>
  <si>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</si>
  <si>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</si>
  <si>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</si>
  <si>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</si>
  <si>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</si>
  <si>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</si>
  <si>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</si>
  <si>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</si>
  <si>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</si>
  <si>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</si>
  <si>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</si>
  <si>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</si>
  <si>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</si>
  <si>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1995</t>
  </si>
  <si>
    <t>Springwood - Tallahassee</t>
  </si>
  <si>
    <t>2660 Old Bainbridge Rd</t>
  </si>
  <si>
    <t>32303</t>
  </si>
  <si>
    <t>17.4 mi</t>
  </si>
  <si>
    <t>$1,325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</si>
  <si>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</si>
  <si>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</si>
  <si>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</si>
  <si>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</si>
  <si>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</si>
  <si>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</si>
  <si>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</si>
  <si>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</si>
  <si>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</si>
  <si>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</si>
  <si>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1994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</si>
  <si>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</si>
  <si>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</si>
  <si>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</si>
  <si>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</si>
  <si>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</si>
  <si>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Affordable Comp #4: LIHTC property, 1993 vintage (2 yr diff), 184 units, 22.8 mi from subject. Same income-eligible renter pool.</t>
  </si>
  <si>
    <t>Arbours at Quincy</t>
  </si>
  <si>
    <t>1880 Pat Thomas Pky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</si>
  <si>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</si>
  <si>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</si>
  <si>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</si>
  <si>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</si>
  <si>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</si>
  <si>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</si>
  <si>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</si>
  <si>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</si>
  <si>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</si>
  <si>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</si>
  <si>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</si>
  <si>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</si>
  <si>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</si>
  <si>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</si>
  <si>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</si>
  <si>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</si>
  <si>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</si>
  <si>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</si>
  <si>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</si>
  <si>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</si>
  <si>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Gadsden County, FL</t>
  </si>
  <si>
    <t>Metro Market Avg — Quincy (Apartments.com)</t>
  </si>
  <si>
    <t>RENT COMPARABLES ANALYSIS  —  Windsor/Yorkshire</t>
  </si>
  <si>
    <t>ID: 33</t>
  </si>
  <si>
    <t>2020 N. Hearne Avenue, Shreveport, LA 71107  |  134 units  |  LIHTC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</si>
  <si>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</si>
  <si>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</si>
  <si>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</si>
  <si>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</si>
  <si>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</si>
  <si>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</si>
  <si>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</si>
  <si>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</si>
  <si>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</si>
  <si>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</si>
  <si>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</si>
  <si>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</si>
  <si>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</si>
  <si>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</si>
  <si>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Southwood Gardens</t>
  </si>
  <si>
    <t>3550 Cedar Creek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</si>
  <si>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</si>
  <si>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</si>
  <si>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</si>
  <si>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</si>
  <si>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</si>
  <si>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</si>
  <si>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</si>
  <si>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</si>
  <si>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</si>
  <si>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</si>
  <si>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</si>
  <si>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</si>
  <si>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</si>
  <si>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</si>
  <si>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</si>
  <si>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</si>
  <si>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</si>
  <si>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</si>
  <si>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</si>
  <si>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</si>
  <si>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</si>
  <si>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</si>
  <si>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</si>
  <si>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</si>
  <si>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</si>
  <si>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</si>
  <si>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</si>
  <si>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</si>
  <si>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</si>
  <si>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</si>
  <si>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</si>
  <si>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</si>
  <si>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</si>
  <si>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</si>
  <si>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</si>
  <si>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</si>
  <si>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</si>
  <si>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</si>
  <si>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Shreveport-Bossier City MSA</t>
  </si>
  <si>
    <t>Metro Market Avg — Shreveport (Apartments.com)</t>
  </si>
  <si>
    <t>RENT COMPARABLES ANALYSIS  —  North Pointe</t>
  </si>
  <si>
    <t>ID: 50</t>
  </si>
  <si>
    <t>Bossier City, Bossier City, LA 71111  |  27 units  |  LIHTC</t>
  </si>
  <si>
    <t>North Pointe (SUBJECT)</t>
  </si>
  <si>
    <t>Bossier City</t>
  </si>
  <si>
    <t>71111</t>
  </si>
  <si>
    <t>$3,404</t>
  </si>
  <si>
    <t>$4,085</t>
  </si>
  <si>
    <t>$1,261</t>
  </si>
  <si>
    <t>27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</si>
  <si>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</si>
  <si>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</si>
  <si>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</si>
  <si>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</si>
  <si>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</si>
  <si>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</si>
  <si>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</si>
  <si>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</si>
  <si>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</si>
  <si>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</si>
  <si>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</si>
  <si>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</si>
  <si>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</si>
  <si>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</si>
  <si>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</si>
  <si>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</si>
  <si>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</si>
  <si>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</si>
  <si>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</si>
  <si>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</si>
  <si>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</si>
  <si>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</si>
  <si>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</si>
  <si>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</si>
  <si>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</si>
  <si>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</si>
  <si>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</si>
  <si>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</si>
  <si>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</si>
  <si>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</si>
  <si>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</si>
  <si>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</si>
  <si>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</si>
  <si>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</si>
  <si>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</si>
  <si>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</si>
  <si>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</si>
  <si>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</si>
  <si>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</si>
  <si>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</si>
  <si>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</si>
  <si>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Bossier City (Apartments.com)</t>
  </si>
  <si>
    <t>RENT COMPARABLES ANALYSIS  —  Granite Bayou</t>
  </si>
  <si>
    <t>ID: 53</t>
  </si>
  <si>
    <t>Baton Rouge, Baton Rouge, LA 70806  |  60 units  |  LIHTC</t>
  </si>
  <si>
    <t>Granite Bayou (SUBJECT)</t>
  </si>
  <si>
    <t>Baton Rouge</t>
  </si>
  <si>
    <t>70806</t>
  </si>
  <si>
    <t>$3,820</t>
  </si>
  <si>
    <t>$4,585</t>
  </si>
  <si>
    <t>$4,129</t>
  </si>
  <si>
    <t>$4,955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</si>
  <si>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</si>
  <si>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</si>
  <si>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</si>
  <si>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</si>
  <si>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</si>
  <si>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</si>
  <si>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</si>
  <si>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</si>
  <si>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</si>
  <si>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</si>
  <si>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</si>
  <si>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</si>
  <si>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</si>
  <si>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</si>
  <si>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</si>
  <si>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</si>
  <si>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</si>
  <si>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</si>
  <si>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</si>
  <si>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</si>
  <si>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</si>
  <si>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</si>
  <si>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</si>
  <si>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</si>
  <si>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</si>
  <si>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</si>
  <si>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</si>
  <si>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</si>
  <si>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</si>
  <si>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</si>
  <si>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</si>
  <si>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</si>
  <si>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</si>
  <si>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</si>
  <si>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</si>
  <si>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</si>
  <si>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</si>
  <si>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</si>
  <si>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</si>
  <si>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</si>
  <si>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</si>
  <si>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Metro Market Avg — Baton Rouge (Apartments.com)</t>
  </si>
  <si>
    <t>RENT COMPARABLES ANALYSIS  —  St. Charles Place</t>
  </si>
  <si>
    <t>ID: 41</t>
  </si>
  <si>
    <t>1011 18th Street, Lake Charles, LA 70601  |  121 units  |  Layered HUD/LIHTC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</si>
  <si>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</si>
  <si>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</si>
  <si>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</si>
  <si>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</si>
  <si>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</si>
  <si>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</si>
  <si>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</si>
  <si>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</si>
  <si>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</si>
  <si>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Valleyview Apts.</t>
  </si>
  <si>
    <t>4401 5Th Avenue South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</si>
  <si>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</si>
  <si>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</si>
  <si>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</si>
  <si>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</si>
  <si>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</si>
  <si>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</si>
  <si>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</si>
  <si>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</si>
  <si>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</si>
  <si>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</si>
  <si>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</si>
  <si>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</si>
  <si>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</si>
  <si>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</si>
  <si>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</si>
  <si>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</si>
  <si>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</si>
  <si>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</si>
  <si>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</si>
  <si>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</si>
  <si>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</si>
  <si>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</si>
  <si>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</si>
  <si>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</si>
  <si>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</si>
  <si>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</si>
  <si>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</si>
  <si>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</si>
  <si>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</si>
  <si>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</si>
  <si>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</si>
  <si>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</si>
  <si>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</si>
  <si>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Metro Market Avg — Lake Charles (Apartments.com)</t>
  </si>
  <si>
    <t>RENT COMPARABLES ANALYSIS  —  Pelican Bay</t>
  </si>
  <si>
    <t>ID: 55</t>
  </si>
  <si>
    <t>2121 N Lobdell Blvd, Baton Rouge, LA 70806  |  152 units  |  Section 8/HUD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</si>
  <si>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</si>
  <si>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</si>
  <si>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</si>
  <si>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</si>
  <si>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</si>
  <si>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</si>
  <si>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</si>
  <si>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Bon Carre' Court (Melrose)</t>
  </si>
  <si>
    <t>6645 Harry Dr</t>
  </si>
  <si>
    <t>$965</t>
  </si>
  <si>
    <t>$1,185</t>
  </si>
  <si>
    <t>172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</si>
  <si>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</si>
  <si>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</si>
  <si>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</si>
  <si>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</si>
  <si>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</si>
  <si>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</si>
  <si>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</si>
  <si>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</si>
  <si>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</si>
  <si>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</si>
  <si>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</si>
  <si>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</si>
  <si>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</si>
  <si>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</si>
  <si>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</si>
  <si>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</si>
  <si>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RENT COMPARABLES ANALYSIS  —  Howell Place</t>
  </si>
  <si>
    <t>ID: 56</t>
  </si>
  <si>
    <t>4150 72nd Avenue, Baton Rouge, LA 70811  |  48 units  |  Section 8/HUD</t>
  </si>
  <si>
    <t>Howell Place (SUBJECT)</t>
  </si>
  <si>
    <t>4150 72nd Avenue</t>
  </si>
  <si>
    <t>70811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</si>
  <si>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</si>
  <si>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</si>
  <si>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</si>
  <si>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</si>
  <si>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</si>
  <si>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</si>
  <si>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</si>
  <si>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</si>
  <si>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</si>
  <si>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</si>
  <si>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</si>
  <si>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</si>
  <si>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</si>
  <si>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</si>
  <si>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</si>
  <si>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RENT COMPARABLES ANALYSIS  —  Pirates Bend</t>
  </si>
  <si>
    <t>ID: 57</t>
  </si>
  <si>
    <t>8165 Plank Road, Baton Rouge, LA 70811  |  48 units  |  Section 8/HUD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</si>
  <si>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</si>
  <si>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</si>
  <si>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</si>
  <si>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</si>
  <si>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</si>
  <si>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</si>
  <si>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</si>
  <si>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</si>
  <si>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</si>
  <si>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RENT COMPARABLES ANALYSIS  —  Anaheim</t>
  </si>
  <si>
    <t>ID: 6</t>
  </si>
  <si>
    <t>Anaheim, Anaheim, CA 92801  |  80 units  |  Section 8/HUD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</si>
  <si>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</si>
  <si>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</si>
  <si>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</si>
  <si>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</si>
  <si>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</si>
  <si>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</si>
  <si>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</si>
  <si>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</si>
  <si>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</si>
  <si>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</si>
  <si>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</si>
  <si>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</si>
  <si>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</si>
  <si>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</si>
  <si>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</si>
  <si>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</si>
  <si>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</si>
  <si>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Hdr Fund Apts I</t>
  </si>
  <si>
    <t>76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</si>
  <si>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</si>
  <si>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</si>
  <si>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</si>
  <si>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</si>
  <si>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$2,250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</si>
  <si>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</si>
  <si>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</si>
  <si>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</si>
  <si>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</si>
  <si>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</si>
  <si>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</si>
  <si>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</si>
  <si>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</si>
  <si>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</si>
  <si>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</si>
  <si>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</si>
  <si>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</si>
  <si>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</si>
  <si>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</si>
  <si>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</si>
  <si>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</si>
  <si>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</si>
  <si>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</si>
  <si>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</si>
  <si>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</si>
  <si>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</si>
  <si>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</si>
  <si>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</si>
  <si>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</si>
  <si>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</si>
  <si>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</t>
  </si>
  <si>
    <t>Market Rate Comp #4: No income restrictions, 1978 vintage (2 yr diff), 96 units, 3.2 mi from subject. Shows market-rate rents vs. affordable housing discount.</t>
  </si>
  <si>
    <t>FY2026 FMR — Orange County, CA</t>
  </si>
  <si>
    <t>Metro Market Avg — Anaheim (Apartments.com)</t>
  </si>
  <si>
    <t>RENT COMPARABLES ANALYSIS  —  Fairfax</t>
  </si>
  <si>
    <t>ID: 11</t>
  </si>
  <si>
    <t>737 1/2 S Genesee Ave, Los Angeles, CA 90036  |  46 units  |  Section 8/HUD</t>
  </si>
  <si>
    <t>Fairfax (SUBJECT)</t>
  </si>
  <si>
    <t>737 1/2 S Genesee Ave</t>
  </si>
  <si>
    <t>90036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</si>
  <si>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</si>
  <si>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</si>
  <si>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</si>
  <si>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</si>
  <si>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</si>
  <si>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</si>
  <si>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</si>
  <si>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</si>
  <si>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</si>
  <si>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</si>
  <si>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</si>
  <si>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</si>
  <si>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</si>
  <si>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</si>
  <si>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</si>
  <si>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</si>
  <si>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</si>
  <si>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</si>
  <si>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</si>
  <si>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</si>
  <si>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</si>
  <si>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</si>
  <si>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</si>
  <si>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</si>
  <si>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</si>
  <si>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</si>
  <si>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</si>
  <si>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</si>
  <si>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</si>
  <si>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</si>
  <si>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</si>
  <si>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</si>
  <si>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</si>
  <si>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Metro Market Avg — Los Angeles (Apartments.com)</t>
  </si>
  <si>
    <t>RENT COMPARABLES ANALYSIS  —  Urban 1 &amp; 2</t>
  </si>
  <si>
    <t>ID: 31</t>
  </si>
  <si>
    <t>Los Angeles, Los Angeles, CA 90036  |  60 units  |  LIHTC</t>
  </si>
  <si>
    <t>Urban 1 &amp; 2 (SUBJECT)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</si>
  <si>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</si>
  <si>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</si>
  <si>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</si>
  <si>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</si>
  <si>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</si>
  <si>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</si>
  <si>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</si>
  <si>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</si>
  <si>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</si>
  <si>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</si>
  <si>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</si>
  <si>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</si>
  <si>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</si>
  <si>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</si>
  <si>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</si>
  <si>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</si>
  <si>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</si>
  <si>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</si>
  <si>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</si>
  <si>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</si>
  <si>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RENT COMPARABLES ANALYSIS  —  Midtown Manor</t>
  </si>
  <si>
    <t>ID: 2</t>
  </si>
  <si>
    <t>Los Angeles, Los Angeles, CA 90036  |  32 units  |  LIHTC</t>
  </si>
  <si>
    <t>Midtown Manor (SUBJECT)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</si>
  <si>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</si>
  <si>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</si>
  <si>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</si>
  <si>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</si>
  <si>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</si>
  <si>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</si>
  <si>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</si>
  <si>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</si>
  <si>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</si>
  <si>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</si>
  <si>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</si>
  <si>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</si>
  <si>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</si>
  <si>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</si>
  <si>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</si>
  <si>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</si>
  <si>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</si>
  <si>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</si>
  <si>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</si>
  <si>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</si>
  <si>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RENT COMPARABLES ANALYSIS  —  Pacific Pointe</t>
  </si>
  <si>
    <t>ID: 34</t>
  </si>
  <si>
    <t>1025 Rosemarie Ln, Stockton, CA 95207  |  80 units  |  LIHTC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</si>
  <si>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</si>
  <si>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</si>
  <si>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</si>
  <si>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</si>
  <si>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</si>
  <si>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</si>
  <si>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</si>
  <si>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</si>
  <si>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</si>
  <si>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</si>
  <si>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</si>
  <si>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</si>
  <si>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</si>
  <si>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</si>
  <si>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</si>
  <si>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</si>
  <si>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</si>
  <si>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</si>
  <si>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</si>
  <si>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</si>
  <si>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75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</si>
  <si>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</si>
  <si>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</si>
  <si>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</si>
  <si>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</si>
  <si>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</si>
  <si>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</si>
  <si>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</si>
  <si>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</si>
  <si>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</si>
  <si>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</si>
  <si>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</si>
  <si>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</si>
  <si>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</si>
  <si>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</si>
  <si>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</si>
  <si>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</si>
  <si>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</si>
  <si>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</si>
  <si>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</si>
  <si>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</si>
  <si>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</si>
  <si>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</si>
  <si>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</si>
  <si>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</si>
  <si>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</si>
  <si>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</si>
  <si>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Metro Market Avg — Stockton (Apartments.com)</t>
  </si>
  <si>
    <t>RENT COMPARABLES ANALYSIS  —  Granite Ridge</t>
  </si>
  <si>
    <t>ID: 28</t>
  </si>
  <si>
    <t>246 E Iris Ave, Stockton, CA 95207  |  80 units  |  LIHTC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</si>
  <si>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</si>
  <si>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</si>
  <si>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</si>
  <si>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</si>
  <si>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</si>
  <si>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</si>
  <si>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RENT COMPARABLES ANALYSIS  —  Columbia Village</t>
  </si>
  <si>
    <t>ID: 25</t>
  </si>
  <si>
    <t>11299 Columbia Village Dr, Sonora, CA 95370  |  80 units  |  LIHTC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</si>
  <si>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</si>
  <si>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</si>
  <si>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</si>
  <si>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</si>
  <si>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</si>
  <si>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</si>
  <si>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</si>
  <si>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</si>
  <si>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</si>
  <si>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</si>
  <si>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</si>
  <si>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</si>
  <si>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</si>
  <si>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</si>
  <si>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</si>
  <si>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</si>
  <si>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</si>
  <si>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</si>
  <si>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</si>
  <si>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</si>
  <si>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</si>
  <si>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</si>
  <si>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</si>
  <si>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</si>
  <si>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</si>
  <si>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</si>
  <si>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</si>
  <si>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</si>
  <si>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</si>
  <si>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</si>
  <si>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</si>
  <si>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</si>
  <si>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</si>
  <si>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</si>
  <si>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</si>
  <si>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</si>
  <si>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</si>
  <si>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</si>
  <si>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</si>
  <si>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</si>
  <si>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</si>
  <si>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</si>
  <si>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</si>
  <si>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Metro Market Avg — Sonora (Apartments.com)</t>
  </si>
  <si>
    <t>RENT COMPARABLES ANALYSIS  —  Forest View Senior</t>
  </si>
  <si>
    <t>ID: 26</t>
  </si>
  <si>
    <t>19499 Hess Ave, Sonora, CA 95370  |  60 units  |  LIHTC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</si>
  <si>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</si>
  <si>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</si>
  <si>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</si>
  <si>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</si>
  <si>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</si>
  <si>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</si>
  <si>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</si>
  <si>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</si>
  <si>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</si>
  <si>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</si>
  <si>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</si>
  <si>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</si>
  <si>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</si>
  <si>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</si>
  <si>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54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</si>
  <si>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</si>
  <si>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</si>
  <si>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RENT COMPARABLES ANALYSIS  —  Oak Hills</t>
  </si>
  <si>
    <t>ID: 24</t>
  </si>
  <si>
    <t>10260 Preston Lane, Jamestown, CA 95327  |  80 units  |  LIHTC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</si>
  <si>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</si>
  <si>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</si>
  <si>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</si>
  <si>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</si>
  <si>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</si>
  <si>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</si>
  <si>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</si>
  <si>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</si>
  <si>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</si>
  <si>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</si>
  <si>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</si>
  <si>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</si>
  <si>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</si>
  <si>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</si>
  <si>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 (Apartments.com)</t>
  </si>
  <si>
    <t>RENT COMPARABLES ANALYSIS  —  River Garden</t>
  </si>
  <si>
    <t>ID: 58</t>
  </si>
  <si>
    <t>Sonora, Sonora, CA 95370  |  123 units  |  Section 8/HUD</t>
  </si>
  <si>
    <t>5BD -
Actual</t>
  </si>
  <si>
    <t>River Garden (SUBJECT)</t>
  </si>
  <si>
    <t>$5,490</t>
  </si>
  <si>
    <t>$2,277</t>
  </si>
  <si>
    <t>$4,912</t>
  </si>
  <si>
    <t>$5,895</t>
  </si>
  <si>
    <t>$2,619</t>
  </si>
  <si>
    <t>123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</si>
  <si>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</si>
  <si>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</si>
  <si>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</si>
  <si>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</si>
  <si>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</si>
  <si>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</si>
  <si>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</si>
  <si>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</si>
  <si>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</si>
  <si>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</si>
  <si>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</si>
  <si>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</si>
  <si>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</si>
  <si>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RENT COMPARABLES ANALYSIS  —  Silver Springs Terrace</t>
  </si>
  <si>
    <t>ID: 36</t>
  </si>
  <si>
    <t>950 NE 20th Street, Hickory, NC 28601  |  100 units  |  Layered HUD/LIHTC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</si>
  <si>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</si>
  <si>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</si>
  <si>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</si>
  <si>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</si>
  <si>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</si>
  <si>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</si>
  <si>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</si>
  <si>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</si>
  <si>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</si>
  <si>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</si>
  <si>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</si>
  <si>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</si>
  <si>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</si>
  <si>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</si>
  <si>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</si>
  <si>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</si>
  <si>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</si>
  <si>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</si>
  <si>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</si>
  <si>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</si>
  <si>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</si>
  <si>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</si>
  <si>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</si>
  <si>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</si>
  <si>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</si>
  <si>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</si>
  <si>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</si>
  <si>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</si>
  <si>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</si>
  <si>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</si>
  <si>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</si>
  <si>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</si>
  <si>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</si>
  <si>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</si>
  <si>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</si>
  <si>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</si>
  <si>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</si>
  <si>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</si>
  <si>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Apartments on 20th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</si>
  <si>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</si>
  <si>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</si>
  <si>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</si>
  <si>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</si>
  <si>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</si>
  <si>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</si>
  <si>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Metro Market Avg — Hickory (Apartments.com)</t>
  </si>
  <si>
    <t>RENT COMPARABLES ANALYSIS  —  Thomasville Church Homes</t>
  </si>
  <si>
    <t>ID: 44</t>
  </si>
  <si>
    <t>904 Doak Street, Thomasville, NC 27360  |  100 units  |  Section 8/HUD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</si>
  <si>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</si>
  <si>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</si>
  <si>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</si>
  <si>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</si>
  <si>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</si>
  <si>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</si>
  <si>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</si>
  <si>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</si>
  <si>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</si>
  <si>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</si>
  <si>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</si>
  <si>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</si>
  <si>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</si>
  <si>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</si>
  <si>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</si>
  <si>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</si>
  <si>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</si>
  <si>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</si>
  <si>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</si>
  <si>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</si>
  <si>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</si>
  <si>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</si>
  <si>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</si>
  <si>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</si>
  <si>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</si>
  <si>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</si>
  <si>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</si>
  <si>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</si>
  <si>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</si>
  <si>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</si>
  <si>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</si>
  <si>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</si>
  <si>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</si>
  <si>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</si>
  <si>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</si>
  <si>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</si>
  <si>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HUD FY2026 FMR - Davidson County, NC (limited market rate listings for 1965-1985 vintage)</t>
  </si>
  <si>
    <t>1311 Blair St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</si>
  <si>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</si>
  <si>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</si>
  <si>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Lionchase Apartments</t>
  </si>
  <si>
    <t>50 W Holly Hill Dr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</si>
  <si>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</si>
  <si>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</si>
  <si>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</si>
  <si>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</si>
  <si>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</si>
  <si>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</si>
  <si>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Metro Market Avg — Thomasville (Apartments.com)</t>
  </si>
  <si>
    <t>RENT COMPARABLES ANALYSIS  —  Crossroads of Lee's Summit</t>
  </si>
  <si>
    <t>ID: 63</t>
  </si>
  <si>
    <t>2200 NE Town Centre Blvd, Lee's Summit, MO 64064  |  160 units  |  LIHTC</t>
  </si>
  <si>
    <t>Crossroads of Lee's Summit (SUBJECT)</t>
  </si>
  <si>
    <t>2200 NE Town Centre Blvd</t>
  </si>
  <si>
    <t>Lee's Summit</t>
  </si>
  <si>
    <t>MO</t>
  </si>
  <si>
    <t>64064</t>
  </si>
  <si>
    <t>Chapel Oaks</t>
  </si>
  <si>
    <t>3606 NE Independence Ave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</si>
  <si>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</si>
  <si>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</si>
  <si>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</si>
  <si>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</si>
  <si>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</si>
  <si>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</si>
  <si>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</si>
  <si>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</si>
  <si>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</si>
  <si>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</si>
  <si>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</si>
  <si>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</si>
  <si>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</si>
  <si>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</si>
  <si>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</si>
  <si>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</si>
  <si>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</si>
  <si>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</si>
  <si>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</si>
  <si>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</si>
  <si>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</si>
  <si>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</si>
  <si>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</si>
  <si>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</si>
  <si>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</si>
  <si>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</si>
  <si>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Kansas City, MO-KS Metro (ZIP 64064)</t>
  </si>
  <si>
    <t>Metro Market Avg — Lee's Summit (Apartments.com)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</si>
</sst>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;[Red]&quot;-$&quot;#,##0"/>
  </numFmts>
  <fonts count="76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1"/>
      <name val="Calibri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F1F1F"/>
      <name val="Calibri"/>
    </font>
    <font>
      <sz val="10"/>
      <color rgb="FFBBBBBB"/>
      <name val="Calibri"/>
    </font>
    <font>
      <i/>
      <sz val="9"/>
      <color rgb="FF888888"/>
      <name val="Calibri"/>
    </font>
    <font>
      <b/>
      <sz val="16"/>
      <color rgb="FFFFFFFF"/>
      <name val="Calibri"/>
    </font>
    <font>
      <b/>
      <sz val="9"/>
      <color rgb="FFFFFFFF"/>
      <name val="Calibri"/>
    </font>
    <font>
      <b/>
      <sz val="14"/>
      <color rgb="FF5CDE3E"/>
      <name val="Dubai Medium"/>
    </font>
    <font>
      <b/>
      <sz val="14"/>
      <color rgb="FF92D050"/>
      <name val="Dubai Medium"/>
    </font>
    <font>
      <b/>
      <sz val="18"/>
      <color rgb="FFFFFF00"/>
      <name val="Calibri"/>
    </font>
    <font>
      <b/>
      <sz val="14"/>
      <color rgb="FFFFFF00"/>
      <name val="Calibri"/>
    </font>
    <font>
      <b/>
      <sz val="9"/>
      <color rgb="FF1F1F1F"/>
      <name val="Calibri"/>
    </font>
    <font>
      <b/>
      <sz val="16"/>
      <color rgb="FFFFFF00"/>
      <name val="Calibri"/>
    </font>
    <font>
      <b/>
      <sz val="14"/>
      <color rgb="FF1F1F1F"/>
      <name val="Calibri"/>
    </font>
    <font>
      <b/>
      <sz val="11"/>
      <color rgb="FF375623"/>
      <name val="Calibri"/>
    </font>
    <font>
      <b/>
      <sz val="11"/>
      <color rgb="FFC00000"/>
      <name val="Calibri"/>
    </font>
    <font>
      <b/>
      <i/>
      <sz val="10"/>
      <color rgb="FF555555"/>
      <name val="Leelawadee UI Semilight"/>
    </font>
    <font>
      <sz val="10"/>
      <color rgb="FF2E75B6"/>
      <name val="Calibri"/>
    </font>
    <font>
      <sz val="9"/>
      <color rgb="FF1F1F1F"/>
      <name val="Calibri"/>
    </font>
    <font>
      <b/>
      <sz val="8"/>
      <color theme="0"/>
      <name val="Calibri"/>
    </font>
    <font>
      <b/>
      <sz val="8"/>
      <color rgb="FFFFFFFF"/>
      <name val="Calibri"/>
    </font>
    <font>
      <b/>
      <sz val="12"/>
      <color rgb="FF1F1F1F"/>
      <name val="Calibri"/>
    </font>
    <font>
      <b/>
      <sz val="11"/>
      <color rgb="FF1F1F1F"/>
      <name val="Calibri"/>
    </font>
    <font>
      <sz val="14"/>
      <color rgb="FF1F1F1F"/>
      <name val="Calibri"/>
    </font>
    <font>
      <b/>
      <sz val="14"/>
      <color rgb="FFC00000"/>
      <name val="Calibri"/>
    </font>
    <font>
      <b/>
      <sz val="14"/>
      <color rgb="FF375623"/>
      <name val="Calibri"/>
    </font>
    <font>
      <b/>
      <sz val="12"/>
      <color theme="0"/>
      <name val="Calibri"/>
    </font>
    <font>
      <b/>
      <sz val="8"/>
      <color rgb="FF555555"/>
      <name val="Book Antiqua"/>
    </font>
    <font>
      <b/>
      <sz val="8"/>
      <color rgb="FF2E75B6"/>
      <name val="Calibri"/>
    </font>
    <font>
      <b/>
      <sz val="14"/>
      <color theme="9" tint="0.39997558519241921"/>
      <name val="Calibri"/>
    </font>
    <font>
      <b/>
      <sz val="14"/>
      <color rgb="FF5CDE3E"/>
      <name val="Calibri"/>
    </font>
    <font>
      <b/>
      <sz val="14"/>
      <color rgb="FF92D050"/>
      <name val="Calibri"/>
    </font>
    <font>
      <b/>
      <sz val="10"/>
      <color rgb="FF555555"/>
      <name val="Calibri"/>
    </font>
    <font>
      <b/>
      <sz val="16"/>
      <color theme="0"/>
      <name val="Calibri"/>
    </font>
    <font>
      <b/>
      <sz val="8"/>
      <color rgb="FF555555"/>
      <name val="Calibri"/>
    </font>
    <font>
      <b/>
      <sz val="16"/>
      <color rgb="FFC00000"/>
      <name val="Calibri"/>
    </font>
    <font>
      <b/>
      <sz val="10"/>
      <color theme="0"/>
      <name val="Calibri"/>
    </font>
    <font>
      <b/>
      <i/>
      <sz val="12"/>
      <name val="Calibri"/>
    </font>
    <font>
      <b/>
      <sz val="15"/>
      <color rgb="FFFFFFFF"/>
      <name val="Calibri"/>
    </font>
    <font>
      <i/>
      <sz val="9"/>
      <color rgb="FFFFFFFF"/>
      <name val="Calibri"/>
    </font>
    <font>
      <b/>
      <i/>
      <sz val="12"/>
      <color rgb="FF555555"/>
      <name val="Calibri"/>
    </font>
    <font>
      <b/>
      <sz val="11"/>
      <color rgb="FFFFFFFF"/>
      <name val="Dubai"/>
    </font>
    <font>
      <b/>
      <sz val="20"/>
      <color rgb="FFFFFFFF"/>
      <name val="Calibri"/>
    </font>
    <font>
      <b/>
      <sz val="12"/>
      <color rgb="FFFFFF00"/>
      <name val="Noto Sans KR Bold"/>
    </font>
    <font>
      <b/>
      <i/>
      <sz val="10"/>
      <color rgb="FF555555"/>
      <name val="Calibri"/>
    </font>
    <font>
      <i/>
      <sz val="11"/>
      <color rgb="FF555555"/>
      <name val="Kurale"/>
    </font>
    <font>
      <b/>
      <i/>
      <sz val="8"/>
      <color rgb="FF555555"/>
      <name val="Calibri"/>
    </font>
    <font>
      <b/>
      <sz val="9"/>
      <color rgb="FFFFFF00"/>
      <name val="Arial Black"/>
    </font>
    <font>
      <b/>
      <sz val="8"/>
      <color rgb="FF555555"/>
      <name val="Corbel"/>
    </font>
    <font>
      <b/>
      <sz val="18"/>
      <color theme="7" tint="0.59999389629810485"/>
      <name val="Calibri"/>
    </font>
    <font>
      <sz val="11"/>
      <color rgb="FF555555"/>
      <name val="Calibri"/>
    </font>
    <font>
      <b/>
      <sz val="12"/>
      <color rgb="FFFFFF00"/>
      <name val="Calibri"/>
    </font>
    <font>
      <b/>
      <sz val="16"/>
      <color theme="7" tint="0.59999389629810485"/>
      <name val="Calibri"/>
    </font>
    <font>
      <b/>
      <sz val="16"/>
      <color theme="0"/>
      <name val="Californian FB"/>
    </font>
    <font>
      <b/>
      <sz val="11"/>
      <color rgb="FF555555"/>
      <name val="Calibri"/>
    </font>
    <font>
      <b/>
      <sz val="16"/>
      <color rgb="FF4D9500"/>
      <name val="Calibri"/>
    </font>
    <font>
      <b/>
      <sz val="16"/>
      <color rgb="FF1F1F1F"/>
      <name val="Calibri"/>
    </font>
    <font>
      <sz val="16"/>
      <color theme="1"/>
      <name val="Calibri"/>
      <scheme val="minor"/>
    </font>
    <font>
      <sz val="11"/>
      <name val="Calibri"/>
    </font>
    <font>
      <i/>
      <sz val="9"/>
      <color rgb="FF333333"/>
      <name val="Calibri"/>
    </font>
    <font>
      <sz val="9"/>
      <color rgb="FF333333"/>
      <name val="Calibri"/>
    </font>
    <font>
      <b/>
      <sz val="11"/>
      <color rgb="FF00B050"/>
      <name val="Calibri"/>
    </font>
    <font>
      <b/>
      <sz val="11"/>
      <color rgb="FFFFFF00"/>
      <name val="Calibri"/>
    </font>
    <font>
      <b/>
      <sz val="11"/>
      <name val="Calibri"/>
    </font>
    <font>
      <b/>
      <sz val="9"/>
      <name val="Calibri"/>
    </font>
    <font>
      <b/>
      <sz val="12"/>
      <color rgb="FF1F3864"/>
      <name val="Calibri"/>
    </font>
    <font>
      <i/>
      <sz val="9"/>
      <name val="Calibri"/>
    </font>
    <font>
      <b/>
      <sz val="11"/>
      <color rgb="FF1F3864"/>
      <name val="Calibri"/>
    </font>
    <font>
      <b/>
      <sz val="11"/>
      <color rgb="FF8B0000"/>
      <name val="Calibri"/>
    </font>
    <font>
      <u/>
      <sz val="11"/>
      <color theme="1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9FBFD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rgb="FFFCE4D6"/>
      </patternFill>
    </fill>
    <fill>
      <patternFill patternType="solid">
        <fgColor theme="1" tint="0.34998626667073579"/>
        <bgColor indexed="65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4E6B3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DCE6F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1"/>
    <xf numFmtId="0" fontId="75" fillId="0" borderId="1" applyNumberFormat="0" applyFill="0" applyBorder="0" applyAlignment="0" applyProtection="0"/>
  </cellStyleXfs>
  <cellXfs count="346">
    <xf numFmtId="0" fontId="0" fillId="0" borderId="1" xfId="0"/>
    <xf numFmtId="0" fontId="0" fillId="0" borderId="1" xfId="0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0" fillId="2" borderId="1" xfId="0" applyFill="1"/>
    <xf numFmtId="0" fontId="1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1" xfId="0" applyFill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2" fillId="5" borderId="2" xfId="0" applyFont="1" applyFill="1" applyBorder="1"/>
    <xf numFmtId="0" fontId="0" fillId="5" borderId="1" xfId="0" applyFill="1"/>
    <xf numFmtId="0" fontId="1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0" fillId="6" borderId="1" xfId="0" applyFill="1"/>
    <xf numFmtId="0" fontId="5" fillId="8" borderId="3" xfId="0" applyFont="1" applyFill="1" applyBorder="1" applyAlignment="1">
      <alignment horizontal="center" vertical="center" wrapText="1"/>
    </xf>
    <xf numFmtId="44" fontId="6" fillId="6" borderId="3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44" fontId="6" fillId="10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center" vertical="center"/>
    </xf>
    <xf numFmtId="164" fontId="8" fillId="12" borderId="3" xfId="0" applyNumberFormat="1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/>
    </xf>
    <xf numFmtId="0" fontId="7" fillId="15" borderId="3" xfId="0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44" fontId="6" fillId="2" borderId="3" xfId="0" applyNumberFormat="1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/>
    </xf>
    <xf numFmtId="0" fontId="16" fillId="16" borderId="3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164" fontId="18" fillId="16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left" vertical="center" wrapText="1"/>
    </xf>
    <xf numFmtId="0" fontId="23" fillId="12" borderId="3" xfId="0" applyFont="1" applyFill="1" applyBorder="1" applyAlignment="1">
      <alignment horizontal="left" vertical="center" wrapText="1"/>
    </xf>
    <xf numFmtId="0" fontId="17" fillId="17" borderId="3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24" fillId="17" borderId="3" xfId="0" applyFont="1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/>
    </xf>
    <xf numFmtId="0" fontId="21" fillId="17" borderId="3" xfId="0" applyFont="1" applyFill="1" applyBorder="1" applyAlignment="1">
      <alignment horizontal="center" vertical="center"/>
    </xf>
    <xf numFmtId="0" fontId="25" fillId="19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left" vertical="center" wrapText="1"/>
    </xf>
    <xf numFmtId="0" fontId="23" fillId="17" borderId="3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24" fillId="17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21" fillId="17" borderId="4" xfId="0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center" vertical="center"/>
    </xf>
    <xf numFmtId="0" fontId="22" fillId="17" borderId="4" xfId="0" applyFont="1" applyFill="1" applyBorder="1" applyAlignment="1">
      <alignment horizontal="left" vertical="center" wrapText="1"/>
    </xf>
    <xf numFmtId="0" fontId="23" fillId="17" borderId="4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9" fillId="19" borderId="6" xfId="0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8" fillId="9" borderId="6" xfId="0" applyFont="1" applyFill="1" applyBorder="1" applyAlignment="1">
      <alignment horizontal="center" vertical="center"/>
    </xf>
    <xf numFmtId="164" fontId="19" fillId="21" borderId="6" xfId="0" applyNumberFormat="1" applyFont="1" applyFill="1" applyBorder="1" applyAlignment="1">
      <alignment horizontal="center" vertical="center"/>
    </xf>
    <xf numFmtId="0" fontId="29" fillId="9" borderId="6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horizontal="center" vertical="center"/>
    </xf>
    <xf numFmtId="0" fontId="32" fillId="19" borderId="6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left" vertical="center" wrapText="1"/>
    </xf>
    <xf numFmtId="0" fontId="23" fillId="9" borderId="7" xfId="0" applyFont="1" applyFill="1" applyBorder="1" applyAlignment="1">
      <alignment horizontal="left" vertical="center" wrapText="1"/>
    </xf>
    <xf numFmtId="0" fontId="19" fillId="9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9" fillId="19" borderId="3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center" vertical="center"/>
    </xf>
    <xf numFmtId="164" fontId="19" fillId="21" borderId="3" xfId="0" applyNumberFormat="1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19" fillId="21" borderId="3" xfId="0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0" fontId="32" fillId="19" borderId="3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left" vertical="center" wrapText="1"/>
    </xf>
    <xf numFmtId="0" fontId="23" fillId="9" borderId="9" xfId="0" applyFont="1" applyFill="1" applyBorder="1" applyAlignment="1">
      <alignment horizontal="left" vertical="center" wrapText="1"/>
    </xf>
    <xf numFmtId="0" fontId="19" fillId="9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9" fillId="19" borderId="11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0" fontId="24" fillId="9" borderId="11" xfId="0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horizontal="center" vertical="center"/>
    </xf>
    <xf numFmtId="164" fontId="19" fillId="21" borderId="11" xfId="0" applyNumberFormat="1" applyFont="1" applyFill="1" applyBorder="1" applyAlignment="1">
      <alignment horizontal="center" vertical="center"/>
    </xf>
    <xf numFmtId="0" fontId="29" fillId="9" borderId="11" xfId="0" applyFont="1" applyFill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2" fillId="19" borderId="11" xfId="0" applyFont="1" applyFill="1" applyBorder="1" applyAlignment="1">
      <alignment horizontal="center" vertical="center"/>
    </xf>
    <xf numFmtId="0" fontId="22" fillId="9" borderId="11" xfId="0" applyFont="1" applyFill="1" applyBorder="1" applyAlignment="1">
      <alignment horizontal="left" vertical="center" wrapText="1"/>
    </xf>
    <xf numFmtId="0" fontId="23" fillId="9" borderId="12" xfId="0" applyFont="1" applyFill="1" applyBorder="1" applyAlignment="1">
      <alignment horizontal="left" vertical="center" wrapText="1"/>
    </xf>
    <xf numFmtId="0" fontId="17" fillId="11" borderId="13" xfId="0" applyFont="1" applyFill="1" applyBorder="1" applyAlignment="1">
      <alignment horizontal="center" vertical="center"/>
    </xf>
    <xf numFmtId="0" fontId="4" fillId="22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left" vertical="center" wrapText="1"/>
    </xf>
    <xf numFmtId="0" fontId="34" fillId="11" borderId="13" xfId="0" applyFont="1" applyFill="1" applyBorder="1" applyAlignment="1">
      <alignment horizontal="left" vertical="center" wrapText="1"/>
    </xf>
    <xf numFmtId="0" fontId="17" fillId="23" borderId="3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35" fillId="22" borderId="3" xfId="0" applyFont="1" applyFill="1" applyBorder="1" applyAlignment="1">
      <alignment horizontal="center" vertical="center"/>
    </xf>
    <xf numFmtId="0" fontId="33" fillId="23" borderId="3" xfId="0" applyFont="1" applyFill="1" applyBorder="1" applyAlignment="1">
      <alignment horizontal="left" vertical="center" wrapText="1"/>
    </xf>
    <xf numFmtId="0" fontId="34" fillId="2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44" fontId="18" fillId="16" borderId="3" xfId="0" applyNumberFormat="1" applyFont="1" applyFill="1" applyBorder="1" applyAlignment="1">
      <alignment horizontal="center" vertical="center"/>
    </xf>
    <xf numFmtId="44" fontId="41" fillId="21" borderId="3" xfId="0" applyNumberFormat="1" applyFont="1" applyFill="1" applyBorder="1" applyAlignment="1">
      <alignment horizontal="center" vertical="center"/>
    </xf>
    <xf numFmtId="0" fontId="2" fillId="0" borderId="1" xfId="0" applyFont="1"/>
    <xf numFmtId="0" fontId="15" fillId="16" borderId="14" xfId="0" applyFont="1" applyFill="1" applyBorder="1" applyAlignment="1">
      <alignment horizontal="center" vertical="center"/>
    </xf>
    <xf numFmtId="0" fontId="16" fillId="16" borderId="14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164" fontId="18" fillId="16" borderId="14" xfId="0" applyNumberFormat="1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0" fontId="20" fillId="12" borderId="14" xfId="0" applyFont="1" applyFill="1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0" fontId="38" fillId="12" borderId="14" xfId="0" applyFont="1" applyFill="1" applyBorder="1" applyAlignment="1">
      <alignment horizontal="left" vertical="center" wrapText="1"/>
    </xf>
    <xf numFmtId="0" fontId="23" fillId="12" borderId="14" xfId="0" applyFont="1" applyFill="1" applyBorder="1" applyAlignment="1">
      <alignment horizontal="left" vertical="center" wrapText="1"/>
    </xf>
    <xf numFmtId="0" fontId="17" fillId="17" borderId="14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20" fillId="17" borderId="14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25" fillId="19" borderId="14" xfId="0" applyFont="1" applyFill="1" applyBorder="1" applyAlignment="1">
      <alignment horizontal="center" vertical="center"/>
    </xf>
    <xf numFmtId="0" fontId="38" fillId="17" borderId="14" xfId="0" applyFont="1" applyFill="1" applyBorder="1" applyAlignment="1">
      <alignment horizontal="left" vertical="center" wrapText="1"/>
    </xf>
    <xf numFmtId="0" fontId="23" fillId="17" borderId="14" xfId="0" applyFont="1" applyFill="1" applyBorder="1" applyAlignment="1">
      <alignment horizontal="left" vertical="center" wrapText="1"/>
    </xf>
    <xf numFmtId="0" fontId="26" fillId="20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7" fillId="9" borderId="14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0" fontId="28" fillId="9" borderId="14" xfId="0" applyFont="1" applyFill="1" applyBorder="1" applyAlignment="1">
      <alignment horizontal="center" vertical="center"/>
    </xf>
    <xf numFmtId="164" fontId="19" fillId="21" borderId="14" xfId="0" applyNumberFormat="1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0" fontId="30" fillId="9" borderId="14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2" fillId="19" borderId="14" xfId="0" applyFont="1" applyFill="1" applyBorder="1" applyAlignment="1">
      <alignment horizontal="center" vertical="center"/>
    </xf>
    <xf numFmtId="0" fontId="38" fillId="9" borderId="14" xfId="0" applyFont="1" applyFill="1" applyBorder="1" applyAlignment="1">
      <alignment horizontal="left" vertical="center" wrapText="1"/>
    </xf>
    <xf numFmtId="0" fontId="23" fillId="9" borderId="14" xfId="0" applyFont="1" applyFill="1" applyBorder="1" applyAlignment="1">
      <alignment horizontal="left" vertical="center" wrapText="1"/>
    </xf>
    <xf numFmtId="0" fontId="39" fillId="19" borderId="14" xfId="0" applyFont="1" applyFill="1" applyBorder="1" applyAlignment="1">
      <alignment horizontal="center" vertical="center"/>
    </xf>
    <xf numFmtId="0" fontId="19" fillId="21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4" fillId="22" borderId="15" xfId="0" applyFont="1" applyFill="1" applyBorder="1" applyAlignment="1">
      <alignment horizontal="center" vertical="center"/>
    </xf>
    <xf numFmtId="0" fontId="40" fillId="11" borderId="14" xfId="0" applyFont="1" applyFill="1" applyBorder="1" applyAlignment="1">
      <alignment horizontal="left" vertical="center" wrapText="1"/>
    </xf>
    <xf numFmtId="0" fontId="34" fillId="11" borderId="14" xfId="0" applyFont="1" applyFill="1" applyBorder="1" applyAlignment="1">
      <alignment horizontal="left" vertical="center" wrapText="1"/>
    </xf>
    <xf numFmtId="0" fontId="17" fillId="23" borderId="14" xfId="0" applyFont="1" applyFill="1" applyBorder="1" applyAlignment="1">
      <alignment horizontal="center" vertical="center"/>
    </xf>
    <xf numFmtId="0" fontId="35" fillId="22" borderId="14" xfId="0" applyFont="1" applyFill="1" applyBorder="1" applyAlignment="1">
      <alignment horizontal="center" vertical="center"/>
    </xf>
    <xf numFmtId="0" fontId="40" fillId="23" borderId="14" xfId="0" applyFont="1" applyFill="1" applyBorder="1" applyAlignment="1">
      <alignment horizontal="left" vertical="center" wrapText="1"/>
    </xf>
    <xf numFmtId="0" fontId="34" fillId="23" borderId="14" xfId="0" applyFont="1" applyFill="1" applyBorder="1" applyAlignment="1">
      <alignment horizontal="left" vertical="center" wrapText="1"/>
    </xf>
    <xf numFmtId="0" fontId="19" fillId="12" borderId="1" xfId="0" applyFont="1" applyFill="1" applyAlignment="1">
      <alignment horizontal="center" vertical="center"/>
    </xf>
    <xf numFmtId="165" fontId="16" fillId="16" borderId="1" xfId="0" applyNumberFormat="1" applyFont="1" applyFill="1" applyAlignment="1">
      <alignment horizontal="center" vertical="center"/>
    </xf>
    <xf numFmtId="44" fontId="41" fillId="21" borderId="1" xfId="0" applyNumberFormat="1" applyFont="1" applyFill="1" applyAlignment="1">
      <alignment horizontal="center" vertical="center"/>
    </xf>
    <xf numFmtId="165" fontId="28" fillId="11" borderId="1" xfId="0" applyNumberFormat="1" applyFont="1" applyFill="1" applyAlignment="1">
      <alignment horizontal="center" vertical="center"/>
    </xf>
    <xf numFmtId="0" fontId="11" fillId="8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36" fillId="8" borderId="14" xfId="0" applyFont="1" applyFill="1" applyBorder="1" applyAlignment="1">
      <alignment horizontal="center" vertical="center"/>
    </xf>
    <xf numFmtId="0" fontId="37" fillId="8" borderId="14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36" fillId="8" borderId="14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18" borderId="14" xfId="0" applyFont="1" applyFill="1" applyBorder="1" applyAlignment="1">
      <alignment horizontal="center" vertical="center"/>
    </xf>
    <xf numFmtId="164" fontId="17" fillId="17" borderId="14" xfId="0" applyNumberFormat="1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4" fillId="20" borderId="14" xfId="0" applyFont="1" applyFill="1" applyBorder="1" applyAlignment="1">
      <alignment horizontal="center" vertical="center"/>
    </xf>
    <xf numFmtId="0" fontId="4" fillId="22" borderId="14" xfId="0" applyFont="1" applyFill="1" applyBorder="1" applyAlignment="1">
      <alignment horizontal="center" vertical="center"/>
    </xf>
    <xf numFmtId="165" fontId="41" fillId="21" borderId="1" xfId="0" applyNumberFormat="1" applyFont="1" applyFill="1" applyAlignment="1">
      <alignment horizontal="center" vertical="center"/>
    </xf>
    <xf numFmtId="0" fontId="0" fillId="0" borderId="1" xfId="0" applyAlignment="1">
      <alignment horizontal="center" vertical="center" wrapText="1"/>
    </xf>
    <xf numFmtId="0" fontId="36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 wrapText="1"/>
    </xf>
    <xf numFmtId="164" fontId="18" fillId="16" borderId="14" xfId="0" applyNumberFormat="1" applyFont="1" applyFill="1" applyBorder="1" applyAlignment="1">
      <alignment horizontal="center" vertical="center" wrapText="1"/>
    </xf>
    <xf numFmtId="0" fontId="17" fillId="17" borderId="14" xfId="0" applyFont="1" applyFill="1" applyBorder="1" applyAlignment="1">
      <alignment horizontal="center" vertical="center" wrapText="1"/>
    </xf>
    <xf numFmtId="0" fontId="42" fillId="19" borderId="14" xfId="0" applyFont="1" applyFill="1" applyBorder="1" applyAlignment="1">
      <alignment horizontal="center" vertical="center"/>
    </xf>
    <xf numFmtId="0" fontId="5" fillId="24" borderId="14" xfId="0" applyFont="1" applyFill="1" applyBorder="1" applyAlignment="1">
      <alignment horizontal="center" vertical="center"/>
    </xf>
    <xf numFmtId="164" fontId="19" fillId="21" borderId="14" xfId="0" applyNumberFormat="1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35" fillId="22" borderId="14" xfId="0" applyFont="1" applyFill="1" applyBorder="1" applyAlignment="1">
      <alignment horizontal="center" vertical="center" wrapText="1"/>
    </xf>
    <xf numFmtId="0" fontId="0" fillId="0" borderId="1" xfId="0" applyAlignment="1">
      <alignment wrapText="1"/>
    </xf>
    <xf numFmtId="165" fontId="61" fillId="21" borderId="1" xfId="0" applyNumberFormat="1" applyFont="1" applyFill="1" applyAlignment="1">
      <alignment horizontal="center" vertical="center"/>
    </xf>
    <xf numFmtId="0" fontId="28" fillId="11" borderId="1" xfId="0" applyFont="1" applyFill="1" applyAlignment="1">
      <alignment horizontal="center" vertical="center"/>
    </xf>
    <xf numFmtId="0" fontId="18" fillId="16" borderId="14" xfId="0" applyFont="1" applyFill="1" applyBorder="1" applyAlignment="1">
      <alignment horizontal="center" vertical="center"/>
    </xf>
    <xf numFmtId="44" fontId="35" fillId="22" borderId="14" xfId="0" applyNumberFormat="1" applyFont="1" applyFill="1" applyBorder="1" applyAlignment="1">
      <alignment horizontal="left" vertical="center" indent="4"/>
    </xf>
    <xf numFmtId="44" fontId="17" fillId="23" borderId="14" xfId="0" applyNumberFormat="1" applyFont="1" applyFill="1" applyBorder="1" applyAlignment="1">
      <alignment horizontal="left" vertical="center" indent="4"/>
    </xf>
    <xf numFmtId="44" fontId="18" fillId="16" borderId="1" xfId="0" applyNumberFormat="1" applyFont="1" applyFill="1" applyAlignment="1">
      <alignment horizontal="center" vertical="center"/>
    </xf>
    <xf numFmtId="44" fontId="62" fillId="11" borderId="1" xfId="0" applyNumberFormat="1" applyFont="1" applyFill="1" applyAlignment="1">
      <alignment horizontal="center" vertical="center"/>
    </xf>
    <xf numFmtId="44" fontId="63" fillId="0" borderId="1" xfId="0" applyNumberFormat="1" applyFont="1" applyAlignment="1">
      <alignment horizontal="center"/>
    </xf>
    <xf numFmtId="8" fontId="41" fillId="21" borderId="1" xfId="0" applyNumberFormat="1" applyFont="1" applyFill="1" applyAlignment="1">
      <alignment horizontal="center" vertical="center"/>
    </xf>
    <xf numFmtId="8" fontId="61" fillId="21" borderId="1" xfId="0" applyNumberFormat="1" applyFont="1" applyFill="1" applyAlignment="1">
      <alignment horizontal="center" vertical="center"/>
    </xf>
    <xf numFmtId="164" fontId="35" fillId="22" borderId="14" xfId="0" applyNumberFormat="1" applyFont="1" applyFill="1" applyBorder="1" applyAlignment="1">
      <alignment horizontal="center" vertical="center"/>
    </xf>
    <xf numFmtId="44" fontId="16" fillId="16" borderId="1" xfId="0" applyNumberFormat="1" applyFont="1" applyFill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44" fontId="28" fillId="11" borderId="1" xfId="0" applyNumberFormat="1" applyFont="1" applyFill="1" applyAlignment="1">
      <alignment horizontal="center" vertical="center"/>
    </xf>
    <xf numFmtId="44" fontId="61" fillId="21" borderId="1" xfId="0" applyNumberFormat="1" applyFont="1" applyFill="1" applyAlignment="1">
      <alignment horizontal="center" vertical="center"/>
    </xf>
    <xf numFmtId="0" fontId="5" fillId="25" borderId="14" xfId="0" applyFont="1" applyFill="1" applyBorder="1" applyAlignment="1">
      <alignment horizontal="center" vertical="center"/>
    </xf>
    <xf numFmtId="0" fontId="5" fillId="20" borderId="14" xfId="0" applyFont="1" applyFill="1" applyBorder="1" applyAlignment="1">
      <alignment horizontal="center" vertical="center"/>
    </xf>
    <xf numFmtId="44" fontId="0" fillId="0" borderId="1" xfId="0" applyNumberFormat="1"/>
    <xf numFmtId="0" fontId="0" fillId="0" borderId="0" xfId="0" applyBorder="1"/>
    <xf numFmtId="0" fontId="74" fillId="0" borderId="1" xfId="0" applyFont="1" applyAlignment="1">
      <alignment horizontal="left" vertical="center"/>
    </xf>
    <xf numFmtId="0" fontId="64" fillId="17" borderId="34" xfId="0" applyFont="1" applyFill="1" applyBorder="1" applyAlignment="1">
      <alignment horizontal="center" vertical="center" wrapText="1"/>
    </xf>
    <xf numFmtId="0" fontId="64" fillId="35" borderId="34" xfId="0" applyFont="1" applyFill="1" applyBorder="1" applyAlignment="1">
      <alignment horizontal="center" vertical="center"/>
    </xf>
    <xf numFmtId="0" fontId="64" fillId="31" borderId="34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/>
    </xf>
    <xf numFmtId="0" fontId="37" fillId="8" borderId="31" xfId="0" applyFont="1" applyFill="1" applyBorder="1" applyAlignment="1">
      <alignment horizontal="center" vertical="center" wrapText="1"/>
    </xf>
    <xf numFmtId="0" fontId="5" fillId="8" borderId="31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24" fillId="17" borderId="33" xfId="0" applyFont="1" applyFill="1" applyBorder="1" applyAlignment="1">
      <alignment horizontal="center" vertical="center"/>
    </xf>
    <xf numFmtId="0" fontId="39" fillId="19" borderId="31" xfId="0" applyFont="1" applyFill="1" applyBorder="1" applyAlignment="1">
      <alignment horizontal="center" vertical="center"/>
    </xf>
    <xf numFmtId="0" fontId="17" fillId="11" borderId="33" xfId="0" applyFont="1" applyFill="1" applyBorder="1" applyAlignment="1">
      <alignment horizontal="center" vertical="center"/>
    </xf>
    <xf numFmtId="0" fontId="17" fillId="23" borderId="33" xfId="0" applyFont="1" applyFill="1" applyBorder="1" applyAlignment="1">
      <alignment horizontal="center" vertical="center"/>
    </xf>
    <xf numFmtId="0" fontId="0" fillId="0" borderId="34" xfId="0" applyBorder="1"/>
    <xf numFmtId="0" fontId="1" fillId="8" borderId="34" xfId="0" applyFont="1" applyFill="1" applyBorder="1" applyAlignment="1">
      <alignment horizontal="center" vertical="center" wrapText="1"/>
    </xf>
    <xf numFmtId="0" fontId="67" fillId="8" borderId="34" xfId="0" applyFont="1" applyFill="1" applyBorder="1" applyAlignment="1">
      <alignment horizontal="center" vertical="center" wrapText="1"/>
    </xf>
    <xf numFmtId="0" fontId="68" fillId="32" borderId="34" xfId="0" applyFont="1" applyFill="1" applyBorder="1" applyAlignment="1">
      <alignment horizontal="center" vertical="center"/>
    </xf>
    <xf numFmtId="0" fontId="68" fillId="33" borderId="34" xfId="0" applyFont="1" applyFill="1" applyBorder="1" applyAlignment="1">
      <alignment horizontal="center" vertical="center"/>
    </xf>
    <xf numFmtId="164" fontId="68" fillId="32" borderId="34" xfId="0" applyNumberFormat="1" applyFont="1" applyFill="1" applyBorder="1" applyAlignment="1">
      <alignment horizontal="center" vertical="center"/>
    </xf>
    <xf numFmtId="0" fontId="12" fillId="18" borderId="34" xfId="0" applyFont="1" applyFill="1" applyBorder="1" applyAlignment="1">
      <alignment horizontal="center" vertical="center" wrapText="1"/>
    </xf>
    <xf numFmtId="0" fontId="1" fillId="25" borderId="34" xfId="0" applyFont="1" applyFill="1" applyBorder="1" applyAlignment="1">
      <alignment horizontal="center" vertical="center" wrapText="1"/>
    </xf>
    <xf numFmtId="0" fontId="1" fillId="20" borderId="34" xfId="0" applyFont="1" applyFill="1" applyBorder="1" applyAlignment="1">
      <alignment horizontal="center" vertical="center" wrapText="1"/>
    </xf>
    <xf numFmtId="0" fontId="64" fillId="35" borderId="34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164" fontId="69" fillId="34" borderId="34" xfId="0" applyNumberFormat="1" applyFont="1" applyFill="1" applyBorder="1" applyAlignment="1">
      <alignment horizontal="center" vertical="center" wrapText="1"/>
    </xf>
    <xf numFmtId="0" fontId="69" fillId="34" borderId="34" xfId="0" applyFont="1" applyFill="1" applyBorder="1" applyAlignment="1">
      <alignment horizontal="center" vertical="center" wrapText="1"/>
    </xf>
    <xf numFmtId="0" fontId="12" fillId="35" borderId="34" xfId="0" applyFont="1" applyFill="1" applyBorder="1" applyAlignment="1">
      <alignment horizontal="center" vertical="center"/>
    </xf>
    <xf numFmtId="0" fontId="12" fillId="31" borderId="34" xfId="0" applyFont="1" applyFill="1" applyBorder="1" applyAlignment="1">
      <alignment horizontal="center" vertical="center"/>
    </xf>
    <xf numFmtId="164" fontId="64" fillId="31" borderId="34" xfId="0" applyNumberFormat="1" applyFont="1" applyFill="1" applyBorder="1" applyAlignment="1">
      <alignment horizontal="center" vertical="center"/>
    </xf>
    <xf numFmtId="0" fontId="64" fillId="0" borderId="34" xfId="0" applyFont="1" applyBorder="1"/>
    <xf numFmtId="0" fontId="6" fillId="0" borderId="34" xfId="0" applyFont="1" applyBorder="1" applyAlignment="1">
      <alignment horizontal="center" vertical="center"/>
    </xf>
    <xf numFmtId="164" fontId="69" fillId="33" borderId="34" xfId="0" applyNumberFormat="1" applyFont="1" applyFill="1" applyBorder="1" applyAlignment="1">
      <alignment horizontal="center" vertical="center"/>
    </xf>
    <xf numFmtId="164" fontId="69" fillId="35" borderId="34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5" fontId="69" fillId="34" borderId="34" xfId="0" applyNumberFormat="1" applyFont="1" applyFill="1" applyBorder="1" applyAlignment="1">
      <alignment horizontal="center" vertical="center"/>
    </xf>
    <xf numFmtId="0" fontId="74" fillId="0" borderId="34" xfId="0" applyFont="1" applyBorder="1" applyAlignment="1">
      <alignment horizontal="center" vertical="center"/>
    </xf>
    <xf numFmtId="0" fontId="6" fillId="0" borderId="34" xfId="0" applyFont="1" applyBorder="1"/>
    <xf numFmtId="164" fontId="0" fillId="0" borderId="34" xfId="0" applyNumberFormat="1" applyBorder="1"/>
    <xf numFmtId="0" fontId="64" fillId="0" borderId="34" xfId="0" applyFont="1" applyBorder="1" applyAlignment="1">
      <alignment horizontal="center" vertical="center"/>
    </xf>
    <xf numFmtId="0" fontId="75" fillId="0" borderId="1" xfId="1"/>
    <xf numFmtId="0" fontId="3" fillId="8" borderId="1" xfId="0" applyFont="1" applyFill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43" fillId="26" borderId="1" xfId="0" applyFont="1" applyFill="1" applyAlignment="1">
      <alignment horizontal="center" vertical="center" wrapText="1"/>
    </xf>
    <xf numFmtId="0" fontId="45" fillId="3" borderId="1" xfId="0" applyFont="1" applyFill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47" fillId="3" borderId="1" xfId="0" applyFont="1" applyFill="1" applyAlignment="1">
      <alignment horizontal="center" vertical="center"/>
    </xf>
    <xf numFmtId="0" fontId="44" fillId="8" borderId="1" xfId="0" applyFont="1" applyFill="1" applyAlignment="1">
      <alignment horizontal="center" vertical="center"/>
    </xf>
    <xf numFmtId="0" fontId="46" fillId="23" borderId="1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8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55" fillId="8" borderId="3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0" fontId="51" fillId="28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44" fontId="62" fillId="11" borderId="3" xfId="0" applyNumberFormat="1" applyFont="1" applyFill="1" applyBorder="1" applyAlignment="1">
      <alignment horizontal="center" vertical="center"/>
    </xf>
    <xf numFmtId="0" fontId="54" fillId="27" borderId="3" xfId="0" applyFont="1" applyFill="1" applyBorder="1" applyAlignment="1">
      <alignment horizontal="center" vertical="center"/>
    </xf>
    <xf numFmtId="0" fontId="50" fillId="27" borderId="3" xfId="0" applyFont="1" applyFill="1" applyBorder="1" applyAlignment="1">
      <alignment horizontal="center" vertical="center"/>
    </xf>
    <xf numFmtId="0" fontId="28" fillId="17" borderId="4" xfId="0" applyFont="1" applyFill="1" applyBorder="1" applyAlignment="1">
      <alignment horizontal="center" vertical="center"/>
    </xf>
    <xf numFmtId="0" fontId="53" fillId="29" borderId="17" xfId="0" applyFont="1" applyFill="1" applyBorder="1" applyAlignment="1">
      <alignment horizontal="center" vertical="center" textRotation="255"/>
    </xf>
    <xf numFmtId="0" fontId="28" fillId="17" borderId="3" xfId="0" applyFont="1" applyFill="1" applyBorder="1" applyAlignment="1">
      <alignment horizontal="center" vertical="center"/>
    </xf>
    <xf numFmtId="0" fontId="52" fillId="27" borderId="3" xfId="0" applyFont="1" applyFill="1" applyBorder="1" applyAlignment="1">
      <alignment horizontal="center" vertical="center"/>
    </xf>
    <xf numFmtId="0" fontId="28" fillId="11" borderId="1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49" fillId="16" borderId="3" xfId="0" applyFont="1" applyFill="1" applyBorder="1" applyAlignment="1">
      <alignment horizontal="center" vertical="center"/>
    </xf>
    <xf numFmtId="0" fontId="28" fillId="23" borderId="3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0" fillId="27" borderId="1" xfId="0" applyFont="1" applyFill="1" applyAlignment="1">
      <alignment horizontal="center" vertical="center"/>
    </xf>
    <xf numFmtId="0" fontId="28" fillId="11" borderId="14" xfId="0" applyFont="1" applyFill="1" applyBorder="1" applyAlignment="1">
      <alignment horizontal="center" vertical="center"/>
    </xf>
    <xf numFmtId="0" fontId="28" fillId="17" borderId="14" xfId="0" applyFont="1" applyFill="1" applyBorder="1" applyAlignment="1">
      <alignment horizontal="center" vertical="center"/>
    </xf>
    <xf numFmtId="0" fontId="16" fillId="8" borderId="1" xfId="0" applyFont="1" applyFill="1" applyAlignment="1">
      <alignment horizontal="center" vertical="center"/>
    </xf>
    <xf numFmtId="0" fontId="57" fillId="16" borderId="18" xfId="0" applyFont="1" applyFill="1" applyBorder="1" applyAlignment="1">
      <alignment horizontal="center" vertical="center"/>
    </xf>
    <xf numFmtId="0" fontId="39" fillId="19" borderId="14" xfId="0" applyFont="1" applyFill="1" applyBorder="1" applyAlignment="1">
      <alignment horizontal="center" vertical="center"/>
    </xf>
    <xf numFmtId="0" fontId="39" fillId="19" borderId="31" xfId="0" applyFont="1" applyFill="1" applyBorder="1" applyAlignment="1">
      <alignment horizontal="center" vertical="center"/>
    </xf>
    <xf numFmtId="0" fontId="28" fillId="23" borderId="14" xfId="0" applyFont="1" applyFill="1" applyBorder="1" applyAlignment="1">
      <alignment horizontal="center" vertical="center"/>
    </xf>
    <xf numFmtId="0" fontId="48" fillId="8" borderId="14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 wrapText="1"/>
    </xf>
    <xf numFmtId="0" fontId="56" fillId="28" borderId="14" xfId="0" applyFont="1" applyFill="1" applyBorder="1" applyAlignment="1">
      <alignment horizontal="left" vertical="center" wrapText="1"/>
    </xf>
    <xf numFmtId="165" fontId="28" fillId="11" borderId="1" xfId="0" applyNumberFormat="1" applyFont="1" applyFill="1" applyAlignment="1">
      <alignment horizontal="center" vertical="center"/>
    </xf>
    <xf numFmtId="0" fontId="40" fillId="27" borderId="14" xfId="0" applyFont="1" applyFill="1" applyBorder="1" applyAlignment="1">
      <alignment horizontal="center" vertical="center"/>
    </xf>
    <xf numFmtId="0" fontId="38" fillId="27" borderId="1" xfId="0" applyFont="1" applyFill="1" applyAlignment="1">
      <alignment horizontal="center" vertical="center"/>
    </xf>
    <xf numFmtId="0" fontId="55" fillId="8" borderId="14" xfId="0" applyFont="1" applyFill="1" applyBorder="1" applyAlignment="1">
      <alignment horizontal="right" vertical="center"/>
    </xf>
    <xf numFmtId="165" fontId="28" fillId="11" borderId="20" xfId="0" applyNumberFormat="1" applyFont="1" applyFill="1" applyBorder="1" applyAlignment="1">
      <alignment horizontal="center" vertical="center"/>
    </xf>
    <xf numFmtId="0" fontId="53" fillId="29" borderId="31" xfId="0" applyFont="1" applyFill="1" applyBorder="1" applyAlignment="1">
      <alignment horizontal="center" vertical="center" textRotation="255"/>
    </xf>
    <xf numFmtId="0" fontId="39" fillId="19" borderId="18" xfId="0" applyFont="1" applyFill="1" applyBorder="1" applyAlignment="1">
      <alignment horizontal="center" vertical="center"/>
    </xf>
    <xf numFmtId="0" fontId="53" fillId="29" borderId="14" xfId="0" applyFont="1" applyFill="1" applyBorder="1" applyAlignment="1">
      <alignment horizontal="center" vertical="center" textRotation="255"/>
    </xf>
    <xf numFmtId="0" fontId="11" fillId="8" borderId="14" xfId="0" applyFont="1" applyFill="1" applyBorder="1" applyAlignment="1">
      <alignment horizontal="center" vertical="center" wrapText="1"/>
    </xf>
    <xf numFmtId="0" fontId="57" fillId="16" borderId="14" xfId="0" applyFont="1" applyFill="1" applyBorder="1" applyAlignment="1">
      <alignment horizontal="center" vertical="center"/>
    </xf>
    <xf numFmtId="0" fontId="60" fillId="27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58" fillId="8" borderId="14" xfId="0" applyFont="1" applyFill="1" applyBorder="1" applyAlignment="1">
      <alignment horizontal="right" vertical="center"/>
    </xf>
    <xf numFmtId="0" fontId="60" fillId="28" borderId="14" xfId="0" applyFont="1" applyFill="1" applyBorder="1" applyAlignment="1">
      <alignment horizontal="left" vertical="center" wrapText="1"/>
    </xf>
    <xf numFmtId="0" fontId="18" fillId="16" borderId="14" xfId="0" applyFont="1" applyFill="1" applyBorder="1" applyAlignment="1">
      <alignment horizontal="center" vertical="center"/>
    </xf>
    <xf numFmtId="0" fontId="56" fillId="28" borderId="14" xfId="0" applyFont="1" applyFill="1" applyBorder="1" applyAlignment="1">
      <alignment horizontal="left" vertical="center"/>
    </xf>
    <xf numFmtId="164" fontId="28" fillId="11" borderId="1" xfId="0" applyNumberFormat="1" applyFont="1" applyFill="1" applyAlignment="1">
      <alignment horizontal="center" vertical="center"/>
    </xf>
    <xf numFmtId="0" fontId="28" fillId="11" borderId="1" xfId="0" applyFont="1" applyFill="1" applyAlignment="1">
      <alignment horizontal="center" vertical="center"/>
    </xf>
    <xf numFmtId="44" fontId="28" fillId="11" borderId="1" xfId="0" applyNumberFormat="1" applyFont="1" applyFill="1" applyAlignment="1">
      <alignment horizontal="center" vertical="center"/>
    </xf>
    <xf numFmtId="0" fontId="64" fillId="31" borderId="34" xfId="0" applyFont="1" applyFill="1" applyBorder="1" applyAlignment="1">
      <alignment horizontal="center" vertical="center"/>
    </xf>
    <xf numFmtId="0" fontId="68" fillId="32" borderId="34" xfId="0" applyFont="1" applyFill="1" applyBorder="1" applyAlignment="1">
      <alignment horizontal="left" vertical="center"/>
    </xf>
    <xf numFmtId="0" fontId="64" fillId="17" borderId="34" xfId="0" applyFont="1" applyFill="1" applyBorder="1" applyAlignment="1">
      <alignment horizontal="center" vertical="center" wrapText="1"/>
    </xf>
    <xf numFmtId="0" fontId="66" fillId="31" borderId="34" xfId="0" applyFont="1" applyFill="1" applyBorder="1" applyAlignment="1">
      <alignment horizontal="left" vertical="center" wrapText="1"/>
    </xf>
    <xf numFmtId="0" fontId="1" fillId="8" borderId="34" xfId="0" applyFont="1" applyFill="1" applyBorder="1" applyAlignment="1">
      <alignment horizontal="center" vertical="center"/>
    </xf>
    <xf numFmtId="0" fontId="53" fillId="32" borderId="34" xfId="0" applyFont="1" applyFill="1" applyBorder="1" applyAlignment="1">
      <alignment horizontal="center" vertical="center" textRotation="255"/>
    </xf>
    <xf numFmtId="0" fontId="65" fillId="30" borderId="34" xfId="0" applyFont="1" applyFill="1" applyBorder="1" applyAlignment="1">
      <alignment horizontal="left" vertical="center"/>
    </xf>
    <xf numFmtId="0" fontId="48" fillId="8" borderId="34" xfId="0" applyFont="1" applyFill="1" applyBorder="1" applyAlignment="1">
      <alignment horizontal="left" vertical="center"/>
    </xf>
    <xf numFmtId="0" fontId="64" fillId="35" borderId="34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left" vertical="center"/>
    </xf>
    <xf numFmtId="0" fontId="0" fillId="0" borderId="1" xfId="0" applyAlignment="1"/>
    <xf numFmtId="0" fontId="0" fillId="0" borderId="19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1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20" xfId="0" applyBorder="1" applyAlignment="1"/>
    <xf numFmtId="0" fontId="0" fillId="0" borderId="34" xfId="0" applyBorder="1" applyAlignment="1"/>
    <xf numFmtId="0" fontId="70" fillId="0" borderId="34" xfId="0" applyFont="1" applyBorder="1" applyAlignment="1"/>
    <xf numFmtId="0" fontId="71" fillId="0" borderId="34" xfId="0" applyFont="1" applyBorder="1" applyAlignment="1"/>
    <xf numFmtId="0" fontId="72" fillId="0" borderId="34" xfId="0" applyFont="1" applyBorder="1" applyAlignment="1"/>
    <xf numFmtId="0" fontId="73" fillId="0" borderId="3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trents-my.sharepoint.com/:x:/g/personal/brandon_apartmentcorp_com/IQCy9KISEpRaQ4vaS7aY_BFNAc857mcB1xnFK0GtIcjGWOw?e=hmmz29" TargetMode="External"/><Relationship Id="rId18" Type="http://schemas.openxmlformats.org/officeDocument/2006/relationships/hyperlink" Target="https://aptrents-my.sharepoint.com/:x:/g/personal/brandon_apartmentcorp_com/IQCHCWUvXH5tQ6y3fJDmj_ZsAdypgl2cD3g3EwVJAkVoG-M?e=Lthcq7" TargetMode="External"/><Relationship Id="rId26" Type="http://schemas.openxmlformats.org/officeDocument/2006/relationships/hyperlink" Target="https://aptrents-my.sharepoint.com/:x:/g/personal/brandon_apartmentcorp_com/IQABLOi6IMngR7hu4c0_ql6TAYYV3jQAOBTafBsDCm8hXAY?e=l2W5Lp" TargetMode="External"/><Relationship Id="rId21" Type="http://schemas.openxmlformats.org/officeDocument/2006/relationships/hyperlink" Target="https://aptrents-my.sharepoint.com/:x:/g/personal/brandon_apartmentcorp_com/IQDhpg-zPuanT7pgRnwk1NvNAei1RbELgPRaOLYgWxIr94U?e=zr2IbB" TargetMode="External"/><Relationship Id="rId34" Type="http://schemas.openxmlformats.org/officeDocument/2006/relationships/hyperlink" Target="https://aptrents-my.sharepoint.com/:x:/g/personal/brandon_apartmentcorp_com/IQDWiLAIuY4XQ6kuZuTSA6zhAQuW_wUvszesQqc-Wrn63cQ?e=3O1uRP" TargetMode="External"/><Relationship Id="rId7" Type="http://schemas.openxmlformats.org/officeDocument/2006/relationships/hyperlink" Target="https://aptrents-my.sharepoint.com/:x:/g/personal/brandon_apartmentcorp_com/IQDPW4U0oflVS5LBs87Tmy_GAR3ZiwkkTGhkJQ8d2tUQHbw?e=bFTL7Q" TargetMode="External"/><Relationship Id="rId12" Type="http://schemas.openxmlformats.org/officeDocument/2006/relationships/hyperlink" Target="https://aptrents-my.sharepoint.com/:x:/g/personal/brandon_apartmentcorp_com/IQAza5XyrZwxS4t5jIDD_WgMAa70ZfJxfm9AV4odrjYV_0E?e=1qnzyQ" TargetMode="External"/><Relationship Id="rId17" Type="http://schemas.openxmlformats.org/officeDocument/2006/relationships/hyperlink" Target="https://aptrents-my.sharepoint.com/:x:/g/personal/brandon_apartmentcorp_com/IQD_MdVoR1LoSYEJ3Xr4MaR1AWL2malGW44Sdl0jqyaaIjU?e=Q1eQ1w" TargetMode="External"/><Relationship Id="rId25" Type="http://schemas.openxmlformats.org/officeDocument/2006/relationships/hyperlink" Target="https://aptrents-my.sharepoint.com/:x:/g/personal/brandon_apartmentcorp_com/IQD5JHhSmH1YRaGjlw83mKwsARveRUKCMq1010NeHYDQmg4?e=NZXLU5" TargetMode="External"/><Relationship Id="rId33" Type="http://schemas.openxmlformats.org/officeDocument/2006/relationships/hyperlink" Target="https://aptrents-my.sharepoint.com/:x:/g/personal/brandon_apartmentcorp_com/IQClJJAXJpzBS7yifCcrJymmAWgXqPjevgnDiRbBxWYUUd8?e=lc05cR" TargetMode="External"/><Relationship Id="rId38" Type="http://schemas.openxmlformats.org/officeDocument/2006/relationships/hyperlink" Target="https://aptrents-my.sharepoint.com/:x:/g/personal/brandon_apartmentcorp_com/IQDQf1bt0DrPRo1YJxpgWKraAUSL_3Rtcclb-B_TFMKqgIE?e=yH5Q0s" TargetMode="External"/><Relationship Id="rId2" Type="http://schemas.openxmlformats.org/officeDocument/2006/relationships/hyperlink" Target="https://aptrents-my.sharepoint.com/:x:/g/personal/brandon_apartmentcorp_com/IQBjal_WHAArRpsYD4Ulr61wAW_kDMQ_r8Gu1yi7qDwFOJY?e=bZdoVg" TargetMode="External"/><Relationship Id="rId16" Type="http://schemas.openxmlformats.org/officeDocument/2006/relationships/hyperlink" Target="https://aptrents-my.sharepoint.com/:x:/g/personal/brandon_apartmentcorp_com/IQD6WV4IcaWsTrXYgGbO_z1fAUG4gsRCEpT2I1t7QIJzPpk?e=YEz50U" TargetMode="External"/><Relationship Id="rId20" Type="http://schemas.openxmlformats.org/officeDocument/2006/relationships/hyperlink" Target="https://aptrents-my.sharepoint.com/:x:/g/personal/brandon_apartmentcorp_com/IQCBejGspp6KQ78OjYcgBoqIAVm_aLJx-nSuvZ3O52dhQLQ?e=u9sLNu" TargetMode="External"/><Relationship Id="rId29" Type="http://schemas.openxmlformats.org/officeDocument/2006/relationships/hyperlink" Target="https://aptrents-my.sharepoint.com/:x:/g/personal/brandon_apartmentcorp_com/IQAONW7qZPOLSKV1flqaOlXUAdTOnmUbs2PxrEOY2Dik9mM?e=CiEwBU" TargetMode="External"/><Relationship Id="rId1" Type="http://schemas.openxmlformats.org/officeDocument/2006/relationships/hyperlink" Target="https://aptrents-my.sharepoint.com/:x:/g/personal/brandon_apartmentcorp_com/IQBhJaBQ8Vs0S7Vw_yx1ZFGPAQDl8QSKUXSKw-KO2a1XXiA?e=aLp22g" TargetMode="External"/><Relationship Id="rId6" Type="http://schemas.openxmlformats.org/officeDocument/2006/relationships/hyperlink" Target="https://aptrents-my.sharepoint.com/:x:/g/personal/brandon_apartmentcorp_com/IQDgFiTqQM-PRJFJAz-uxw8WAck8ux8LYBzH1FO81nZNXfU?e=Sezxy2" TargetMode="External"/><Relationship Id="rId11" Type="http://schemas.openxmlformats.org/officeDocument/2006/relationships/hyperlink" Target="https://aptrents-my.sharepoint.com/:x:/g/personal/brandon_apartmentcorp_com/IQBXd-FHx3d6QoiFXe71Og6lAQqKSkOaJkkRzof9_lgU2V0?e=ydluzL" TargetMode="External"/><Relationship Id="rId24" Type="http://schemas.openxmlformats.org/officeDocument/2006/relationships/hyperlink" Target="https://aptrents-my.sharepoint.com/:x:/g/personal/brandon_apartmentcorp_com/IQA7XHtHXQZuTpiE-HncVB2KAdEAp5IwlikytvT4TI_LEuM?e=djlNW7" TargetMode="External"/><Relationship Id="rId32" Type="http://schemas.openxmlformats.org/officeDocument/2006/relationships/hyperlink" Target="https://aptrents-my.sharepoint.com/:x:/g/personal/brandon_apartmentcorp_com/IQAqX4MzAOxuRLs0tbA6qiosAUWwfO2skZTZFPc5Bj6_CYM?e=aEnWnR" TargetMode="External"/><Relationship Id="rId37" Type="http://schemas.openxmlformats.org/officeDocument/2006/relationships/hyperlink" Target="https://aptrents-my.sharepoint.com/:x:/g/personal/brandon_apartmentcorp_com/IQAM8TW0sCZ5Ta6vtpOmGIIzATD6Lzymmxxd2aRATj2A1A0?e=gVg5WN" TargetMode="External"/><Relationship Id="rId5" Type="http://schemas.openxmlformats.org/officeDocument/2006/relationships/hyperlink" Target="https://aptrents-my.sharepoint.com/:x:/g/personal/brandon_apartmentcorp_com/IQCcTdnBMnmdR6ky4Yu3cZt7AdNdv4xyG2PQANpG_W2DtoY?e=8d6hoT" TargetMode="External"/><Relationship Id="rId15" Type="http://schemas.openxmlformats.org/officeDocument/2006/relationships/hyperlink" Target="https://aptrents-my.sharepoint.com/:x:/g/personal/brandon_apartmentcorp_com/IQBI3o1kjhybQ5NFDIGrsMrDAfPrtpE342F03YjRFOJzE4w?e=2PzYHY" TargetMode="External"/><Relationship Id="rId23" Type="http://schemas.openxmlformats.org/officeDocument/2006/relationships/hyperlink" Target="https://aptrents-my.sharepoint.com/:x:/g/personal/brandon_apartmentcorp_com/IQA0F18NKU8zS6u-KIkKWcjjAYtkDu1stufRyZXegWJirFY?e=kFFuLJ" TargetMode="External"/><Relationship Id="rId28" Type="http://schemas.openxmlformats.org/officeDocument/2006/relationships/hyperlink" Target="https://aptrents-my.sharepoint.com/:x:/g/personal/brandon_apartmentcorp_com/IQDdvdXA_svqSIyQGh7dPKlVAeOgUnVnat7ygi7yBlBXXiU?e=bfHwZ1" TargetMode="External"/><Relationship Id="rId36" Type="http://schemas.openxmlformats.org/officeDocument/2006/relationships/hyperlink" Target="https://aptrents-my.sharepoint.com/:x:/g/personal/brandon_apartmentcorp_com/IQAv7ovW9MMRTasCcaeTIZ1RASzv0Aq9UXCtDoovruEOHRc?e=Ts00MS" TargetMode="External"/><Relationship Id="rId10" Type="http://schemas.openxmlformats.org/officeDocument/2006/relationships/hyperlink" Target="https://aptrents-my.sharepoint.com/:x:/g/personal/brandon_apartmentcorp_com/IQDP7ezmHMb6SqQQ3BBnfc1OAd0tjq7sd4TwltKpIOBN1VI?e=fwbqKP" TargetMode="External"/><Relationship Id="rId19" Type="http://schemas.openxmlformats.org/officeDocument/2006/relationships/hyperlink" Target="https://aptrents-my.sharepoint.com/:x:/g/personal/brandon_apartmentcorp_com/IQDtphv47IukQJvPHo6f5rxZAbNfvEiGNlr1IFMf4cSVBJc?e=itDq8Z" TargetMode="External"/><Relationship Id="rId31" Type="http://schemas.openxmlformats.org/officeDocument/2006/relationships/hyperlink" Target="https://aptrents-my.sharepoint.com/:x:/g/personal/brandon_apartmentcorp_com/IQC9LemP_PGsQ46MTGjXOxYKAfPorn_aOWbP4GhbSsXP7lA?e=YzhrL4" TargetMode="External"/><Relationship Id="rId4" Type="http://schemas.openxmlformats.org/officeDocument/2006/relationships/hyperlink" Target="https://aptrents-my.sharepoint.com/:x:/g/personal/brandon_apartmentcorp_com/IQCL_NFPBiBVQLeM7zF0K5DWATAKjLvMsgD9H4skAkYPdC0?e=LpeCAp" TargetMode="External"/><Relationship Id="rId9" Type="http://schemas.openxmlformats.org/officeDocument/2006/relationships/hyperlink" Target="https://aptrents-my.sharepoint.com/:x:/g/personal/brandon_apartmentcorp_com/IQBKeSFvXEd_R7MjmP3BrmcqAeySV5MgDH_HQUB2R3O3w_k?e=R9Ft3b" TargetMode="External"/><Relationship Id="rId14" Type="http://schemas.openxmlformats.org/officeDocument/2006/relationships/hyperlink" Target="https://aptrents-my.sharepoint.com/:x:/g/personal/brandon_apartmentcorp_com/IQBQJDYzD6cqQqEtGw4nhu6lAQEA-NzLWbMPT8baozOTLOo?e=wIvFo6" TargetMode="External"/><Relationship Id="rId22" Type="http://schemas.openxmlformats.org/officeDocument/2006/relationships/hyperlink" Target="https://aptrents-my.sharepoint.com/:x:/g/personal/brandon_apartmentcorp_com/IQCVKdr-S5u_RJ4EYl8s5hbFATfVgaYeXjsmZQtQJX2f6-A?e=y0igOH" TargetMode="External"/><Relationship Id="rId27" Type="http://schemas.openxmlformats.org/officeDocument/2006/relationships/hyperlink" Target="https://aptrents-my.sharepoint.com/:x:/g/personal/brandon_apartmentcorp_com/IQCW2wstOxDSQahdciX9AzkkAdgjkhpFda12EqSWbzQq_co?e=s6Bnhm" TargetMode="External"/><Relationship Id="rId30" Type="http://schemas.openxmlformats.org/officeDocument/2006/relationships/hyperlink" Target="https://aptrents-my.sharepoint.com/:x:/g/personal/brandon_apartmentcorp_com/IQBNNeKDSoW5QYRuTxRGrSo3AVzSY_gCKPaqAl8KqR9UK0k?e=WyXdbg" TargetMode="External"/><Relationship Id="rId35" Type="http://schemas.openxmlformats.org/officeDocument/2006/relationships/hyperlink" Target="https://aptrents-my.sharepoint.com/:x:/g/personal/brandon_apartmentcorp_com/IQApqixUiQ-rTZRisQqibP62AUO7hym5SfKfQfictCQNy1o?e=JKBlwm" TargetMode="External"/><Relationship Id="rId8" Type="http://schemas.openxmlformats.org/officeDocument/2006/relationships/hyperlink" Target="https://aptrents-my.sharepoint.com/:x:/g/personal/brandon_apartmentcorp_com/IQCzj71JVPITTqRkQM-J-Tb2AYToSbXOfCsyURf6oQfq-N8?e=yGAG9W" TargetMode="External"/><Relationship Id="rId3" Type="http://schemas.openxmlformats.org/officeDocument/2006/relationships/hyperlink" Target="https://aptrents-my.sharepoint.com/:x:/g/personal/brandon_apartmentcorp_com/IQB6qfTy7ZBNTImRg9Xspbt-AS_DNBA8Cga9gaWkrayJOHk?e=5GAZ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showGridLines="0" workbookViewId="0">
      <pane ySplit="1" topLeftCell="A2" activePane="bottomLeft" state="frozen"/>
      <selection pane="bottomLeft" activeCell="O14" sqref="O14"/>
    </sheetView>
  </sheetViews>
  <sheetFormatPr defaultColWidth="9.140625" defaultRowHeight="21.75" customHeight="1"/>
  <cols>
    <col min="1" max="1" width="5.5703125" customWidth="1"/>
    <col min="2" max="2" width="24.5703125" customWidth="1"/>
    <col min="3" max="3" width="16.5703125" customWidth="1"/>
    <col min="4" max="4" width="8.7109375" customWidth="1"/>
    <col min="5" max="5" width="5" customWidth="1"/>
    <col min="6" max="6" width="17.140625" customWidth="1"/>
    <col min="7" max="7" width="19.85546875" customWidth="1"/>
    <col min="8" max="8" width="19.140625" customWidth="1"/>
    <col min="9" max="9" width="37.42578125" customWidth="1"/>
  </cols>
  <sheetData>
    <row r="1" spans="1:3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27.75" customHeight="1">
      <c r="A7" s="257" t="s">
        <v>0</v>
      </c>
      <c r="B7" s="325"/>
      <c r="C7" s="325"/>
      <c r="D7" s="325"/>
      <c r="E7" s="325"/>
      <c r="F7" s="325"/>
      <c r="G7" s="325"/>
      <c r="H7" s="325"/>
      <c r="I7" s="325"/>
      <c r="J7" s="32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44.25" customHeight="1">
      <c r="A8" s="259" t="s">
        <v>1</v>
      </c>
      <c r="B8" s="325"/>
      <c r="C8" s="325"/>
      <c r="D8" s="325"/>
      <c r="E8" s="325"/>
      <c r="F8" s="325"/>
      <c r="G8" s="325"/>
      <c r="H8" s="325"/>
      <c r="I8" s="325"/>
      <c r="J8" s="32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" customHeight="1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258" t="s">
        <v>10</v>
      </c>
      <c r="J9" s="32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" customHeight="1">
      <c r="A10" s="5">
        <v>1</v>
      </c>
      <c r="B10" s="6" t="s">
        <v>11</v>
      </c>
      <c r="C10" s="6" t="s">
        <v>12</v>
      </c>
      <c r="D10" s="5">
        <v>1974</v>
      </c>
      <c r="E10" s="5">
        <v>109</v>
      </c>
      <c r="F10" s="6" t="s">
        <v>13</v>
      </c>
      <c r="G10" s="6" t="s">
        <v>14</v>
      </c>
      <c r="H10" s="6" t="s">
        <v>15</v>
      </c>
      <c r="I10" s="6" t="s">
        <v>16</v>
      </c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" customHeight="1">
      <c r="A11" s="8">
        <v>2</v>
      </c>
      <c r="B11" s="9" t="s">
        <v>17</v>
      </c>
      <c r="C11" s="9" t="s">
        <v>18</v>
      </c>
      <c r="D11" s="8">
        <v>1971</v>
      </c>
      <c r="E11" s="8">
        <v>75</v>
      </c>
      <c r="F11" s="10" t="s">
        <v>19</v>
      </c>
      <c r="G11" s="9" t="s">
        <v>20</v>
      </c>
      <c r="H11" s="9" t="s">
        <v>15</v>
      </c>
      <c r="I11" s="9" t="s">
        <v>16</v>
      </c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" customHeight="1">
      <c r="A12" s="8">
        <v>3</v>
      </c>
      <c r="B12" s="9" t="s">
        <v>21</v>
      </c>
      <c r="C12" s="9" t="s">
        <v>22</v>
      </c>
      <c r="D12" s="8">
        <v>1968</v>
      </c>
      <c r="E12" s="8">
        <v>65</v>
      </c>
      <c r="F12" s="10" t="s">
        <v>19</v>
      </c>
      <c r="G12" s="9" t="s">
        <v>23</v>
      </c>
      <c r="H12" s="9" t="s">
        <v>24</v>
      </c>
      <c r="I12" s="9" t="s">
        <v>16</v>
      </c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" customHeight="1">
      <c r="A13" s="8">
        <v>4</v>
      </c>
      <c r="B13" s="9" t="s">
        <v>25</v>
      </c>
      <c r="C13" s="9" t="s">
        <v>26</v>
      </c>
      <c r="D13" s="8">
        <v>1969</v>
      </c>
      <c r="E13" s="8">
        <v>100</v>
      </c>
      <c r="F13" s="10" t="s">
        <v>19</v>
      </c>
      <c r="G13" s="9" t="s">
        <v>27</v>
      </c>
      <c r="H13" s="9" t="s">
        <v>15</v>
      </c>
      <c r="I13" s="9" t="s">
        <v>16</v>
      </c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" customHeight="1">
      <c r="A14" s="8">
        <v>5</v>
      </c>
      <c r="B14" s="9" t="s">
        <v>28</v>
      </c>
      <c r="C14" s="9" t="s">
        <v>29</v>
      </c>
      <c r="D14" s="8">
        <v>1999</v>
      </c>
      <c r="E14" s="8">
        <v>72</v>
      </c>
      <c r="F14" s="10" t="s">
        <v>19</v>
      </c>
      <c r="G14" s="9" t="s">
        <v>30</v>
      </c>
      <c r="H14" s="9" t="s">
        <v>31</v>
      </c>
      <c r="I14" s="9" t="s">
        <v>16</v>
      </c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" customHeight="1">
      <c r="A15" s="8">
        <v>6</v>
      </c>
      <c r="B15" s="9" t="s">
        <v>32</v>
      </c>
      <c r="C15" s="9" t="s">
        <v>33</v>
      </c>
      <c r="D15" s="8">
        <v>1951</v>
      </c>
      <c r="E15" s="8">
        <v>115</v>
      </c>
      <c r="F15" s="10" t="s">
        <v>19</v>
      </c>
      <c r="G15" s="9" t="s">
        <v>34</v>
      </c>
      <c r="H15" s="9" t="s">
        <v>35</v>
      </c>
      <c r="I15" s="9" t="s">
        <v>16</v>
      </c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" customHeight="1">
      <c r="A16" s="8">
        <v>7</v>
      </c>
      <c r="B16" s="9" t="s">
        <v>36</v>
      </c>
      <c r="C16" s="9" t="s">
        <v>37</v>
      </c>
      <c r="D16" s="8">
        <v>1985</v>
      </c>
      <c r="E16" s="8">
        <v>68</v>
      </c>
      <c r="F16" s="10" t="s">
        <v>19</v>
      </c>
      <c r="G16" s="9" t="s">
        <v>38</v>
      </c>
      <c r="H16" s="9" t="s">
        <v>39</v>
      </c>
      <c r="I16" s="9" t="s">
        <v>16</v>
      </c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" customHeight="1">
      <c r="A17" s="8">
        <v>8</v>
      </c>
      <c r="B17" s="9" t="s">
        <v>40</v>
      </c>
      <c r="C17" s="9" t="s">
        <v>33</v>
      </c>
      <c r="D17" s="8">
        <v>1977</v>
      </c>
      <c r="E17" s="8">
        <v>80</v>
      </c>
      <c r="F17" s="10" t="s">
        <v>19</v>
      </c>
      <c r="G17" s="9" t="s">
        <v>41</v>
      </c>
      <c r="H17" s="9" t="s">
        <v>24</v>
      </c>
      <c r="I17" s="9" t="s">
        <v>16</v>
      </c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" customHeight="1">
      <c r="A18" s="8">
        <v>9</v>
      </c>
      <c r="B18" s="9" t="s">
        <v>42</v>
      </c>
      <c r="C18" s="9" t="s">
        <v>33</v>
      </c>
      <c r="D18" s="8">
        <v>1975</v>
      </c>
      <c r="E18" s="8">
        <v>168</v>
      </c>
      <c r="F18" s="10" t="s">
        <v>19</v>
      </c>
      <c r="G18" s="9" t="s">
        <v>43</v>
      </c>
      <c r="H18" s="9" t="s">
        <v>15</v>
      </c>
      <c r="I18" s="9" t="s">
        <v>16</v>
      </c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" customHeight="1">
      <c r="A19" s="8">
        <v>10</v>
      </c>
      <c r="B19" s="9" t="s">
        <v>44</v>
      </c>
      <c r="C19" s="9" t="s">
        <v>45</v>
      </c>
      <c r="D19" s="8">
        <v>1996</v>
      </c>
      <c r="E19" s="8">
        <v>160</v>
      </c>
      <c r="F19" s="10" t="s">
        <v>19</v>
      </c>
      <c r="G19" s="9" t="s">
        <v>46</v>
      </c>
      <c r="H19" s="9" t="s">
        <v>31</v>
      </c>
      <c r="I19" s="9" t="s">
        <v>16</v>
      </c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" customHeight="1">
      <c r="A20" s="5">
        <v>11</v>
      </c>
      <c r="B20" s="6" t="s">
        <v>47</v>
      </c>
      <c r="C20" s="6" t="s">
        <v>48</v>
      </c>
      <c r="D20" s="5">
        <v>1997</v>
      </c>
      <c r="E20" s="5">
        <v>66</v>
      </c>
      <c r="F20" s="6" t="s">
        <v>49</v>
      </c>
      <c r="G20" s="6" t="s">
        <v>50</v>
      </c>
      <c r="H20" s="6" t="s">
        <v>51</v>
      </c>
      <c r="I20" s="6" t="s">
        <v>16</v>
      </c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" customHeight="1">
      <c r="A21" s="5">
        <v>12</v>
      </c>
      <c r="B21" s="6" t="s">
        <v>52</v>
      </c>
      <c r="C21" s="6" t="s">
        <v>53</v>
      </c>
      <c r="D21" s="5">
        <v>1997</v>
      </c>
      <c r="E21" s="5">
        <v>61</v>
      </c>
      <c r="F21" s="6" t="s">
        <v>49</v>
      </c>
      <c r="G21" s="6" t="s">
        <v>54</v>
      </c>
      <c r="H21" s="6" t="s">
        <v>51</v>
      </c>
      <c r="I21" s="6" t="s">
        <v>16</v>
      </c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" customHeight="1">
      <c r="A22" s="5">
        <v>13</v>
      </c>
      <c r="B22" s="6" t="s">
        <v>55</v>
      </c>
      <c r="C22" s="6" t="s">
        <v>48</v>
      </c>
      <c r="D22" s="5">
        <v>2001</v>
      </c>
      <c r="E22" s="5">
        <v>112</v>
      </c>
      <c r="F22" s="6" t="s">
        <v>49</v>
      </c>
      <c r="G22" s="6" t="s">
        <v>56</v>
      </c>
      <c r="H22" s="6" t="s">
        <v>24</v>
      </c>
      <c r="I22" s="6" t="s">
        <v>16</v>
      </c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" customHeight="1">
      <c r="A23" s="5">
        <v>14</v>
      </c>
      <c r="B23" s="6" t="s">
        <v>57</v>
      </c>
      <c r="C23" s="6" t="s">
        <v>53</v>
      </c>
      <c r="D23" s="5">
        <v>1998</v>
      </c>
      <c r="E23" s="5">
        <v>60</v>
      </c>
      <c r="F23" s="6" t="s">
        <v>13</v>
      </c>
      <c r="G23" s="6" t="s">
        <v>58</v>
      </c>
      <c r="H23" s="6" t="s">
        <v>24</v>
      </c>
      <c r="I23" s="6" t="s">
        <v>16</v>
      </c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" customHeight="1">
      <c r="A24" s="5">
        <v>15</v>
      </c>
      <c r="B24" s="6" t="s">
        <v>59</v>
      </c>
      <c r="C24" s="6" t="s">
        <v>60</v>
      </c>
      <c r="D24" s="5">
        <v>1978</v>
      </c>
      <c r="E24" s="5">
        <v>136</v>
      </c>
      <c r="F24" s="6" t="s">
        <v>13</v>
      </c>
      <c r="G24" s="6" t="s">
        <v>61</v>
      </c>
      <c r="H24" s="6" t="s">
        <v>15</v>
      </c>
      <c r="I24" s="6" t="s">
        <v>16</v>
      </c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" customHeight="1">
      <c r="A25" s="8">
        <v>16</v>
      </c>
      <c r="B25" s="9" t="s">
        <v>62</v>
      </c>
      <c r="C25" s="9" t="s">
        <v>63</v>
      </c>
      <c r="D25" s="8">
        <v>1973</v>
      </c>
      <c r="E25" s="8" t="s">
        <v>64</v>
      </c>
      <c r="F25" s="10" t="s">
        <v>19</v>
      </c>
      <c r="G25" s="9" t="s">
        <v>65</v>
      </c>
      <c r="H25" s="9" t="s">
        <v>39</v>
      </c>
      <c r="I25" s="9" t="s">
        <v>16</v>
      </c>
      <c r="J25" s="1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" customHeight="1">
      <c r="A26" s="8">
        <v>17</v>
      </c>
      <c r="B26" s="9" t="s">
        <v>66</v>
      </c>
      <c r="C26" s="9" t="s">
        <v>67</v>
      </c>
      <c r="D26" s="8">
        <v>1968</v>
      </c>
      <c r="E26" s="8">
        <v>276</v>
      </c>
      <c r="F26" s="10" t="s">
        <v>19</v>
      </c>
      <c r="G26" s="9" t="s">
        <v>68</v>
      </c>
      <c r="H26" s="9" t="s">
        <v>24</v>
      </c>
      <c r="I26" s="9" t="s">
        <v>16</v>
      </c>
      <c r="J26" s="1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" customHeight="1">
      <c r="A27" s="5">
        <v>18</v>
      </c>
      <c r="B27" s="6" t="s">
        <v>69</v>
      </c>
      <c r="C27" s="6" t="s">
        <v>70</v>
      </c>
      <c r="D27" s="5">
        <v>2000</v>
      </c>
      <c r="E27" s="5">
        <v>73</v>
      </c>
      <c r="F27" s="6" t="s">
        <v>49</v>
      </c>
      <c r="G27" s="6" t="s">
        <v>71</v>
      </c>
      <c r="H27" s="6" t="s">
        <v>72</v>
      </c>
      <c r="I27" s="6" t="s">
        <v>16</v>
      </c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" customHeight="1">
      <c r="A28" s="5">
        <v>19</v>
      </c>
      <c r="B28" s="6" t="s">
        <v>73</v>
      </c>
      <c r="C28" s="6" t="s">
        <v>70</v>
      </c>
      <c r="D28" s="5">
        <v>2000</v>
      </c>
      <c r="E28" s="5">
        <v>48</v>
      </c>
      <c r="F28" s="6" t="s">
        <v>49</v>
      </c>
      <c r="G28" s="6" t="s">
        <v>74</v>
      </c>
      <c r="H28" s="6" t="s">
        <v>75</v>
      </c>
      <c r="I28" s="6" t="s">
        <v>16</v>
      </c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" customHeight="1">
      <c r="A29" s="8">
        <v>20</v>
      </c>
      <c r="B29" s="9" t="s">
        <v>76</v>
      </c>
      <c r="C29" s="9" t="s">
        <v>77</v>
      </c>
      <c r="D29" s="8">
        <v>1975</v>
      </c>
      <c r="E29" s="8">
        <v>107</v>
      </c>
      <c r="F29" s="10" t="s">
        <v>19</v>
      </c>
      <c r="G29" s="9" t="s">
        <v>78</v>
      </c>
      <c r="H29" s="9" t="s">
        <v>24</v>
      </c>
      <c r="I29" s="9" t="s">
        <v>16</v>
      </c>
      <c r="J29" s="1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" customHeight="1">
      <c r="A30" s="8">
        <v>21</v>
      </c>
      <c r="B30" s="9" t="s">
        <v>79</v>
      </c>
      <c r="C30" s="9" t="s">
        <v>67</v>
      </c>
      <c r="D30" s="8">
        <v>1968</v>
      </c>
      <c r="E30" s="8">
        <v>173</v>
      </c>
      <c r="F30" s="10" t="s">
        <v>19</v>
      </c>
      <c r="G30" s="9" t="s">
        <v>80</v>
      </c>
      <c r="H30" s="9" t="s">
        <v>72</v>
      </c>
      <c r="I30" s="9" t="s">
        <v>16</v>
      </c>
      <c r="J30" s="1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" customHeight="1">
      <c r="A31" s="5">
        <v>22</v>
      </c>
      <c r="B31" s="6" t="s">
        <v>81</v>
      </c>
      <c r="C31" s="6" t="s">
        <v>82</v>
      </c>
      <c r="D31" s="5">
        <v>1995</v>
      </c>
      <c r="E31" s="5">
        <v>120</v>
      </c>
      <c r="F31" s="6" t="s">
        <v>49</v>
      </c>
      <c r="G31" s="6" t="s">
        <v>83</v>
      </c>
      <c r="H31" s="6" t="s">
        <v>24</v>
      </c>
      <c r="I31" s="6" t="s">
        <v>16</v>
      </c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" customHeight="1">
      <c r="A32" s="5">
        <v>23</v>
      </c>
      <c r="B32" s="6" t="s">
        <v>84</v>
      </c>
      <c r="C32" s="6" t="s">
        <v>85</v>
      </c>
      <c r="D32" s="5">
        <v>1998</v>
      </c>
      <c r="E32" s="5">
        <v>134</v>
      </c>
      <c r="F32" s="6" t="s">
        <v>49</v>
      </c>
      <c r="G32" s="6" t="s">
        <v>86</v>
      </c>
      <c r="H32" s="6" t="s">
        <v>87</v>
      </c>
      <c r="I32" s="6" t="s">
        <v>16</v>
      </c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" customHeight="1">
      <c r="A33" s="5">
        <v>24</v>
      </c>
      <c r="B33" s="6" t="s">
        <v>88</v>
      </c>
      <c r="C33" s="6" t="s">
        <v>89</v>
      </c>
      <c r="D33" s="5">
        <v>2000</v>
      </c>
      <c r="E33" s="5">
        <v>27</v>
      </c>
      <c r="F33" s="6" t="s">
        <v>49</v>
      </c>
      <c r="G33" s="6" t="s">
        <v>90</v>
      </c>
      <c r="H33" s="6" t="s">
        <v>75</v>
      </c>
      <c r="I33" s="6" t="s">
        <v>16</v>
      </c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" customHeight="1">
      <c r="A34" s="5">
        <v>25</v>
      </c>
      <c r="B34" s="6" t="s">
        <v>91</v>
      </c>
      <c r="C34" s="6" t="s">
        <v>92</v>
      </c>
      <c r="D34" s="5">
        <v>2000</v>
      </c>
      <c r="E34" s="5">
        <v>60</v>
      </c>
      <c r="F34" s="6" t="s">
        <v>49</v>
      </c>
      <c r="G34" s="6" t="s">
        <v>93</v>
      </c>
      <c r="H34" s="6" t="s">
        <v>72</v>
      </c>
      <c r="I34" s="6" t="s">
        <v>16</v>
      </c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" customHeight="1">
      <c r="A35" s="5">
        <v>26</v>
      </c>
      <c r="B35" s="6" t="s">
        <v>94</v>
      </c>
      <c r="C35" s="6" t="s">
        <v>95</v>
      </c>
      <c r="D35" s="5">
        <v>1995</v>
      </c>
      <c r="E35" s="5">
        <v>121</v>
      </c>
      <c r="F35" s="6" t="s">
        <v>13</v>
      </c>
      <c r="G35" s="6" t="s">
        <v>96</v>
      </c>
      <c r="H35" s="6" t="s">
        <v>15</v>
      </c>
      <c r="I35" s="6" t="s">
        <v>16</v>
      </c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" customHeight="1">
      <c r="A36" s="8">
        <v>27</v>
      </c>
      <c r="B36" s="9" t="s">
        <v>97</v>
      </c>
      <c r="C36" s="9" t="s">
        <v>92</v>
      </c>
      <c r="D36" s="8">
        <v>2001</v>
      </c>
      <c r="E36" s="8">
        <v>152</v>
      </c>
      <c r="F36" s="10" t="s">
        <v>19</v>
      </c>
      <c r="G36" s="9" t="s">
        <v>98</v>
      </c>
      <c r="H36" s="9" t="s">
        <v>39</v>
      </c>
      <c r="I36" s="9" t="s">
        <v>16</v>
      </c>
      <c r="J36" s="1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" customHeight="1">
      <c r="A37" s="8">
        <v>28</v>
      </c>
      <c r="B37" s="9" t="s">
        <v>99</v>
      </c>
      <c r="C37" s="9" t="s">
        <v>92</v>
      </c>
      <c r="D37" s="8">
        <v>2001</v>
      </c>
      <c r="E37" s="8">
        <v>48</v>
      </c>
      <c r="F37" s="10" t="s">
        <v>19</v>
      </c>
      <c r="G37" s="9" t="s">
        <v>100</v>
      </c>
      <c r="H37" s="9" t="s">
        <v>39</v>
      </c>
      <c r="I37" s="9" t="s">
        <v>16</v>
      </c>
      <c r="J37" s="1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" customHeight="1">
      <c r="A38" s="8">
        <v>29</v>
      </c>
      <c r="B38" s="9" t="s">
        <v>101</v>
      </c>
      <c r="C38" s="9" t="s">
        <v>92</v>
      </c>
      <c r="D38" s="8">
        <v>2001</v>
      </c>
      <c r="E38" s="8">
        <v>48</v>
      </c>
      <c r="F38" s="10" t="s">
        <v>19</v>
      </c>
      <c r="G38" s="9" t="s">
        <v>102</v>
      </c>
      <c r="H38" s="9" t="s">
        <v>39</v>
      </c>
      <c r="I38" s="9" t="s">
        <v>16</v>
      </c>
      <c r="J38" s="1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" customHeight="1">
      <c r="A39" s="8">
        <v>30</v>
      </c>
      <c r="B39" s="9" t="s">
        <v>103</v>
      </c>
      <c r="C39" s="9" t="s">
        <v>104</v>
      </c>
      <c r="D39" s="8">
        <v>1980</v>
      </c>
      <c r="E39" s="8">
        <v>80</v>
      </c>
      <c r="F39" s="10" t="s">
        <v>19</v>
      </c>
      <c r="G39" s="9" t="s">
        <v>105</v>
      </c>
      <c r="H39" s="9" t="s">
        <v>75</v>
      </c>
      <c r="I39" s="9" t="s">
        <v>16</v>
      </c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" customHeight="1">
      <c r="A40" s="8">
        <v>31</v>
      </c>
      <c r="B40" s="9" t="s">
        <v>106</v>
      </c>
      <c r="C40" s="9" t="s">
        <v>107</v>
      </c>
      <c r="D40" s="8">
        <v>1965</v>
      </c>
      <c r="E40" s="8">
        <v>46</v>
      </c>
      <c r="F40" s="10" t="s">
        <v>19</v>
      </c>
      <c r="G40" s="9" t="s">
        <v>108</v>
      </c>
      <c r="H40" s="9" t="s">
        <v>109</v>
      </c>
      <c r="I40" s="9" t="s">
        <v>16</v>
      </c>
      <c r="J40" s="1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" customHeight="1">
      <c r="A41" s="5">
        <v>32</v>
      </c>
      <c r="B41" s="6" t="s">
        <v>110</v>
      </c>
      <c r="C41" s="6" t="s">
        <v>107</v>
      </c>
      <c r="D41" s="5">
        <v>1970</v>
      </c>
      <c r="E41" s="5">
        <v>60</v>
      </c>
      <c r="F41" s="6" t="s">
        <v>49</v>
      </c>
      <c r="G41" s="6" t="s">
        <v>111</v>
      </c>
      <c r="H41" s="6" t="s">
        <v>112</v>
      </c>
      <c r="I41" s="6" t="s">
        <v>16</v>
      </c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" customHeight="1">
      <c r="A42" s="5">
        <v>33</v>
      </c>
      <c r="B42" s="6" t="s">
        <v>113</v>
      </c>
      <c r="C42" s="6" t="s">
        <v>107</v>
      </c>
      <c r="D42" s="5">
        <v>1970</v>
      </c>
      <c r="E42" s="5">
        <v>32</v>
      </c>
      <c r="F42" s="6" t="s">
        <v>49</v>
      </c>
      <c r="G42" s="6" t="s">
        <v>114</v>
      </c>
      <c r="H42" s="6" t="s">
        <v>109</v>
      </c>
      <c r="I42" s="6" t="s">
        <v>16</v>
      </c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" customHeight="1">
      <c r="A43" s="5">
        <v>34</v>
      </c>
      <c r="B43" s="6" t="s">
        <v>115</v>
      </c>
      <c r="C43" s="6" t="s">
        <v>116</v>
      </c>
      <c r="D43" s="5">
        <v>1998</v>
      </c>
      <c r="E43" s="5">
        <v>80</v>
      </c>
      <c r="F43" s="6" t="s">
        <v>49</v>
      </c>
      <c r="G43" s="6" t="s">
        <v>117</v>
      </c>
      <c r="H43" s="6" t="s">
        <v>31</v>
      </c>
      <c r="I43" s="6" t="s">
        <v>16</v>
      </c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" customHeight="1">
      <c r="A44" s="5">
        <v>35</v>
      </c>
      <c r="B44" s="6" t="s">
        <v>118</v>
      </c>
      <c r="C44" s="6" t="s">
        <v>116</v>
      </c>
      <c r="D44" s="5">
        <v>1998</v>
      </c>
      <c r="E44" s="5">
        <v>80</v>
      </c>
      <c r="F44" s="6" t="s">
        <v>49</v>
      </c>
      <c r="G44" s="6" t="s">
        <v>119</v>
      </c>
      <c r="H44" s="6" t="s">
        <v>31</v>
      </c>
      <c r="I44" s="6" t="s">
        <v>16</v>
      </c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" customHeight="1">
      <c r="A45" s="5">
        <v>36</v>
      </c>
      <c r="B45" s="6" t="s">
        <v>120</v>
      </c>
      <c r="C45" s="6" t="s">
        <v>121</v>
      </c>
      <c r="D45" s="5">
        <v>2000</v>
      </c>
      <c r="E45" s="5">
        <v>80</v>
      </c>
      <c r="F45" s="6" t="s">
        <v>49</v>
      </c>
      <c r="G45" s="6" t="s">
        <v>122</v>
      </c>
      <c r="H45" s="6" t="s">
        <v>24</v>
      </c>
      <c r="I45" s="6" t="s">
        <v>16</v>
      </c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" customHeight="1">
      <c r="A46" s="5">
        <v>37</v>
      </c>
      <c r="B46" s="6" t="s">
        <v>123</v>
      </c>
      <c r="C46" s="6" t="s">
        <v>121</v>
      </c>
      <c r="D46" s="5">
        <v>2000</v>
      </c>
      <c r="E46" s="5">
        <v>60</v>
      </c>
      <c r="F46" s="6" t="s">
        <v>49</v>
      </c>
      <c r="G46" s="6" t="s">
        <v>124</v>
      </c>
      <c r="H46" s="6" t="s">
        <v>24</v>
      </c>
      <c r="I46" s="6" t="s">
        <v>16</v>
      </c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" customHeight="1">
      <c r="A47" s="5">
        <v>38</v>
      </c>
      <c r="B47" s="6" t="s">
        <v>125</v>
      </c>
      <c r="C47" s="6" t="s">
        <v>126</v>
      </c>
      <c r="D47" s="5">
        <v>2000</v>
      </c>
      <c r="E47" s="5">
        <v>80</v>
      </c>
      <c r="F47" s="6" t="s">
        <v>49</v>
      </c>
      <c r="G47" s="6" t="s">
        <v>127</v>
      </c>
      <c r="H47" s="6" t="s">
        <v>15</v>
      </c>
      <c r="I47" s="6" t="s">
        <v>16</v>
      </c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" customHeight="1">
      <c r="A48" s="8">
        <v>39</v>
      </c>
      <c r="B48" s="9" t="s">
        <v>128</v>
      </c>
      <c r="C48" s="9" t="s">
        <v>121</v>
      </c>
      <c r="D48" s="8">
        <v>1995</v>
      </c>
      <c r="E48" s="8">
        <v>123</v>
      </c>
      <c r="F48" s="10" t="s">
        <v>19</v>
      </c>
      <c r="G48" s="9" t="s">
        <v>129</v>
      </c>
      <c r="H48" s="9" t="s">
        <v>35</v>
      </c>
      <c r="I48" s="9" t="s">
        <v>16</v>
      </c>
      <c r="J48" s="1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" customHeight="1">
      <c r="A49" s="5">
        <v>41</v>
      </c>
      <c r="B49" s="6" t="s">
        <v>130</v>
      </c>
      <c r="C49" s="6" t="s">
        <v>131</v>
      </c>
      <c r="D49" s="5">
        <v>1971</v>
      </c>
      <c r="E49" s="5">
        <v>100</v>
      </c>
      <c r="F49" s="6" t="s">
        <v>13</v>
      </c>
      <c r="G49" s="6" t="s">
        <v>132</v>
      </c>
      <c r="H49" s="6" t="s">
        <v>39</v>
      </c>
      <c r="I49" s="6" t="s">
        <v>16</v>
      </c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" customHeight="1">
      <c r="A50" s="8">
        <v>42</v>
      </c>
      <c r="B50" s="9" t="s">
        <v>133</v>
      </c>
      <c r="C50" s="9" t="s">
        <v>134</v>
      </c>
      <c r="D50" s="8">
        <v>1975</v>
      </c>
      <c r="E50" s="8">
        <v>100</v>
      </c>
      <c r="F50" s="10" t="s">
        <v>19</v>
      </c>
      <c r="G50" s="9" t="s">
        <v>135</v>
      </c>
      <c r="H50" s="9" t="s">
        <v>39</v>
      </c>
      <c r="I50" s="9" t="s">
        <v>16</v>
      </c>
      <c r="J50" s="1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" customHeight="1">
      <c r="A51" s="5">
        <v>43</v>
      </c>
      <c r="B51" s="6" t="s">
        <v>136</v>
      </c>
      <c r="C51" s="6"/>
      <c r="D51" s="5"/>
      <c r="E51" s="5"/>
      <c r="F51" s="6"/>
      <c r="G51" s="6"/>
      <c r="H51" s="6"/>
      <c r="I51" s="6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</sheetData>
  <mergeCells count="3">
    <mergeCell ref="A7:J7"/>
    <mergeCell ref="I9:J9"/>
    <mergeCell ref="A8:J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03A5-5912-4A5B-834A-E41F358E0B6B}">
  <dimension ref="A1:J41"/>
  <sheetViews>
    <sheetView tabSelected="1" workbookViewId="0">
      <selection activeCell="B16" sqref="B16"/>
    </sheetView>
  </sheetViews>
  <sheetFormatPr defaultRowHeight="15"/>
  <cols>
    <col min="1" max="1" width="23.28515625" customWidth="1"/>
    <col min="2" max="2" width="42.42578125" customWidth="1"/>
    <col min="3" max="3" width="22" customWidth="1"/>
  </cols>
  <sheetData>
    <row r="1" spans="1:10">
      <c r="A1" t="s">
        <v>137</v>
      </c>
      <c r="B1" t="s">
        <v>138</v>
      </c>
    </row>
    <row r="2" spans="1:10">
      <c r="A2" s="22" t="s">
        <v>11</v>
      </c>
      <c r="B2" s="256" t="s">
        <v>139</v>
      </c>
      <c r="C2" s="256"/>
      <c r="D2" s="23" t="s">
        <v>140</v>
      </c>
      <c r="E2" s="23" t="s">
        <v>140</v>
      </c>
      <c r="F2" s="24">
        <v>1736</v>
      </c>
      <c r="G2" s="24">
        <v>2376</v>
      </c>
      <c r="H2" s="23" t="s">
        <v>140</v>
      </c>
      <c r="I2" s="23" t="s">
        <v>140</v>
      </c>
      <c r="J2" s="25"/>
    </row>
    <row r="3" spans="1:10">
      <c r="A3" s="28" t="s">
        <v>141</v>
      </c>
      <c r="B3" s="256" t="s">
        <v>142</v>
      </c>
      <c r="C3" s="256"/>
      <c r="D3" s="29" t="s">
        <v>140</v>
      </c>
      <c r="E3" s="29" t="s">
        <v>140</v>
      </c>
      <c r="F3" s="24">
        <v>1020</v>
      </c>
      <c r="G3" s="24">
        <v>1150</v>
      </c>
      <c r="H3" s="29" t="s">
        <v>140</v>
      </c>
      <c r="I3" s="29" t="s">
        <v>140</v>
      </c>
      <c r="J3" s="30"/>
    </row>
    <row r="4" spans="1:10">
      <c r="A4" s="22" t="s">
        <v>143</v>
      </c>
      <c r="B4" s="22"/>
      <c r="C4" s="22"/>
      <c r="D4" s="23" t="s">
        <v>140</v>
      </c>
      <c r="E4" s="24">
        <v>1470</v>
      </c>
      <c r="F4" s="24">
        <v>1800</v>
      </c>
      <c r="G4" s="24">
        <v>2320</v>
      </c>
      <c r="H4" s="23" t="s">
        <v>140</v>
      </c>
      <c r="I4" s="23" t="s">
        <v>140</v>
      </c>
      <c r="J4" s="25"/>
    </row>
    <row r="5" spans="1:10">
      <c r="A5" s="28" t="s">
        <v>144</v>
      </c>
      <c r="B5" s="28"/>
      <c r="C5" s="28"/>
      <c r="D5" s="29" t="s">
        <v>140</v>
      </c>
      <c r="E5" s="29" t="s">
        <v>140</v>
      </c>
      <c r="F5" s="24">
        <v>1451</v>
      </c>
      <c r="G5" s="24">
        <v>1613</v>
      </c>
      <c r="H5" s="29" t="s">
        <v>140</v>
      </c>
      <c r="I5" s="29" t="s">
        <v>140</v>
      </c>
      <c r="J5" s="30"/>
    </row>
    <row r="6" spans="1:10">
      <c r="A6" s="22" t="s">
        <v>28</v>
      </c>
      <c r="B6" s="256" t="s">
        <v>145</v>
      </c>
      <c r="C6" s="256"/>
      <c r="D6" s="23" t="s">
        <v>140</v>
      </c>
      <c r="E6" s="24">
        <v>1375</v>
      </c>
      <c r="F6" s="24">
        <v>1552</v>
      </c>
      <c r="G6" s="23" t="s">
        <v>140</v>
      </c>
      <c r="H6" s="23" t="s">
        <v>140</v>
      </c>
      <c r="I6" s="23" t="s">
        <v>140</v>
      </c>
      <c r="J6" s="25"/>
    </row>
    <row r="7" spans="1:10">
      <c r="A7" s="28" t="s">
        <v>146</v>
      </c>
      <c r="B7" s="256" t="s">
        <v>147</v>
      </c>
      <c r="C7" s="256"/>
      <c r="D7" s="29" t="s">
        <v>140</v>
      </c>
      <c r="E7" s="29" t="s">
        <v>140</v>
      </c>
      <c r="F7" s="24">
        <v>935</v>
      </c>
      <c r="G7" s="24">
        <v>1073</v>
      </c>
      <c r="H7" s="24">
        <v>1147</v>
      </c>
      <c r="I7" s="35"/>
      <c r="J7" s="30"/>
    </row>
    <row r="8" spans="1:10">
      <c r="A8" s="22" t="s">
        <v>36</v>
      </c>
      <c r="B8" s="256" t="s">
        <v>148</v>
      </c>
      <c r="C8" s="256"/>
      <c r="D8" s="23" t="s">
        <v>140</v>
      </c>
      <c r="E8" s="24">
        <v>1074</v>
      </c>
      <c r="F8" s="24">
        <v>1166</v>
      </c>
      <c r="G8" s="24">
        <v>1290</v>
      </c>
      <c r="H8" s="24">
        <v>1433</v>
      </c>
      <c r="I8" s="23" t="s">
        <v>140</v>
      </c>
      <c r="J8" s="25"/>
    </row>
    <row r="9" spans="1:10">
      <c r="A9" s="36" t="s">
        <v>42</v>
      </c>
      <c r="B9" s="256" t="s">
        <v>149</v>
      </c>
      <c r="C9" s="256"/>
      <c r="D9" s="37" t="s">
        <v>140</v>
      </c>
      <c r="E9" s="37" t="s">
        <v>140</v>
      </c>
      <c r="F9" s="24">
        <v>1346</v>
      </c>
      <c r="G9" s="24">
        <v>1465</v>
      </c>
      <c r="H9" s="37" t="s">
        <v>140</v>
      </c>
      <c r="I9" s="37" t="s">
        <v>140</v>
      </c>
      <c r="J9" s="38"/>
    </row>
    <row r="10" spans="1:10">
      <c r="A10" s="28" t="s">
        <v>44</v>
      </c>
      <c r="B10" s="256" t="s">
        <v>150</v>
      </c>
      <c r="C10" s="256"/>
      <c r="D10" s="29" t="s">
        <v>140</v>
      </c>
      <c r="E10" s="35"/>
      <c r="F10" s="24">
        <v>1400</v>
      </c>
      <c r="G10" s="29" t="s">
        <v>140</v>
      </c>
      <c r="H10" s="29" t="s">
        <v>140</v>
      </c>
      <c r="I10" s="29" t="s">
        <v>140</v>
      </c>
      <c r="J10" s="30"/>
    </row>
    <row r="11" spans="1:10">
      <c r="A11" s="22" t="s">
        <v>151</v>
      </c>
      <c r="B11" s="256" t="s">
        <v>152</v>
      </c>
      <c r="C11" s="256"/>
      <c r="D11" s="23" t="s">
        <v>140</v>
      </c>
      <c r="E11" s="23" t="s">
        <v>140</v>
      </c>
      <c r="F11" s="24">
        <v>964</v>
      </c>
      <c r="G11" s="23" t="s">
        <v>140</v>
      </c>
      <c r="H11" s="24">
        <v>1221</v>
      </c>
      <c r="I11" s="23" t="s">
        <v>140</v>
      </c>
      <c r="J11" s="25"/>
    </row>
    <row r="12" spans="1:10">
      <c r="A12" s="28" t="s">
        <v>153</v>
      </c>
      <c r="B12" s="256" t="s">
        <v>154</v>
      </c>
      <c r="C12" s="256"/>
      <c r="D12" s="29" t="s">
        <v>140</v>
      </c>
      <c r="E12" s="29" t="s">
        <v>140</v>
      </c>
      <c r="F12" s="24">
        <v>964</v>
      </c>
      <c r="G12" s="29" t="s">
        <v>140</v>
      </c>
      <c r="H12" s="24">
        <v>1221</v>
      </c>
      <c r="I12" s="29" t="s">
        <v>140</v>
      </c>
      <c r="J12" s="30"/>
    </row>
    <row r="13" spans="1:10">
      <c r="A13" s="22" t="s">
        <v>55</v>
      </c>
      <c r="B13" s="256" t="s">
        <v>155</v>
      </c>
      <c r="C13" s="256"/>
      <c r="D13" s="23" t="s">
        <v>140</v>
      </c>
      <c r="E13" s="24">
        <v>1198</v>
      </c>
      <c r="F13" s="24">
        <v>1430</v>
      </c>
      <c r="G13" s="24">
        <v>1656</v>
      </c>
      <c r="H13" s="23" t="s">
        <v>140</v>
      </c>
      <c r="I13" s="23" t="s">
        <v>140</v>
      </c>
      <c r="J13" s="25"/>
    </row>
    <row r="14" spans="1:10">
      <c r="A14" s="28" t="s">
        <v>156</v>
      </c>
      <c r="B14" s="256" t="s">
        <v>157</v>
      </c>
      <c r="C14" s="256"/>
      <c r="D14" s="29" t="s">
        <v>140</v>
      </c>
      <c r="E14" s="24">
        <v>1210</v>
      </c>
      <c r="F14" s="24">
        <v>1450</v>
      </c>
      <c r="G14" s="24">
        <v>1700</v>
      </c>
      <c r="H14" s="29" t="s">
        <v>140</v>
      </c>
      <c r="I14" s="29" t="s">
        <v>140</v>
      </c>
      <c r="J14" s="30"/>
    </row>
    <row r="15" spans="1:10">
      <c r="A15" s="22" t="s">
        <v>59</v>
      </c>
      <c r="B15" s="256" t="s">
        <v>158</v>
      </c>
      <c r="C15" s="256"/>
      <c r="D15" s="23" t="s">
        <v>140</v>
      </c>
      <c r="E15" s="23" t="s">
        <v>140</v>
      </c>
      <c r="F15" s="24">
        <v>1402</v>
      </c>
      <c r="G15" s="24">
        <v>1679</v>
      </c>
      <c r="H15" s="23" t="s">
        <v>140</v>
      </c>
      <c r="I15" s="23" t="s">
        <v>140</v>
      </c>
      <c r="J15" s="25"/>
    </row>
    <row r="16" spans="1:10">
      <c r="A16" s="28" t="s">
        <v>62</v>
      </c>
      <c r="B16" s="256" t="s">
        <v>159</v>
      </c>
      <c r="C16" s="256"/>
      <c r="D16" s="29" t="s">
        <v>140</v>
      </c>
      <c r="E16" s="24">
        <v>1221</v>
      </c>
      <c r="F16" s="24">
        <v>1563</v>
      </c>
      <c r="G16" s="24">
        <v>1820</v>
      </c>
      <c r="H16" s="24">
        <v>2128</v>
      </c>
      <c r="I16" s="29" t="s">
        <v>140</v>
      </c>
      <c r="J16" s="30"/>
    </row>
    <row r="17" spans="1:10">
      <c r="A17" s="22" t="s">
        <v>160</v>
      </c>
      <c r="B17" s="256" t="s">
        <v>161</v>
      </c>
      <c r="C17" s="256"/>
      <c r="D17" s="23" t="s">
        <v>140</v>
      </c>
      <c r="E17" s="24">
        <v>1000</v>
      </c>
      <c r="F17" s="24">
        <v>1150</v>
      </c>
      <c r="G17" s="24">
        <v>1300</v>
      </c>
      <c r="H17" s="23" t="s">
        <v>140</v>
      </c>
      <c r="I17" s="23" t="s">
        <v>140</v>
      </c>
      <c r="J17" s="25"/>
    </row>
    <row r="18" spans="1:10">
      <c r="A18" s="28" t="s">
        <v>162</v>
      </c>
      <c r="B18" s="256" t="s">
        <v>163</v>
      </c>
      <c r="C18" s="256"/>
      <c r="D18" s="29" t="s">
        <v>140</v>
      </c>
      <c r="E18" s="29" t="s">
        <v>140</v>
      </c>
      <c r="F18" s="35"/>
      <c r="G18" s="24">
        <v>1223</v>
      </c>
      <c r="H18" s="24">
        <v>870</v>
      </c>
      <c r="I18" s="29" t="s">
        <v>140</v>
      </c>
      <c r="J18" s="30"/>
    </row>
    <row r="19" spans="1:10">
      <c r="A19" s="22" t="s">
        <v>164</v>
      </c>
      <c r="B19" s="256" t="s">
        <v>165</v>
      </c>
      <c r="C19" s="256"/>
      <c r="D19" s="23" t="s">
        <v>140</v>
      </c>
      <c r="E19" s="23" t="s">
        <v>140</v>
      </c>
      <c r="F19" s="24">
        <v>894</v>
      </c>
      <c r="G19" s="24">
        <v>982</v>
      </c>
      <c r="H19" s="24">
        <v>1045</v>
      </c>
      <c r="I19" s="23" t="s">
        <v>140</v>
      </c>
      <c r="J19" s="25"/>
    </row>
    <row r="20" spans="1:10">
      <c r="A20" s="22" t="s">
        <v>166</v>
      </c>
      <c r="B20" s="256" t="s">
        <v>167</v>
      </c>
      <c r="C20" s="256"/>
      <c r="D20" s="23" t="s">
        <v>140</v>
      </c>
      <c r="E20" s="23" t="s">
        <v>140</v>
      </c>
      <c r="F20" s="35"/>
      <c r="G20" s="24">
        <v>1401</v>
      </c>
      <c r="H20" s="24">
        <v>1563</v>
      </c>
      <c r="I20" s="23" t="s">
        <v>140</v>
      </c>
      <c r="J20" s="25"/>
    </row>
    <row r="21" spans="1:10">
      <c r="A21" s="28" t="s">
        <v>81</v>
      </c>
      <c r="B21" s="256" t="s">
        <v>168</v>
      </c>
      <c r="C21" s="256"/>
      <c r="D21" s="29" t="s">
        <v>140</v>
      </c>
      <c r="E21" s="24">
        <v>914</v>
      </c>
      <c r="F21" s="24">
        <v>1058</v>
      </c>
      <c r="G21" s="24">
        <v>1204</v>
      </c>
      <c r="H21" s="29" t="s">
        <v>140</v>
      </c>
      <c r="I21" s="29" t="s">
        <v>140</v>
      </c>
      <c r="J21" s="30"/>
    </row>
    <row r="22" spans="1:10">
      <c r="A22" s="22" t="s">
        <v>169</v>
      </c>
      <c r="B22" s="256" t="s">
        <v>170</v>
      </c>
      <c r="C22" s="256" t="s">
        <v>171</v>
      </c>
      <c r="D22" s="23" t="s">
        <v>140</v>
      </c>
      <c r="E22" s="24">
        <v>777</v>
      </c>
      <c r="F22" s="24">
        <v>885</v>
      </c>
      <c r="G22" s="23" t="s">
        <v>140</v>
      </c>
      <c r="H22" s="24">
        <v>1140</v>
      </c>
      <c r="I22" s="23" t="s">
        <v>140</v>
      </c>
      <c r="J22" s="25"/>
    </row>
    <row r="23" spans="1:10">
      <c r="A23" s="28" t="s">
        <v>88</v>
      </c>
      <c r="B23" s="256" t="s">
        <v>172</v>
      </c>
      <c r="C23" s="28"/>
      <c r="D23" s="29" t="s">
        <v>140</v>
      </c>
      <c r="E23" s="29" t="s">
        <v>140</v>
      </c>
      <c r="F23" s="24">
        <v>575</v>
      </c>
      <c r="G23" s="24">
        <v>655</v>
      </c>
      <c r="H23" s="24">
        <v>695</v>
      </c>
      <c r="I23" s="29" t="s">
        <v>140</v>
      </c>
      <c r="J23" s="30"/>
    </row>
    <row r="24" spans="1:10">
      <c r="A24" s="22" t="s">
        <v>173</v>
      </c>
      <c r="B24" s="256" t="s">
        <v>174</v>
      </c>
      <c r="C24" s="256"/>
      <c r="D24" s="23" t="s">
        <v>140</v>
      </c>
      <c r="E24" s="23" t="s">
        <v>140</v>
      </c>
      <c r="F24" s="23" t="s">
        <v>140</v>
      </c>
      <c r="G24" s="24">
        <v>1053</v>
      </c>
      <c r="H24" s="24">
        <v>1152</v>
      </c>
      <c r="I24" s="23" t="s">
        <v>140</v>
      </c>
      <c r="J24" s="25"/>
    </row>
    <row r="25" spans="1:10">
      <c r="A25" s="28" t="s">
        <v>175</v>
      </c>
      <c r="B25" s="256" t="s">
        <v>176</v>
      </c>
      <c r="C25" s="28"/>
      <c r="D25" s="29" t="s">
        <v>140</v>
      </c>
      <c r="E25" s="29" t="s">
        <v>140</v>
      </c>
      <c r="F25" s="24">
        <v>1154</v>
      </c>
      <c r="G25" s="24">
        <v>1484</v>
      </c>
      <c r="H25" s="29" t="s">
        <v>140</v>
      </c>
      <c r="I25" s="29" t="s">
        <v>140</v>
      </c>
      <c r="J25" s="30"/>
    </row>
    <row r="26" spans="1:10">
      <c r="A26" s="22" t="s">
        <v>97</v>
      </c>
      <c r="B26" s="256" t="s">
        <v>177</v>
      </c>
      <c r="C26" s="22"/>
      <c r="D26" s="23" t="s">
        <v>140</v>
      </c>
      <c r="E26" s="24">
        <v>874</v>
      </c>
      <c r="F26" s="24">
        <v>1039</v>
      </c>
      <c r="G26" s="24">
        <v>1194</v>
      </c>
      <c r="H26" s="24">
        <v>1321</v>
      </c>
      <c r="I26" s="23" t="s">
        <v>140</v>
      </c>
      <c r="J26" s="25"/>
    </row>
    <row r="27" spans="1:10">
      <c r="A27" s="28" t="s">
        <v>99</v>
      </c>
      <c r="B27" s="256" t="s">
        <v>178</v>
      </c>
      <c r="C27" s="28"/>
      <c r="D27" s="29" t="s">
        <v>140</v>
      </c>
      <c r="E27" s="24">
        <v>874</v>
      </c>
      <c r="F27" s="24">
        <v>1039</v>
      </c>
      <c r="G27" s="24">
        <v>1194</v>
      </c>
      <c r="H27" s="24">
        <v>1321</v>
      </c>
      <c r="I27" s="29" t="s">
        <v>140</v>
      </c>
      <c r="J27" s="30"/>
    </row>
    <row r="28" spans="1:10">
      <c r="A28" s="22" t="s">
        <v>101</v>
      </c>
      <c r="B28" s="256" t="s">
        <v>179</v>
      </c>
      <c r="C28" s="22"/>
      <c r="D28" s="23" t="s">
        <v>140</v>
      </c>
      <c r="E28" s="24">
        <v>874</v>
      </c>
      <c r="F28" s="24">
        <v>1039</v>
      </c>
      <c r="G28" s="24">
        <v>1194</v>
      </c>
      <c r="H28" s="24">
        <v>1321</v>
      </c>
      <c r="I28" s="23" t="s">
        <v>140</v>
      </c>
      <c r="J28" s="25"/>
    </row>
    <row r="29" spans="1:10">
      <c r="A29" s="28" t="s">
        <v>180</v>
      </c>
      <c r="B29" s="256" t="s">
        <v>181</v>
      </c>
      <c r="C29" s="28"/>
      <c r="D29" s="29" t="s">
        <v>140</v>
      </c>
      <c r="E29" s="24">
        <v>3374</v>
      </c>
      <c r="F29" s="24">
        <v>3979</v>
      </c>
      <c r="G29" s="24">
        <v>4973</v>
      </c>
      <c r="H29" s="29" t="s">
        <v>140</v>
      </c>
      <c r="I29" s="29" t="s">
        <v>140</v>
      </c>
      <c r="J29" s="30"/>
    </row>
    <row r="30" spans="1:10">
      <c r="A30" s="22" t="s">
        <v>106</v>
      </c>
      <c r="B30" s="256" t="s">
        <v>182</v>
      </c>
      <c r="C30" s="256"/>
      <c r="D30" s="23" t="s">
        <v>140</v>
      </c>
      <c r="E30" s="24">
        <v>2908</v>
      </c>
      <c r="F30" s="23" t="s">
        <v>140</v>
      </c>
      <c r="G30" s="23" t="s">
        <v>140</v>
      </c>
      <c r="H30" s="23" t="s">
        <v>140</v>
      </c>
      <c r="I30" s="23" t="s">
        <v>140</v>
      </c>
      <c r="J30" s="25"/>
    </row>
    <row r="31" spans="1:10">
      <c r="A31" s="28" t="s">
        <v>183</v>
      </c>
      <c r="B31" s="256" t="s">
        <v>184</v>
      </c>
      <c r="C31" s="28"/>
      <c r="D31" s="29" t="s">
        <v>140</v>
      </c>
      <c r="E31" s="29" t="s">
        <v>140</v>
      </c>
      <c r="F31" s="24">
        <v>1842</v>
      </c>
      <c r="G31" s="29" t="s">
        <v>140</v>
      </c>
      <c r="H31" s="29" t="s">
        <v>140</v>
      </c>
      <c r="I31" s="29" t="s">
        <v>140</v>
      </c>
      <c r="J31" s="30"/>
    </row>
    <row r="32" spans="1:10">
      <c r="A32" s="22" t="s">
        <v>185</v>
      </c>
      <c r="B32" s="256" t="s">
        <v>186</v>
      </c>
      <c r="C32" s="22"/>
      <c r="D32" s="23" t="s">
        <v>140</v>
      </c>
      <c r="E32" s="24">
        <v>1612</v>
      </c>
      <c r="F32" s="23" t="s">
        <v>140</v>
      </c>
      <c r="G32" s="23" t="s">
        <v>140</v>
      </c>
      <c r="H32" s="23" t="s">
        <v>140</v>
      </c>
      <c r="I32" s="23" t="s">
        <v>140</v>
      </c>
      <c r="J32" s="25"/>
    </row>
    <row r="33" spans="1:10">
      <c r="A33" s="28" t="s">
        <v>115</v>
      </c>
      <c r="B33" s="256" t="s">
        <v>187</v>
      </c>
      <c r="C33" s="28"/>
      <c r="D33" s="29" t="s">
        <v>140</v>
      </c>
      <c r="E33" s="24">
        <v>1252</v>
      </c>
      <c r="F33" s="24">
        <v>1374</v>
      </c>
      <c r="G33" s="29" t="s">
        <v>140</v>
      </c>
      <c r="H33" s="29" t="s">
        <v>140</v>
      </c>
      <c r="I33" s="29" t="s">
        <v>140</v>
      </c>
      <c r="J33" s="30"/>
    </row>
    <row r="34" spans="1:10">
      <c r="A34" s="22" t="s">
        <v>118</v>
      </c>
      <c r="B34" s="256" t="s">
        <v>188</v>
      </c>
      <c r="C34" s="22"/>
      <c r="D34" s="23" t="s">
        <v>140</v>
      </c>
      <c r="E34" s="24">
        <v>1212</v>
      </c>
      <c r="F34" s="24">
        <v>1383</v>
      </c>
      <c r="G34" s="23" t="s">
        <v>140</v>
      </c>
      <c r="H34" s="23" t="s">
        <v>140</v>
      </c>
      <c r="I34" s="23" t="s">
        <v>140</v>
      </c>
      <c r="J34" s="25"/>
    </row>
    <row r="35" spans="1:10">
      <c r="A35" s="28" t="s">
        <v>189</v>
      </c>
      <c r="B35" s="256" t="s">
        <v>190</v>
      </c>
      <c r="C35" s="256"/>
      <c r="D35" s="29" t="s">
        <v>140</v>
      </c>
      <c r="E35" s="29" t="s">
        <v>140</v>
      </c>
      <c r="F35" s="24">
        <v>1364</v>
      </c>
      <c r="G35" s="24">
        <v>1577.5</v>
      </c>
      <c r="H35" s="24">
        <v>1731</v>
      </c>
      <c r="I35" s="29" t="s">
        <v>140</v>
      </c>
      <c r="J35" s="30"/>
    </row>
    <row r="36" spans="1:10">
      <c r="A36" s="22" t="s">
        <v>191</v>
      </c>
      <c r="B36" s="256" t="s">
        <v>192</v>
      </c>
      <c r="C36" s="256"/>
      <c r="D36" s="23" t="s">
        <v>140</v>
      </c>
      <c r="E36" s="24">
        <v>723.88</v>
      </c>
      <c r="F36" s="24">
        <v>855.17</v>
      </c>
      <c r="G36" s="23" t="s">
        <v>140</v>
      </c>
      <c r="H36" s="23" t="s">
        <v>140</v>
      </c>
      <c r="I36" s="23" t="s">
        <v>140</v>
      </c>
      <c r="J36" s="25"/>
    </row>
    <row r="37" spans="1:10">
      <c r="A37" s="28" t="s">
        <v>125</v>
      </c>
      <c r="B37" s="256" t="s">
        <v>193</v>
      </c>
      <c r="C37" s="256"/>
      <c r="D37" s="29" t="s">
        <v>140</v>
      </c>
      <c r="E37" s="29" t="s">
        <v>140</v>
      </c>
      <c r="F37" s="24">
        <v>1308</v>
      </c>
      <c r="G37" s="24">
        <v>1526.47</v>
      </c>
      <c r="H37" s="29" t="s">
        <v>140</v>
      </c>
      <c r="I37" s="29" t="s">
        <v>140</v>
      </c>
      <c r="J37" s="30"/>
    </row>
    <row r="38" spans="1:10">
      <c r="A38" s="22" t="s">
        <v>128</v>
      </c>
      <c r="B38" s="256" t="s">
        <v>194</v>
      </c>
      <c r="C38" s="256"/>
      <c r="D38" s="23" t="s">
        <v>140</v>
      </c>
      <c r="E38" s="23" t="s">
        <v>140</v>
      </c>
      <c r="F38" s="24">
        <v>1140</v>
      </c>
      <c r="G38" s="24">
        <v>1317</v>
      </c>
      <c r="H38" s="24">
        <v>1470</v>
      </c>
      <c r="I38" s="24">
        <v>1784</v>
      </c>
      <c r="J38" s="25"/>
    </row>
    <row r="39" spans="1:10">
      <c r="A39" s="28" t="s">
        <v>195</v>
      </c>
      <c r="B39" s="256" t="s">
        <v>196</v>
      </c>
      <c r="C39" s="28"/>
      <c r="D39" s="29" t="s">
        <v>140</v>
      </c>
      <c r="E39" s="24">
        <v>970</v>
      </c>
      <c r="F39" s="24">
        <v>1185</v>
      </c>
      <c r="G39" s="24">
        <v>1400</v>
      </c>
      <c r="H39" s="24">
        <v>1695</v>
      </c>
      <c r="I39" s="29" t="s">
        <v>140</v>
      </c>
      <c r="J39" s="30"/>
    </row>
    <row r="40" spans="1:10">
      <c r="A40" s="22" t="s">
        <v>197</v>
      </c>
      <c r="B40" s="256" t="s">
        <v>198</v>
      </c>
      <c r="C40" s="22"/>
      <c r="D40" s="23" t="s">
        <v>140</v>
      </c>
      <c r="E40" s="24">
        <v>946</v>
      </c>
      <c r="F40" s="24">
        <v>1054</v>
      </c>
      <c r="G40" s="24">
        <v>1328</v>
      </c>
      <c r="H40" s="24">
        <v>1425</v>
      </c>
      <c r="I40" s="23" t="s">
        <v>140</v>
      </c>
      <c r="J40" s="25"/>
    </row>
    <row r="41" spans="1:10">
      <c r="A41" s="28" t="s">
        <v>199</v>
      </c>
      <c r="B41" s="256" t="s">
        <v>200</v>
      </c>
      <c r="C41" s="256"/>
      <c r="D41" s="29" t="s">
        <v>140</v>
      </c>
      <c r="E41" s="29" t="s">
        <v>140</v>
      </c>
      <c r="F41" s="24">
        <v>1388</v>
      </c>
      <c r="G41" s="24">
        <v>1592</v>
      </c>
      <c r="H41" s="29" t="s">
        <v>140</v>
      </c>
      <c r="I41" s="29" t="s">
        <v>140</v>
      </c>
      <c r="J41" s="30"/>
    </row>
  </sheetData>
  <hyperlinks>
    <hyperlink ref="B3" r:id="rId1" xr:uid="{46D9D5AC-4C99-427B-A4EF-2048CBD72A04}"/>
    <hyperlink ref="B2" r:id="rId2" xr:uid="{34D405EE-5BCC-44B7-A61E-6CF49CFB1927}"/>
    <hyperlink ref="B35" r:id="rId3" xr:uid="{81E32920-BBE3-4D2A-8FAC-60AF30A51B70}"/>
    <hyperlink ref="B36" r:id="rId4" xr:uid="{C324E75C-8CF3-437D-96A3-739456DA9483}"/>
    <hyperlink ref="B17" r:id="rId5" xr:uid="{2EE89888-6EE6-4BB7-83A8-9A64C46DB058}"/>
    <hyperlink ref="B15" r:id="rId6" xr:uid="{B0C8E275-CFE8-4864-9B43-0AA296D4CEFD}"/>
    <hyperlink ref="B37" r:id="rId7" xr:uid="{B88F42B9-C640-4A0C-9B72-BD5E5C839DC6}"/>
    <hyperlink ref="B38" r:id="rId8" xr:uid="{09597E3E-BAA2-4F5A-B383-EF13B15E79FE}"/>
    <hyperlink ref="B10" r:id="rId9" xr:uid="{58C3CFE9-4AB5-46F1-ABE9-DB510B906381}"/>
    <hyperlink ref="B11" r:id="rId10" xr:uid="{56BE94D0-AC1D-4E90-A78D-0D94ABAE68B7}"/>
    <hyperlink ref="B8" r:id="rId11" xr:uid="{D0D4F497-7E44-41A1-AE5C-B8170FAD7C04}"/>
    <hyperlink ref="B20" r:id="rId12" xr:uid="{B6DADE5E-7069-4BE5-808E-685D7F3EA0DC}"/>
    <hyperlink ref="B6" r:id="rId13" xr:uid="{6016E7DD-ECCA-4712-AC97-D55B092F0DAC}"/>
    <hyperlink ref="B41" r:id="rId14" xr:uid="{D27ABC57-CA18-46E8-97D2-1C208553C2DE}"/>
    <hyperlink ref="B24" r:id="rId15" xr:uid="{C6AD7D9B-71CB-427E-BA2D-FC841D0F23E4}"/>
    <hyperlink ref="B9" r:id="rId16" xr:uid="{E5269EF0-8FD5-4743-A97C-B4C49B261741}"/>
    <hyperlink ref="B30" r:id="rId17" xr:uid="{5DB30DCB-DA42-40BF-A573-718AFBB3B4B1}"/>
    <hyperlink ref="B7" r:id="rId18" xr:uid="{FEFF306F-E1D4-40B4-85D6-20A92F1C7B47}"/>
    <hyperlink ref="B12" r:id="rId19" xr:uid="{5CD533B4-326F-4DBB-B968-17B23CDB4556}"/>
    <hyperlink ref="B13" r:id="rId20" xr:uid="{98406C6C-8002-4AE9-B3DC-AEAE1E3343F4}"/>
    <hyperlink ref="B14" r:id="rId21" xr:uid="{42693EE7-DBB3-47E5-808C-C2F06E1FDDA7}"/>
    <hyperlink ref="B19" r:id="rId22" xr:uid="{FDC6B6A4-481A-4C4A-ACC9-397FD771FA53}"/>
    <hyperlink ref="B18" r:id="rId23" xr:uid="{9179AB14-9227-43B5-966E-0B1E3BDFB2CB}"/>
    <hyperlink ref="B21" r:id="rId24" xr:uid="{459DFA95-16E3-4379-8163-1FE747330525}"/>
    <hyperlink ref="B22" r:id="rId25" xr:uid="{17692FBC-5FF2-4679-929A-79ED53E40129}"/>
    <hyperlink ref="C22" r:id="rId26" xr:uid="{2428FF72-3943-4C9D-A1E2-EAC4F0577E6D}"/>
    <hyperlink ref="B23" r:id="rId27" xr:uid="{6E83C5B3-0DAA-41D7-A4E2-37084000D8A8}"/>
    <hyperlink ref="B25" r:id="rId28" xr:uid="{0F2D4E93-386F-4815-88A6-8FF9959D22A7}"/>
    <hyperlink ref="B26" r:id="rId29" xr:uid="{16573D14-EA31-43E8-B46E-0D7F231C59D3}"/>
    <hyperlink ref="B27" r:id="rId30" xr:uid="{26E265D0-1B48-4E4B-BA85-B4A2BEB13E35}"/>
    <hyperlink ref="B28" r:id="rId31" xr:uid="{298C5638-B547-4C22-BCF5-8173BA4BF8E5}"/>
    <hyperlink ref="B29" r:id="rId32" xr:uid="{09F70299-BFE4-4171-A544-F0D90F6E2B48}"/>
    <hyperlink ref="B31" r:id="rId33" xr:uid="{0C72E99C-F837-4D84-A49C-87A01BA53E1C}"/>
    <hyperlink ref="B32" r:id="rId34" xr:uid="{7D80A6B1-F8E8-443C-8D9B-DBFAC50105CA}"/>
    <hyperlink ref="B33" r:id="rId35" xr:uid="{1ADAAD08-E5DC-4A82-A937-220090F0AF55}"/>
    <hyperlink ref="B34" r:id="rId36" xr:uid="{19C7A33D-B6BF-4820-A635-1A62C7A25585}"/>
    <hyperlink ref="B39" r:id="rId37" xr:uid="{D27B5E3F-A1AB-448A-A785-89D93691F63C}"/>
    <hyperlink ref="B40" r:id="rId38" xr:uid="{AC0D0FDF-781A-4AA5-9CDD-50144632C5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9"/>
  <sheetViews>
    <sheetView showGridLines="0" workbookViewId="0">
      <pane ySplit="1" topLeftCell="A9" activePane="bottomLeft" state="frozen"/>
      <selection pane="bottomLeft" activeCell="B51" sqref="B11:I51"/>
    </sheetView>
  </sheetViews>
  <sheetFormatPr defaultColWidth="9.140625" defaultRowHeight="21.75" customHeight="1"/>
  <cols>
    <col min="1" max="1" width="2.42578125" customWidth="1"/>
    <col min="2" max="2" width="15" customWidth="1"/>
    <col min="3" max="3" width="5.5703125" customWidth="1"/>
    <col min="4" max="8" width="5.85546875" customWidth="1"/>
    <col min="9" max="9" width="5.140625" customWidth="1"/>
    <col min="10" max="10" width="9.140625" customWidth="1"/>
    <col min="11" max="11" width="28" customWidth="1"/>
    <col min="12" max="12" width="10.5703125" customWidth="1"/>
    <col min="13" max="13" width="15.28515625" customWidth="1"/>
    <col min="14" max="14" width="9.140625" customWidth="1"/>
    <col min="15" max="15" width="25.85546875" customWidth="1"/>
    <col min="16" max="16" width="10.5703125" customWidth="1"/>
    <col min="17" max="17" width="15.28515625" customWidth="1"/>
    <col min="18" max="18" width="9.140625" customWidth="1"/>
    <col min="19" max="19" width="25.85546875" customWidth="1"/>
    <col min="20" max="20" width="10.5703125" customWidth="1"/>
    <col min="21" max="21" width="15.28515625" customWidth="1"/>
  </cols>
  <sheetData>
    <row r="1" spans="1:53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8.25" customHeight="1"/>
    <row r="8" spans="1:53" ht="39.75" customHeight="1">
      <c r="A8" s="263" t="s">
        <v>201</v>
      </c>
      <c r="B8" s="325"/>
      <c r="C8" s="325"/>
      <c r="D8" s="325"/>
      <c r="E8" s="325"/>
      <c r="F8" s="325"/>
      <c r="G8" s="325"/>
      <c r="H8" s="325"/>
      <c r="I8" s="325"/>
      <c r="J8" s="12"/>
      <c r="K8" s="13" t="s">
        <v>202</v>
      </c>
      <c r="L8" s="13" t="s">
        <v>203</v>
      </c>
      <c r="M8" s="13" t="s">
        <v>204</v>
      </c>
      <c r="N8" s="14"/>
      <c r="O8" s="13" t="s">
        <v>202</v>
      </c>
      <c r="P8" s="13" t="s">
        <v>203</v>
      </c>
      <c r="Q8" s="13" t="s">
        <v>204</v>
      </c>
      <c r="R8" s="14"/>
      <c r="S8" s="13" t="s">
        <v>202</v>
      </c>
      <c r="T8" s="13" t="s">
        <v>203</v>
      </c>
      <c r="U8" s="13" t="s">
        <v>204</v>
      </c>
    </row>
    <row r="9" spans="1:53" ht="18" customHeight="1">
      <c r="A9" s="262" t="s">
        <v>205</v>
      </c>
      <c r="B9" s="325"/>
      <c r="C9" s="325"/>
      <c r="D9" s="325"/>
      <c r="E9" s="325"/>
      <c r="F9" s="325"/>
      <c r="G9" s="325"/>
      <c r="H9" s="325"/>
      <c r="I9" s="325"/>
      <c r="J9" s="15"/>
      <c r="K9" s="264" t="s">
        <v>206</v>
      </c>
      <c r="L9" s="326"/>
      <c r="M9" s="326"/>
      <c r="N9" s="326"/>
      <c r="O9" s="326"/>
      <c r="P9" s="326"/>
      <c r="Q9" s="326"/>
      <c r="R9" s="326"/>
      <c r="S9" s="326"/>
      <c r="T9" s="326"/>
      <c r="U9" s="326"/>
    </row>
    <row r="10" spans="1:53" ht="27.75" customHeight="1">
      <c r="A10" s="16" t="s">
        <v>207</v>
      </c>
      <c r="B10" s="16" t="s">
        <v>3</v>
      </c>
      <c r="C10" s="16" t="s">
        <v>208</v>
      </c>
      <c r="D10" s="16" t="s">
        <v>209</v>
      </c>
      <c r="E10" s="16" t="s">
        <v>210</v>
      </c>
      <c r="F10" s="16" t="s">
        <v>211</v>
      </c>
      <c r="G10" s="16" t="s">
        <v>212</v>
      </c>
      <c r="H10" s="16" t="s">
        <v>213</v>
      </c>
      <c r="I10" s="16" t="s">
        <v>214</v>
      </c>
      <c r="J10" s="17"/>
      <c r="K10" s="18" t="s">
        <v>14</v>
      </c>
      <c r="L10" s="19" t="s">
        <v>215</v>
      </c>
      <c r="M10" s="20">
        <v>1736</v>
      </c>
      <c r="N10" s="17"/>
      <c r="O10" s="18" t="s">
        <v>71</v>
      </c>
      <c r="P10" s="19" t="s">
        <v>216</v>
      </c>
      <c r="Q10" s="20">
        <v>1223</v>
      </c>
      <c r="R10" s="17"/>
      <c r="S10" s="18" t="s">
        <v>122</v>
      </c>
      <c r="T10" s="19" t="s">
        <v>215</v>
      </c>
      <c r="U10" s="20">
        <v>1364</v>
      </c>
    </row>
    <row r="11" spans="1:53" ht="21.75" customHeight="1">
      <c r="A11" s="21" t="s">
        <v>217</v>
      </c>
      <c r="B11" s="22" t="s">
        <v>11</v>
      </c>
      <c r="C11" s="23" t="s">
        <v>140</v>
      </c>
      <c r="D11" s="23" t="s">
        <v>140</v>
      </c>
      <c r="E11" s="24">
        <v>1736</v>
      </c>
      <c r="F11" s="24">
        <v>2376</v>
      </c>
      <c r="G11" s="23" t="s">
        <v>140</v>
      </c>
      <c r="H11" s="23" t="s">
        <v>140</v>
      </c>
      <c r="I11" s="25"/>
      <c r="J11" s="17"/>
      <c r="K11" s="26" t="s">
        <v>14</v>
      </c>
      <c r="L11" s="27" t="s">
        <v>216</v>
      </c>
      <c r="M11" s="20">
        <v>2376</v>
      </c>
      <c r="N11" s="17"/>
      <c r="O11" s="26" t="s">
        <v>71</v>
      </c>
      <c r="P11" s="27" t="s">
        <v>218</v>
      </c>
      <c r="Q11" s="20">
        <v>870</v>
      </c>
      <c r="R11" s="17"/>
      <c r="S11" s="26" t="s">
        <v>122</v>
      </c>
      <c r="T11" s="27" t="s">
        <v>216</v>
      </c>
      <c r="U11" s="20">
        <v>1577.5</v>
      </c>
    </row>
    <row r="12" spans="1:53" ht="21.75" customHeight="1">
      <c r="A12" s="21" t="s">
        <v>219</v>
      </c>
      <c r="B12" s="28" t="s">
        <v>141</v>
      </c>
      <c r="C12" s="29" t="s">
        <v>140</v>
      </c>
      <c r="D12" s="29" t="s">
        <v>140</v>
      </c>
      <c r="E12" s="24">
        <v>1020</v>
      </c>
      <c r="F12" s="24">
        <v>1150</v>
      </c>
      <c r="G12" s="29" t="s">
        <v>140</v>
      </c>
      <c r="H12" s="29" t="s">
        <v>140</v>
      </c>
      <c r="I12" s="30"/>
      <c r="J12" s="17"/>
      <c r="K12" s="18" t="s">
        <v>20</v>
      </c>
      <c r="L12" s="19" t="s">
        <v>215</v>
      </c>
      <c r="M12" s="20">
        <v>1020</v>
      </c>
      <c r="N12" s="17"/>
      <c r="O12" s="26" t="s">
        <v>74</v>
      </c>
      <c r="P12" s="27" t="s">
        <v>215</v>
      </c>
      <c r="Q12" s="20">
        <v>894</v>
      </c>
      <c r="R12" s="17"/>
      <c r="S12" s="18" t="s">
        <v>122</v>
      </c>
      <c r="T12" s="19" t="s">
        <v>218</v>
      </c>
      <c r="U12" s="20">
        <v>1731</v>
      </c>
    </row>
    <row r="13" spans="1:53" ht="21.75" customHeight="1">
      <c r="A13" s="21" t="s">
        <v>220</v>
      </c>
      <c r="B13" s="22" t="s">
        <v>143</v>
      </c>
      <c r="C13" s="23" t="s">
        <v>140</v>
      </c>
      <c r="D13" s="24">
        <v>1470</v>
      </c>
      <c r="E13" s="24">
        <v>1800</v>
      </c>
      <c r="F13" s="24">
        <v>2320</v>
      </c>
      <c r="G13" s="23" t="s">
        <v>140</v>
      </c>
      <c r="H13" s="23" t="s">
        <v>140</v>
      </c>
      <c r="I13" s="25"/>
      <c r="J13" s="17"/>
      <c r="K13" s="26" t="s">
        <v>20</v>
      </c>
      <c r="L13" s="27" t="s">
        <v>216</v>
      </c>
      <c r="M13" s="20">
        <v>1150</v>
      </c>
      <c r="N13" s="17"/>
      <c r="O13" s="18" t="s">
        <v>74</v>
      </c>
      <c r="P13" s="19" t="s">
        <v>216</v>
      </c>
      <c r="Q13" s="20">
        <v>982</v>
      </c>
      <c r="R13" s="17"/>
      <c r="S13" s="18" t="s">
        <v>124</v>
      </c>
      <c r="T13" s="19" t="s">
        <v>221</v>
      </c>
      <c r="U13" s="20">
        <v>723.88</v>
      </c>
    </row>
    <row r="14" spans="1:53" ht="21.75" customHeight="1">
      <c r="A14" s="21" t="s">
        <v>222</v>
      </c>
      <c r="B14" s="28" t="s">
        <v>144</v>
      </c>
      <c r="C14" s="29" t="s">
        <v>140</v>
      </c>
      <c r="D14" s="29" t="s">
        <v>140</v>
      </c>
      <c r="E14" s="24">
        <v>1451</v>
      </c>
      <c r="F14" s="24">
        <v>1613</v>
      </c>
      <c r="G14" s="29" t="s">
        <v>140</v>
      </c>
      <c r="H14" s="29" t="s">
        <v>140</v>
      </c>
      <c r="I14" s="30"/>
      <c r="J14" s="17"/>
      <c r="K14" s="31" t="s">
        <v>223</v>
      </c>
      <c r="L14" s="32" t="s">
        <v>221</v>
      </c>
      <c r="M14" s="20">
        <v>1470</v>
      </c>
      <c r="N14" s="17"/>
      <c r="O14" s="26" t="s">
        <v>74</v>
      </c>
      <c r="P14" s="27" t="s">
        <v>218</v>
      </c>
      <c r="Q14" s="20">
        <v>1045</v>
      </c>
      <c r="R14" s="17"/>
      <c r="S14" s="26" t="s">
        <v>124</v>
      </c>
      <c r="T14" s="27" t="s">
        <v>215</v>
      </c>
      <c r="U14" s="20">
        <v>855.17</v>
      </c>
    </row>
    <row r="15" spans="1:53" ht="21.75" customHeight="1">
      <c r="A15" s="21" t="s">
        <v>224</v>
      </c>
      <c r="B15" s="22" t="s">
        <v>28</v>
      </c>
      <c r="C15" s="23" t="s">
        <v>140</v>
      </c>
      <c r="D15" s="24">
        <v>1375</v>
      </c>
      <c r="E15" s="24">
        <v>1552</v>
      </c>
      <c r="F15" s="23" t="s">
        <v>140</v>
      </c>
      <c r="G15" s="23" t="s">
        <v>140</v>
      </c>
      <c r="H15" s="23" t="s">
        <v>140</v>
      </c>
      <c r="I15" s="25"/>
      <c r="J15" s="17"/>
      <c r="K15" s="33" t="s">
        <v>225</v>
      </c>
      <c r="L15" s="34" t="s">
        <v>215</v>
      </c>
      <c r="M15" s="20">
        <v>1800</v>
      </c>
      <c r="N15" s="17"/>
      <c r="O15" s="18" t="s">
        <v>80</v>
      </c>
      <c r="P15" s="19" t="s">
        <v>216</v>
      </c>
      <c r="Q15" s="20">
        <v>1401</v>
      </c>
      <c r="R15" s="17"/>
      <c r="S15" s="18" t="s">
        <v>127</v>
      </c>
      <c r="T15" s="19" t="s">
        <v>215</v>
      </c>
      <c r="U15" s="20">
        <v>1308</v>
      </c>
    </row>
    <row r="16" spans="1:53" ht="21.75" customHeight="1">
      <c r="A16" s="21" t="s">
        <v>226</v>
      </c>
      <c r="B16" s="28" t="s">
        <v>146</v>
      </c>
      <c r="C16" s="29" t="s">
        <v>140</v>
      </c>
      <c r="D16" s="29" t="s">
        <v>140</v>
      </c>
      <c r="E16" s="24">
        <v>935</v>
      </c>
      <c r="F16" s="24">
        <v>1073</v>
      </c>
      <c r="G16" s="24">
        <v>1147</v>
      </c>
      <c r="H16" s="35"/>
      <c r="I16" s="30"/>
      <c r="J16" s="17"/>
      <c r="K16" s="31" t="s">
        <v>227</v>
      </c>
      <c r="L16" s="32" t="s">
        <v>216</v>
      </c>
      <c r="M16" s="20">
        <v>2320</v>
      </c>
      <c r="N16" s="17"/>
      <c r="O16" s="26" t="s">
        <v>80</v>
      </c>
      <c r="P16" s="27" t="s">
        <v>218</v>
      </c>
      <c r="Q16" s="20">
        <v>1563</v>
      </c>
      <c r="R16" s="17"/>
      <c r="S16" s="26" t="s">
        <v>127</v>
      </c>
      <c r="T16" s="27" t="s">
        <v>216</v>
      </c>
      <c r="U16" s="20">
        <v>1526.47</v>
      </c>
    </row>
    <row r="17" spans="1:21" ht="21.75" customHeight="1">
      <c r="A17" s="21" t="s">
        <v>228</v>
      </c>
      <c r="B17" s="22" t="s">
        <v>36</v>
      </c>
      <c r="C17" s="23" t="s">
        <v>140</v>
      </c>
      <c r="D17" s="24">
        <v>1074</v>
      </c>
      <c r="E17" s="24">
        <v>1166</v>
      </c>
      <c r="F17" s="24">
        <v>1290</v>
      </c>
      <c r="G17" s="24">
        <v>1433</v>
      </c>
      <c r="H17" s="23" t="s">
        <v>140</v>
      </c>
      <c r="I17" s="25"/>
      <c r="J17" s="17"/>
      <c r="K17" s="33" t="s">
        <v>27</v>
      </c>
      <c r="L17" s="34" t="s">
        <v>215</v>
      </c>
      <c r="M17" s="20">
        <v>1451</v>
      </c>
      <c r="N17" s="17"/>
      <c r="O17" s="26" t="s">
        <v>83</v>
      </c>
      <c r="P17" s="27" t="s">
        <v>221</v>
      </c>
      <c r="Q17" s="20">
        <v>914</v>
      </c>
      <c r="R17" s="17"/>
      <c r="S17" s="18" t="s">
        <v>129</v>
      </c>
      <c r="T17" s="19" t="s">
        <v>215</v>
      </c>
      <c r="U17" s="20">
        <v>1140</v>
      </c>
    </row>
    <row r="18" spans="1:21" ht="21.75" customHeight="1">
      <c r="A18" s="21" t="s">
        <v>229</v>
      </c>
      <c r="B18" s="36" t="s">
        <v>42</v>
      </c>
      <c r="C18" s="37" t="s">
        <v>140</v>
      </c>
      <c r="D18" s="37" t="s">
        <v>140</v>
      </c>
      <c r="E18" s="24">
        <v>1346</v>
      </c>
      <c r="F18" s="24">
        <v>1465</v>
      </c>
      <c r="G18" s="37" t="s">
        <v>140</v>
      </c>
      <c r="H18" s="37" t="s">
        <v>140</v>
      </c>
      <c r="I18" s="38"/>
      <c r="J18" s="17"/>
      <c r="K18" s="31" t="s">
        <v>27</v>
      </c>
      <c r="L18" s="32" t="s">
        <v>216</v>
      </c>
      <c r="M18" s="20">
        <v>1613</v>
      </c>
      <c r="N18" s="17"/>
      <c r="O18" s="18" t="s">
        <v>83</v>
      </c>
      <c r="P18" s="19" t="s">
        <v>215</v>
      </c>
      <c r="Q18" s="20">
        <v>1058</v>
      </c>
      <c r="R18" s="17"/>
      <c r="S18" s="26" t="s">
        <v>129</v>
      </c>
      <c r="T18" s="27" t="s">
        <v>216</v>
      </c>
      <c r="U18" s="20">
        <v>1317</v>
      </c>
    </row>
    <row r="19" spans="1:21" ht="21.75" customHeight="1">
      <c r="A19" s="21" t="s">
        <v>230</v>
      </c>
      <c r="B19" s="28" t="s">
        <v>44</v>
      </c>
      <c r="C19" s="29" t="s">
        <v>140</v>
      </c>
      <c r="D19" s="35"/>
      <c r="E19" s="24">
        <v>1400</v>
      </c>
      <c r="F19" s="29" t="s">
        <v>140</v>
      </c>
      <c r="G19" s="29" t="s">
        <v>140</v>
      </c>
      <c r="H19" s="29" t="s">
        <v>140</v>
      </c>
      <c r="I19" s="30"/>
      <c r="J19" s="17"/>
      <c r="K19" s="33" t="s">
        <v>30</v>
      </c>
      <c r="L19" s="34" t="s">
        <v>221</v>
      </c>
      <c r="M19" s="20">
        <v>1375</v>
      </c>
      <c r="N19" s="17"/>
      <c r="O19" s="26" t="s">
        <v>83</v>
      </c>
      <c r="P19" s="27" t="s">
        <v>216</v>
      </c>
      <c r="Q19" s="20">
        <v>1204</v>
      </c>
      <c r="R19" s="17"/>
      <c r="S19" s="18" t="s">
        <v>129</v>
      </c>
      <c r="T19" s="19" t="s">
        <v>218</v>
      </c>
      <c r="U19" s="20">
        <v>1470</v>
      </c>
    </row>
    <row r="20" spans="1:21" ht="21.75" customHeight="1">
      <c r="A20" s="21" t="s">
        <v>231</v>
      </c>
      <c r="B20" s="22" t="s">
        <v>151</v>
      </c>
      <c r="C20" s="23" t="s">
        <v>140</v>
      </c>
      <c r="D20" s="23" t="s">
        <v>140</v>
      </c>
      <c r="E20" s="24">
        <v>964</v>
      </c>
      <c r="F20" s="23" t="s">
        <v>140</v>
      </c>
      <c r="G20" s="24">
        <v>1221</v>
      </c>
      <c r="H20" s="23" t="s">
        <v>140</v>
      </c>
      <c r="I20" s="25"/>
      <c r="J20" s="17"/>
      <c r="K20" s="26" t="s">
        <v>30</v>
      </c>
      <c r="L20" s="27" t="s">
        <v>215</v>
      </c>
      <c r="M20" s="20">
        <v>1552</v>
      </c>
      <c r="N20" s="17"/>
      <c r="O20" s="26" t="s">
        <v>86</v>
      </c>
      <c r="P20" s="27" t="s">
        <v>221</v>
      </c>
      <c r="Q20" s="20">
        <v>777</v>
      </c>
      <c r="R20" s="17"/>
      <c r="S20" s="26" t="s">
        <v>129</v>
      </c>
      <c r="T20" s="27" t="s">
        <v>232</v>
      </c>
      <c r="U20" s="20">
        <v>1784</v>
      </c>
    </row>
    <row r="21" spans="1:21" ht="21.75" customHeight="1">
      <c r="A21" s="21" t="s">
        <v>233</v>
      </c>
      <c r="B21" s="28" t="s">
        <v>153</v>
      </c>
      <c r="C21" s="29" t="s">
        <v>140</v>
      </c>
      <c r="D21" s="29" t="s">
        <v>140</v>
      </c>
      <c r="E21" s="24">
        <v>964</v>
      </c>
      <c r="F21" s="29" t="s">
        <v>140</v>
      </c>
      <c r="G21" s="24">
        <v>1221</v>
      </c>
      <c r="H21" s="29" t="s">
        <v>140</v>
      </c>
      <c r="I21" s="30"/>
      <c r="J21" s="17"/>
      <c r="K21" s="18" t="s">
        <v>34</v>
      </c>
      <c r="L21" s="19" t="s">
        <v>215</v>
      </c>
      <c r="M21" s="20">
        <v>935</v>
      </c>
      <c r="N21" s="17"/>
      <c r="O21" s="18" t="s">
        <v>86</v>
      </c>
      <c r="P21" s="19" t="s">
        <v>215</v>
      </c>
      <c r="Q21" s="20">
        <v>885</v>
      </c>
      <c r="R21" s="17"/>
      <c r="S21" s="26" t="s">
        <v>132</v>
      </c>
      <c r="T21" s="27" t="s">
        <v>221</v>
      </c>
      <c r="U21" s="20">
        <v>970</v>
      </c>
    </row>
    <row r="22" spans="1:21" ht="21.75" customHeight="1">
      <c r="A22" s="21" t="s">
        <v>234</v>
      </c>
      <c r="B22" s="22" t="s">
        <v>55</v>
      </c>
      <c r="C22" s="23" t="s">
        <v>140</v>
      </c>
      <c r="D22" s="24">
        <v>1198</v>
      </c>
      <c r="E22" s="24">
        <v>1430</v>
      </c>
      <c r="F22" s="24">
        <v>1656</v>
      </c>
      <c r="G22" s="23" t="s">
        <v>140</v>
      </c>
      <c r="H22" s="23" t="s">
        <v>140</v>
      </c>
      <c r="I22" s="25"/>
      <c r="J22" s="17"/>
      <c r="K22" s="26" t="s">
        <v>34</v>
      </c>
      <c r="L22" s="27" t="s">
        <v>216</v>
      </c>
      <c r="M22" s="20">
        <v>1073</v>
      </c>
      <c r="N22" s="17"/>
      <c r="O22" s="26" t="s">
        <v>86</v>
      </c>
      <c r="P22" s="27" t="s">
        <v>218</v>
      </c>
      <c r="Q22" s="20">
        <v>1140</v>
      </c>
      <c r="R22" s="17"/>
      <c r="S22" s="18" t="s">
        <v>132</v>
      </c>
      <c r="T22" s="19" t="s">
        <v>215</v>
      </c>
      <c r="U22" s="20">
        <v>1185</v>
      </c>
    </row>
    <row r="23" spans="1:21" ht="21.75" customHeight="1">
      <c r="A23" s="21" t="s">
        <v>235</v>
      </c>
      <c r="B23" s="28" t="s">
        <v>156</v>
      </c>
      <c r="C23" s="29" t="s">
        <v>140</v>
      </c>
      <c r="D23" s="24">
        <v>1210</v>
      </c>
      <c r="E23" s="24">
        <v>1450</v>
      </c>
      <c r="F23" s="24">
        <v>1700</v>
      </c>
      <c r="G23" s="29" t="s">
        <v>140</v>
      </c>
      <c r="H23" s="29" t="s">
        <v>140</v>
      </c>
      <c r="I23" s="30"/>
      <c r="J23" s="17"/>
      <c r="K23" s="18" t="s">
        <v>34</v>
      </c>
      <c r="L23" s="19" t="s">
        <v>218</v>
      </c>
      <c r="M23" s="20">
        <v>1147</v>
      </c>
      <c r="N23" s="17"/>
      <c r="O23" s="26" t="s">
        <v>90</v>
      </c>
      <c r="P23" s="27" t="s">
        <v>215</v>
      </c>
      <c r="Q23" s="20">
        <v>575</v>
      </c>
      <c r="R23" s="17"/>
      <c r="S23" s="26" t="s">
        <v>132</v>
      </c>
      <c r="T23" s="27" t="s">
        <v>216</v>
      </c>
      <c r="U23" s="20">
        <v>1400</v>
      </c>
    </row>
    <row r="24" spans="1:21" ht="21.75" customHeight="1">
      <c r="A24" s="21" t="s">
        <v>236</v>
      </c>
      <c r="B24" s="22" t="s">
        <v>59</v>
      </c>
      <c r="C24" s="23" t="s">
        <v>140</v>
      </c>
      <c r="D24" s="23" t="s">
        <v>140</v>
      </c>
      <c r="E24" s="24">
        <v>1402</v>
      </c>
      <c r="F24" s="24">
        <v>1679</v>
      </c>
      <c r="G24" s="23" t="s">
        <v>140</v>
      </c>
      <c r="H24" s="23" t="s">
        <v>140</v>
      </c>
      <c r="I24" s="25"/>
      <c r="J24" s="17"/>
      <c r="K24" s="26" t="s">
        <v>38</v>
      </c>
      <c r="L24" s="27" t="s">
        <v>221</v>
      </c>
      <c r="M24" s="20">
        <v>1074</v>
      </c>
      <c r="N24" s="17"/>
      <c r="O24" s="18" t="s">
        <v>90</v>
      </c>
      <c r="P24" s="19" t="s">
        <v>216</v>
      </c>
      <c r="Q24" s="20">
        <v>655</v>
      </c>
      <c r="R24" s="17"/>
      <c r="S24" s="18" t="s">
        <v>132</v>
      </c>
      <c r="T24" s="19" t="s">
        <v>218</v>
      </c>
      <c r="U24" s="20">
        <v>1695</v>
      </c>
    </row>
    <row r="25" spans="1:21" ht="21.75" customHeight="1">
      <c r="A25" s="21" t="s">
        <v>237</v>
      </c>
      <c r="B25" s="28" t="s">
        <v>238</v>
      </c>
      <c r="C25" s="29" t="s">
        <v>140</v>
      </c>
      <c r="D25" s="24">
        <v>1221</v>
      </c>
      <c r="E25" s="24">
        <v>1563</v>
      </c>
      <c r="F25" s="24">
        <v>1820</v>
      </c>
      <c r="G25" s="24">
        <v>2128</v>
      </c>
      <c r="H25" s="29" t="s">
        <v>140</v>
      </c>
      <c r="I25" s="30"/>
      <c r="J25" s="17"/>
      <c r="K25" s="18" t="s">
        <v>38</v>
      </c>
      <c r="L25" s="19" t="s">
        <v>215</v>
      </c>
      <c r="M25" s="20">
        <v>1166</v>
      </c>
      <c r="N25" s="17"/>
      <c r="O25" s="26" t="s">
        <v>90</v>
      </c>
      <c r="P25" s="27" t="s">
        <v>218</v>
      </c>
      <c r="Q25" s="20">
        <v>695</v>
      </c>
      <c r="R25" s="17"/>
      <c r="S25" s="26" t="s">
        <v>132</v>
      </c>
      <c r="T25" s="27" t="s">
        <v>232</v>
      </c>
      <c r="U25" s="20">
        <v>970</v>
      </c>
    </row>
    <row r="26" spans="1:21" ht="21.75" customHeight="1">
      <c r="A26" s="21" t="s">
        <v>239</v>
      </c>
      <c r="B26" s="22" t="s">
        <v>240</v>
      </c>
      <c r="C26" s="23" t="s">
        <v>140</v>
      </c>
      <c r="D26" s="24">
        <v>1000</v>
      </c>
      <c r="E26" s="24">
        <v>1150</v>
      </c>
      <c r="F26" s="24">
        <v>1300</v>
      </c>
      <c r="G26" s="23" t="s">
        <v>140</v>
      </c>
      <c r="H26" s="23" t="s">
        <v>140</v>
      </c>
      <c r="I26" s="25"/>
      <c r="J26" s="17"/>
      <c r="K26" s="26" t="s">
        <v>38</v>
      </c>
      <c r="L26" s="27" t="s">
        <v>216</v>
      </c>
      <c r="M26" s="20">
        <v>1290</v>
      </c>
      <c r="N26" s="17"/>
      <c r="O26" s="18" t="s">
        <v>93</v>
      </c>
      <c r="P26" s="19" t="s">
        <v>216</v>
      </c>
      <c r="Q26" s="20">
        <v>1053</v>
      </c>
      <c r="R26" s="17"/>
      <c r="S26" s="18" t="s">
        <v>135</v>
      </c>
      <c r="T26" s="19" t="s">
        <v>221</v>
      </c>
      <c r="U26" s="20">
        <v>946</v>
      </c>
    </row>
    <row r="27" spans="1:21" ht="21.75" customHeight="1">
      <c r="A27" s="21" t="s">
        <v>241</v>
      </c>
      <c r="B27" s="28" t="s">
        <v>162</v>
      </c>
      <c r="C27" s="29" t="s">
        <v>140</v>
      </c>
      <c r="D27" s="29" t="s">
        <v>140</v>
      </c>
      <c r="E27" s="35"/>
      <c r="F27" s="24">
        <v>1223</v>
      </c>
      <c r="G27" s="24">
        <v>870</v>
      </c>
      <c r="H27" s="29" t="s">
        <v>140</v>
      </c>
      <c r="I27" s="30"/>
      <c r="J27" s="17"/>
      <c r="K27" s="18" t="s">
        <v>38</v>
      </c>
      <c r="L27" s="19" t="s">
        <v>218</v>
      </c>
      <c r="M27" s="20">
        <v>1433</v>
      </c>
      <c r="N27" s="17"/>
      <c r="O27" s="26" t="s">
        <v>93</v>
      </c>
      <c r="P27" s="27" t="s">
        <v>218</v>
      </c>
      <c r="Q27" s="20">
        <v>1152</v>
      </c>
      <c r="R27" s="17"/>
      <c r="S27" s="26" t="s">
        <v>135</v>
      </c>
      <c r="T27" s="27" t="s">
        <v>215</v>
      </c>
      <c r="U27" s="20">
        <v>1054</v>
      </c>
    </row>
    <row r="28" spans="1:21" ht="21.75" customHeight="1">
      <c r="A28" s="21" t="s">
        <v>242</v>
      </c>
      <c r="B28" s="22" t="s">
        <v>164</v>
      </c>
      <c r="C28" s="23" t="s">
        <v>140</v>
      </c>
      <c r="D28" s="23" t="s">
        <v>140</v>
      </c>
      <c r="E28" s="24">
        <v>894</v>
      </c>
      <c r="F28" s="24">
        <v>982</v>
      </c>
      <c r="G28" s="24">
        <v>1045</v>
      </c>
      <c r="H28" s="23" t="s">
        <v>140</v>
      </c>
      <c r="I28" s="25"/>
      <c r="J28" s="17"/>
      <c r="K28" s="18" t="s">
        <v>43</v>
      </c>
      <c r="L28" s="19" t="s">
        <v>215</v>
      </c>
      <c r="M28" s="20">
        <v>1346</v>
      </c>
      <c r="N28" s="17"/>
      <c r="O28" s="18" t="s">
        <v>96</v>
      </c>
      <c r="P28" s="19" t="s">
        <v>215</v>
      </c>
      <c r="Q28" s="20">
        <v>1154</v>
      </c>
      <c r="R28" s="17"/>
      <c r="S28" s="18" t="s">
        <v>135</v>
      </c>
      <c r="T28" s="19" t="s">
        <v>216</v>
      </c>
      <c r="U28" s="20">
        <v>1328</v>
      </c>
    </row>
    <row r="29" spans="1:21" ht="21.75" customHeight="1">
      <c r="A29" s="21" t="s">
        <v>243</v>
      </c>
      <c r="B29" s="261" t="s">
        <v>244</v>
      </c>
      <c r="C29" s="327"/>
      <c r="D29" s="327"/>
      <c r="E29" s="327"/>
      <c r="F29" s="327"/>
      <c r="G29" s="327"/>
      <c r="H29" s="327"/>
      <c r="I29" s="328"/>
      <c r="J29" s="17"/>
      <c r="K29" s="26" t="s">
        <v>43</v>
      </c>
      <c r="L29" s="27" t="s">
        <v>216</v>
      </c>
      <c r="M29" s="20">
        <v>1465</v>
      </c>
      <c r="N29" s="17"/>
      <c r="O29" s="26" t="s">
        <v>96</v>
      </c>
      <c r="P29" s="27" t="s">
        <v>216</v>
      </c>
      <c r="Q29" s="20">
        <v>1484</v>
      </c>
      <c r="R29" s="17"/>
      <c r="S29" s="26" t="s">
        <v>135</v>
      </c>
      <c r="T29" s="27" t="s">
        <v>218</v>
      </c>
      <c r="U29" s="20">
        <v>1425</v>
      </c>
    </row>
    <row r="30" spans="1:21" ht="21.75" customHeight="1">
      <c r="A30" s="21" t="s">
        <v>245</v>
      </c>
      <c r="B30" s="22" t="s">
        <v>166</v>
      </c>
      <c r="C30" s="23" t="s">
        <v>140</v>
      </c>
      <c r="D30" s="23" t="s">
        <v>140</v>
      </c>
      <c r="E30" s="35"/>
      <c r="F30" s="24">
        <v>1401</v>
      </c>
      <c r="G30" s="24">
        <v>1563</v>
      </c>
      <c r="H30" s="23" t="s">
        <v>140</v>
      </c>
      <c r="I30" s="25"/>
      <c r="J30" s="17"/>
      <c r="K30" s="39" t="s">
        <v>46</v>
      </c>
      <c r="L30" s="40" t="s">
        <v>215</v>
      </c>
      <c r="M30" s="20">
        <v>1400</v>
      </c>
      <c r="N30" s="17"/>
      <c r="O30" s="18" t="s">
        <v>98</v>
      </c>
      <c r="P30" s="19" t="s">
        <v>221</v>
      </c>
      <c r="Q30" s="20">
        <v>874</v>
      </c>
      <c r="R30" s="17"/>
      <c r="S30" s="18" t="s">
        <v>135</v>
      </c>
      <c r="T30" s="19" t="s">
        <v>221</v>
      </c>
      <c r="U30" s="20">
        <v>946</v>
      </c>
    </row>
    <row r="31" spans="1:21" ht="21.75" customHeight="1">
      <c r="A31" s="21" t="s">
        <v>246</v>
      </c>
      <c r="B31" s="28" t="s">
        <v>81</v>
      </c>
      <c r="C31" s="29" t="s">
        <v>140</v>
      </c>
      <c r="D31" s="24">
        <v>914</v>
      </c>
      <c r="E31" s="24">
        <v>1058</v>
      </c>
      <c r="F31" s="24">
        <v>1204</v>
      </c>
      <c r="G31" s="29" t="s">
        <v>140</v>
      </c>
      <c r="H31" s="29" t="s">
        <v>140</v>
      </c>
      <c r="I31" s="30"/>
      <c r="J31" s="17"/>
      <c r="K31" s="39" t="s">
        <v>46</v>
      </c>
      <c r="L31" s="40" t="s">
        <v>216</v>
      </c>
      <c r="M31" s="20">
        <v>1600</v>
      </c>
      <c r="N31" s="17"/>
      <c r="O31" s="26" t="s">
        <v>98</v>
      </c>
      <c r="P31" s="27" t="s">
        <v>215</v>
      </c>
      <c r="Q31" s="20">
        <v>1039</v>
      </c>
      <c r="R31" s="17"/>
      <c r="S31" s="26" t="s">
        <v>135</v>
      </c>
      <c r="T31" s="27" t="s">
        <v>215</v>
      </c>
      <c r="U31" s="20">
        <v>1054</v>
      </c>
    </row>
    <row r="32" spans="1:21" ht="21.75" customHeight="1">
      <c r="A32" s="21" t="s">
        <v>247</v>
      </c>
      <c r="B32" s="22" t="s">
        <v>169</v>
      </c>
      <c r="C32" s="23" t="s">
        <v>140</v>
      </c>
      <c r="D32" s="24">
        <v>777</v>
      </c>
      <c r="E32" s="24">
        <v>885</v>
      </c>
      <c r="F32" s="23" t="s">
        <v>140</v>
      </c>
      <c r="G32" s="24">
        <v>1140</v>
      </c>
      <c r="H32" s="23" t="s">
        <v>140</v>
      </c>
      <c r="I32" s="25"/>
      <c r="J32" s="17"/>
      <c r="K32" s="39" t="s">
        <v>46</v>
      </c>
      <c r="L32" s="40" t="s">
        <v>218</v>
      </c>
      <c r="M32" s="20">
        <v>1700</v>
      </c>
      <c r="N32" s="17"/>
      <c r="O32" s="18" t="s">
        <v>98</v>
      </c>
      <c r="P32" s="19" t="s">
        <v>216</v>
      </c>
      <c r="Q32" s="20">
        <v>1194</v>
      </c>
      <c r="R32" s="17"/>
      <c r="S32" s="18" t="s">
        <v>135</v>
      </c>
      <c r="T32" s="19" t="s">
        <v>216</v>
      </c>
      <c r="U32" s="20">
        <v>1328</v>
      </c>
    </row>
    <row r="33" spans="1:21" ht="21.75" customHeight="1">
      <c r="A33" s="21" t="s">
        <v>248</v>
      </c>
      <c r="B33" s="28" t="s">
        <v>88</v>
      </c>
      <c r="C33" s="29" t="s">
        <v>140</v>
      </c>
      <c r="D33" s="29" t="s">
        <v>140</v>
      </c>
      <c r="E33" s="24">
        <v>575</v>
      </c>
      <c r="F33" s="24">
        <v>655</v>
      </c>
      <c r="G33" s="24">
        <v>695</v>
      </c>
      <c r="H33" s="29" t="s">
        <v>140</v>
      </c>
      <c r="I33" s="30"/>
      <c r="J33" s="17"/>
      <c r="K33" s="26" t="s">
        <v>50</v>
      </c>
      <c r="L33" s="27" t="s">
        <v>215</v>
      </c>
      <c r="M33" s="20">
        <v>964</v>
      </c>
      <c r="N33" s="17"/>
      <c r="O33" s="26" t="s">
        <v>98</v>
      </c>
      <c r="P33" s="27" t="s">
        <v>218</v>
      </c>
      <c r="Q33" s="20">
        <v>1321</v>
      </c>
      <c r="R33" s="17"/>
      <c r="S33" s="26" t="s">
        <v>249</v>
      </c>
      <c r="T33" s="27" t="s">
        <v>215</v>
      </c>
      <c r="U33" s="20">
        <v>1388</v>
      </c>
    </row>
    <row r="34" spans="1:21" ht="21.75" customHeight="1">
      <c r="A34" s="21" t="s">
        <v>250</v>
      </c>
      <c r="B34" s="22" t="s">
        <v>173</v>
      </c>
      <c r="C34" s="23" t="s">
        <v>140</v>
      </c>
      <c r="D34" s="23" t="s">
        <v>140</v>
      </c>
      <c r="E34" s="23" t="s">
        <v>140</v>
      </c>
      <c r="F34" s="24">
        <v>1053</v>
      </c>
      <c r="G34" s="24">
        <v>1152</v>
      </c>
      <c r="H34" s="23" t="s">
        <v>140</v>
      </c>
      <c r="I34" s="25"/>
      <c r="J34" s="17"/>
      <c r="K34" s="18" t="s">
        <v>50</v>
      </c>
      <c r="L34" s="19" t="s">
        <v>218</v>
      </c>
      <c r="M34" s="20">
        <v>1221</v>
      </c>
      <c r="N34" s="17"/>
      <c r="O34" s="26" t="s">
        <v>100</v>
      </c>
      <c r="P34" s="27" t="s">
        <v>221</v>
      </c>
      <c r="Q34" s="20">
        <v>874</v>
      </c>
      <c r="R34" s="17"/>
      <c r="S34" s="18" t="s">
        <v>249</v>
      </c>
      <c r="T34" s="19" t="s">
        <v>216</v>
      </c>
      <c r="U34" s="20">
        <v>1592</v>
      </c>
    </row>
    <row r="35" spans="1:21" ht="21.75" customHeight="1">
      <c r="A35" s="21" t="s">
        <v>251</v>
      </c>
      <c r="B35" s="28" t="s">
        <v>175</v>
      </c>
      <c r="C35" s="29" t="s">
        <v>140</v>
      </c>
      <c r="D35" s="29" t="s">
        <v>140</v>
      </c>
      <c r="E35" s="24">
        <v>1154</v>
      </c>
      <c r="F35" s="24">
        <v>1484</v>
      </c>
      <c r="G35" s="29" t="s">
        <v>140</v>
      </c>
      <c r="H35" s="29" t="s">
        <v>140</v>
      </c>
      <c r="I35" s="30"/>
      <c r="J35" s="17"/>
      <c r="K35" s="26" t="s">
        <v>54</v>
      </c>
      <c r="L35" s="27" t="s">
        <v>215</v>
      </c>
      <c r="M35" s="20">
        <v>964</v>
      </c>
      <c r="N35" s="17"/>
      <c r="O35" s="18" t="s">
        <v>100</v>
      </c>
      <c r="P35" s="19" t="s">
        <v>215</v>
      </c>
      <c r="R35" s="41"/>
    </row>
    <row r="36" spans="1:21" ht="21.75" customHeight="1">
      <c r="A36" s="21" t="s">
        <v>252</v>
      </c>
      <c r="B36" s="22" t="s">
        <v>97</v>
      </c>
      <c r="C36" s="23" t="s">
        <v>140</v>
      </c>
      <c r="D36" s="24">
        <v>874</v>
      </c>
      <c r="E36" s="24">
        <v>1039</v>
      </c>
      <c r="F36" s="24">
        <v>1194</v>
      </c>
      <c r="G36" s="24">
        <v>1321</v>
      </c>
      <c r="H36" s="23" t="s">
        <v>140</v>
      </c>
      <c r="I36" s="25"/>
      <c r="J36" s="17"/>
      <c r="K36" s="18" t="s">
        <v>54</v>
      </c>
      <c r="L36" s="19" t="s">
        <v>218</v>
      </c>
      <c r="M36" s="20">
        <v>1221</v>
      </c>
      <c r="N36" s="17"/>
      <c r="O36" s="26" t="s">
        <v>100</v>
      </c>
      <c r="P36" s="27" t="s">
        <v>216</v>
      </c>
      <c r="R36" s="41"/>
    </row>
    <row r="37" spans="1:21" ht="21.75" customHeight="1">
      <c r="A37" s="21" t="s">
        <v>253</v>
      </c>
      <c r="B37" s="28" t="s">
        <v>99</v>
      </c>
      <c r="C37" s="29" t="s">
        <v>140</v>
      </c>
      <c r="D37" s="24">
        <v>874</v>
      </c>
      <c r="E37" s="24">
        <v>1039</v>
      </c>
      <c r="F37" s="24">
        <v>1194</v>
      </c>
      <c r="G37" s="24">
        <v>1321</v>
      </c>
      <c r="H37" s="29" t="s">
        <v>140</v>
      </c>
      <c r="I37" s="30"/>
      <c r="J37" s="17"/>
      <c r="K37" s="18" t="s">
        <v>56</v>
      </c>
      <c r="L37" s="19" t="s">
        <v>221</v>
      </c>
      <c r="M37" s="20">
        <v>1198</v>
      </c>
      <c r="N37" s="17"/>
      <c r="O37" s="18" t="s">
        <v>100</v>
      </c>
      <c r="P37" s="19" t="s">
        <v>218</v>
      </c>
      <c r="R37" s="41"/>
    </row>
    <row r="38" spans="1:21" ht="21.75" customHeight="1">
      <c r="A38" s="21" t="s">
        <v>254</v>
      </c>
      <c r="B38" s="22" t="s">
        <v>101</v>
      </c>
      <c r="C38" s="23" t="s">
        <v>140</v>
      </c>
      <c r="D38" s="24">
        <v>874</v>
      </c>
      <c r="E38" s="24">
        <v>1039</v>
      </c>
      <c r="F38" s="24">
        <v>1194</v>
      </c>
      <c r="G38" s="24">
        <v>1321</v>
      </c>
      <c r="H38" s="23" t="s">
        <v>140</v>
      </c>
      <c r="I38" s="25"/>
      <c r="J38" s="17"/>
      <c r="K38" s="26" t="s">
        <v>56</v>
      </c>
      <c r="L38" s="27" t="s">
        <v>215</v>
      </c>
      <c r="M38" s="20">
        <v>1430</v>
      </c>
      <c r="N38" s="17"/>
      <c r="O38" s="18" t="s">
        <v>102</v>
      </c>
      <c r="P38" s="19" t="s">
        <v>221</v>
      </c>
      <c r="R38" s="41"/>
    </row>
    <row r="39" spans="1:21" ht="21.75" customHeight="1">
      <c r="A39" s="21" t="s">
        <v>255</v>
      </c>
      <c r="B39" s="28" t="s">
        <v>180</v>
      </c>
      <c r="C39" s="29" t="s">
        <v>140</v>
      </c>
      <c r="D39" s="24">
        <v>3374</v>
      </c>
      <c r="E39" s="24">
        <v>3979</v>
      </c>
      <c r="F39" s="24">
        <v>4973</v>
      </c>
      <c r="G39" s="29" t="s">
        <v>140</v>
      </c>
      <c r="H39" s="29" t="s">
        <v>140</v>
      </c>
      <c r="I39" s="30"/>
      <c r="J39" s="17"/>
      <c r="K39" s="18" t="s">
        <v>56</v>
      </c>
      <c r="L39" s="19" t="s">
        <v>216</v>
      </c>
      <c r="M39" s="20">
        <v>1656</v>
      </c>
      <c r="N39" s="17"/>
      <c r="O39" s="26" t="s">
        <v>102</v>
      </c>
      <c r="P39" s="27" t="s">
        <v>215</v>
      </c>
      <c r="R39" s="41"/>
    </row>
    <row r="40" spans="1:21" ht="21.75" customHeight="1">
      <c r="A40" s="21" t="s">
        <v>256</v>
      </c>
      <c r="B40" s="22" t="s">
        <v>106</v>
      </c>
      <c r="C40" s="23" t="s">
        <v>140</v>
      </c>
      <c r="D40" s="24">
        <v>2908</v>
      </c>
      <c r="E40" s="23" t="s">
        <v>140</v>
      </c>
      <c r="F40" s="23" t="s">
        <v>140</v>
      </c>
      <c r="G40" s="23" t="s">
        <v>140</v>
      </c>
      <c r="H40" s="23" t="s">
        <v>140</v>
      </c>
      <c r="I40" s="25"/>
      <c r="J40" s="17"/>
      <c r="K40" s="26" t="s">
        <v>58</v>
      </c>
      <c r="L40" s="27" t="s">
        <v>221</v>
      </c>
      <c r="M40" s="20">
        <v>1210</v>
      </c>
      <c r="N40" s="17"/>
      <c r="O40" s="18" t="s">
        <v>102</v>
      </c>
      <c r="P40" s="19" t="s">
        <v>216</v>
      </c>
      <c r="R40" s="41"/>
    </row>
    <row r="41" spans="1:21" ht="21.75" customHeight="1">
      <c r="A41" s="21" t="s">
        <v>257</v>
      </c>
      <c r="B41" s="28" t="s">
        <v>183</v>
      </c>
      <c r="C41" s="29" t="s">
        <v>140</v>
      </c>
      <c r="D41" s="29" t="s">
        <v>140</v>
      </c>
      <c r="E41" s="24">
        <v>1842</v>
      </c>
      <c r="F41" s="29" t="s">
        <v>140</v>
      </c>
      <c r="G41" s="29" t="s">
        <v>140</v>
      </c>
      <c r="H41" s="29" t="s">
        <v>140</v>
      </c>
      <c r="I41" s="30"/>
      <c r="J41" s="17"/>
      <c r="K41" s="18" t="s">
        <v>58</v>
      </c>
      <c r="L41" s="19" t="s">
        <v>215</v>
      </c>
      <c r="M41" s="20">
        <v>1450</v>
      </c>
      <c r="N41" s="17"/>
      <c r="O41" s="26" t="s">
        <v>102</v>
      </c>
      <c r="P41" s="27" t="s">
        <v>218</v>
      </c>
      <c r="R41" s="41"/>
    </row>
    <row r="42" spans="1:21" ht="21.75" customHeight="1">
      <c r="A42" s="21" t="s">
        <v>258</v>
      </c>
      <c r="B42" s="22" t="s">
        <v>185</v>
      </c>
      <c r="C42" s="23" t="s">
        <v>140</v>
      </c>
      <c r="D42" s="24">
        <v>1612</v>
      </c>
      <c r="E42" s="23" t="s">
        <v>140</v>
      </c>
      <c r="F42" s="23" t="s">
        <v>140</v>
      </c>
      <c r="G42" s="23" t="s">
        <v>140</v>
      </c>
      <c r="H42" s="23" t="s">
        <v>140</v>
      </c>
      <c r="I42" s="25"/>
      <c r="J42" s="17"/>
      <c r="K42" s="26" t="s">
        <v>58</v>
      </c>
      <c r="L42" s="27" t="s">
        <v>216</v>
      </c>
      <c r="M42" s="20">
        <v>1700</v>
      </c>
      <c r="N42" s="17"/>
      <c r="O42" s="18" t="s">
        <v>105</v>
      </c>
      <c r="P42" s="19" t="s">
        <v>221</v>
      </c>
      <c r="R42" s="41"/>
    </row>
    <row r="43" spans="1:21" ht="21.75" customHeight="1">
      <c r="A43" s="21" t="s">
        <v>259</v>
      </c>
      <c r="B43" s="28" t="s">
        <v>115</v>
      </c>
      <c r="C43" s="29" t="s">
        <v>140</v>
      </c>
      <c r="D43" s="24">
        <v>1252</v>
      </c>
      <c r="E43" s="24">
        <v>1374</v>
      </c>
      <c r="F43" s="29" t="s">
        <v>140</v>
      </c>
      <c r="G43" s="29" t="s">
        <v>140</v>
      </c>
      <c r="H43" s="29" t="s">
        <v>140</v>
      </c>
      <c r="I43" s="30"/>
      <c r="J43" s="17"/>
      <c r="K43" s="26" t="s">
        <v>61</v>
      </c>
      <c r="L43" s="27" t="s">
        <v>215</v>
      </c>
      <c r="M43" s="20">
        <v>1402</v>
      </c>
      <c r="N43" s="17"/>
      <c r="O43" s="26" t="s">
        <v>105</v>
      </c>
      <c r="P43" s="27" t="s">
        <v>215</v>
      </c>
      <c r="R43" s="41"/>
    </row>
    <row r="44" spans="1:21" ht="21.75" customHeight="1">
      <c r="A44" s="21" t="s">
        <v>260</v>
      </c>
      <c r="B44" s="22" t="s">
        <v>118</v>
      </c>
      <c r="C44" s="23" t="s">
        <v>140</v>
      </c>
      <c r="D44" s="24">
        <v>1212</v>
      </c>
      <c r="E44" s="24">
        <v>1383</v>
      </c>
      <c r="F44" s="23" t="s">
        <v>140</v>
      </c>
      <c r="G44" s="23" t="s">
        <v>140</v>
      </c>
      <c r="H44" s="23" t="s">
        <v>140</v>
      </c>
      <c r="I44" s="25"/>
      <c r="J44" s="17"/>
      <c r="K44" s="18" t="s">
        <v>61</v>
      </c>
      <c r="L44" s="19" t="s">
        <v>216</v>
      </c>
      <c r="M44" s="20">
        <v>1679</v>
      </c>
      <c r="N44" s="17"/>
      <c r="O44" s="18" t="s">
        <v>105</v>
      </c>
      <c r="P44" s="19" t="s">
        <v>216</v>
      </c>
      <c r="R44" s="41"/>
    </row>
    <row r="45" spans="1:21" ht="21.75" customHeight="1">
      <c r="A45" s="21" t="s">
        <v>261</v>
      </c>
      <c r="B45" s="28" t="s">
        <v>189</v>
      </c>
      <c r="C45" s="29" t="s">
        <v>140</v>
      </c>
      <c r="D45" s="29" t="s">
        <v>140</v>
      </c>
      <c r="E45" s="24">
        <v>1364</v>
      </c>
      <c r="F45" s="24">
        <v>1577.5</v>
      </c>
      <c r="G45" s="24">
        <v>1731</v>
      </c>
      <c r="H45" s="29" t="s">
        <v>140</v>
      </c>
      <c r="I45" s="30"/>
      <c r="J45" s="17"/>
      <c r="K45" s="26" t="s">
        <v>65</v>
      </c>
      <c r="L45" s="27" t="s">
        <v>221</v>
      </c>
      <c r="M45" s="20">
        <v>1221</v>
      </c>
      <c r="N45" s="17"/>
      <c r="O45" s="26" t="s">
        <v>108</v>
      </c>
      <c r="P45" s="27" t="s">
        <v>221</v>
      </c>
      <c r="R45" s="41"/>
    </row>
    <row r="46" spans="1:21" ht="21.75" customHeight="1">
      <c r="A46" s="21" t="s">
        <v>262</v>
      </c>
      <c r="B46" s="22" t="s">
        <v>191</v>
      </c>
      <c r="C46" s="23" t="s">
        <v>140</v>
      </c>
      <c r="D46" s="24">
        <v>723.88</v>
      </c>
      <c r="E46" s="24">
        <v>855.17</v>
      </c>
      <c r="F46" s="23" t="s">
        <v>140</v>
      </c>
      <c r="G46" s="23" t="s">
        <v>140</v>
      </c>
      <c r="H46" s="23" t="s">
        <v>140</v>
      </c>
      <c r="I46" s="25"/>
      <c r="J46" s="17"/>
      <c r="K46" s="18" t="s">
        <v>65</v>
      </c>
      <c r="L46" s="19" t="s">
        <v>215</v>
      </c>
      <c r="M46" s="20">
        <v>1563</v>
      </c>
      <c r="N46" s="17"/>
      <c r="O46" s="18" t="s">
        <v>111</v>
      </c>
      <c r="P46" s="19" t="s">
        <v>263</v>
      </c>
      <c r="R46" s="41"/>
    </row>
    <row r="47" spans="1:21" ht="21.75" customHeight="1">
      <c r="A47" s="21" t="s">
        <v>264</v>
      </c>
      <c r="B47" s="28" t="s">
        <v>125</v>
      </c>
      <c r="C47" s="29" t="s">
        <v>140</v>
      </c>
      <c r="D47" s="29" t="s">
        <v>140</v>
      </c>
      <c r="E47" s="24">
        <v>1308</v>
      </c>
      <c r="F47" s="24">
        <v>1526.47</v>
      </c>
      <c r="G47" s="29" t="s">
        <v>140</v>
      </c>
      <c r="H47" s="29" t="s">
        <v>140</v>
      </c>
      <c r="I47" s="30"/>
      <c r="J47" s="17"/>
      <c r="K47" s="26" t="s">
        <v>65</v>
      </c>
      <c r="L47" s="27" t="s">
        <v>216</v>
      </c>
      <c r="M47" s="20">
        <v>1820</v>
      </c>
      <c r="N47" s="17"/>
      <c r="O47" s="26" t="s">
        <v>111</v>
      </c>
      <c r="P47" s="27" t="s">
        <v>215</v>
      </c>
      <c r="R47" s="41"/>
    </row>
    <row r="48" spans="1:21" ht="21.75" customHeight="1">
      <c r="A48" s="21" t="s">
        <v>265</v>
      </c>
      <c r="B48" s="22" t="s">
        <v>128</v>
      </c>
      <c r="C48" s="23" t="s">
        <v>140</v>
      </c>
      <c r="D48" s="23" t="s">
        <v>140</v>
      </c>
      <c r="E48" s="24">
        <v>1140</v>
      </c>
      <c r="F48" s="24">
        <v>1317</v>
      </c>
      <c r="G48" s="24">
        <v>1470</v>
      </c>
      <c r="H48" s="24">
        <v>1784</v>
      </c>
      <c r="I48" s="25"/>
      <c r="J48" s="17"/>
      <c r="K48" s="18" t="s">
        <v>65</v>
      </c>
      <c r="L48" s="19" t="s">
        <v>218</v>
      </c>
      <c r="M48" s="20">
        <v>2128</v>
      </c>
      <c r="N48" s="17"/>
      <c r="O48" s="18" t="s">
        <v>114</v>
      </c>
      <c r="P48" s="19" t="s">
        <v>221</v>
      </c>
      <c r="R48" s="41"/>
    </row>
    <row r="49" spans="1:18" ht="21.75" customHeight="1">
      <c r="A49" s="21" t="s">
        <v>266</v>
      </c>
      <c r="B49" s="28" t="s">
        <v>195</v>
      </c>
      <c r="C49" s="29" t="s">
        <v>140</v>
      </c>
      <c r="D49" s="24">
        <v>970</v>
      </c>
      <c r="E49" s="24">
        <v>1185</v>
      </c>
      <c r="F49" s="24">
        <v>1400</v>
      </c>
      <c r="G49" s="24">
        <v>1695</v>
      </c>
      <c r="H49" s="29" t="s">
        <v>140</v>
      </c>
      <c r="I49" s="30"/>
      <c r="J49" s="17"/>
      <c r="K49" s="26" t="s">
        <v>68</v>
      </c>
      <c r="L49" s="27" t="s">
        <v>221</v>
      </c>
      <c r="M49" s="20">
        <v>1000</v>
      </c>
      <c r="N49" s="17"/>
      <c r="O49" s="26" t="s">
        <v>117</v>
      </c>
      <c r="P49" s="27" t="s">
        <v>221</v>
      </c>
      <c r="R49" s="41"/>
    </row>
    <row r="50" spans="1:18" ht="21.75" customHeight="1">
      <c r="A50" s="21" t="s">
        <v>267</v>
      </c>
      <c r="B50" s="22" t="s">
        <v>197</v>
      </c>
      <c r="C50" s="23" t="s">
        <v>140</v>
      </c>
      <c r="D50" s="24">
        <v>946</v>
      </c>
      <c r="E50" s="24">
        <v>1054</v>
      </c>
      <c r="F50" s="24">
        <v>1328</v>
      </c>
      <c r="G50" s="24">
        <v>1425</v>
      </c>
      <c r="H50" s="23" t="s">
        <v>140</v>
      </c>
      <c r="I50" s="25"/>
      <c r="J50" s="17"/>
      <c r="K50" s="18" t="s">
        <v>68</v>
      </c>
      <c r="L50" s="19" t="s">
        <v>215</v>
      </c>
      <c r="M50" s="20">
        <v>1150</v>
      </c>
      <c r="N50" s="17"/>
      <c r="O50" s="18" t="s">
        <v>117</v>
      </c>
      <c r="P50" s="19" t="s">
        <v>215</v>
      </c>
      <c r="R50" s="41"/>
    </row>
    <row r="51" spans="1:18" ht="21.75" customHeight="1">
      <c r="A51" s="21" t="s">
        <v>268</v>
      </c>
      <c r="B51" s="28" t="s">
        <v>269</v>
      </c>
      <c r="C51" s="29" t="s">
        <v>140</v>
      </c>
      <c r="D51" s="29" t="s">
        <v>140</v>
      </c>
      <c r="E51" s="24">
        <v>1388</v>
      </c>
      <c r="F51" s="24">
        <v>1592</v>
      </c>
      <c r="G51" s="29" t="s">
        <v>140</v>
      </c>
      <c r="H51" s="29" t="s">
        <v>140</v>
      </c>
      <c r="I51" s="30"/>
      <c r="J51" s="17"/>
      <c r="K51" s="26" t="s">
        <v>68</v>
      </c>
      <c r="L51" s="27" t="s">
        <v>216</v>
      </c>
      <c r="M51" s="20">
        <v>1300</v>
      </c>
      <c r="N51" s="17"/>
      <c r="O51" s="26" t="s">
        <v>119</v>
      </c>
      <c r="P51" s="27" t="s">
        <v>221</v>
      </c>
      <c r="R51" s="41"/>
    </row>
    <row r="52" spans="1:18" ht="21.75" customHeight="1">
      <c r="A52" s="260" t="s">
        <v>270</v>
      </c>
      <c r="B52" s="325"/>
      <c r="C52" s="325"/>
      <c r="D52" s="325"/>
      <c r="E52" s="325"/>
      <c r="F52" s="325"/>
      <c r="G52" s="325"/>
      <c r="H52" s="325"/>
      <c r="I52" s="325"/>
      <c r="J52" s="17"/>
      <c r="M52" s="20">
        <v>1223</v>
      </c>
      <c r="N52" s="17"/>
      <c r="O52" s="18" t="s">
        <v>119</v>
      </c>
      <c r="P52" s="19" t="s">
        <v>215</v>
      </c>
      <c r="R52" s="41"/>
    </row>
    <row r="53" spans="1:18" ht="15.75" customHeight="1"/>
    <row r="54" spans="1:18" ht="15" customHeight="1"/>
    <row r="55" spans="1:18" ht="15" customHeight="1"/>
    <row r="56" spans="1:18" ht="15" customHeight="1"/>
    <row r="57" spans="1:18" ht="15" customHeight="1"/>
    <row r="58" spans="1:18" ht="15" customHeight="1"/>
    <row r="59" spans="1:18" ht="15" customHeight="1"/>
  </sheetData>
  <mergeCells count="5">
    <mergeCell ref="A52:I52"/>
    <mergeCell ref="B29:I29"/>
    <mergeCell ref="A9:I9"/>
    <mergeCell ref="A8:I8"/>
    <mergeCell ref="K9:U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6"/>
  <sheetViews>
    <sheetView showGridLines="0" workbookViewId="0">
      <pane ySplit="1" topLeftCell="A11" activePane="bottomLeft" state="frozen"/>
      <selection pane="bottomLeft" activeCell="F28" sqref="F28"/>
    </sheetView>
  </sheetViews>
  <sheetFormatPr defaultColWidth="9.140625" defaultRowHeight="21.75" customHeight="1"/>
  <cols>
    <col min="1" max="1" width="9.42578125" customWidth="1"/>
    <col min="2" max="2" width="17" customWidth="1"/>
    <col min="3" max="3" width="43.42578125" customWidth="1"/>
    <col min="4" max="4" width="2.7109375" customWidth="1"/>
    <col min="5" max="5" width="21.85546875" customWidth="1"/>
    <col min="6" max="6" width="28.28515625" customWidth="1"/>
    <col min="7" max="7" width="5" customWidth="1"/>
    <col min="8" max="8" width="5.85546875" customWidth="1"/>
    <col min="9" max="9" width="6.5703125" customWidth="1"/>
    <col min="10" max="11" width="6.85546875" hidden="1" customWidth="1"/>
    <col min="12" max="12" width="5.28515625" hidden="1" customWidth="1"/>
    <col min="13" max="13" width="15.28515625" style="126" customWidth="1"/>
    <col min="14" max="15" width="16.5703125" hidden="1" customWidth="1"/>
    <col min="16" max="16" width="11.140625" hidden="1" customWidth="1"/>
    <col min="17" max="17" width="14.7109375" style="126" customWidth="1"/>
    <col min="18" max="18" width="4.7109375" customWidth="1"/>
    <col min="19" max="19" width="6.140625" customWidth="1"/>
    <col min="20" max="20" width="5.28515625" customWidth="1"/>
    <col min="21" max="21" width="4.140625" customWidth="1"/>
    <col min="22" max="22" width="6.85546875" customWidth="1"/>
    <col min="23" max="23" width="5.28515625" customWidth="1"/>
    <col min="24" max="24" width="4.140625" customWidth="1"/>
    <col min="25" max="25" width="6" customWidth="1"/>
    <col min="26" max="26" width="20.5703125" customWidth="1"/>
    <col min="27" max="27" width="65.7109375" customWidth="1"/>
    <col min="28" max="28" width="53.4257812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2"/>
      <c r="N1" s="1"/>
      <c r="O1" s="1"/>
      <c r="P1" s="1"/>
      <c r="Q1" s="4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6" customHeight="1">
      <c r="A2" s="266" t="s">
        <v>271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8"/>
      <c r="Z2" s="268" t="s">
        <v>272</v>
      </c>
      <c r="AA2" s="327"/>
      <c r="AB2" s="328"/>
    </row>
    <row r="3" spans="1:50" ht="18" customHeight="1">
      <c r="A3" s="265" t="s">
        <v>273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8"/>
    </row>
    <row r="4" spans="1:50" ht="14.25" customHeight="1">
      <c r="A4" s="274" t="s">
        <v>274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8"/>
    </row>
    <row r="5" spans="1:50" ht="43.5" customHeight="1">
      <c r="A5" s="270" t="s">
        <v>275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2"/>
    </row>
    <row r="6" spans="1:50" ht="25.5" customHeight="1">
      <c r="A6" s="43" t="s">
        <v>276</v>
      </c>
      <c r="B6" s="43" t="s">
        <v>277</v>
      </c>
      <c r="C6" s="267" t="s">
        <v>3</v>
      </c>
      <c r="D6" s="328"/>
      <c r="E6" s="43" t="s">
        <v>278</v>
      </c>
      <c r="F6" s="43" t="s">
        <v>279</v>
      </c>
      <c r="G6" s="44" t="s">
        <v>280</v>
      </c>
      <c r="H6" s="44" t="s">
        <v>281</v>
      </c>
      <c r="I6" s="44" t="s">
        <v>282</v>
      </c>
      <c r="J6" s="44" t="s">
        <v>283</v>
      </c>
      <c r="K6" s="44" t="s">
        <v>284</v>
      </c>
      <c r="L6" s="44" t="s">
        <v>285</v>
      </c>
      <c r="M6" s="45" t="s">
        <v>286</v>
      </c>
      <c r="N6" s="46" t="s">
        <v>287</v>
      </c>
      <c r="O6" s="46" t="s">
        <v>288</v>
      </c>
      <c r="P6" s="46" t="s">
        <v>289</v>
      </c>
      <c r="Q6" s="45" t="s">
        <v>290</v>
      </c>
      <c r="R6" s="16" t="s">
        <v>6</v>
      </c>
      <c r="S6" s="16" t="s">
        <v>291</v>
      </c>
      <c r="T6" s="16" t="s">
        <v>292</v>
      </c>
      <c r="U6" s="16" t="s">
        <v>293</v>
      </c>
      <c r="V6" s="16" t="s">
        <v>294</v>
      </c>
      <c r="W6" s="16" t="s">
        <v>295</v>
      </c>
      <c r="X6" s="16" t="s">
        <v>296</v>
      </c>
      <c r="Y6" s="16" t="s">
        <v>297</v>
      </c>
      <c r="Z6" s="45" t="s">
        <v>298</v>
      </c>
      <c r="AA6" s="47" t="s">
        <v>299</v>
      </c>
      <c r="AB6" s="47" t="s">
        <v>300</v>
      </c>
    </row>
    <row r="7" spans="1:50" ht="21.75" customHeight="1">
      <c r="A7" s="48" t="s">
        <v>301</v>
      </c>
      <c r="B7" s="49" t="s">
        <v>302</v>
      </c>
      <c r="C7" s="282" t="s">
        <v>303</v>
      </c>
      <c r="D7" s="328"/>
      <c r="E7" s="50" t="s">
        <v>304</v>
      </c>
      <c r="F7" s="50" t="s">
        <v>305</v>
      </c>
      <c r="G7" s="50" t="s">
        <v>306</v>
      </c>
      <c r="H7" s="50" t="s">
        <v>307</v>
      </c>
      <c r="I7" s="50" t="s">
        <v>308</v>
      </c>
      <c r="J7" s="50" t="s">
        <v>309</v>
      </c>
      <c r="K7" s="50" t="s">
        <v>310</v>
      </c>
      <c r="L7" s="50" t="s">
        <v>311</v>
      </c>
      <c r="M7" s="51">
        <v>1736</v>
      </c>
      <c r="N7" s="52" t="s">
        <v>312</v>
      </c>
      <c r="O7" s="52" t="s">
        <v>313</v>
      </c>
      <c r="P7" s="52" t="s">
        <v>314</v>
      </c>
      <c r="Q7" s="51">
        <v>2376</v>
      </c>
      <c r="R7" s="50">
        <v>109</v>
      </c>
      <c r="S7" s="50">
        <v>2015</v>
      </c>
      <c r="T7" s="50">
        <v>0</v>
      </c>
      <c r="U7" s="53" t="s">
        <v>315</v>
      </c>
      <c r="V7" s="54" t="s">
        <v>316</v>
      </c>
      <c r="W7" s="54" t="s">
        <v>316</v>
      </c>
      <c r="X7" s="54" t="s">
        <v>316</v>
      </c>
      <c r="Y7" s="54" t="s">
        <v>316</v>
      </c>
      <c r="Z7" s="49" t="s">
        <v>302</v>
      </c>
      <c r="AA7" s="55" t="s">
        <v>317</v>
      </c>
      <c r="AB7" s="56" t="s">
        <v>318</v>
      </c>
    </row>
    <row r="8" spans="1:50" ht="21.75" customHeight="1">
      <c r="A8" s="57" t="s">
        <v>319</v>
      </c>
      <c r="B8" s="58" t="s">
        <v>320</v>
      </c>
      <c r="C8" s="278" t="s">
        <v>321</v>
      </c>
      <c r="D8" s="328"/>
      <c r="E8" s="59" t="s">
        <v>322</v>
      </c>
      <c r="F8" s="59" t="s">
        <v>323</v>
      </c>
      <c r="G8" s="59" t="s">
        <v>306</v>
      </c>
      <c r="H8" s="59" t="s">
        <v>324</v>
      </c>
      <c r="I8" s="59" t="s">
        <v>325</v>
      </c>
      <c r="J8" s="59" t="s">
        <v>309</v>
      </c>
      <c r="K8" s="59" t="s">
        <v>310</v>
      </c>
      <c r="L8" s="59" t="s">
        <v>311</v>
      </c>
      <c r="M8" s="57" t="s">
        <v>326</v>
      </c>
      <c r="N8" s="59" t="s">
        <v>312</v>
      </c>
      <c r="O8" s="59" t="s">
        <v>313</v>
      </c>
      <c r="P8" s="59" t="s">
        <v>314</v>
      </c>
      <c r="Q8" s="57" t="s">
        <v>326</v>
      </c>
      <c r="R8" s="59">
        <v>100</v>
      </c>
      <c r="S8" s="59">
        <v>1974</v>
      </c>
      <c r="T8" s="59">
        <v>0</v>
      </c>
      <c r="U8" s="60" t="s">
        <v>315</v>
      </c>
      <c r="V8" s="61" t="s">
        <v>316</v>
      </c>
      <c r="W8" s="61" t="s">
        <v>316</v>
      </c>
      <c r="X8" s="61" t="s">
        <v>316</v>
      </c>
      <c r="Y8" s="61" t="s">
        <v>316</v>
      </c>
      <c r="Z8" s="62" t="s">
        <v>327</v>
      </c>
      <c r="AA8" s="63" t="s">
        <v>328</v>
      </c>
      <c r="AB8" s="64" t="s">
        <v>329</v>
      </c>
    </row>
    <row r="9" spans="1:50" ht="21.75" customHeight="1">
      <c r="A9" s="57" t="s">
        <v>258</v>
      </c>
      <c r="B9" s="58" t="s">
        <v>320</v>
      </c>
      <c r="C9" s="278" t="s">
        <v>330</v>
      </c>
      <c r="D9" s="328"/>
      <c r="E9" s="59" t="s">
        <v>331</v>
      </c>
      <c r="F9" s="59" t="s">
        <v>332</v>
      </c>
      <c r="G9" s="59" t="s">
        <v>306</v>
      </c>
      <c r="H9" s="59" t="s">
        <v>333</v>
      </c>
      <c r="I9" s="59" t="s">
        <v>334</v>
      </c>
      <c r="J9" s="59" t="s">
        <v>309</v>
      </c>
      <c r="K9" s="59" t="s">
        <v>310</v>
      </c>
      <c r="L9" s="59" t="s">
        <v>311</v>
      </c>
      <c r="M9" s="57" t="s">
        <v>326</v>
      </c>
      <c r="N9" s="59" t="s">
        <v>312</v>
      </c>
      <c r="O9" s="59" t="s">
        <v>313</v>
      </c>
      <c r="P9" s="59" t="s">
        <v>314</v>
      </c>
      <c r="Q9" s="57" t="s">
        <v>326</v>
      </c>
      <c r="R9" s="59">
        <v>112</v>
      </c>
      <c r="S9" s="59">
        <v>1975</v>
      </c>
      <c r="T9" s="59">
        <v>1</v>
      </c>
      <c r="U9" s="60" t="s">
        <v>315</v>
      </c>
      <c r="V9" s="61" t="s">
        <v>316</v>
      </c>
      <c r="W9" s="61" t="s">
        <v>316</v>
      </c>
      <c r="X9" s="61" t="s">
        <v>316</v>
      </c>
      <c r="Y9" s="61" t="s">
        <v>316</v>
      </c>
      <c r="Z9" s="62" t="s">
        <v>327</v>
      </c>
      <c r="AA9" s="63" t="s">
        <v>335</v>
      </c>
      <c r="AB9" s="64" t="s">
        <v>329</v>
      </c>
    </row>
    <row r="10" spans="1:50" ht="21.75" customHeight="1">
      <c r="A10" s="65" t="s">
        <v>237</v>
      </c>
      <c r="B10" s="66" t="s">
        <v>320</v>
      </c>
      <c r="C10" s="276" t="s">
        <v>336</v>
      </c>
      <c r="D10" s="329"/>
      <c r="E10" s="67" t="s">
        <v>337</v>
      </c>
      <c r="F10" s="67" t="s">
        <v>338</v>
      </c>
      <c r="G10" s="67" t="s">
        <v>306</v>
      </c>
      <c r="H10" s="67" t="s">
        <v>339</v>
      </c>
      <c r="I10" s="67" t="s">
        <v>340</v>
      </c>
      <c r="J10" s="67" t="s">
        <v>309</v>
      </c>
      <c r="K10" s="67" t="s">
        <v>310</v>
      </c>
      <c r="L10" s="67" t="s">
        <v>311</v>
      </c>
      <c r="M10" s="65" t="s">
        <v>326</v>
      </c>
      <c r="N10" s="67" t="s">
        <v>312</v>
      </c>
      <c r="O10" s="67" t="s">
        <v>313</v>
      </c>
      <c r="P10" s="67" t="s">
        <v>314</v>
      </c>
      <c r="Q10" s="65" t="s">
        <v>326</v>
      </c>
      <c r="R10" s="67">
        <v>96</v>
      </c>
      <c r="S10" s="67">
        <v>1972</v>
      </c>
      <c r="T10" s="67">
        <v>2</v>
      </c>
      <c r="U10" s="68" t="s">
        <v>315</v>
      </c>
      <c r="V10" s="69" t="s">
        <v>316</v>
      </c>
      <c r="W10" s="69" t="s">
        <v>316</v>
      </c>
      <c r="X10" s="69" t="s">
        <v>316</v>
      </c>
      <c r="Y10" s="69" t="s">
        <v>316</v>
      </c>
      <c r="Z10" s="70" t="s">
        <v>341</v>
      </c>
      <c r="AA10" s="71" t="s">
        <v>342</v>
      </c>
      <c r="AB10" s="72" t="s">
        <v>336</v>
      </c>
    </row>
    <row r="11" spans="1:50" ht="24.75" customHeight="1">
      <c r="A11" s="73" t="s">
        <v>319</v>
      </c>
      <c r="B11" s="74" t="s">
        <v>343</v>
      </c>
      <c r="C11" s="75" t="s">
        <v>344</v>
      </c>
      <c r="D11" s="277" t="s">
        <v>345</v>
      </c>
      <c r="E11" s="76" t="s">
        <v>346</v>
      </c>
      <c r="F11" s="77" t="s">
        <v>305</v>
      </c>
      <c r="G11" s="77" t="s">
        <v>306</v>
      </c>
      <c r="H11" s="77" t="s">
        <v>347</v>
      </c>
      <c r="I11" s="78" t="s">
        <v>348</v>
      </c>
      <c r="J11" s="77" t="s">
        <v>64</v>
      </c>
      <c r="K11" s="77" t="s">
        <v>64</v>
      </c>
      <c r="L11" s="77" t="s">
        <v>311</v>
      </c>
      <c r="M11" s="79">
        <v>2446</v>
      </c>
      <c r="N11" s="80" t="s">
        <v>64</v>
      </c>
      <c r="O11" s="80" t="s">
        <v>64</v>
      </c>
      <c r="P11" s="80" t="s">
        <v>314</v>
      </c>
      <c r="Q11" s="79">
        <v>2947</v>
      </c>
      <c r="R11" s="76">
        <v>266</v>
      </c>
      <c r="S11" s="76">
        <v>2020</v>
      </c>
      <c r="T11" s="76">
        <v>5</v>
      </c>
      <c r="U11" s="81" t="s">
        <v>316</v>
      </c>
      <c r="V11" s="82" t="s">
        <v>315</v>
      </c>
      <c r="W11" s="81" t="s">
        <v>316</v>
      </c>
      <c r="X11" s="82" t="s">
        <v>315</v>
      </c>
      <c r="Y11" s="82" t="s">
        <v>315</v>
      </c>
      <c r="Z11" s="83" t="s">
        <v>327</v>
      </c>
      <c r="AA11" s="84" t="s">
        <v>349</v>
      </c>
      <c r="AB11" s="85" t="s">
        <v>350</v>
      </c>
    </row>
    <row r="12" spans="1:50" ht="26.25" customHeight="1">
      <c r="A12" s="86" t="s">
        <v>258</v>
      </c>
      <c r="B12" s="87" t="s">
        <v>343</v>
      </c>
      <c r="C12" s="88" t="s">
        <v>351</v>
      </c>
      <c r="D12" s="330"/>
      <c r="E12" s="89" t="s">
        <v>352</v>
      </c>
      <c r="F12" s="90" t="s">
        <v>305</v>
      </c>
      <c r="G12" s="90" t="s">
        <v>306</v>
      </c>
      <c r="H12" s="90" t="s">
        <v>353</v>
      </c>
      <c r="I12" s="91" t="s">
        <v>354</v>
      </c>
      <c r="J12" s="90" t="s">
        <v>64</v>
      </c>
      <c r="K12" s="90" t="s">
        <v>64</v>
      </c>
      <c r="L12" s="90" t="s">
        <v>311</v>
      </c>
      <c r="M12" s="92">
        <v>2600</v>
      </c>
      <c r="N12" s="93" t="s">
        <v>64</v>
      </c>
      <c r="O12" s="93" t="s">
        <v>64</v>
      </c>
      <c r="P12" s="93" t="s">
        <v>314</v>
      </c>
      <c r="Q12" s="94" t="s">
        <v>64</v>
      </c>
      <c r="R12" s="89">
        <v>163</v>
      </c>
      <c r="S12" s="89">
        <v>2023</v>
      </c>
      <c r="T12" s="89">
        <v>8</v>
      </c>
      <c r="U12" s="95" t="s">
        <v>316</v>
      </c>
      <c r="V12" s="96" t="s">
        <v>315</v>
      </c>
      <c r="W12" s="96" t="s">
        <v>315</v>
      </c>
      <c r="X12" s="96" t="s">
        <v>315</v>
      </c>
      <c r="Y12" s="96" t="s">
        <v>315</v>
      </c>
      <c r="Z12" s="97" t="s">
        <v>327</v>
      </c>
      <c r="AA12" s="98" t="s">
        <v>355</v>
      </c>
      <c r="AB12" s="99" t="s">
        <v>356</v>
      </c>
    </row>
    <row r="13" spans="1:50" ht="25.5" customHeight="1">
      <c r="A13" s="86" t="s">
        <v>237</v>
      </c>
      <c r="B13" s="87" t="s">
        <v>343</v>
      </c>
      <c r="C13" s="88" t="s">
        <v>357</v>
      </c>
      <c r="D13" s="330"/>
      <c r="E13" s="89" t="s">
        <v>358</v>
      </c>
      <c r="F13" s="90" t="s">
        <v>305</v>
      </c>
      <c r="G13" s="90" t="s">
        <v>306</v>
      </c>
      <c r="H13" s="90" t="s">
        <v>359</v>
      </c>
      <c r="I13" s="91" t="s">
        <v>360</v>
      </c>
      <c r="J13" s="90" t="s">
        <v>64</v>
      </c>
      <c r="K13" s="90" t="s">
        <v>64</v>
      </c>
      <c r="L13" s="90" t="s">
        <v>311</v>
      </c>
      <c r="M13" s="92">
        <v>1890</v>
      </c>
      <c r="N13" s="93" t="s">
        <v>64</v>
      </c>
      <c r="O13" s="93" t="s">
        <v>64</v>
      </c>
      <c r="P13" s="93" t="s">
        <v>314</v>
      </c>
      <c r="Q13" s="92">
        <v>2150</v>
      </c>
      <c r="R13" s="89" t="s">
        <v>64</v>
      </c>
      <c r="S13" s="89">
        <v>1974</v>
      </c>
      <c r="T13" s="89">
        <v>0</v>
      </c>
      <c r="U13" s="95" t="s">
        <v>316</v>
      </c>
      <c r="V13" s="96" t="s">
        <v>315</v>
      </c>
      <c r="W13" s="95" t="s">
        <v>316</v>
      </c>
      <c r="X13" s="96" t="s">
        <v>315</v>
      </c>
      <c r="Y13" s="95" t="s">
        <v>316</v>
      </c>
      <c r="Z13" s="97" t="s">
        <v>327</v>
      </c>
      <c r="AA13" s="98" t="s">
        <v>361</v>
      </c>
      <c r="AB13" s="99" t="s">
        <v>362</v>
      </c>
    </row>
    <row r="14" spans="1:50" ht="26.25" customHeight="1">
      <c r="A14" s="86" t="s">
        <v>363</v>
      </c>
      <c r="B14" s="87" t="s">
        <v>343</v>
      </c>
      <c r="C14" s="88" t="s">
        <v>364</v>
      </c>
      <c r="D14" s="330"/>
      <c r="E14" s="89" t="s">
        <v>365</v>
      </c>
      <c r="F14" s="90" t="s">
        <v>305</v>
      </c>
      <c r="G14" s="90" t="s">
        <v>306</v>
      </c>
      <c r="H14" s="90" t="s">
        <v>347</v>
      </c>
      <c r="I14" s="91" t="s">
        <v>366</v>
      </c>
      <c r="J14" s="90" t="s">
        <v>64</v>
      </c>
      <c r="K14" s="90" t="s">
        <v>64</v>
      </c>
      <c r="L14" s="90" t="s">
        <v>311</v>
      </c>
      <c r="M14" s="92">
        <v>2250</v>
      </c>
      <c r="N14" s="93" t="s">
        <v>64</v>
      </c>
      <c r="O14" s="93" t="s">
        <v>64</v>
      </c>
      <c r="P14" s="93" t="s">
        <v>314</v>
      </c>
      <c r="Q14" s="94" t="s">
        <v>64</v>
      </c>
      <c r="R14" s="89">
        <v>296</v>
      </c>
      <c r="S14" s="89">
        <v>2021</v>
      </c>
      <c r="T14" s="89">
        <v>47</v>
      </c>
      <c r="U14" s="95" t="s">
        <v>316</v>
      </c>
      <c r="V14" s="96" t="s">
        <v>315</v>
      </c>
      <c r="W14" s="95" t="s">
        <v>316</v>
      </c>
      <c r="X14" s="96" t="s">
        <v>315</v>
      </c>
      <c r="Y14" s="96" t="s">
        <v>315</v>
      </c>
      <c r="Z14" s="97" t="s">
        <v>327</v>
      </c>
      <c r="AA14" s="98" t="s">
        <v>367</v>
      </c>
      <c r="AB14" s="99" t="s">
        <v>368</v>
      </c>
    </row>
    <row r="15" spans="1:50" ht="29.25" customHeight="1">
      <c r="A15" s="86" t="s">
        <v>369</v>
      </c>
      <c r="B15" s="87" t="s">
        <v>343</v>
      </c>
      <c r="C15" s="88" t="s">
        <v>370</v>
      </c>
      <c r="D15" s="330"/>
      <c r="E15" s="89" t="s">
        <v>371</v>
      </c>
      <c r="F15" s="90" t="s">
        <v>305</v>
      </c>
      <c r="G15" s="90" t="s">
        <v>306</v>
      </c>
      <c r="H15" s="90" t="s">
        <v>372</v>
      </c>
      <c r="I15" s="91" t="s">
        <v>373</v>
      </c>
      <c r="J15" s="90" t="s">
        <v>64</v>
      </c>
      <c r="K15" s="90" t="s">
        <v>64</v>
      </c>
      <c r="L15" s="90" t="s">
        <v>311</v>
      </c>
      <c r="M15" s="92">
        <v>2520</v>
      </c>
      <c r="N15" s="93" t="s">
        <v>64</v>
      </c>
      <c r="O15" s="93" t="s">
        <v>64</v>
      </c>
      <c r="P15" s="93" t="s">
        <v>314</v>
      </c>
      <c r="Q15" s="92">
        <v>3840</v>
      </c>
      <c r="R15" s="89">
        <v>330</v>
      </c>
      <c r="S15" s="89">
        <v>2023</v>
      </c>
      <c r="T15" s="89">
        <v>8</v>
      </c>
      <c r="U15" s="95" t="s">
        <v>316</v>
      </c>
      <c r="V15" s="96" t="s">
        <v>315</v>
      </c>
      <c r="W15" s="96" t="s">
        <v>315</v>
      </c>
      <c r="X15" s="96" t="s">
        <v>315</v>
      </c>
      <c r="Y15" s="96" t="s">
        <v>315</v>
      </c>
      <c r="Z15" s="97" t="s">
        <v>327</v>
      </c>
      <c r="AA15" s="98" t="s">
        <v>374</v>
      </c>
      <c r="AB15" s="99" t="s">
        <v>375</v>
      </c>
    </row>
    <row r="16" spans="1:50" ht="28.5" customHeight="1">
      <c r="A16" s="100" t="s">
        <v>255</v>
      </c>
      <c r="B16" s="101" t="s">
        <v>343</v>
      </c>
      <c r="C16" s="102" t="s">
        <v>376</v>
      </c>
      <c r="D16" s="331"/>
      <c r="E16" s="103" t="s">
        <v>377</v>
      </c>
      <c r="F16" s="104" t="s">
        <v>305</v>
      </c>
      <c r="G16" s="104" t="s">
        <v>306</v>
      </c>
      <c r="H16" s="104" t="s">
        <v>378</v>
      </c>
      <c r="I16" s="105" t="s">
        <v>379</v>
      </c>
      <c r="J16" s="104" t="s">
        <v>64</v>
      </c>
      <c r="K16" s="104" t="s">
        <v>64</v>
      </c>
      <c r="L16" s="104" t="s">
        <v>311</v>
      </c>
      <c r="M16" s="106">
        <v>2310</v>
      </c>
      <c r="N16" s="107" t="s">
        <v>64</v>
      </c>
      <c r="O16" s="107" t="s">
        <v>64</v>
      </c>
      <c r="P16" s="107" t="s">
        <v>314</v>
      </c>
      <c r="Q16" s="106">
        <v>2755</v>
      </c>
      <c r="R16" s="103">
        <v>312</v>
      </c>
      <c r="S16" s="103">
        <v>2013</v>
      </c>
      <c r="T16" s="103">
        <v>2</v>
      </c>
      <c r="U16" s="108" t="s">
        <v>316</v>
      </c>
      <c r="V16" s="109" t="s">
        <v>315</v>
      </c>
      <c r="W16" s="109" t="s">
        <v>315</v>
      </c>
      <c r="X16" s="109" t="s">
        <v>315</v>
      </c>
      <c r="Y16" s="109" t="s">
        <v>315</v>
      </c>
      <c r="Z16" s="110" t="s">
        <v>327</v>
      </c>
      <c r="AA16" s="111" t="s">
        <v>380</v>
      </c>
      <c r="AB16" s="112" t="s">
        <v>381</v>
      </c>
    </row>
    <row r="17" spans="1:28" ht="28.5" customHeight="1">
      <c r="A17" s="113" t="s">
        <v>140</v>
      </c>
      <c r="B17" s="114" t="s">
        <v>382</v>
      </c>
      <c r="C17" s="280" t="s">
        <v>383</v>
      </c>
      <c r="D17" s="332"/>
      <c r="E17" s="113" t="s">
        <v>64</v>
      </c>
      <c r="F17" s="113" t="s">
        <v>305</v>
      </c>
      <c r="G17" s="113" t="s">
        <v>306</v>
      </c>
      <c r="H17" s="113" t="s">
        <v>64</v>
      </c>
      <c r="I17" s="113" t="s">
        <v>64</v>
      </c>
      <c r="J17" s="113" t="s">
        <v>311</v>
      </c>
      <c r="K17" s="113" t="s">
        <v>311</v>
      </c>
      <c r="L17" s="113" t="s">
        <v>311</v>
      </c>
      <c r="M17" s="113" t="s">
        <v>64</v>
      </c>
      <c r="N17" s="113" t="s">
        <v>314</v>
      </c>
      <c r="O17" s="113" t="s">
        <v>314</v>
      </c>
      <c r="P17" s="113" t="s">
        <v>314</v>
      </c>
      <c r="Q17" s="113" t="s">
        <v>64</v>
      </c>
      <c r="R17" s="113" t="s">
        <v>64</v>
      </c>
      <c r="S17" s="113" t="s">
        <v>64</v>
      </c>
      <c r="T17" s="113" t="s">
        <v>64</v>
      </c>
      <c r="U17" s="113" t="s">
        <v>64</v>
      </c>
      <c r="V17" s="113" t="s">
        <v>64</v>
      </c>
      <c r="W17" s="113" t="s">
        <v>64</v>
      </c>
      <c r="X17" s="113" t="s">
        <v>64</v>
      </c>
      <c r="Y17" s="113" t="s">
        <v>64</v>
      </c>
      <c r="Z17" s="115" t="s">
        <v>382</v>
      </c>
      <c r="AA17" s="116" t="s">
        <v>384</v>
      </c>
      <c r="AB17" s="117" t="s">
        <v>385</v>
      </c>
    </row>
    <row r="18" spans="1:28" ht="34.5" customHeight="1">
      <c r="A18" s="118" t="s">
        <v>140</v>
      </c>
      <c r="B18" s="119" t="s">
        <v>382</v>
      </c>
      <c r="C18" s="283" t="s">
        <v>386</v>
      </c>
      <c r="D18" s="328"/>
      <c r="E18" s="118" t="s">
        <v>64</v>
      </c>
      <c r="F18" s="118" t="s">
        <v>305</v>
      </c>
      <c r="G18" s="118" t="s">
        <v>306</v>
      </c>
      <c r="H18" s="118" t="s">
        <v>64</v>
      </c>
      <c r="I18" s="118" t="s">
        <v>64</v>
      </c>
      <c r="J18" s="118" t="s">
        <v>387</v>
      </c>
      <c r="K18" s="118" t="s">
        <v>387</v>
      </c>
      <c r="L18" s="118" t="s">
        <v>387</v>
      </c>
      <c r="M18" s="120" t="s">
        <v>387</v>
      </c>
      <c r="N18" s="120" t="s">
        <v>388</v>
      </c>
      <c r="O18" s="120" t="s">
        <v>388</v>
      </c>
      <c r="P18" s="120" t="s">
        <v>388</v>
      </c>
      <c r="Q18" s="120" t="s">
        <v>388</v>
      </c>
      <c r="R18" s="118" t="s">
        <v>64</v>
      </c>
      <c r="S18" s="118" t="s">
        <v>64</v>
      </c>
      <c r="T18" s="118" t="s">
        <v>64</v>
      </c>
      <c r="U18" s="118" t="s">
        <v>64</v>
      </c>
      <c r="V18" s="118" t="s">
        <v>64</v>
      </c>
      <c r="W18" s="118" t="s">
        <v>64</v>
      </c>
      <c r="X18" s="118" t="s">
        <v>64</v>
      </c>
      <c r="Y18" s="118" t="s">
        <v>64</v>
      </c>
      <c r="Z18" s="87" t="s">
        <v>382</v>
      </c>
      <c r="AA18" s="121" t="s">
        <v>389</v>
      </c>
      <c r="AB18" s="122" t="s">
        <v>390</v>
      </c>
    </row>
    <row r="19" spans="1:28"/>
    <row r="20" spans="1:28" ht="14.25" customHeight="1">
      <c r="A20" s="275" t="s">
        <v>391</v>
      </c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8"/>
    </row>
    <row r="21" spans="1:28"/>
    <row r="22" spans="1:28" ht="18" customHeight="1">
      <c r="A22" s="281" t="s">
        <v>392</v>
      </c>
      <c r="B22" s="327"/>
      <c r="C22" s="327"/>
      <c r="D22" s="327"/>
      <c r="E22" s="327"/>
      <c r="F22" s="327"/>
      <c r="G22" s="327"/>
      <c r="H22" s="328"/>
      <c r="M22"/>
      <c r="Q22"/>
    </row>
    <row r="23" spans="1:28" ht="15.75" customHeight="1">
      <c r="A23" s="279" t="s">
        <v>393</v>
      </c>
      <c r="B23" s="327"/>
      <c r="C23" s="327"/>
      <c r="D23" s="327"/>
      <c r="E23" s="327"/>
      <c r="F23" s="327"/>
      <c r="G23" s="327"/>
      <c r="H23" s="328"/>
      <c r="M23"/>
      <c r="Q23"/>
    </row>
    <row r="24" spans="1:28" ht="15.75" customHeight="1">
      <c r="A24" s="15"/>
      <c r="B24" s="123" t="s">
        <v>394</v>
      </c>
      <c r="C24" s="269" t="s">
        <v>395</v>
      </c>
      <c r="D24" s="328"/>
      <c r="E24" s="123" t="s">
        <v>396</v>
      </c>
      <c r="M24"/>
      <c r="Q24"/>
    </row>
    <row r="25" spans="1:28" ht="20.25" customHeight="1">
      <c r="A25" s="52" t="s">
        <v>215</v>
      </c>
      <c r="B25" s="124">
        <v>1736</v>
      </c>
      <c r="C25" s="273">
        <v>2336</v>
      </c>
      <c r="D25" s="328"/>
      <c r="E25" s="125">
        <f>B25-C25</f>
        <v>-600</v>
      </c>
      <c r="F25" s="215" t="str">
        <f>IF(E25&lt;-75,"LOOK INTO INCREASING THE RENT!","")</f>
        <v>LOOK INTO INCREASING THE RENT!</v>
      </c>
      <c r="M25"/>
      <c r="Q25"/>
    </row>
    <row r="26" spans="1:28" ht="20.25" customHeight="1">
      <c r="A26" s="52" t="s">
        <v>216</v>
      </c>
      <c r="B26" s="124">
        <v>2376</v>
      </c>
      <c r="C26" s="273">
        <v>2923</v>
      </c>
      <c r="D26" s="328"/>
      <c r="E26" s="125">
        <f>B26-C26</f>
        <v>-547</v>
      </c>
      <c r="F26" s="215" t="str">
        <f>IF(E26&lt;-75,"LOOK INTO INCREASING THE RENT!","")</f>
        <v>LOOK INTO INCREASING THE RENT!</v>
      </c>
      <c r="M26"/>
      <c r="Q26"/>
    </row>
    <row r="27" spans="1:28"/>
    <row r="28" spans="1:28"/>
    <row r="29" spans="1:28"/>
    <row r="30" spans="1:28"/>
    <row r="31" spans="1:28"/>
    <row r="32" spans="1:28"/>
    <row r="33"/>
    <row r="34"/>
    <row r="35"/>
    <row r="36"/>
  </sheetData>
  <mergeCells count="19">
    <mergeCell ref="C26:D26"/>
    <mergeCell ref="A4:AB4"/>
    <mergeCell ref="A20:AB20"/>
    <mergeCell ref="C10:D10"/>
    <mergeCell ref="C25:D25"/>
    <mergeCell ref="D11:D16"/>
    <mergeCell ref="C9:D9"/>
    <mergeCell ref="A23:H23"/>
    <mergeCell ref="C17:D17"/>
    <mergeCell ref="C8:D8"/>
    <mergeCell ref="A22:H22"/>
    <mergeCell ref="C7:D7"/>
    <mergeCell ref="C18:D18"/>
    <mergeCell ref="A3:AB3"/>
    <mergeCell ref="A2:Y2"/>
    <mergeCell ref="C6:D6"/>
    <mergeCell ref="Z2:AB2"/>
    <mergeCell ref="C24:D24"/>
    <mergeCell ref="A5:AB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6"/>
  <sheetViews>
    <sheetView workbookViewId="0">
      <pane ySplit="1" topLeftCell="A14" activePane="bottomLeft" state="frozen"/>
      <selection pane="bottomLeft" activeCell="E32" sqref="E32"/>
    </sheetView>
  </sheetViews>
  <sheetFormatPr defaultColWidth="9.140625" defaultRowHeight="21.75" customHeight="1"/>
  <cols>
    <col min="1" max="1" width="9.140625" customWidth="1"/>
    <col min="2" max="2" width="17.28515625" customWidth="1"/>
    <col min="3" max="3" width="35.140625" customWidth="1"/>
    <col min="4" max="4" width="2.85546875" customWidth="1"/>
    <col min="5" max="5" width="23.85546875" customWidth="1"/>
    <col min="6" max="6" width="14.7109375" customWidth="1"/>
    <col min="7" max="9" width="9.28515625" customWidth="1"/>
    <col min="10" max="11" width="6.85546875" hidden="1" customWidth="1"/>
    <col min="12" max="12" width="5.28515625" hidden="1" customWidth="1"/>
    <col min="13" max="13" width="19.140625" customWidth="1"/>
    <col min="14" max="15" width="10.42578125" hidden="1" customWidth="1"/>
    <col min="16" max="16" width="8" hidden="1" customWidth="1"/>
    <col min="17" max="17" width="17" customWidth="1"/>
    <col min="18" max="25" width="10.28515625" customWidth="1"/>
    <col min="26" max="26" width="24.140625" customWidth="1"/>
    <col min="27" max="27" width="68" customWidth="1"/>
    <col min="28" max="28" width="51.42578125" customWidth="1"/>
  </cols>
  <sheetData>
    <row r="1" spans="1:28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6" customHeight="1">
      <c r="A2" s="293" t="s">
        <v>397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4"/>
      <c r="Z2" s="299" t="s">
        <v>398</v>
      </c>
      <c r="AA2" s="333"/>
      <c r="AB2" s="334"/>
    </row>
    <row r="3" spans="1:28" ht="18" customHeight="1">
      <c r="A3" s="284" t="s">
        <v>399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6"/>
    </row>
    <row r="4" spans="1:28" ht="14.25" customHeight="1">
      <c r="A4" s="297" t="s">
        <v>400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4"/>
    </row>
    <row r="5" spans="1:28" ht="25.5" customHeight="1">
      <c r="A5" s="295" t="s">
        <v>401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4"/>
    </row>
    <row r="6" spans="1:28" ht="36" customHeight="1">
      <c r="A6" s="219" t="s">
        <v>276</v>
      </c>
      <c r="B6" s="219" t="s">
        <v>277</v>
      </c>
      <c r="C6" s="294" t="s">
        <v>3</v>
      </c>
      <c r="D6" s="337"/>
      <c r="E6" s="219" t="s">
        <v>278</v>
      </c>
      <c r="F6" s="219" t="s">
        <v>279</v>
      </c>
      <c r="G6" s="220" t="s">
        <v>280</v>
      </c>
      <c r="H6" s="220" t="s">
        <v>281</v>
      </c>
      <c r="I6" s="220" t="s">
        <v>282</v>
      </c>
      <c r="J6" s="220" t="s">
        <v>283</v>
      </c>
      <c r="K6" s="220" t="s">
        <v>284</v>
      </c>
      <c r="L6" s="220" t="s">
        <v>285</v>
      </c>
      <c r="M6" s="221" t="s">
        <v>402</v>
      </c>
      <c r="N6" s="222" t="s">
        <v>287</v>
      </c>
      <c r="O6" s="222" t="s">
        <v>288</v>
      </c>
      <c r="P6" s="222" t="s">
        <v>289</v>
      </c>
      <c r="Q6" s="221" t="s">
        <v>403</v>
      </c>
      <c r="R6" s="223" t="s">
        <v>6</v>
      </c>
      <c r="S6" s="223" t="s">
        <v>291</v>
      </c>
      <c r="T6" s="223" t="s">
        <v>292</v>
      </c>
      <c r="U6" s="223" t="s">
        <v>293</v>
      </c>
      <c r="V6" s="223" t="s">
        <v>294</v>
      </c>
      <c r="W6" s="223" t="s">
        <v>295</v>
      </c>
      <c r="X6" s="223" t="s">
        <v>296</v>
      </c>
      <c r="Y6" s="223" t="s">
        <v>297</v>
      </c>
      <c r="Z6" s="224" t="s">
        <v>298</v>
      </c>
      <c r="AA6" s="225" t="s">
        <v>299</v>
      </c>
      <c r="AB6" s="225" t="s">
        <v>300</v>
      </c>
    </row>
    <row r="7" spans="1:28" ht="21.75" customHeight="1">
      <c r="A7" s="127" t="s">
        <v>301</v>
      </c>
      <c r="B7" s="128" t="s">
        <v>302</v>
      </c>
      <c r="C7" s="289" t="s">
        <v>404</v>
      </c>
      <c r="D7" s="336"/>
      <c r="E7" s="129" t="s">
        <v>405</v>
      </c>
      <c r="F7" s="129" t="s">
        <v>406</v>
      </c>
      <c r="G7" s="129" t="s">
        <v>306</v>
      </c>
      <c r="H7" s="129" t="s">
        <v>407</v>
      </c>
      <c r="I7" s="129" t="s">
        <v>308</v>
      </c>
      <c r="J7" s="129" t="s">
        <v>408</v>
      </c>
      <c r="K7" s="129" t="s">
        <v>409</v>
      </c>
      <c r="L7" s="129" t="s">
        <v>410</v>
      </c>
      <c r="M7" s="130">
        <f>'Current Rents'!E12</f>
        <v>1020</v>
      </c>
      <c r="N7" s="131" t="s">
        <v>411</v>
      </c>
      <c r="O7" s="131" t="s">
        <v>412</v>
      </c>
      <c r="P7" s="131" t="s">
        <v>413</v>
      </c>
      <c r="Q7" s="130">
        <f>'Current Rents'!F12</f>
        <v>1150</v>
      </c>
      <c r="R7" s="129" t="s">
        <v>236</v>
      </c>
      <c r="S7" s="129" t="s">
        <v>414</v>
      </c>
      <c r="T7" s="129"/>
      <c r="U7" s="132" t="s">
        <v>315</v>
      </c>
      <c r="V7" s="133" t="s">
        <v>316</v>
      </c>
      <c r="W7" s="133" t="s">
        <v>316</v>
      </c>
      <c r="X7" s="133" t="s">
        <v>316</v>
      </c>
      <c r="Y7" s="133" t="s">
        <v>316</v>
      </c>
      <c r="Z7" s="128" t="s">
        <v>302</v>
      </c>
      <c r="AA7" s="134" t="s">
        <v>415</v>
      </c>
      <c r="AB7" s="135" t="s">
        <v>318</v>
      </c>
    </row>
    <row r="8" spans="1:28" ht="21.75" customHeight="1">
      <c r="A8" s="136" t="s">
        <v>319</v>
      </c>
      <c r="B8" s="137" t="s">
        <v>320</v>
      </c>
      <c r="C8" s="287" t="s">
        <v>416</v>
      </c>
      <c r="D8" s="334"/>
      <c r="E8" s="226" t="s">
        <v>417</v>
      </c>
      <c r="F8" s="138" t="s">
        <v>406</v>
      </c>
      <c r="G8" s="138" t="s">
        <v>306</v>
      </c>
      <c r="H8" s="138" t="s">
        <v>407</v>
      </c>
      <c r="I8" s="138" t="s">
        <v>418</v>
      </c>
      <c r="J8" s="138" t="s">
        <v>408</v>
      </c>
      <c r="K8" s="138" t="s">
        <v>409</v>
      </c>
      <c r="L8" s="138" t="s">
        <v>410</v>
      </c>
      <c r="M8" s="136" t="s">
        <v>326</v>
      </c>
      <c r="N8" s="138" t="s">
        <v>411</v>
      </c>
      <c r="O8" s="138" t="s">
        <v>412</v>
      </c>
      <c r="P8" s="138" t="s">
        <v>413</v>
      </c>
      <c r="Q8" s="136" t="s">
        <v>326</v>
      </c>
      <c r="R8" s="138" t="s">
        <v>245</v>
      </c>
      <c r="S8" s="138" t="s">
        <v>419</v>
      </c>
      <c r="T8" s="138">
        <v>1</v>
      </c>
      <c r="U8" s="139" t="s">
        <v>315</v>
      </c>
      <c r="V8" s="140" t="s">
        <v>316</v>
      </c>
      <c r="W8" s="140" t="s">
        <v>316</v>
      </c>
      <c r="X8" s="140" t="s">
        <v>316</v>
      </c>
      <c r="Y8" s="140" t="s">
        <v>316</v>
      </c>
      <c r="Z8" s="141" t="s">
        <v>327</v>
      </c>
      <c r="AA8" s="142" t="s">
        <v>420</v>
      </c>
      <c r="AB8" s="143" t="s">
        <v>329</v>
      </c>
    </row>
    <row r="9" spans="1:28" ht="21.75" customHeight="1">
      <c r="A9" s="136" t="s">
        <v>258</v>
      </c>
      <c r="B9" s="137" t="s">
        <v>320</v>
      </c>
      <c r="C9" s="287" t="s">
        <v>421</v>
      </c>
      <c r="D9" s="334"/>
      <c r="E9" s="226" t="s">
        <v>422</v>
      </c>
      <c r="F9" s="138" t="s">
        <v>423</v>
      </c>
      <c r="G9" s="138" t="s">
        <v>306</v>
      </c>
      <c r="H9" s="138" t="s">
        <v>407</v>
      </c>
      <c r="I9" s="138" t="s">
        <v>424</v>
      </c>
      <c r="J9" s="138" t="s">
        <v>408</v>
      </c>
      <c r="K9" s="138" t="s">
        <v>409</v>
      </c>
      <c r="L9" s="138" t="s">
        <v>410</v>
      </c>
      <c r="M9" s="136" t="s">
        <v>326</v>
      </c>
      <c r="N9" s="138" t="s">
        <v>411</v>
      </c>
      <c r="O9" s="138" t="s">
        <v>412</v>
      </c>
      <c r="P9" s="138" t="s">
        <v>413</v>
      </c>
      <c r="Q9" s="136" t="s">
        <v>326</v>
      </c>
      <c r="R9" s="138" t="s">
        <v>264</v>
      </c>
      <c r="S9" s="138" t="s">
        <v>425</v>
      </c>
      <c r="T9" s="138" t="s">
        <v>237</v>
      </c>
      <c r="U9" s="139" t="s">
        <v>315</v>
      </c>
      <c r="V9" s="140" t="s">
        <v>316</v>
      </c>
      <c r="W9" s="140" t="s">
        <v>316</v>
      </c>
      <c r="X9" s="140" t="s">
        <v>316</v>
      </c>
      <c r="Y9" s="140" t="s">
        <v>316</v>
      </c>
      <c r="Z9" s="141" t="s">
        <v>327</v>
      </c>
      <c r="AA9" s="142" t="s">
        <v>426</v>
      </c>
      <c r="AB9" s="143" t="s">
        <v>329</v>
      </c>
    </row>
    <row r="10" spans="1:28" ht="21.75" customHeight="1">
      <c r="A10" s="136" t="s">
        <v>237</v>
      </c>
      <c r="B10" s="137" t="s">
        <v>320</v>
      </c>
      <c r="C10" s="287" t="s">
        <v>427</v>
      </c>
      <c r="D10" s="334"/>
      <c r="E10" s="226" t="s">
        <v>428</v>
      </c>
      <c r="F10" s="138" t="s">
        <v>429</v>
      </c>
      <c r="G10" s="138" t="s">
        <v>306</v>
      </c>
      <c r="H10" s="138" t="s">
        <v>430</v>
      </c>
      <c r="I10" s="138" t="s">
        <v>431</v>
      </c>
      <c r="J10" s="138" t="s">
        <v>408</v>
      </c>
      <c r="K10" s="138" t="s">
        <v>409</v>
      </c>
      <c r="L10" s="138" t="s">
        <v>410</v>
      </c>
      <c r="M10" s="136" t="s">
        <v>326</v>
      </c>
      <c r="N10" s="138" t="s">
        <v>411</v>
      </c>
      <c r="O10" s="138" t="s">
        <v>412</v>
      </c>
      <c r="P10" s="138" t="s">
        <v>413</v>
      </c>
      <c r="Q10" s="136" t="s">
        <v>326</v>
      </c>
      <c r="R10" s="138" t="s">
        <v>243</v>
      </c>
      <c r="S10" s="138" t="s">
        <v>432</v>
      </c>
      <c r="T10" s="138" t="s">
        <v>363</v>
      </c>
      <c r="U10" s="139" t="s">
        <v>315</v>
      </c>
      <c r="V10" s="140" t="s">
        <v>316</v>
      </c>
      <c r="W10" s="140" t="s">
        <v>316</v>
      </c>
      <c r="X10" s="140" t="s">
        <v>316</v>
      </c>
      <c r="Y10" s="140" t="s">
        <v>316</v>
      </c>
      <c r="Z10" s="144" t="s">
        <v>341</v>
      </c>
      <c r="AA10" s="142" t="s">
        <v>433</v>
      </c>
      <c r="AB10" s="143" t="s">
        <v>329</v>
      </c>
    </row>
    <row r="11" spans="1:28" ht="24.75" customHeight="1">
      <c r="A11" s="145" t="s">
        <v>319</v>
      </c>
      <c r="B11" s="146" t="s">
        <v>343</v>
      </c>
      <c r="C11" s="291" t="s">
        <v>434</v>
      </c>
      <c r="D11" s="301" t="s">
        <v>345</v>
      </c>
      <c r="E11" s="147" t="s">
        <v>435</v>
      </c>
      <c r="F11" s="148" t="s">
        <v>406</v>
      </c>
      <c r="G11" s="148" t="s">
        <v>306</v>
      </c>
      <c r="H11" s="148" t="s">
        <v>407</v>
      </c>
      <c r="I11" s="149" t="s">
        <v>436</v>
      </c>
      <c r="J11" s="148" t="s">
        <v>64</v>
      </c>
      <c r="K11" s="148" t="s">
        <v>64</v>
      </c>
      <c r="L11" s="148" t="s">
        <v>410</v>
      </c>
      <c r="M11" s="150">
        <v>1250</v>
      </c>
      <c r="N11" s="151" t="s">
        <v>64</v>
      </c>
      <c r="O11" s="151" t="s">
        <v>64</v>
      </c>
      <c r="P11" s="151" t="s">
        <v>413</v>
      </c>
      <c r="Q11" s="150">
        <v>1450</v>
      </c>
      <c r="R11" s="147" t="s">
        <v>224</v>
      </c>
      <c r="S11" s="147" t="s">
        <v>437</v>
      </c>
      <c r="T11" s="147" t="s">
        <v>222</v>
      </c>
      <c r="U11" s="152" t="s">
        <v>316</v>
      </c>
      <c r="V11" s="153" t="s">
        <v>315</v>
      </c>
      <c r="W11" s="152" t="s">
        <v>316</v>
      </c>
      <c r="X11" s="153" t="s">
        <v>315</v>
      </c>
      <c r="Y11" s="152" t="s">
        <v>316</v>
      </c>
      <c r="Z11" s="154" t="s">
        <v>327</v>
      </c>
      <c r="AA11" s="155" t="s">
        <v>438</v>
      </c>
      <c r="AB11" s="156" t="s">
        <v>439</v>
      </c>
    </row>
    <row r="12" spans="1:28" ht="26.25" customHeight="1">
      <c r="A12" s="145" t="s">
        <v>258</v>
      </c>
      <c r="B12" s="146" t="s">
        <v>343</v>
      </c>
      <c r="C12" s="290" t="s">
        <v>440</v>
      </c>
      <c r="D12" s="338"/>
      <c r="E12" s="147" t="s">
        <v>441</v>
      </c>
      <c r="F12" s="148" t="s">
        <v>406</v>
      </c>
      <c r="G12" s="148" t="s">
        <v>306</v>
      </c>
      <c r="H12" s="148" t="s">
        <v>407</v>
      </c>
      <c r="I12" s="149" t="s">
        <v>418</v>
      </c>
      <c r="J12" s="148" t="s">
        <v>64</v>
      </c>
      <c r="K12" s="148" t="s">
        <v>64</v>
      </c>
      <c r="L12" s="148" t="s">
        <v>410</v>
      </c>
      <c r="M12" s="150">
        <v>1195</v>
      </c>
      <c r="N12" s="151" t="s">
        <v>64</v>
      </c>
      <c r="O12" s="151" t="s">
        <v>64</v>
      </c>
      <c r="P12" s="151" t="s">
        <v>413</v>
      </c>
      <c r="Q12" s="150">
        <v>1395</v>
      </c>
      <c r="R12" s="147" t="s">
        <v>266</v>
      </c>
      <c r="S12" s="147" t="s">
        <v>442</v>
      </c>
      <c r="T12" s="147" t="s">
        <v>443</v>
      </c>
      <c r="U12" s="152" t="s">
        <v>316</v>
      </c>
      <c r="V12" s="153" t="s">
        <v>315</v>
      </c>
      <c r="W12" s="152" t="s">
        <v>316</v>
      </c>
      <c r="X12" s="152" t="s">
        <v>316</v>
      </c>
      <c r="Y12" s="152" t="s">
        <v>316</v>
      </c>
      <c r="Z12" s="154" t="s">
        <v>327</v>
      </c>
      <c r="AA12" s="155" t="s">
        <v>444</v>
      </c>
      <c r="AB12" s="156" t="s">
        <v>445</v>
      </c>
    </row>
    <row r="13" spans="1:28" ht="25.5" customHeight="1">
      <c r="A13" s="145" t="s">
        <v>237</v>
      </c>
      <c r="B13" s="146" t="s">
        <v>343</v>
      </c>
      <c r="C13" s="290" t="s">
        <v>446</v>
      </c>
      <c r="D13" s="338"/>
      <c r="E13" s="147" t="s">
        <v>447</v>
      </c>
      <c r="F13" s="148" t="s">
        <v>406</v>
      </c>
      <c r="G13" s="148" t="s">
        <v>306</v>
      </c>
      <c r="H13" s="148" t="s">
        <v>407</v>
      </c>
      <c r="I13" s="149" t="s">
        <v>448</v>
      </c>
      <c r="J13" s="148" t="s">
        <v>64</v>
      </c>
      <c r="K13" s="148" t="s">
        <v>64</v>
      </c>
      <c r="L13" s="148" t="s">
        <v>410</v>
      </c>
      <c r="M13" s="150">
        <v>1100</v>
      </c>
      <c r="N13" s="151" t="s">
        <v>64</v>
      </c>
      <c r="O13" s="151" t="s">
        <v>64</v>
      </c>
      <c r="P13" s="151" t="s">
        <v>413</v>
      </c>
      <c r="Q13" s="150">
        <v>1350</v>
      </c>
      <c r="R13" s="147" t="s">
        <v>264</v>
      </c>
      <c r="S13" s="147" t="s">
        <v>449</v>
      </c>
      <c r="T13" s="147"/>
      <c r="U13" s="152" t="s">
        <v>316</v>
      </c>
      <c r="V13" s="152" t="s">
        <v>316</v>
      </c>
      <c r="W13" s="152" t="s">
        <v>316</v>
      </c>
      <c r="X13" s="152" t="s">
        <v>316</v>
      </c>
      <c r="Y13" s="152" t="s">
        <v>316</v>
      </c>
      <c r="Z13" s="154" t="s">
        <v>327</v>
      </c>
      <c r="AA13" s="155" t="s">
        <v>450</v>
      </c>
      <c r="AB13" s="156" t="s">
        <v>451</v>
      </c>
    </row>
    <row r="14" spans="1:28" ht="26.25" customHeight="1">
      <c r="A14" s="145" t="s">
        <v>363</v>
      </c>
      <c r="B14" s="146" t="s">
        <v>343</v>
      </c>
      <c r="C14" s="290" t="s">
        <v>452</v>
      </c>
      <c r="D14" s="338"/>
      <c r="E14" s="147" t="s">
        <v>453</v>
      </c>
      <c r="F14" s="148" t="s">
        <v>454</v>
      </c>
      <c r="G14" s="148" t="s">
        <v>306</v>
      </c>
      <c r="H14" s="148" t="s">
        <v>455</v>
      </c>
      <c r="I14" s="149" t="s">
        <v>456</v>
      </c>
      <c r="J14" s="148" t="s">
        <v>64</v>
      </c>
      <c r="K14" s="148" t="s">
        <v>64</v>
      </c>
      <c r="L14" s="148" t="s">
        <v>410</v>
      </c>
      <c r="M14" s="150">
        <v>1399</v>
      </c>
      <c r="N14" s="151" t="s">
        <v>64</v>
      </c>
      <c r="O14" s="151" t="s">
        <v>64</v>
      </c>
      <c r="P14" s="151" t="s">
        <v>413</v>
      </c>
      <c r="Q14" s="150">
        <v>1599</v>
      </c>
      <c r="R14" s="147" t="s">
        <v>457</v>
      </c>
      <c r="S14" s="147" t="s">
        <v>458</v>
      </c>
      <c r="T14" s="147" t="s">
        <v>259</v>
      </c>
      <c r="U14" s="152" t="s">
        <v>316</v>
      </c>
      <c r="V14" s="153" t="s">
        <v>315</v>
      </c>
      <c r="W14" s="153" t="s">
        <v>315</v>
      </c>
      <c r="X14" s="153" t="s">
        <v>315</v>
      </c>
      <c r="Y14" s="153" t="s">
        <v>315</v>
      </c>
      <c r="Z14" s="154" t="s">
        <v>327</v>
      </c>
      <c r="AA14" s="155" t="s">
        <v>459</v>
      </c>
      <c r="AB14" s="156" t="s">
        <v>460</v>
      </c>
    </row>
    <row r="15" spans="1:28" ht="29.25" customHeight="1">
      <c r="A15" s="145" t="s">
        <v>369</v>
      </c>
      <c r="B15" s="146" t="s">
        <v>343</v>
      </c>
      <c r="C15" s="290" t="s">
        <v>461</v>
      </c>
      <c r="D15" s="338"/>
      <c r="E15" s="147" t="s">
        <v>462</v>
      </c>
      <c r="F15" s="148" t="s">
        <v>454</v>
      </c>
      <c r="G15" s="148" t="s">
        <v>306</v>
      </c>
      <c r="H15" s="148" t="s">
        <v>463</v>
      </c>
      <c r="I15" s="149" t="s">
        <v>464</v>
      </c>
      <c r="J15" s="148" t="s">
        <v>64</v>
      </c>
      <c r="K15" s="148" t="s">
        <v>64</v>
      </c>
      <c r="L15" s="148" t="s">
        <v>410</v>
      </c>
      <c r="M15" s="150">
        <v>1539</v>
      </c>
      <c r="N15" s="151" t="s">
        <v>64</v>
      </c>
      <c r="O15" s="151" t="s">
        <v>64</v>
      </c>
      <c r="P15" s="151" t="s">
        <v>413</v>
      </c>
      <c r="Q15" s="150">
        <v>1659</v>
      </c>
      <c r="R15" s="147" t="s">
        <v>465</v>
      </c>
      <c r="S15" s="147" t="s">
        <v>466</v>
      </c>
      <c r="T15" s="147" t="s">
        <v>239</v>
      </c>
      <c r="U15" s="152" t="s">
        <v>316</v>
      </c>
      <c r="V15" s="153" t="s">
        <v>315</v>
      </c>
      <c r="W15" s="152" t="s">
        <v>316</v>
      </c>
      <c r="X15" s="153" t="s">
        <v>315</v>
      </c>
      <c r="Y15" s="153" t="s">
        <v>315</v>
      </c>
      <c r="Z15" s="154" t="s">
        <v>327</v>
      </c>
      <c r="AA15" s="155" t="s">
        <v>467</v>
      </c>
      <c r="AB15" s="156" t="s">
        <v>468</v>
      </c>
    </row>
    <row r="16" spans="1:28" ht="28.5" customHeight="1">
      <c r="A16" s="145" t="s">
        <v>255</v>
      </c>
      <c r="B16" s="146" t="s">
        <v>343</v>
      </c>
      <c r="C16" s="302" t="s">
        <v>469</v>
      </c>
      <c r="D16" s="339"/>
      <c r="E16" s="147" t="s">
        <v>470</v>
      </c>
      <c r="F16" s="148" t="s">
        <v>454</v>
      </c>
      <c r="G16" s="148" t="s">
        <v>306</v>
      </c>
      <c r="H16" s="148" t="s">
        <v>455</v>
      </c>
      <c r="I16" s="149" t="s">
        <v>471</v>
      </c>
      <c r="J16" s="148" t="s">
        <v>64</v>
      </c>
      <c r="K16" s="148" t="s">
        <v>64</v>
      </c>
      <c r="L16" s="148" t="s">
        <v>410</v>
      </c>
      <c r="M16" s="158" t="s">
        <v>64</v>
      </c>
      <c r="N16" s="151" t="s">
        <v>64</v>
      </c>
      <c r="O16" s="151" t="s">
        <v>64</v>
      </c>
      <c r="P16" s="151" t="s">
        <v>413</v>
      </c>
      <c r="Q16" s="150">
        <v>1675</v>
      </c>
      <c r="R16" s="147" t="s">
        <v>472</v>
      </c>
      <c r="S16" s="147" t="s">
        <v>473</v>
      </c>
      <c r="T16" s="147" t="s">
        <v>241</v>
      </c>
      <c r="U16" s="152" t="s">
        <v>316</v>
      </c>
      <c r="V16" s="153" t="s">
        <v>315</v>
      </c>
      <c r="W16" s="153" t="s">
        <v>315</v>
      </c>
      <c r="X16" s="153" t="s">
        <v>315</v>
      </c>
      <c r="Y16" s="153" t="s">
        <v>315</v>
      </c>
      <c r="Z16" s="154" t="s">
        <v>327</v>
      </c>
      <c r="AA16" s="155" t="s">
        <v>474</v>
      </c>
      <c r="AB16" s="156" t="s">
        <v>475</v>
      </c>
    </row>
    <row r="17" spans="1:28" ht="28.5" customHeight="1">
      <c r="A17" s="159" t="s">
        <v>140</v>
      </c>
      <c r="B17" s="160" t="s">
        <v>382</v>
      </c>
      <c r="C17" s="286" t="s">
        <v>476</v>
      </c>
      <c r="D17" s="334"/>
      <c r="E17" s="228" t="s">
        <v>64</v>
      </c>
      <c r="F17" s="159" t="s">
        <v>406</v>
      </c>
      <c r="G17" s="159" t="s">
        <v>306</v>
      </c>
      <c r="H17" s="159" t="s">
        <v>64</v>
      </c>
      <c r="I17" s="159" t="s">
        <v>64</v>
      </c>
      <c r="J17" s="159" t="s">
        <v>410</v>
      </c>
      <c r="K17" s="159" t="s">
        <v>410</v>
      </c>
      <c r="L17" s="159" t="s">
        <v>410</v>
      </c>
      <c r="M17" s="159" t="s">
        <v>64</v>
      </c>
      <c r="N17" s="159" t="s">
        <v>413</v>
      </c>
      <c r="O17" s="159" t="s">
        <v>413</v>
      </c>
      <c r="P17" s="159" t="s">
        <v>413</v>
      </c>
      <c r="Q17" s="159" t="s">
        <v>64</v>
      </c>
      <c r="R17" s="159" t="s">
        <v>64</v>
      </c>
      <c r="S17" s="159" t="s">
        <v>64</v>
      </c>
      <c r="T17" s="159" t="s">
        <v>64</v>
      </c>
      <c r="U17" s="159" t="s">
        <v>64</v>
      </c>
      <c r="V17" s="159" t="s">
        <v>64</v>
      </c>
      <c r="W17" s="159" t="s">
        <v>64</v>
      </c>
      <c r="X17" s="159" t="s">
        <v>64</v>
      </c>
      <c r="Y17" s="159" t="s">
        <v>64</v>
      </c>
      <c r="Z17" s="146" t="s">
        <v>382</v>
      </c>
      <c r="AA17" s="161" t="s">
        <v>477</v>
      </c>
      <c r="AB17" s="162" t="s">
        <v>385</v>
      </c>
    </row>
    <row r="18" spans="1:28" ht="34.5" customHeight="1">
      <c r="A18" s="163" t="s">
        <v>140</v>
      </c>
      <c r="B18" s="160" t="s">
        <v>382</v>
      </c>
      <c r="C18" s="292" t="s">
        <v>478</v>
      </c>
      <c r="D18" s="334"/>
      <c r="E18" s="229" t="s">
        <v>64</v>
      </c>
      <c r="F18" s="163" t="s">
        <v>406</v>
      </c>
      <c r="G18" s="163" t="s">
        <v>306</v>
      </c>
      <c r="H18" s="163" t="s">
        <v>64</v>
      </c>
      <c r="I18" s="163" t="s">
        <v>64</v>
      </c>
      <c r="J18" s="163" t="s">
        <v>479</v>
      </c>
      <c r="K18" s="163" t="s">
        <v>479</v>
      </c>
      <c r="L18" s="163" t="s">
        <v>479</v>
      </c>
      <c r="M18" s="164" t="s">
        <v>479</v>
      </c>
      <c r="N18" s="164" t="s">
        <v>480</v>
      </c>
      <c r="O18" s="164" t="s">
        <v>480</v>
      </c>
      <c r="P18" s="164" t="s">
        <v>480</v>
      </c>
      <c r="Q18" s="164" t="s">
        <v>480</v>
      </c>
      <c r="R18" s="163" t="s">
        <v>64</v>
      </c>
      <c r="S18" s="163" t="s">
        <v>64</v>
      </c>
      <c r="T18" s="163" t="s">
        <v>64</v>
      </c>
      <c r="U18" s="163" t="s">
        <v>64</v>
      </c>
      <c r="V18" s="163" t="s">
        <v>64</v>
      </c>
      <c r="W18" s="163" t="s">
        <v>64</v>
      </c>
      <c r="X18" s="163" t="s">
        <v>64</v>
      </c>
      <c r="Y18" s="163" t="s">
        <v>64</v>
      </c>
      <c r="Z18" s="146" t="s">
        <v>382</v>
      </c>
      <c r="AA18" s="165" t="s">
        <v>481</v>
      </c>
      <c r="AB18" s="166" t="s">
        <v>390</v>
      </c>
    </row>
    <row r="19" spans="1:28"/>
    <row r="20" spans="1:28" ht="14.25" customHeight="1">
      <c r="A20" s="298" t="s">
        <v>482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</row>
    <row r="21" spans="1:28"/>
    <row r="22" spans="1:28" ht="18" customHeight="1">
      <c r="A22" s="288" t="s">
        <v>392</v>
      </c>
      <c r="B22" s="325"/>
      <c r="C22" s="325"/>
      <c r="D22" s="325"/>
      <c r="E22" s="325"/>
      <c r="F22" s="325"/>
      <c r="G22" s="325"/>
      <c r="H22" s="325"/>
    </row>
    <row r="23" spans="1:28" ht="15.75" customHeight="1">
      <c r="A23" s="285" t="s">
        <v>393</v>
      </c>
      <c r="B23" s="325"/>
      <c r="C23" s="325"/>
      <c r="D23" s="325"/>
      <c r="E23" s="325"/>
      <c r="F23" s="325"/>
      <c r="G23" s="325"/>
      <c r="H23" s="325"/>
    </row>
    <row r="24" spans="1:28" ht="15.75" customHeight="1">
      <c r="A24" s="15"/>
      <c r="B24" s="123" t="s">
        <v>394</v>
      </c>
      <c r="C24" s="269" t="s">
        <v>395</v>
      </c>
      <c r="D24" s="328"/>
      <c r="E24" s="123" t="s">
        <v>396</v>
      </c>
    </row>
    <row r="25" spans="1:28" ht="20.25" customHeight="1">
      <c r="A25" s="167" t="s">
        <v>215</v>
      </c>
      <c r="B25" s="168">
        <f>'Current Rents'!E12</f>
        <v>1020</v>
      </c>
      <c r="C25" s="300">
        <v>1380</v>
      </c>
      <c r="D25" s="340"/>
      <c r="E25" s="169">
        <f>B25-C25</f>
        <v>-360</v>
      </c>
      <c r="F25" s="215" t="str">
        <f>IF(E25&lt;-75,"LOOK INTO INCREASING THE RENT!","")</f>
        <v>LOOK INTO INCREASING THE RENT!</v>
      </c>
    </row>
    <row r="26" spans="1:28" ht="20.25" customHeight="1">
      <c r="A26" s="167" t="s">
        <v>216</v>
      </c>
      <c r="B26" s="168">
        <f>'Current Rents'!F12</f>
        <v>1150</v>
      </c>
      <c r="C26" s="296">
        <v>1507</v>
      </c>
      <c r="D26" s="325"/>
      <c r="E26" s="169">
        <f>B26-C26</f>
        <v>-357</v>
      </c>
      <c r="F26" s="215" t="str">
        <f>IF(E26&lt;-75,"LOOK INTO INCREASING THE RENT!","")</f>
        <v>LOOK INTO INCREASING THE RENT!</v>
      </c>
    </row>
    <row r="27" spans="1:28"/>
    <row r="28" spans="1:28"/>
    <row r="32" spans="1:28"/>
    <row r="33"/>
    <row r="34"/>
    <row r="35"/>
    <row r="36"/>
  </sheetData>
  <mergeCells count="25">
    <mergeCell ref="A2:Y2"/>
    <mergeCell ref="C6:D6"/>
    <mergeCell ref="C24:D24"/>
    <mergeCell ref="A5:AB5"/>
    <mergeCell ref="C26:D26"/>
    <mergeCell ref="C13"/>
    <mergeCell ref="A4:AB4"/>
    <mergeCell ref="A20:AB20"/>
    <mergeCell ref="Z2:AB2"/>
    <mergeCell ref="C10:D10"/>
    <mergeCell ref="C25:D25"/>
    <mergeCell ref="C15"/>
    <mergeCell ref="D11:D16"/>
    <mergeCell ref="C9:D9"/>
    <mergeCell ref="C14"/>
    <mergeCell ref="C16"/>
    <mergeCell ref="A3:AB3"/>
    <mergeCell ref="A23:H23"/>
    <mergeCell ref="C17:D17"/>
    <mergeCell ref="C8:D8"/>
    <mergeCell ref="A22:H22"/>
    <mergeCell ref="C7:D7"/>
    <mergeCell ref="C12"/>
    <mergeCell ref="C11"/>
    <mergeCell ref="C18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7"/>
  <sheetViews>
    <sheetView workbookViewId="0">
      <pane ySplit="1" topLeftCell="A14" activePane="bottomLeft" state="frozen"/>
      <selection pane="bottomLeft" activeCell="G26" sqref="G26"/>
    </sheetView>
  </sheetViews>
  <sheetFormatPr defaultColWidth="9.140625" defaultRowHeight="21.75" customHeight="1"/>
  <cols>
    <col min="1" max="1" width="9.140625" customWidth="1"/>
    <col min="2" max="2" width="18.42578125" customWidth="1"/>
    <col min="3" max="3" width="41.7109375" customWidth="1"/>
    <col min="4" max="4" width="4.7109375" customWidth="1"/>
    <col min="5" max="5" width="30.85546875" customWidth="1"/>
    <col min="6" max="6" width="14.28515625" customWidth="1"/>
    <col min="7" max="9" width="9.28515625" customWidth="1"/>
    <col min="10" max="11" width="6.85546875" hidden="1" customWidth="1"/>
    <col min="12" max="12" width="5.28515625" hidden="1" customWidth="1"/>
    <col min="13" max="13" width="16.7109375" customWidth="1"/>
    <col min="14" max="15" width="10.42578125" hidden="1" customWidth="1"/>
    <col min="16" max="16" width="7.85546875" hidden="1" customWidth="1"/>
    <col min="17" max="17" width="16.7109375" customWidth="1"/>
    <col min="18" max="19" width="10.42578125" hidden="1" customWidth="1"/>
    <col min="20" max="20" width="7.85546875" hidden="1" customWidth="1"/>
    <col min="21" max="21" width="16.7109375" customWidth="1"/>
    <col min="22" max="29" width="9.42578125" customWidth="1"/>
    <col min="30" max="30" width="24.5703125" customWidth="1"/>
    <col min="31" max="32" width="55.7109375" customWidth="1"/>
  </cols>
  <sheetData>
    <row r="1" spans="1:32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6" customHeight="1">
      <c r="A2" s="293" t="s">
        <v>483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4"/>
      <c r="AD2" s="299" t="s">
        <v>484</v>
      </c>
      <c r="AE2" s="333"/>
      <c r="AF2" s="334"/>
    </row>
    <row r="3" spans="1:32" ht="18" customHeight="1">
      <c r="A3" s="307" t="s">
        <v>485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4"/>
    </row>
    <row r="4" spans="1:32" ht="14.25" customHeight="1">
      <c r="A4" s="306" t="s">
        <v>400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4"/>
    </row>
    <row r="5" spans="1:32" ht="25.5" customHeight="1">
      <c r="A5" s="295" t="s">
        <v>401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4"/>
    </row>
    <row r="6" spans="1:32" ht="25.5" customHeight="1">
      <c r="A6" s="171" t="s">
        <v>276</v>
      </c>
      <c r="B6" s="171" t="s">
        <v>277</v>
      </c>
      <c r="C6" s="304" t="s">
        <v>3</v>
      </c>
      <c r="D6" s="334"/>
      <c r="E6" s="171" t="s">
        <v>278</v>
      </c>
      <c r="F6" s="171" t="s">
        <v>279</v>
      </c>
      <c r="G6" s="172" t="s">
        <v>280</v>
      </c>
      <c r="H6" s="172" t="s">
        <v>281</v>
      </c>
      <c r="I6" s="172" t="s">
        <v>282</v>
      </c>
      <c r="J6" s="172" t="s">
        <v>486</v>
      </c>
      <c r="K6" s="172" t="s">
        <v>487</v>
      </c>
      <c r="L6" s="172" t="s">
        <v>488</v>
      </c>
      <c r="M6" s="173" t="s">
        <v>489</v>
      </c>
      <c r="N6" s="174" t="s">
        <v>283</v>
      </c>
      <c r="O6" s="174" t="s">
        <v>284</v>
      </c>
      <c r="P6" s="174" t="s">
        <v>285</v>
      </c>
      <c r="Q6" s="173" t="s">
        <v>402</v>
      </c>
      <c r="R6" s="174" t="s">
        <v>287</v>
      </c>
      <c r="S6" s="174" t="s">
        <v>288</v>
      </c>
      <c r="T6" s="174" t="s">
        <v>289</v>
      </c>
      <c r="U6" s="173" t="s">
        <v>403</v>
      </c>
      <c r="V6" s="175" t="s">
        <v>6</v>
      </c>
      <c r="W6" s="175" t="s">
        <v>291</v>
      </c>
      <c r="X6" s="175" t="s">
        <v>292</v>
      </c>
      <c r="Y6" s="175" t="s">
        <v>293</v>
      </c>
      <c r="Z6" s="175" t="s">
        <v>294</v>
      </c>
      <c r="AA6" s="175" t="s">
        <v>295</v>
      </c>
      <c r="AB6" s="175" t="s">
        <v>296</v>
      </c>
      <c r="AC6" s="175" t="s">
        <v>297</v>
      </c>
      <c r="AD6" s="176" t="s">
        <v>298</v>
      </c>
      <c r="AE6" s="177" t="s">
        <v>299</v>
      </c>
      <c r="AF6" s="177" t="s">
        <v>300</v>
      </c>
    </row>
    <row r="7" spans="1:32" ht="21.75" customHeight="1">
      <c r="A7" s="127" t="s">
        <v>301</v>
      </c>
      <c r="B7" s="128" t="s">
        <v>302</v>
      </c>
      <c r="C7" s="305" t="s">
        <v>490</v>
      </c>
      <c r="D7" s="334"/>
      <c r="E7" s="129" t="s">
        <v>491</v>
      </c>
      <c r="F7" s="129" t="s">
        <v>143</v>
      </c>
      <c r="G7" s="129" t="s">
        <v>306</v>
      </c>
      <c r="H7" s="129" t="s">
        <v>492</v>
      </c>
      <c r="I7" s="129" t="s">
        <v>308</v>
      </c>
      <c r="J7" s="129" t="s">
        <v>493</v>
      </c>
      <c r="K7" s="129" t="s">
        <v>494</v>
      </c>
      <c r="L7" s="129" t="s">
        <v>495</v>
      </c>
      <c r="M7" s="130">
        <f>'Current Rents'!D13</f>
        <v>1470</v>
      </c>
      <c r="N7" s="129" t="s">
        <v>496</v>
      </c>
      <c r="O7" s="129" t="s">
        <v>497</v>
      </c>
      <c r="P7" s="129" t="s">
        <v>498</v>
      </c>
      <c r="Q7" s="130">
        <f>'Current Rents'!E13</f>
        <v>1800</v>
      </c>
      <c r="R7" s="129" t="s">
        <v>499</v>
      </c>
      <c r="S7" s="129" t="s">
        <v>500</v>
      </c>
      <c r="T7" s="129" t="s">
        <v>501</v>
      </c>
      <c r="U7" s="130">
        <f>'Current Rents'!F13</f>
        <v>2320</v>
      </c>
      <c r="V7" s="129" t="s">
        <v>502</v>
      </c>
      <c r="W7" s="129" t="s">
        <v>503</v>
      </c>
      <c r="X7" s="129" t="s">
        <v>504</v>
      </c>
      <c r="Y7" s="132" t="s">
        <v>315</v>
      </c>
      <c r="Z7" s="133" t="s">
        <v>316</v>
      </c>
      <c r="AA7" s="133" t="s">
        <v>316</v>
      </c>
      <c r="AB7" s="133" t="s">
        <v>316</v>
      </c>
      <c r="AC7" s="133" t="s">
        <v>316</v>
      </c>
      <c r="AD7" s="128" t="s">
        <v>302</v>
      </c>
      <c r="AE7" s="134" t="s">
        <v>505</v>
      </c>
      <c r="AF7" s="135" t="s">
        <v>318</v>
      </c>
    </row>
    <row r="8" spans="1:32" ht="21.75" customHeight="1">
      <c r="A8" s="136" t="s">
        <v>319</v>
      </c>
      <c r="B8" s="178" t="s">
        <v>320</v>
      </c>
      <c r="C8" s="287" t="s">
        <v>506</v>
      </c>
      <c r="D8" s="334"/>
      <c r="E8" s="138" t="s">
        <v>507</v>
      </c>
      <c r="F8" s="138" t="s">
        <v>508</v>
      </c>
      <c r="G8" s="138" t="s">
        <v>306</v>
      </c>
      <c r="H8" s="138" t="s">
        <v>509</v>
      </c>
      <c r="I8" s="138" t="s">
        <v>510</v>
      </c>
      <c r="J8" s="138" t="s">
        <v>493</v>
      </c>
      <c r="K8" s="138" t="s">
        <v>494</v>
      </c>
      <c r="L8" s="138" t="s">
        <v>495</v>
      </c>
      <c r="M8" s="136" t="s">
        <v>326</v>
      </c>
      <c r="N8" s="138" t="s">
        <v>496</v>
      </c>
      <c r="O8" s="138" t="s">
        <v>497</v>
      </c>
      <c r="P8" s="138" t="s">
        <v>498</v>
      </c>
      <c r="Q8" s="136" t="s">
        <v>326</v>
      </c>
      <c r="R8" s="138" t="s">
        <v>499</v>
      </c>
      <c r="S8" s="138" t="s">
        <v>500</v>
      </c>
      <c r="T8" s="138" t="s">
        <v>501</v>
      </c>
      <c r="U8" s="136" t="s">
        <v>326</v>
      </c>
      <c r="V8" s="138" t="s">
        <v>511</v>
      </c>
      <c r="W8" s="138" t="s">
        <v>503</v>
      </c>
      <c r="X8" s="138" t="s">
        <v>504</v>
      </c>
      <c r="Y8" s="139" t="s">
        <v>315</v>
      </c>
      <c r="Z8" s="140" t="s">
        <v>316</v>
      </c>
      <c r="AA8" s="140" t="s">
        <v>316</v>
      </c>
      <c r="AB8" s="140" t="s">
        <v>316</v>
      </c>
      <c r="AC8" s="140" t="s">
        <v>316</v>
      </c>
      <c r="AD8" s="141" t="s">
        <v>327</v>
      </c>
      <c r="AE8" s="142" t="s">
        <v>512</v>
      </c>
      <c r="AF8" s="143" t="s">
        <v>329</v>
      </c>
    </row>
    <row r="9" spans="1:32" ht="21.75" customHeight="1">
      <c r="A9" s="136" t="s">
        <v>258</v>
      </c>
      <c r="B9" s="178" t="s">
        <v>320</v>
      </c>
      <c r="C9" s="287" t="s">
        <v>513</v>
      </c>
      <c r="D9" s="334"/>
      <c r="E9" s="138" t="s">
        <v>514</v>
      </c>
      <c r="F9" s="138" t="s">
        <v>515</v>
      </c>
      <c r="G9" s="138" t="s">
        <v>306</v>
      </c>
      <c r="H9" s="138" t="s">
        <v>516</v>
      </c>
      <c r="I9" s="138" t="s">
        <v>379</v>
      </c>
      <c r="J9" s="138" t="s">
        <v>493</v>
      </c>
      <c r="K9" s="138" t="s">
        <v>494</v>
      </c>
      <c r="L9" s="138" t="s">
        <v>495</v>
      </c>
      <c r="M9" s="179">
        <v>3200</v>
      </c>
      <c r="N9" s="138" t="s">
        <v>496</v>
      </c>
      <c r="O9" s="138" t="s">
        <v>497</v>
      </c>
      <c r="P9" s="138" t="s">
        <v>498</v>
      </c>
      <c r="Q9" s="179">
        <v>3896</v>
      </c>
      <c r="R9" s="138" t="s">
        <v>499</v>
      </c>
      <c r="S9" s="138" t="s">
        <v>500</v>
      </c>
      <c r="T9" s="138" t="s">
        <v>501</v>
      </c>
      <c r="U9" s="179">
        <v>4686</v>
      </c>
      <c r="V9" s="138" t="s">
        <v>517</v>
      </c>
      <c r="W9" s="138" t="s">
        <v>449</v>
      </c>
      <c r="X9" s="138" t="s">
        <v>258</v>
      </c>
      <c r="Y9" s="139" t="s">
        <v>315</v>
      </c>
      <c r="Z9" s="140" t="s">
        <v>316</v>
      </c>
      <c r="AA9" s="140" t="s">
        <v>316</v>
      </c>
      <c r="AB9" s="140" t="s">
        <v>316</v>
      </c>
      <c r="AC9" s="140" t="s">
        <v>316</v>
      </c>
      <c r="AD9" s="141" t="s">
        <v>327</v>
      </c>
      <c r="AE9" s="142" t="s">
        <v>518</v>
      </c>
      <c r="AF9" s="143" t="s">
        <v>329</v>
      </c>
    </row>
    <row r="10" spans="1:32" ht="21.75" customHeight="1">
      <c r="A10" s="136" t="s">
        <v>237</v>
      </c>
      <c r="B10" s="178" t="s">
        <v>320</v>
      </c>
      <c r="C10" s="287" t="s">
        <v>519</v>
      </c>
      <c r="D10" s="334"/>
      <c r="E10" s="138" t="s">
        <v>520</v>
      </c>
      <c r="F10" s="138" t="s">
        <v>521</v>
      </c>
      <c r="G10" s="138" t="s">
        <v>306</v>
      </c>
      <c r="H10" s="138" t="s">
        <v>522</v>
      </c>
      <c r="I10" s="138" t="s">
        <v>523</v>
      </c>
      <c r="J10" s="138" t="s">
        <v>493</v>
      </c>
      <c r="K10" s="138" t="s">
        <v>494</v>
      </c>
      <c r="L10" s="138" t="s">
        <v>495</v>
      </c>
      <c r="M10" s="136" t="s">
        <v>326</v>
      </c>
      <c r="N10" s="138" t="s">
        <v>496</v>
      </c>
      <c r="O10" s="138" t="s">
        <v>497</v>
      </c>
      <c r="P10" s="138" t="s">
        <v>498</v>
      </c>
      <c r="Q10" s="136" t="s">
        <v>326</v>
      </c>
      <c r="R10" s="138" t="s">
        <v>499</v>
      </c>
      <c r="S10" s="138" t="s">
        <v>500</v>
      </c>
      <c r="T10" s="138" t="s">
        <v>501</v>
      </c>
      <c r="U10" s="136" t="s">
        <v>326</v>
      </c>
      <c r="V10" s="138" t="s">
        <v>236</v>
      </c>
      <c r="W10" s="138" t="s">
        <v>524</v>
      </c>
      <c r="X10" s="138" t="s">
        <v>319</v>
      </c>
      <c r="Y10" s="139" t="s">
        <v>315</v>
      </c>
      <c r="Z10" s="140" t="s">
        <v>316</v>
      </c>
      <c r="AA10" s="140" t="s">
        <v>316</v>
      </c>
      <c r="AB10" s="140" t="s">
        <v>316</v>
      </c>
      <c r="AC10" s="140" t="s">
        <v>316</v>
      </c>
      <c r="AD10" s="141" t="s">
        <v>327</v>
      </c>
      <c r="AE10" s="142" t="s">
        <v>525</v>
      </c>
      <c r="AF10" s="143" t="s">
        <v>329</v>
      </c>
    </row>
    <row r="11" spans="1:32" ht="21.75" customHeight="1">
      <c r="A11" s="136" t="s">
        <v>363</v>
      </c>
      <c r="B11" s="178" t="s">
        <v>320</v>
      </c>
      <c r="C11" s="287" t="s">
        <v>526</v>
      </c>
      <c r="D11" s="334"/>
      <c r="E11" s="138" t="s">
        <v>527</v>
      </c>
      <c r="F11" s="138" t="s">
        <v>528</v>
      </c>
      <c r="G11" s="138" t="s">
        <v>306</v>
      </c>
      <c r="H11" s="138" t="s">
        <v>529</v>
      </c>
      <c r="I11" s="138" t="s">
        <v>530</v>
      </c>
      <c r="J11" s="138" t="s">
        <v>493</v>
      </c>
      <c r="K11" s="138" t="s">
        <v>494</v>
      </c>
      <c r="L11" s="138" t="s">
        <v>495</v>
      </c>
      <c r="M11" s="136" t="s">
        <v>326</v>
      </c>
      <c r="N11" s="138" t="s">
        <v>496</v>
      </c>
      <c r="O11" s="138" t="s">
        <v>497</v>
      </c>
      <c r="P11" s="138" t="s">
        <v>498</v>
      </c>
      <c r="Q11" s="136" t="s">
        <v>326</v>
      </c>
      <c r="R11" s="138" t="s">
        <v>499</v>
      </c>
      <c r="S11" s="138" t="s">
        <v>500</v>
      </c>
      <c r="T11" s="138" t="s">
        <v>501</v>
      </c>
      <c r="U11" s="136" t="s">
        <v>326</v>
      </c>
      <c r="V11" s="138" t="s">
        <v>531</v>
      </c>
      <c r="W11" s="138" t="s">
        <v>532</v>
      </c>
      <c r="X11" s="138" t="s">
        <v>319</v>
      </c>
      <c r="Y11" s="139" t="s">
        <v>315</v>
      </c>
      <c r="Z11" s="140" t="s">
        <v>316</v>
      </c>
      <c r="AA11" s="140" t="s">
        <v>316</v>
      </c>
      <c r="AB11" s="140" t="s">
        <v>316</v>
      </c>
      <c r="AC11" s="140" t="s">
        <v>316</v>
      </c>
      <c r="AD11" s="144" t="s">
        <v>341</v>
      </c>
      <c r="AE11" s="142" t="s">
        <v>533</v>
      </c>
      <c r="AF11" s="143" t="s">
        <v>329</v>
      </c>
    </row>
    <row r="12" spans="1:32" ht="24.75" customHeight="1">
      <c r="A12" s="145" t="s">
        <v>319</v>
      </c>
      <c r="B12" s="146" t="s">
        <v>343</v>
      </c>
      <c r="C12" s="157" t="s">
        <v>534</v>
      </c>
      <c r="D12" s="303" t="s">
        <v>345</v>
      </c>
      <c r="E12" s="147" t="s">
        <v>535</v>
      </c>
      <c r="F12" s="148" t="s">
        <v>143</v>
      </c>
      <c r="G12" s="148" t="s">
        <v>306</v>
      </c>
      <c r="H12" s="148" t="s">
        <v>492</v>
      </c>
      <c r="I12" s="149" t="s">
        <v>348</v>
      </c>
      <c r="J12" s="148" t="s">
        <v>64</v>
      </c>
      <c r="K12" s="148" t="s">
        <v>64</v>
      </c>
      <c r="L12" s="148" t="s">
        <v>495</v>
      </c>
      <c r="M12" s="150">
        <v>1400</v>
      </c>
      <c r="N12" s="151" t="s">
        <v>64</v>
      </c>
      <c r="O12" s="151" t="s">
        <v>64</v>
      </c>
      <c r="P12" s="151" t="s">
        <v>498</v>
      </c>
      <c r="Q12" s="158" t="s">
        <v>64</v>
      </c>
      <c r="R12" s="151" t="s">
        <v>64</v>
      </c>
      <c r="S12" s="151" t="s">
        <v>64</v>
      </c>
      <c r="T12" s="151" t="s">
        <v>501</v>
      </c>
      <c r="U12" s="158" t="s">
        <v>64</v>
      </c>
      <c r="V12" s="149" t="s">
        <v>536</v>
      </c>
      <c r="W12" s="149" t="s">
        <v>524</v>
      </c>
      <c r="X12" s="149" t="s">
        <v>319</v>
      </c>
      <c r="Y12" s="180" t="s">
        <v>316</v>
      </c>
      <c r="Z12" s="180" t="s">
        <v>316</v>
      </c>
      <c r="AA12" s="180" t="s">
        <v>316</v>
      </c>
      <c r="AB12" s="180" t="s">
        <v>316</v>
      </c>
      <c r="AC12" s="180" t="s">
        <v>316</v>
      </c>
      <c r="AD12" s="154" t="s">
        <v>327</v>
      </c>
      <c r="AE12" s="155" t="s">
        <v>537</v>
      </c>
      <c r="AF12" s="156" t="s">
        <v>538</v>
      </c>
    </row>
    <row r="13" spans="1:32" ht="26.25" customHeight="1">
      <c r="A13" s="145" t="s">
        <v>258</v>
      </c>
      <c r="B13" s="146" t="s">
        <v>343</v>
      </c>
      <c r="C13" s="157" t="s">
        <v>539</v>
      </c>
      <c r="D13" s="338"/>
      <c r="E13" s="147" t="s">
        <v>540</v>
      </c>
      <c r="F13" s="148" t="s">
        <v>143</v>
      </c>
      <c r="G13" s="148" t="s">
        <v>306</v>
      </c>
      <c r="H13" s="148" t="s">
        <v>492</v>
      </c>
      <c r="I13" s="149" t="s">
        <v>541</v>
      </c>
      <c r="J13" s="148" t="s">
        <v>64</v>
      </c>
      <c r="K13" s="148" t="s">
        <v>64</v>
      </c>
      <c r="L13" s="148" t="s">
        <v>495</v>
      </c>
      <c r="M13" s="150">
        <v>1989</v>
      </c>
      <c r="N13" s="151" t="s">
        <v>64</v>
      </c>
      <c r="O13" s="151" t="s">
        <v>64</v>
      </c>
      <c r="P13" s="151" t="s">
        <v>498</v>
      </c>
      <c r="Q13" s="150">
        <v>2440</v>
      </c>
      <c r="R13" s="151" t="s">
        <v>64</v>
      </c>
      <c r="S13" s="151" t="s">
        <v>64</v>
      </c>
      <c r="T13" s="151" t="s">
        <v>501</v>
      </c>
      <c r="U13" s="158" t="s">
        <v>64</v>
      </c>
      <c r="V13" s="149" t="s">
        <v>64</v>
      </c>
      <c r="W13" s="149" t="s">
        <v>542</v>
      </c>
      <c r="X13" s="149" t="s">
        <v>253</v>
      </c>
      <c r="Y13" s="180" t="s">
        <v>316</v>
      </c>
      <c r="Z13" s="181" t="s">
        <v>315</v>
      </c>
      <c r="AA13" s="180" t="s">
        <v>316</v>
      </c>
      <c r="AB13" s="181" t="s">
        <v>315</v>
      </c>
      <c r="AC13" s="180" t="s">
        <v>316</v>
      </c>
      <c r="AD13" s="154" t="s">
        <v>327</v>
      </c>
      <c r="AE13" s="155" t="s">
        <v>543</v>
      </c>
      <c r="AF13" s="156" t="s">
        <v>544</v>
      </c>
    </row>
    <row r="14" spans="1:32" ht="25.5" customHeight="1">
      <c r="A14" s="145" t="s">
        <v>237</v>
      </c>
      <c r="B14" s="146" t="s">
        <v>343</v>
      </c>
      <c r="C14" s="157" t="s">
        <v>545</v>
      </c>
      <c r="D14" s="338"/>
      <c r="E14" s="147" t="s">
        <v>546</v>
      </c>
      <c r="F14" s="148" t="s">
        <v>143</v>
      </c>
      <c r="G14" s="148" t="s">
        <v>306</v>
      </c>
      <c r="H14" s="148" t="s">
        <v>492</v>
      </c>
      <c r="I14" s="149" t="s">
        <v>547</v>
      </c>
      <c r="J14" s="148" t="s">
        <v>64</v>
      </c>
      <c r="K14" s="148" t="s">
        <v>64</v>
      </c>
      <c r="L14" s="148" t="s">
        <v>495</v>
      </c>
      <c r="M14" s="150">
        <v>1300</v>
      </c>
      <c r="N14" s="151" t="s">
        <v>64</v>
      </c>
      <c r="O14" s="151" t="s">
        <v>64</v>
      </c>
      <c r="P14" s="151" t="s">
        <v>498</v>
      </c>
      <c r="Q14" s="150">
        <v>1760</v>
      </c>
      <c r="R14" s="151" t="s">
        <v>64</v>
      </c>
      <c r="S14" s="151" t="s">
        <v>64</v>
      </c>
      <c r="T14" s="151" t="s">
        <v>501</v>
      </c>
      <c r="U14" s="150">
        <v>2598</v>
      </c>
      <c r="V14" s="149" t="s">
        <v>64</v>
      </c>
      <c r="W14" s="149" t="s">
        <v>548</v>
      </c>
      <c r="X14" s="149" t="s">
        <v>64</v>
      </c>
      <c r="Y14" s="180" t="s">
        <v>549</v>
      </c>
      <c r="Z14" s="180" t="s">
        <v>549</v>
      </c>
      <c r="AA14" s="180" t="s">
        <v>549</v>
      </c>
      <c r="AB14" s="180" t="s">
        <v>549</v>
      </c>
      <c r="AC14" s="180" t="s">
        <v>549</v>
      </c>
      <c r="AD14" s="182" t="s">
        <v>341</v>
      </c>
      <c r="AE14" s="155" t="s">
        <v>550</v>
      </c>
      <c r="AF14" s="156" t="s">
        <v>551</v>
      </c>
    </row>
    <row r="15" spans="1:32" ht="26.25" customHeight="1">
      <c r="A15" s="145" t="s">
        <v>363</v>
      </c>
      <c r="B15" s="146" t="s">
        <v>343</v>
      </c>
      <c r="C15" s="157" t="s">
        <v>552</v>
      </c>
      <c r="D15" s="338"/>
      <c r="E15" s="147" t="s">
        <v>553</v>
      </c>
      <c r="F15" s="148" t="s">
        <v>521</v>
      </c>
      <c r="G15" s="148" t="s">
        <v>306</v>
      </c>
      <c r="H15" s="148" t="s">
        <v>522</v>
      </c>
      <c r="I15" s="149" t="s">
        <v>554</v>
      </c>
      <c r="J15" s="148" t="s">
        <v>64</v>
      </c>
      <c r="K15" s="148" t="s">
        <v>64</v>
      </c>
      <c r="L15" s="148" t="s">
        <v>495</v>
      </c>
      <c r="M15" s="150">
        <v>2000</v>
      </c>
      <c r="N15" s="151" t="s">
        <v>64</v>
      </c>
      <c r="O15" s="151" t="s">
        <v>64</v>
      </c>
      <c r="P15" s="151" t="s">
        <v>498</v>
      </c>
      <c r="Q15" s="150">
        <v>2240</v>
      </c>
      <c r="R15" s="151" t="s">
        <v>64</v>
      </c>
      <c r="S15" s="151" t="s">
        <v>64</v>
      </c>
      <c r="T15" s="151" t="s">
        <v>501</v>
      </c>
      <c r="U15" s="150">
        <v>2670</v>
      </c>
      <c r="V15" s="149" t="s">
        <v>64</v>
      </c>
      <c r="W15" s="149" t="s">
        <v>64</v>
      </c>
      <c r="X15" s="149" t="s">
        <v>64</v>
      </c>
      <c r="Y15" s="180" t="s">
        <v>64</v>
      </c>
      <c r="Z15" s="180" t="s">
        <v>64</v>
      </c>
      <c r="AA15" s="180" t="s">
        <v>64</v>
      </c>
      <c r="AB15" s="180" t="s">
        <v>316</v>
      </c>
      <c r="AC15" s="180" t="s">
        <v>316</v>
      </c>
      <c r="AD15" s="154" t="s">
        <v>327</v>
      </c>
      <c r="AE15" s="155" t="s">
        <v>555</v>
      </c>
      <c r="AF15" s="156" t="s">
        <v>556</v>
      </c>
    </row>
    <row r="16" spans="1:32" ht="29.25" customHeight="1">
      <c r="A16" s="145" t="s">
        <v>369</v>
      </c>
      <c r="B16" s="146" t="s">
        <v>343</v>
      </c>
      <c r="C16" s="157" t="s">
        <v>557</v>
      </c>
      <c r="D16" s="338"/>
      <c r="E16" s="147" t="s">
        <v>558</v>
      </c>
      <c r="F16" s="148" t="s">
        <v>515</v>
      </c>
      <c r="G16" s="148" t="s">
        <v>306</v>
      </c>
      <c r="H16" s="148" t="s">
        <v>559</v>
      </c>
      <c r="I16" s="149" t="s">
        <v>560</v>
      </c>
      <c r="J16" s="148" t="s">
        <v>64</v>
      </c>
      <c r="K16" s="148" t="s">
        <v>64</v>
      </c>
      <c r="L16" s="148" t="s">
        <v>495</v>
      </c>
      <c r="M16" s="150">
        <v>1900</v>
      </c>
      <c r="N16" s="151" t="s">
        <v>64</v>
      </c>
      <c r="O16" s="151" t="s">
        <v>64</v>
      </c>
      <c r="P16" s="151" t="s">
        <v>498</v>
      </c>
      <c r="Q16" s="150">
        <v>2200</v>
      </c>
      <c r="R16" s="151" t="s">
        <v>64</v>
      </c>
      <c r="S16" s="151" t="s">
        <v>64</v>
      </c>
      <c r="T16" s="151" t="s">
        <v>501</v>
      </c>
      <c r="U16" s="158" t="s">
        <v>64</v>
      </c>
      <c r="V16" s="149" t="s">
        <v>64</v>
      </c>
      <c r="W16" s="149" t="s">
        <v>561</v>
      </c>
      <c r="X16" s="149" t="s">
        <v>562</v>
      </c>
      <c r="Y16" s="180" t="s">
        <v>316</v>
      </c>
      <c r="Z16" s="181" t="s">
        <v>315</v>
      </c>
      <c r="AA16" s="181" t="s">
        <v>315</v>
      </c>
      <c r="AB16" s="181" t="s">
        <v>315</v>
      </c>
      <c r="AC16" s="181" t="s">
        <v>315</v>
      </c>
      <c r="AD16" s="154" t="s">
        <v>327</v>
      </c>
      <c r="AE16" s="155" t="s">
        <v>563</v>
      </c>
      <c r="AF16" s="156" t="s">
        <v>564</v>
      </c>
    </row>
    <row r="17" spans="1:32" ht="28.5" customHeight="1">
      <c r="A17" s="145" t="s">
        <v>255</v>
      </c>
      <c r="B17" s="146" t="s">
        <v>343</v>
      </c>
      <c r="C17" s="157" t="s">
        <v>565</v>
      </c>
      <c r="D17" s="339"/>
      <c r="E17" s="147" t="s">
        <v>566</v>
      </c>
      <c r="F17" s="148" t="s">
        <v>143</v>
      </c>
      <c r="G17" s="148" t="s">
        <v>306</v>
      </c>
      <c r="H17" s="148" t="s">
        <v>492</v>
      </c>
      <c r="I17" s="149" t="s">
        <v>567</v>
      </c>
      <c r="J17" s="148" t="s">
        <v>64</v>
      </c>
      <c r="K17" s="148" t="s">
        <v>64</v>
      </c>
      <c r="L17" s="148" t="s">
        <v>495</v>
      </c>
      <c r="M17" s="150">
        <v>1750</v>
      </c>
      <c r="N17" s="151" t="s">
        <v>64</v>
      </c>
      <c r="O17" s="151" t="s">
        <v>64</v>
      </c>
      <c r="P17" s="151" t="s">
        <v>498</v>
      </c>
      <c r="Q17" s="150">
        <v>2100</v>
      </c>
      <c r="R17" s="151" t="s">
        <v>64</v>
      </c>
      <c r="S17" s="151" t="s">
        <v>64</v>
      </c>
      <c r="T17" s="151" t="s">
        <v>501</v>
      </c>
      <c r="U17" s="150">
        <v>2500</v>
      </c>
      <c r="V17" s="149" t="s">
        <v>64</v>
      </c>
      <c r="W17" s="149" t="s">
        <v>568</v>
      </c>
      <c r="X17" s="149" t="s">
        <v>248</v>
      </c>
      <c r="Y17" s="180" t="s">
        <v>316</v>
      </c>
      <c r="Z17" s="181" t="s">
        <v>315</v>
      </c>
      <c r="AA17" s="181" t="s">
        <v>315</v>
      </c>
      <c r="AB17" s="181" t="s">
        <v>315</v>
      </c>
      <c r="AC17" s="180" t="s">
        <v>316</v>
      </c>
      <c r="AD17" s="154" t="s">
        <v>327</v>
      </c>
      <c r="AE17" s="155" t="s">
        <v>569</v>
      </c>
      <c r="AF17" s="156" t="s">
        <v>570</v>
      </c>
    </row>
    <row r="18" spans="1:32" ht="28.5" customHeight="1">
      <c r="A18" s="159" t="s">
        <v>140</v>
      </c>
      <c r="B18" s="183" t="s">
        <v>382</v>
      </c>
      <c r="C18" s="286" t="s">
        <v>571</v>
      </c>
      <c r="D18" s="334"/>
      <c r="E18" s="159" t="s">
        <v>64</v>
      </c>
      <c r="F18" s="159" t="s">
        <v>143</v>
      </c>
      <c r="G18" s="159" t="s">
        <v>306</v>
      </c>
      <c r="H18" s="159" t="s">
        <v>64</v>
      </c>
      <c r="I18" s="159" t="s">
        <v>64</v>
      </c>
      <c r="J18" s="159" t="s">
        <v>495</v>
      </c>
      <c r="K18" s="159" t="s">
        <v>495</v>
      </c>
      <c r="L18" s="159" t="s">
        <v>495</v>
      </c>
      <c r="M18" s="159" t="s">
        <v>64</v>
      </c>
      <c r="N18" s="159" t="s">
        <v>498</v>
      </c>
      <c r="O18" s="159" t="s">
        <v>498</v>
      </c>
      <c r="P18" s="159" t="s">
        <v>498</v>
      </c>
      <c r="Q18" s="159" t="s">
        <v>64</v>
      </c>
      <c r="R18" s="159" t="s">
        <v>501</v>
      </c>
      <c r="S18" s="159" t="s">
        <v>501</v>
      </c>
      <c r="T18" s="159" t="s">
        <v>501</v>
      </c>
      <c r="U18" s="159" t="s">
        <v>64</v>
      </c>
      <c r="V18" s="159" t="s">
        <v>64</v>
      </c>
      <c r="W18" s="159" t="s">
        <v>64</v>
      </c>
      <c r="X18" s="159" t="s">
        <v>64</v>
      </c>
      <c r="Y18" s="159" t="s">
        <v>64</v>
      </c>
      <c r="Z18" s="159" t="s">
        <v>64</v>
      </c>
      <c r="AA18" s="159" t="s">
        <v>64</v>
      </c>
      <c r="AB18" s="159" t="s">
        <v>64</v>
      </c>
      <c r="AC18" s="159" t="s">
        <v>64</v>
      </c>
      <c r="AD18" s="146" t="s">
        <v>382</v>
      </c>
      <c r="AE18" s="161" t="s">
        <v>572</v>
      </c>
      <c r="AF18" s="162" t="s">
        <v>385</v>
      </c>
    </row>
    <row r="19" spans="1:32" ht="34.5" customHeight="1">
      <c r="A19" s="163" t="s">
        <v>140</v>
      </c>
      <c r="B19" s="183" t="s">
        <v>382</v>
      </c>
      <c r="C19" s="292" t="s">
        <v>573</v>
      </c>
      <c r="D19" s="334"/>
      <c r="E19" s="163" t="s">
        <v>64</v>
      </c>
      <c r="F19" s="163" t="s">
        <v>143</v>
      </c>
      <c r="G19" s="163" t="s">
        <v>306</v>
      </c>
      <c r="H19" s="163" t="s">
        <v>64</v>
      </c>
      <c r="I19" s="163" t="s">
        <v>64</v>
      </c>
      <c r="J19" s="163" t="s">
        <v>574</v>
      </c>
      <c r="K19" s="163" t="s">
        <v>574</v>
      </c>
      <c r="L19" s="163" t="s">
        <v>574</v>
      </c>
      <c r="M19" s="164" t="s">
        <v>574</v>
      </c>
      <c r="N19" s="163" t="s">
        <v>575</v>
      </c>
      <c r="O19" s="163" t="s">
        <v>575</v>
      </c>
      <c r="P19" s="163" t="s">
        <v>575</v>
      </c>
      <c r="Q19" s="164" t="s">
        <v>575</v>
      </c>
      <c r="R19" s="163" t="s">
        <v>576</v>
      </c>
      <c r="S19" s="163" t="s">
        <v>576</v>
      </c>
      <c r="T19" s="163" t="s">
        <v>576</v>
      </c>
      <c r="U19" s="164" t="s">
        <v>576</v>
      </c>
      <c r="V19" s="163" t="s">
        <v>64</v>
      </c>
      <c r="W19" s="163" t="s">
        <v>64</v>
      </c>
      <c r="X19" s="163" t="s">
        <v>64</v>
      </c>
      <c r="Y19" s="163" t="s">
        <v>64</v>
      </c>
      <c r="Z19" s="163" t="s">
        <v>64</v>
      </c>
      <c r="AA19" s="163" t="s">
        <v>64</v>
      </c>
      <c r="AB19" s="163" t="s">
        <v>64</v>
      </c>
      <c r="AC19" s="163" t="s">
        <v>64</v>
      </c>
      <c r="AD19" s="146" t="s">
        <v>382</v>
      </c>
      <c r="AE19" s="165" t="s">
        <v>577</v>
      </c>
      <c r="AF19" s="166" t="s">
        <v>390</v>
      </c>
    </row>
    <row r="20" spans="1:32"/>
    <row r="21" spans="1:32" ht="14.25" customHeight="1">
      <c r="A21" s="298" t="s">
        <v>482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  <c r="AC21" s="325"/>
      <c r="AD21" s="325"/>
      <c r="AE21" s="325"/>
      <c r="AF21" s="325"/>
    </row>
    <row r="22" spans="1:32"/>
    <row r="23" spans="1:32" ht="18" customHeight="1">
      <c r="A23" s="288" t="s">
        <v>392</v>
      </c>
      <c r="B23" s="325"/>
      <c r="C23" s="325"/>
      <c r="D23" s="325"/>
      <c r="E23" s="325"/>
      <c r="F23" s="325"/>
      <c r="G23" s="325"/>
      <c r="H23" s="325"/>
    </row>
    <row r="24" spans="1:32" ht="15.75" customHeight="1">
      <c r="A24" s="285" t="s">
        <v>393</v>
      </c>
      <c r="B24" s="325"/>
      <c r="C24" s="325"/>
      <c r="D24" s="325"/>
      <c r="E24" s="325"/>
      <c r="F24" s="325"/>
      <c r="G24" s="325"/>
      <c r="H24" s="325"/>
    </row>
    <row r="25" spans="1:32" ht="15.75" customHeight="1">
      <c r="A25" s="15"/>
      <c r="B25" s="123" t="s">
        <v>394</v>
      </c>
      <c r="C25" s="269" t="s">
        <v>395</v>
      </c>
      <c r="D25" s="328"/>
      <c r="E25" s="123" t="s">
        <v>396</v>
      </c>
    </row>
    <row r="26" spans="1:32" ht="20.25" customHeight="1">
      <c r="A26" s="167" t="s">
        <v>221</v>
      </c>
      <c r="B26" s="168">
        <f>'Current Rents'!D13</f>
        <v>1470</v>
      </c>
      <c r="C26" s="170">
        <v>1723</v>
      </c>
      <c r="E26" s="184">
        <f>B26-C26</f>
        <v>-253</v>
      </c>
      <c r="F26" s="215" t="str">
        <f>IF(E26&lt;-75,"LOOK INTO INCREASING THE RENT!","")</f>
        <v>LOOK INTO INCREASING THE RENT!</v>
      </c>
    </row>
    <row r="27" spans="1:32" ht="20.25" customHeight="1">
      <c r="A27" s="167" t="s">
        <v>215</v>
      </c>
      <c r="B27" s="168">
        <f>'Current Rents'!E13</f>
        <v>1800</v>
      </c>
      <c r="C27" s="170">
        <v>2148</v>
      </c>
      <c r="E27" s="184">
        <f>B27-C27</f>
        <v>-348</v>
      </c>
      <c r="F27" s="215" t="str">
        <f>IF(E27&lt;-75,"LOOK INTO INCREASING THE RENT!","")</f>
        <v>LOOK INTO INCREASING THE RENT!</v>
      </c>
    </row>
    <row r="28" spans="1:32" ht="20.25" customHeight="1">
      <c r="A28" s="167" t="s">
        <v>216</v>
      </c>
      <c r="B28" s="168">
        <f>'Current Rents'!F13</f>
        <v>2320</v>
      </c>
      <c r="C28" s="170">
        <v>2589</v>
      </c>
      <c r="E28" s="184">
        <f>B28-C28</f>
        <v>-269</v>
      </c>
      <c r="F28" s="215" t="str">
        <f>IF(E28&lt;-75,"LOOK INTO INCREASING THE RENT!","")</f>
        <v>LOOK INTO INCREASING THE RENT!</v>
      </c>
    </row>
    <row r="29" spans="1:32"/>
    <row r="30" spans="1:32"/>
    <row r="31" spans="1:32"/>
    <row r="32" spans="1:32"/>
    <row r="33"/>
    <row r="34"/>
    <row r="35"/>
    <row r="36"/>
    <row r="37"/>
  </sheetData>
  <mergeCells count="18">
    <mergeCell ref="C6:D6"/>
    <mergeCell ref="C10:D10"/>
    <mergeCell ref="C7:D7"/>
    <mergeCell ref="AD2:AF2"/>
    <mergeCell ref="A5:AF5"/>
    <mergeCell ref="A4:AF4"/>
    <mergeCell ref="A3:AF3"/>
    <mergeCell ref="C9:D9"/>
    <mergeCell ref="A2:AC2"/>
    <mergeCell ref="C8:D8"/>
    <mergeCell ref="C25:D25"/>
    <mergeCell ref="C11:D11"/>
    <mergeCell ref="A24:H24"/>
    <mergeCell ref="C19:D19"/>
    <mergeCell ref="D12:D17"/>
    <mergeCell ref="A21:AF21"/>
    <mergeCell ref="A23:H23"/>
    <mergeCell ref="C18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"/>
  <sheetViews>
    <sheetView workbookViewId="0">
      <pane ySplit="1" topLeftCell="A11" activePane="bottomLeft" state="frozen"/>
      <selection pane="bottomLeft" activeCell="H19" sqref="H19"/>
    </sheetView>
  </sheetViews>
  <sheetFormatPr defaultColWidth="9.140625" defaultRowHeight="21.75" customHeight="1"/>
  <cols>
    <col min="1" max="1" width="10" customWidth="1"/>
    <col min="2" max="2" width="18.42578125" customWidth="1"/>
    <col min="3" max="3" width="37.28515625" customWidth="1"/>
    <col min="4" max="4" width="3.5703125" customWidth="1"/>
    <col min="5" max="5" width="25.7109375" customWidth="1"/>
    <col min="6" max="6" width="18.7109375" customWidth="1"/>
    <col min="7" max="8" width="6.28515625" customWidth="1"/>
    <col min="9" max="9" width="9.42578125" customWidth="1"/>
    <col min="10" max="11" width="6.85546875" hidden="1" customWidth="1"/>
    <col min="12" max="12" width="5.28515625" hidden="1" customWidth="1"/>
    <col min="13" max="13" width="18.5703125" style="195" customWidth="1"/>
    <col min="14" max="15" width="6.85546875" hidden="1" customWidth="1"/>
    <col min="16" max="16" width="5.28515625" hidden="1" customWidth="1"/>
    <col min="17" max="17" width="19" style="195" customWidth="1"/>
    <col min="18" max="25" width="9.28515625" customWidth="1"/>
    <col min="26" max="26" width="26.42578125" customWidth="1"/>
    <col min="27" max="27" width="59.85546875" customWidth="1"/>
    <col min="28" max="28" width="48.140625" customWidth="1"/>
  </cols>
  <sheetData>
    <row r="1" spans="1:28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85"/>
      <c r="N1" s="1"/>
      <c r="O1" s="1"/>
      <c r="P1" s="1"/>
      <c r="Q1" s="185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6" customHeight="1">
      <c r="A2" s="293" t="s">
        <v>578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4"/>
      <c r="Z2" s="308" t="s">
        <v>579</v>
      </c>
      <c r="AA2" s="333"/>
      <c r="AB2" s="334"/>
    </row>
    <row r="3" spans="1:28" ht="18" customHeight="1">
      <c r="A3" s="307" t="s">
        <v>580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4"/>
    </row>
    <row r="4" spans="1:28" ht="14.25" customHeight="1">
      <c r="A4" s="297" t="s">
        <v>581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4"/>
    </row>
    <row r="5" spans="1:28" ht="25.5" customHeight="1">
      <c r="A5" s="309" t="s">
        <v>582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4"/>
    </row>
    <row r="6" spans="1:28" ht="25.5" customHeight="1">
      <c r="A6" s="171" t="s">
        <v>276</v>
      </c>
      <c r="B6" s="171" t="s">
        <v>277</v>
      </c>
      <c r="C6" s="304" t="s">
        <v>3</v>
      </c>
      <c r="D6" s="334"/>
      <c r="E6" s="171" t="s">
        <v>278</v>
      </c>
      <c r="F6" s="171" t="s">
        <v>279</v>
      </c>
      <c r="G6" s="172" t="s">
        <v>280</v>
      </c>
      <c r="H6" s="172" t="s">
        <v>281</v>
      </c>
      <c r="I6" s="172" t="s">
        <v>282</v>
      </c>
      <c r="J6" s="172" t="s">
        <v>283</v>
      </c>
      <c r="K6" s="172" t="s">
        <v>284</v>
      </c>
      <c r="L6" s="172" t="s">
        <v>285</v>
      </c>
      <c r="M6" s="186" t="s">
        <v>286</v>
      </c>
      <c r="N6" s="187" t="s">
        <v>287</v>
      </c>
      <c r="O6" s="187" t="s">
        <v>288</v>
      </c>
      <c r="P6" s="187" t="s">
        <v>289</v>
      </c>
      <c r="Q6" s="186" t="s">
        <v>403</v>
      </c>
      <c r="R6" s="175" t="s">
        <v>6</v>
      </c>
      <c r="S6" s="175" t="s">
        <v>291</v>
      </c>
      <c r="T6" s="175" t="s">
        <v>292</v>
      </c>
      <c r="U6" s="175" t="s">
        <v>293</v>
      </c>
      <c r="V6" s="175" t="s">
        <v>294</v>
      </c>
      <c r="W6" s="175" t="s">
        <v>295</v>
      </c>
      <c r="X6" s="175" t="s">
        <v>296</v>
      </c>
      <c r="Y6" s="175" t="s">
        <v>297</v>
      </c>
      <c r="Z6" s="176" t="s">
        <v>298</v>
      </c>
      <c r="AA6" s="177" t="s">
        <v>299</v>
      </c>
      <c r="AB6" s="177" t="s">
        <v>300</v>
      </c>
    </row>
    <row r="7" spans="1:28" ht="21.75" customHeight="1">
      <c r="A7" s="127" t="s">
        <v>301</v>
      </c>
      <c r="B7" s="128" t="s">
        <v>302</v>
      </c>
      <c r="C7" s="305" t="s">
        <v>583</v>
      </c>
      <c r="D7" s="334"/>
      <c r="E7" s="129" t="s">
        <v>584</v>
      </c>
      <c r="F7" s="129" t="s">
        <v>585</v>
      </c>
      <c r="G7" s="129" t="s">
        <v>306</v>
      </c>
      <c r="H7" s="129" t="s">
        <v>586</v>
      </c>
      <c r="I7" s="129" t="s">
        <v>308</v>
      </c>
      <c r="J7" s="129" t="s">
        <v>587</v>
      </c>
      <c r="K7" s="129" t="s">
        <v>588</v>
      </c>
      <c r="L7" s="129" t="s">
        <v>589</v>
      </c>
      <c r="M7" s="188">
        <f>'Current Rents'!E14</f>
        <v>1451</v>
      </c>
      <c r="N7" s="129" t="s">
        <v>590</v>
      </c>
      <c r="O7" s="129" t="s">
        <v>591</v>
      </c>
      <c r="P7" s="129" t="s">
        <v>592</v>
      </c>
      <c r="Q7" s="188">
        <f>'Current Rents'!F14</f>
        <v>1613</v>
      </c>
      <c r="R7" s="129" t="s">
        <v>593</v>
      </c>
      <c r="S7" s="129" t="s">
        <v>532</v>
      </c>
      <c r="T7" s="129" t="s">
        <v>504</v>
      </c>
      <c r="U7" s="132" t="s">
        <v>315</v>
      </c>
      <c r="V7" s="133" t="s">
        <v>316</v>
      </c>
      <c r="W7" s="133" t="s">
        <v>316</v>
      </c>
      <c r="X7" s="133" t="s">
        <v>316</v>
      </c>
      <c r="Y7" s="133" t="s">
        <v>316</v>
      </c>
      <c r="Z7" s="128" t="s">
        <v>302</v>
      </c>
      <c r="AA7" s="134" t="s">
        <v>594</v>
      </c>
      <c r="AB7" s="135" t="s">
        <v>318</v>
      </c>
    </row>
    <row r="8" spans="1:28" ht="21.75" customHeight="1">
      <c r="A8" s="136" t="s">
        <v>319</v>
      </c>
      <c r="B8" s="178" t="s">
        <v>320</v>
      </c>
      <c r="C8" s="287" t="s">
        <v>595</v>
      </c>
      <c r="D8" s="334"/>
      <c r="E8" s="138" t="s">
        <v>596</v>
      </c>
      <c r="F8" s="138" t="s">
        <v>585</v>
      </c>
      <c r="G8" s="138" t="s">
        <v>306</v>
      </c>
      <c r="H8" s="138" t="s">
        <v>597</v>
      </c>
      <c r="I8" s="138" t="s">
        <v>598</v>
      </c>
      <c r="J8" s="138" t="s">
        <v>587</v>
      </c>
      <c r="K8" s="138" t="s">
        <v>588</v>
      </c>
      <c r="L8" s="138" t="s">
        <v>589</v>
      </c>
      <c r="M8" s="189" t="s">
        <v>326</v>
      </c>
      <c r="N8" s="138" t="s">
        <v>590</v>
      </c>
      <c r="O8" s="138" t="s">
        <v>591</v>
      </c>
      <c r="P8" s="138" t="s">
        <v>592</v>
      </c>
      <c r="Q8" s="189" t="s">
        <v>326</v>
      </c>
      <c r="R8" s="138" t="s">
        <v>593</v>
      </c>
      <c r="S8" s="138" t="s">
        <v>532</v>
      </c>
      <c r="T8" s="138" t="s">
        <v>504</v>
      </c>
      <c r="U8" s="139" t="s">
        <v>315</v>
      </c>
      <c r="V8" s="140" t="s">
        <v>316</v>
      </c>
      <c r="W8" s="140" t="s">
        <v>316</v>
      </c>
      <c r="X8" s="140" t="s">
        <v>316</v>
      </c>
      <c r="Y8" s="140" t="s">
        <v>316</v>
      </c>
      <c r="Z8" s="190" t="s">
        <v>327</v>
      </c>
      <c r="AA8" s="142" t="s">
        <v>599</v>
      </c>
      <c r="AB8" s="143" t="s">
        <v>595</v>
      </c>
    </row>
    <row r="9" spans="1:28" ht="21.75" customHeight="1">
      <c r="A9" s="136" t="s">
        <v>258</v>
      </c>
      <c r="B9" s="178" t="s">
        <v>320</v>
      </c>
      <c r="C9" s="287" t="s">
        <v>600</v>
      </c>
      <c r="D9" s="334"/>
      <c r="E9" s="138" t="s">
        <v>601</v>
      </c>
      <c r="F9" s="138" t="s">
        <v>602</v>
      </c>
      <c r="G9" s="138" t="s">
        <v>306</v>
      </c>
      <c r="H9" s="138" t="s">
        <v>603</v>
      </c>
      <c r="I9" s="138" t="s">
        <v>604</v>
      </c>
      <c r="J9" s="138" t="s">
        <v>587</v>
      </c>
      <c r="K9" s="138" t="s">
        <v>588</v>
      </c>
      <c r="L9" s="138" t="s">
        <v>589</v>
      </c>
      <c r="M9" s="189" t="s">
        <v>326</v>
      </c>
      <c r="N9" s="138" t="s">
        <v>590</v>
      </c>
      <c r="O9" s="138" t="s">
        <v>591</v>
      </c>
      <c r="P9" s="138" t="s">
        <v>592</v>
      </c>
      <c r="Q9" s="189" t="s">
        <v>326</v>
      </c>
      <c r="R9" s="138" t="s">
        <v>605</v>
      </c>
      <c r="S9" s="138" t="s">
        <v>449</v>
      </c>
      <c r="T9" s="138" t="s">
        <v>319</v>
      </c>
      <c r="U9" s="139" t="s">
        <v>315</v>
      </c>
      <c r="V9" s="140" t="s">
        <v>316</v>
      </c>
      <c r="W9" s="140" t="s">
        <v>316</v>
      </c>
      <c r="X9" s="140" t="s">
        <v>316</v>
      </c>
      <c r="Y9" s="140" t="s">
        <v>316</v>
      </c>
      <c r="Z9" s="191" t="s">
        <v>606</v>
      </c>
      <c r="AA9" s="142" t="s">
        <v>607</v>
      </c>
      <c r="AB9" s="143" t="s">
        <v>608</v>
      </c>
    </row>
    <row r="10" spans="1:28" ht="21.75" customHeight="1">
      <c r="A10" s="136" t="s">
        <v>237</v>
      </c>
      <c r="B10" s="178" t="s">
        <v>320</v>
      </c>
      <c r="C10" s="287" t="s">
        <v>609</v>
      </c>
      <c r="D10" s="334"/>
      <c r="E10" s="138" t="s">
        <v>610</v>
      </c>
      <c r="F10" s="138" t="s">
        <v>454</v>
      </c>
      <c r="G10" s="138" t="s">
        <v>306</v>
      </c>
      <c r="H10" s="138" t="s">
        <v>611</v>
      </c>
      <c r="I10" s="138" t="s">
        <v>612</v>
      </c>
      <c r="J10" s="138" t="s">
        <v>587</v>
      </c>
      <c r="K10" s="138" t="s">
        <v>588</v>
      </c>
      <c r="L10" s="138" t="s">
        <v>589</v>
      </c>
      <c r="M10" s="189" t="s">
        <v>326</v>
      </c>
      <c r="N10" s="138" t="s">
        <v>590</v>
      </c>
      <c r="O10" s="138" t="s">
        <v>591</v>
      </c>
      <c r="P10" s="138" t="s">
        <v>592</v>
      </c>
      <c r="Q10" s="189" t="s">
        <v>326</v>
      </c>
      <c r="R10" s="138" t="s">
        <v>613</v>
      </c>
      <c r="S10" s="138" t="s">
        <v>503</v>
      </c>
      <c r="T10" s="138" t="s">
        <v>319</v>
      </c>
      <c r="U10" s="139" t="s">
        <v>315</v>
      </c>
      <c r="V10" s="140" t="s">
        <v>316</v>
      </c>
      <c r="W10" s="140" t="s">
        <v>316</v>
      </c>
      <c r="X10" s="140" t="s">
        <v>316</v>
      </c>
      <c r="Y10" s="140" t="s">
        <v>316</v>
      </c>
      <c r="Z10" s="191" t="s">
        <v>606</v>
      </c>
      <c r="AA10" s="142" t="s">
        <v>614</v>
      </c>
      <c r="AB10" s="143" t="s">
        <v>615</v>
      </c>
    </row>
    <row r="11" spans="1:28" ht="21.75" customHeight="1">
      <c r="A11" s="136" t="s">
        <v>363</v>
      </c>
      <c r="B11" s="178" t="s">
        <v>320</v>
      </c>
      <c r="C11" s="287" t="s">
        <v>616</v>
      </c>
      <c r="D11" s="334"/>
      <c r="E11" s="138" t="s">
        <v>617</v>
      </c>
      <c r="F11" s="138" t="s">
        <v>618</v>
      </c>
      <c r="G11" s="138" t="s">
        <v>306</v>
      </c>
      <c r="H11" s="138" t="s">
        <v>619</v>
      </c>
      <c r="I11" s="138" t="s">
        <v>510</v>
      </c>
      <c r="J11" s="138" t="s">
        <v>587</v>
      </c>
      <c r="K11" s="138" t="s">
        <v>588</v>
      </c>
      <c r="L11" s="138" t="s">
        <v>589</v>
      </c>
      <c r="M11" s="189" t="s">
        <v>326</v>
      </c>
      <c r="N11" s="138" t="s">
        <v>590</v>
      </c>
      <c r="O11" s="138" t="s">
        <v>591</v>
      </c>
      <c r="P11" s="138" t="s">
        <v>592</v>
      </c>
      <c r="Q11" s="189" t="s">
        <v>326</v>
      </c>
      <c r="R11" s="138" t="s">
        <v>620</v>
      </c>
      <c r="S11" s="138" t="s">
        <v>449</v>
      </c>
      <c r="T11" s="138" t="s">
        <v>319</v>
      </c>
      <c r="U11" s="139" t="s">
        <v>315</v>
      </c>
      <c r="V11" s="140" t="s">
        <v>316</v>
      </c>
      <c r="W11" s="140" t="s">
        <v>316</v>
      </c>
      <c r="X11" s="140" t="s">
        <v>316</v>
      </c>
      <c r="Y11" s="140" t="s">
        <v>316</v>
      </c>
      <c r="Z11" s="190" t="s">
        <v>327</v>
      </c>
      <c r="AA11" s="142" t="s">
        <v>621</v>
      </c>
      <c r="AB11" s="143" t="s">
        <v>329</v>
      </c>
    </row>
    <row r="12" spans="1:28" ht="26.25" customHeight="1">
      <c r="A12" s="145" t="s">
        <v>319</v>
      </c>
      <c r="B12" s="146" t="s">
        <v>343</v>
      </c>
      <c r="C12" s="157" t="s">
        <v>622</v>
      </c>
      <c r="D12" s="303" t="s">
        <v>345</v>
      </c>
      <c r="E12" s="147" t="s">
        <v>623</v>
      </c>
      <c r="F12" s="147" t="s">
        <v>585</v>
      </c>
      <c r="G12" s="147" t="s">
        <v>306</v>
      </c>
      <c r="H12" s="147" t="s">
        <v>624</v>
      </c>
      <c r="I12" s="147" t="s">
        <v>598</v>
      </c>
      <c r="J12" s="148" t="s">
        <v>64</v>
      </c>
      <c r="K12" s="148" t="s">
        <v>64</v>
      </c>
      <c r="L12" s="148" t="s">
        <v>589</v>
      </c>
      <c r="M12" s="192">
        <v>1559</v>
      </c>
      <c r="N12" s="148" t="s">
        <v>64</v>
      </c>
      <c r="O12" s="148" t="s">
        <v>64</v>
      </c>
      <c r="P12" s="148" t="s">
        <v>592</v>
      </c>
      <c r="Q12" s="192">
        <v>1799</v>
      </c>
      <c r="R12" s="147" t="s">
        <v>64</v>
      </c>
      <c r="S12" s="147" t="s">
        <v>542</v>
      </c>
      <c r="T12" s="147" t="s">
        <v>252</v>
      </c>
      <c r="U12" s="152" t="s">
        <v>316</v>
      </c>
      <c r="V12" s="153" t="s">
        <v>315</v>
      </c>
      <c r="W12" s="153" t="s">
        <v>315</v>
      </c>
      <c r="X12" s="153" t="s">
        <v>315</v>
      </c>
      <c r="Y12" s="153" t="s">
        <v>315</v>
      </c>
      <c r="Z12" s="190" t="s">
        <v>327</v>
      </c>
      <c r="AA12" s="155" t="s">
        <v>625</v>
      </c>
      <c r="AB12" s="156" t="s">
        <v>626</v>
      </c>
    </row>
    <row r="13" spans="1:28" ht="26.25" customHeight="1">
      <c r="A13" s="145" t="s">
        <v>258</v>
      </c>
      <c r="B13" s="146" t="s">
        <v>343</v>
      </c>
      <c r="C13" s="157" t="s">
        <v>627</v>
      </c>
      <c r="D13" s="338"/>
      <c r="E13" s="147" t="s">
        <v>628</v>
      </c>
      <c r="F13" s="147" t="s">
        <v>585</v>
      </c>
      <c r="G13" s="147" t="s">
        <v>306</v>
      </c>
      <c r="H13" s="147" t="s">
        <v>586</v>
      </c>
      <c r="I13" s="147" t="s">
        <v>418</v>
      </c>
      <c r="J13" s="148" t="s">
        <v>64</v>
      </c>
      <c r="K13" s="148" t="s">
        <v>64</v>
      </c>
      <c r="L13" s="148" t="s">
        <v>589</v>
      </c>
      <c r="M13" s="192">
        <v>1839</v>
      </c>
      <c r="N13" s="148" t="s">
        <v>64</v>
      </c>
      <c r="O13" s="148" t="s">
        <v>64</v>
      </c>
      <c r="P13" s="148" t="s">
        <v>592</v>
      </c>
      <c r="Q13" s="192">
        <v>1850</v>
      </c>
      <c r="R13" s="147" t="s">
        <v>64</v>
      </c>
      <c r="S13" s="147" t="s">
        <v>629</v>
      </c>
      <c r="T13" s="147" t="s">
        <v>253</v>
      </c>
      <c r="U13" s="152" t="s">
        <v>316</v>
      </c>
      <c r="V13" s="153" t="s">
        <v>315</v>
      </c>
      <c r="W13" s="153" t="s">
        <v>315</v>
      </c>
      <c r="X13" s="153" t="s">
        <v>315</v>
      </c>
      <c r="Y13" s="153" t="s">
        <v>315</v>
      </c>
      <c r="Z13" s="190" t="s">
        <v>327</v>
      </c>
      <c r="AA13" s="155" t="s">
        <v>630</v>
      </c>
      <c r="AB13" s="156" t="s">
        <v>631</v>
      </c>
    </row>
    <row r="14" spans="1:28" ht="26.25" customHeight="1">
      <c r="A14" s="145" t="s">
        <v>237</v>
      </c>
      <c r="B14" s="146" t="s">
        <v>343</v>
      </c>
      <c r="C14" s="157" t="s">
        <v>632</v>
      </c>
      <c r="D14" s="338"/>
      <c r="E14" s="147" t="s">
        <v>633</v>
      </c>
      <c r="F14" s="147" t="s">
        <v>585</v>
      </c>
      <c r="G14" s="147" t="s">
        <v>306</v>
      </c>
      <c r="H14" s="147" t="s">
        <v>586</v>
      </c>
      <c r="I14" s="147" t="s">
        <v>634</v>
      </c>
      <c r="J14" s="148" t="s">
        <v>64</v>
      </c>
      <c r="K14" s="148" t="s">
        <v>64</v>
      </c>
      <c r="L14" s="148" t="s">
        <v>589</v>
      </c>
      <c r="M14" s="192">
        <v>1558</v>
      </c>
      <c r="N14" s="148" t="s">
        <v>64</v>
      </c>
      <c r="O14" s="148" t="s">
        <v>64</v>
      </c>
      <c r="P14" s="148" t="s">
        <v>592</v>
      </c>
      <c r="Q14" s="192">
        <v>2015</v>
      </c>
      <c r="R14" s="147" t="s">
        <v>64</v>
      </c>
      <c r="S14" s="147" t="s">
        <v>635</v>
      </c>
      <c r="T14" s="147" t="s">
        <v>250</v>
      </c>
      <c r="U14" s="152" t="s">
        <v>316</v>
      </c>
      <c r="V14" s="153" t="s">
        <v>315</v>
      </c>
      <c r="W14" s="153" t="s">
        <v>315</v>
      </c>
      <c r="X14" s="153" t="s">
        <v>315</v>
      </c>
      <c r="Y14" s="153" t="s">
        <v>315</v>
      </c>
      <c r="Z14" s="190" t="s">
        <v>327</v>
      </c>
      <c r="AA14" s="155" t="s">
        <v>636</v>
      </c>
      <c r="AB14" s="156" t="s">
        <v>637</v>
      </c>
    </row>
    <row r="15" spans="1:28" ht="26.25" customHeight="1">
      <c r="A15" s="145" t="s">
        <v>363</v>
      </c>
      <c r="B15" s="146" t="s">
        <v>343</v>
      </c>
      <c r="C15" s="157" t="s">
        <v>638</v>
      </c>
      <c r="D15" s="338"/>
      <c r="E15" s="147" t="s">
        <v>639</v>
      </c>
      <c r="F15" s="147" t="s">
        <v>585</v>
      </c>
      <c r="G15" s="147" t="s">
        <v>306</v>
      </c>
      <c r="H15" s="147" t="s">
        <v>586</v>
      </c>
      <c r="I15" s="147" t="s">
        <v>640</v>
      </c>
      <c r="J15" s="148" t="s">
        <v>64</v>
      </c>
      <c r="K15" s="148" t="s">
        <v>64</v>
      </c>
      <c r="L15" s="148" t="s">
        <v>589</v>
      </c>
      <c r="M15" s="192">
        <v>1529</v>
      </c>
      <c r="N15" s="148" t="s">
        <v>64</v>
      </c>
      <c r="O15" s="148" t="s">
        <v>64</v>
      </c>
      <c r="P15" s="148" t="s">
        <v>592</v>
      </c>
      <c r="Q15" s="192">
        <v>1786</v>
      </c>
      <c r="R15" s="147" t="s">
        <v>64</v>
      </c>
      <c r="S15" s="147" t="s">
        <v>635</v>
      </c>
      <c r="T15" s="147" t="s">
        <v>250</v>
      </c>
      <c r="U15" s="152" t="s">
        <v>316</v>
      </c>
      <c r="V15" s="153" t="s">
        <v>315</v>
      </c>
      <c r="W15" s="153" t="s">
        <v>315</v>
      </c>
      <c r="X15" s="153" t="s">
        <v>315</v>
      </c>
      <c r="Y15" s="153" t="s">
        <v>315</v>
      </c>
      <c r="Z15" s="190" t="s">
        <v>327</v>
      </c>
      <c r="AA15" s="155" t="s">
        <v>641</v>
      </c>
      <c r="AB15" s="156" t="s">
        <v>642</v>
      </c>
    </row>
    <row r="16" spans="1:28" ht="26.25" customHeight="1">
      <c r="A16" s="145" t="s">
        <v>369</v>
      </c>
      <c r="B16" s="146" t="s">
        <v>343</v>
      </c>
      <c r="C16" s="157" t="s">
        <v>643</v>
      </c>
      <c r="D16" s="338"/>
      <c r="E16" s="147" t="s">
        <v>644</v>
      </c>
      <c r="F16" s="147" t="s">
        <v>585</v>
      </c>
      <c r="G16" s="147" t="s">
        <v>306</v>
      </c>
      <c r="H16" s="147" t="s">
        <v>586</v>
      </c>
      <c r="I16" s="147" t="s">
        <v>366</v>
      </c>
      <c r="J16" s="148" t="s">
        <v>64</v>
      </c>
      <c r="K16" s="148" t="s">
        <v>64</v>
      </c>
      <c r="L16" s="148" t="s">
        <v>589</v>
      </c>
      <c r="M16" s="192">
        <v>1509</v>
      </c>
      <c r="N16" s="148" t="s">
        <v>64</v>
      </c>
      <c r="O16" s="148" t="s">
        <v>64</v>
      </c>
      <c r="P16" s="148" t="s">
        <v>592</v>
      </c>
      <c r="Q16" s="192">
        <v>1770</v>
      </c>
      <c r="R16" s="147" t="s">
        <v>64</v>
      </c>
      <c r="S16" s="147" t="s">
        <v>645</v>
      </c>
      <c r="T16" s="147" t="s">
        <v>264</v>
      </c>
      <c r="U16" s="152" t="s">
        <v>316</v>
      </c>
      <c r="V16" s="153" t="s">
        <v>315</v>
      </c>
      <c r="W16" s="152" t="s">
        <v>316</v>
      </c>
      <c r="X16" s="153" t="s">
        <v>315</v>
      </c>
      <c r="Y16" s="152" t="s">
        <v>316</v>
      </c>
      <c r="Z16" s="190" t="s">
        <v>327</v>
      </c>
      <c r="AA16" s="155" t="s">
        <v>646</v>
      </c>
      <c r="AB16" s="156" t="s">
        <v>647</v>
      </c>
    </row>
    <row r="17" spans="1:28" ht="26.25" customHeight="1">
      <c r="A17" s="145" t="s">
        <v>255</v>
      </c>
      <c r="B17" s="146" t="s">
        <v>343</v>
      </c>
      <c r="C17" s="157" t="s">
        <v>648</v>
      </c>
      <c r="D17" s="339"/>
      <c r="E17" s="147" t="s">
        <v>649</v>
      </c>
      <c r="F17" s="147" t="s">
        <v>585</v>
      </c>
      <c r="G17" s="147" t="s">
        <v>306</v>
      </c>
      <c r="H17" s="147" t="s">
        <v>586</v>
      </c>
      <c r="I17" s="147" t="s">
        <v>650</v>
      </c>
      <c r="J17" s="148" t="s">
        <v>64</v>
      </c>
      <c r="K17" s="148" t="s">
        <v>64</v>
      </c>
      <c r="L17" s="148" t="s">
        <v>589</v>
      </c>
      <c r="M17" s="192">
        <v>1525</v>
      </c>
      <c r="N17" s="148" t="s">
        <v>64</v>
      </c>
      <c r="O17" s="148" t="s">
        <v>64</v>
      </c>
      <c r="P17" s="148" t="s">
        <v>592</v>
      </c>
      <c r="Q17" s="192">
        <v>1700</v>
      </c>
      <c r="R17" s="147" t="s">
        <v>64</v>
      </c>
      <c r="S17" s="147" t="s">
        <v>645</v>
      </c>
      <c r="T17" s="147" t="s">
        <v>264</v>
      </c>
      <c r="U17" s="152" t="s">
        <v>316</v>
      </c>
      <c r="V17" s="153" t="s">
        <v>315</v>
      </c>
      <c r="W17" s="152" t="s">
        <v>316</v>
      </c>
      <c r="X17" s="153" t="s">
        <v>315</v>
      </c>
      <c r="Y17" s="152" t="s">
        <v>316</v>
      </c>
      <c r="Z17" s="190" t="s">
        <v>327</v>
      </c>
      <c r="AA17" s="155" t="s">
        <v>651</v>
      </c>
      <c r="AB17" s="156" t="s">
        <v>652</v>
      </c>
    </row>
    <row r="18" spans="1:28" ht="28.5" customHeight="1">
      <c r="A18" s="159" t="s">
        <v>140</v>
      </c>
      <c r="B18" s="183" t="s">
        <v>382</v>
      </c>
      <c r="C18" s="286" t="s">
        <v>653</v>
      </c>
      <c r="D18" s="334"/>
      <c r="E18" s="159" t="s">
        <v>64</v>
      </c>
      <c r="F18" s="159" t="s">
        <v>585</v>
      </c>
      <c r="G18" s="159" t="s">
        <v>306</v>
      </c>
      <c r="H18" s="159" t="s">
        <v>64</v>
      </c>
      <c r="I18" s="159" t="s">
        <v>64</v>
      </c>
      <c r="J18" s="159" t="s">
        <v>589</v>
      </c>
      <c r="K18" s="159" t="s">
        <v>589</v>
      </c>
      <c r="L18" s="159" t="s">
        <v>589</v>
      </c>
      <c r="M18" s="193" t="s">
        <v>64</v>
      </c>
      <c r="N18" s="159" t="s">
        <v>592</v>
      </c>
      <c r="O18" s="159" t="s">
        <v>592</v>
      </c>
      <c r="P18" s="159" t="s">
        <v>592</v>
      </c>
      <c r="Q18" s="193" t="s">
        <v>64</v>
      </c>
      <c r="R18" s="159" t="s">
        <v>64</v>
      </c>
      <c r="S18" s="159" t="s">
        <v>64</v>
      </c>
      <c r="T18" s="159" t="s">
        <v>64</v>
      </c>
      <c r="U18" s="159" t="s">
        <v>64</v>
      </c>
      <c r="V18" s="159" t="s">
        <v>64</v>
      </c>
      <c r="W18" s="159" t="s">
        <v>64</v>
      </c>
      <c r="X18" s="159" t="s">
        <v>64</v>
      </c>
      <c r="Y18" s="159" t="s">
        <v>64</v>
      </c>
      <c r="Z18" s="146" t="s">
        <v>382</v>
      </c>
      <c r="AA18" s="161" t="s">
        <v>654</v>
      </c>
      <c r="AB18" s="162" t="s">
        <v>385</v>
      </c>
    </row>
    <row r="19" spans="1:28" ht="34.5" customHeight="1">
      <c r="A19" s="163" t="s">
        <v>140</v>
      </c>
      <c r="B19" s="183" t="s">
        <v>382</v>
      </c>
      <c r="C19" s="292" t="s">
        <v>655</v>
      </c>
      <c r="D19" s="334"/>
      <c r="E19" s="163" t="s">
        <v>64</v>
      </c>
      <c r="F19" s="163" t="s">
        <v>585</v>
      </c>
      <c r="G19" s="163" t="s">
        <v>306</v>
      </c>
      <c r="H19" s="163" t="s">
        <v>64</v>
      </c>
      <c r="I19" s="163" t="s">
        <v>64</v>
      </c>
      <c r="J19" s="163" t="s">
        <v>656</v>
      </c>
      <c r="K19" s="163" t="s">
        <v>656</v>
      </c>
      <c r="L19" s="163" t="s">
        <v>656</v>
      </c>
      <c r="M19" s="194" t="s">
        <v>656</v>
      </c>
      <c r="N19" s="163" t="s">
        <v>657</v>
      </c>
      <c r="O19" s="163" t="s">
        <v>657</v>
      </c>
      <c r="P19" s="163" t="s">
        <v>657</v>
      </c>
      <c r="Q19" s="194" t="s">
        <v>657</v>
      </c>
      <c r="R19" s="163" t="s">
        <v>64</v>
      </c>
      <c r="S19" s="163" t="s">
        <v>64</v>
      </c>
      <c r="T19" s="163" t="s">
        <v>64</v>
      </c>
      <c r="U19" s="163" t="s">
        <v>64</v>
      </c>
      <c r="V19" s="163" t="s">
        <v>64</v>
      </c>
      <c r="W19" s="163" t="s">
        <v>64</v>
      </c>
      <c r="X19" s="163" t="s">
        <v>64</v>
      </c>
      <c r="Y19" s="163" t="s">
        <v>64</v>
      </c>
      <c r="Z19" s="146" t="s">
        <v>382</v>
      </c>
      <c r="AA19" s="165" t="s">
        <v>658</v>
      </c>
      <c r="AB19" s="166" t="s">
        <v>390</v>
      </c>
    </row>
    <row r="20" spans="1:28"/>
    <row r="21" spans="1:28" ht="14.25" customHeight="1">
      <c r="A21" s="298" t="s">
        <v>482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</row>
    <row r="22" spans="1:28"/>
    <row r="23" spans="1:28" ht="18" customHeight="1">
      <c r="A23" s="288" t="s">
        <v>392</v>
      </c>
      <c r="B23" s="325"/>
      <c r="C23" s="325"/>
      <c r="D23" s="325"/>
      <c r="E23" s="325"/>
      <c r="F23" s="325"/>
      <c r="G23" s="325"/>
      <c r="H23" s="325"/>
      <c r="M23"/>
      <c r="Q23"/>
    </row>
    <row r="24" spans="1:28" ht="15.75" customHeight="1">
      <c r="A24" s="285" t="s">
        <v>393</v>
      </c>
      <c r="B24" s="325"/>
      <c r="C24" s="325"/>
      <c r="D24" s="325"/>
      <c r="E24" s="325"/>
      <c r="F24" s="325"/>
      <c r="G24" s="325"/>
      <c r="H24" s="325"/>
      <c r="M24"/>
      <c r="Q24"/>
    </row>
    <row r="25" spans="1:28" ht="15.75" customHeight="1">
      <c r="A25" s="15"/>
      <c r="B25" s="123" t="s">
        <v>394</v>
      </c>
      <c r="C25" s="269" t="s">
        <v>395</v>
      </c>
      <c r="D25" s="328"/>
      <c r="E25" s="123" t="s">
        <v>396</v>
      </c>
      <c r="M25"/>
      <c r="Q25"/>
    </row>
    <row r="26" spans="1:28" ht="20.25" customHeight="1">
      <c r="A26" s="167" t="s">
        <v>215</v>
      </c>
      <c r="B26" s="168">
        <f>'Current Rents'!E14</f>
        <v>1451</v>
      </c>
      <c r="C26" s="300">
        <v>1586</v>
      </c>
      <c r="D26" s="340"/>
      <c r="E26" s="184">
        <f>B26-C26</f>
        <v>-135</v>
      </c>
      <c r="F26" s="215" t="str">
        <f>IF(E26&lt;-75,"LOOK INTO INCREASING THE RENT!","")</f>
        <v>LOOK INTO INCREASING THE RENT!</v>
      </c>
      <c r="M26"/>
      <c r="Q26"/>
    </row>
    <row r="27" spans="1:28" ht="20.25" customHeight="1">
      <c r="A27" s="167" t="s">
        <v>216</v>
      </c>
      <c r="B27" s="168">
        <f>'Current Rents'!F14</f>
        <v>1613</v>
      </c>
      <c r="C27" s="296">
        <v>1820</v>
      </c>
      <c r="D27" s="325"/>
      <c r="E27" s="184">
        <f>B27-C27</f>
        <v>-207</v>
      </c>
      <c r="F27" s="215" t="str">
        <f>IF(E27&lt;-75,"LOOK INTO INCREASING THE RENT!","")</f>
        <v>LOOK INTO INCREASING THE RENT!</v>
      </c>
      <c r="M27"/>
      <c r="Q27"/>
    </row>
    <row r="28" spans="1:28"/>
    <row r="29" spans="1:28"/>
    <row r="30" spans="1:28"/>
    <row r="31" spans="1:28"/>
    <row r="32" spans="1:28"/>
    <row r="33"/>
    <row r="34"/>
    <row r="35"/>
    <row r="36"/>
    <row r="37"/>
  </sheetData>
  <mergeCells count="20">
    <mergeCell ref="A4:AB4"/>
    <mergeCell ref="Z2:AB2"/>
    <mergeCell ref="C10:D10"/>
    <mergeCell ref="C25:D25"/>
    <mergeCell ref="C9:D9"/>
    <mergeCell ref="C11:D11"/>
    <mergeCell ref="A3:AB3"/>
    <mergeCell ref="A21:AB21"/>
    <mergeCell ref="A2:Y2"/>
    <mergeCell ref="C6:D6"/>
    <mergeCell ref="A24:H24"/>
    <mergeCell ref="A5:AB5"/>
    <mergeCell ref="C27:D27"/>
    <mergeCell ref="D12:D17"/>
    <mergeCell ref="A23:H23"/>
    <mergeCell ref="C8:D8"/>
    <mergeCell ref="C7:D7"/>
    <mergeCell ref="C19:D19"/>
    <mergeCell ref="C18:D18"/>
    <mergeCell ref="C26:D26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43"/>
  <sheetViews>
    <sheetView workbookViewId="0">
      <pane ySplit="1" topLeftCell="A17" activePane="bottomLeft" state="frozen"/>
      <selection pane="bottomLeft" activeCell="A30" sqref="A30:E30"/>
    </sheetView>
  </sheetViews>
  <sheetFormatPr defaultColWidth="9.140625" defaultRowHeight="21.75" customHeight="1"/>
  <cols>
    <col min="1" max="1" width="14.42578125" customWidth="1"/>
    <col min="2" max="2" width="16.7109375" customWidth="1"/>
    <col min="3" max="3" width="33.5703125" customWidth="1"/>
    <col min="4" max="4" width="4.140625" customWidth="1"/>
    <col min="5" max="5" width="26.5703125" customWidth="1"/>
    <col min="6" max="6" width="14.28515625" customWidth="1"/>
    <col min="7" max="8" width="6.28515625" customWidth="1"/>
    <col min="9" max="9" width="9.140625" customWidth="1"/>
    <col min="10" max="11" width="6.85546875" hidden="1" customWidth="1"/>
    <col min="12" max="12" width="5.28515625" hidden="1" customWidth="1"/>
    <col min="13" max="13" width="17.140625" customWidth="1"/>
    <col min="14" max="15" width="6.85546875" hidden="1" customWidth="1"/>
    <col min="16" max="16" width="5.28515625" hidden="1" customWidth="1"/>
    <col min="17" max="17" width="13.5703125" customWidth="1"/>
    <col min="18" max="18" width="4.7109375" customWidth="1"/>
    <col min="19" max="19" width="6.140625" customWidth="1"/>
    <col min="20" max="20" width="5.28515625" customWidth="1"/>
    <col min="21" max="21" width="4.140625" customWidth="1"/>
    <col min="22" max="22" width="6.85546875" customWidth="1"/>
    <col min="23" max="23" width="5.28515625" customWidth="1"/>
    <col min="24" max="24" width="4.140625" customWidth="1"/>
    <col min="25" max="25" width="6" customWidth="1"/>
    <col min="26" max="26" width="23.28515625" customWidth="1"/>
    <col min="27" max="27" width="56.28515625" customWidth="1"/>
    <col min="28" max="28" width="46.8554687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50"/>
    <row r="6" spans="1:50"/>
    <row r="7" spans="1:50" ht="8.25" customHeight="1"/>
    <row r="8" spans="1:50" ht="36" customHeight="1">
      <c r="A8" s="293" t="s">
        <v>659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660</v>
      </c>
      <c r="AA8" s="333"/>
      <c r="AB8" s="334"/>
    </row>
    <row r="9" spans="1:50" ht="18" customHeight="1">
      <c r="A9" s="307" t="s">
        <v>661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50" ht="14.25" customHeight="1">
      <c r="A10" s="297" t="s">
        <v>581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50" ht="25.5" customHeight="1">
      <c r="A11" s="295" t="s">
        <v>582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50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486</v>
      </c>
      <c r="K12" s="172" t="s">
        <v>487</v>
      </c>
      <c r="L12" s="172" t="s">
        <v>488</v>
      </c>
      <c r="M12" s="176" t="s">
        <v>489</v>
      </c>
      <c r="N12" s="172" t="s">
        <v>283</v>
      </c>
      <c r="O12" s="172" t="s">
        <v>284</v>
      </c>
      <c r="P12" s="172" t="s">
        <v>285</v>
      </c>
      <c r="Q12" s="176" t="s">
        <v>402</v>
      </c>
      <c r="R12" s="175" t="s">
        <v>6</v>
      </c>
      <c r="S12" s="175" t="s">
        <v>291</v>
      </c>
      <c r="T12" s="175" t="s">
        <v>292</v>
      </c>
      <c r="U12" s="175" t="s">
        <v>293</v>
      </c>
      <c r="V12" s="175" t="s">
        <v>294</v>
      </c>
      <c r="W12" s="175" t="s">
        <v>295</v>
      </c>
      <c r="X12" s="175" t="s">
        <v>296</v>
      </c>
      <c r="Y12" s="175" t="s">
        <v>297</v>
      </c>
      <c r="Z12" s="176" t="s">
        <v>298</v>
      </c>
      <c r="AA12" s="177" t="s">
        <v>299</v>
      </c>
      <c r="AB12" s="177" t="s">
        <v>300</v>
      </c>
    </row>
    <row r="13" spans="1:50" ht="21.75" customHeight="1">
      <c r="A13" s="127" t="s">
        <v>301</v>
      </c>
      <c r="B13" s="128" t="s">
        <v>302</v>
      </c>
      <c r="C13" s="305" t="s">
        <v>662</v>
      </c>
      <c r="D13" s="334"/>
      <c r="E13" s="129" t="s">
        <v>663</v>
      </c>
      <c r="F13" s="129" t="s">
        <v>663</v>
      </c>
      <c r="G13" s="129" t="s">
        <v>306</v>
      </c>
      <c r="H13" s="129" t="s">
        <v>664</v>
      </c>
      <c r="I13" s="129" t="s">
        <v>308</v>
      </c>
      <c r="J13" s="129" t="s">
        <v>665</v>
      </c>
      <c r="K13" s="129" t="s">
        <v>666</v>
      </c>
      <c r="L13" s="129" t="s">
        <v>667</v>
      </c>
      <c r="M13" s="130">
        <f>'Current Rents'!D15</f>
        <v>1375</v>
      </c>
      <c r="N13" s="129" t="s">
        <v>668</v>
      </c>
      <c r="O13" s="129" t="s">
        <v>669</v>
      </c>
      <c r="P13" s="129" t="s">
        <v>670</v>
      </c>
      <c r="Q13" s="130">
        <f>'Current Rents'!E15</f>
        <v>1552</v>
      </c>
      <c r="R13" s="129" t="s">
        <v>517</v>
      </c>
      <c r="S13" s="129" t="s">
        <v>671</v>
      </c>
      <c r="T13" s="129" t="s">
        <v>504</v>
      </c>
      <c r="U13" s="132" t="s">
        <v>315</v>
      </c>
      <c r="V13" s="133" t="s">
        <v>316</v>
      </c>
      <c r="W13" s="133" t="s">
        <v>316</v>
      </c>
      <c r="X13" s="132" t="s">
        <v>315</v>
      </c>
      <c r="Y13" s="133" t="s">
        <v>316</v>
      </c>
      <c r="Z13" s="128" t="s">
        <v>302</v>
      </c>
      <c r="AA13" s="134" t="s">
        <v>672</v>
      </c>
      <c r="AB13" s="135" t="s">
        <v>318</v>
      </c>
    </row>
    <row r="14" spans="1:50" ht="21.75" customHeight="1">
      <c r="A14" s="136" t="s">
        <v>319</v>
      </c>
      <c r="B14" s="178" t="s">
        <v>320</v>
      </c>
      <c r="C14" s="287" t="s">
        <v>673</v>
      </c>
      <c r="D14" s="334"/>
      <c r="E14" s="138" t="s">
        <v>674</v>
      </c>
      <c r="F14" s="138" t="s">
        <v>675</v>
      </c>
      <c r="G14" s="138" t="s">
        <v>306</v>
      </c>
      <c r="H14" s="138" t="s">
        <v>676</v>
      </c>
      <c r="I14" s="138" t="s">
        <v>424</v>
      </c>
      <c r="J14" s="138" t="s">
        <v>665</v>
      </c>
      <c r="K14" s="138" t="s">
        <v>666</v>
      </c>
      <c r="L14" s="138" t="s">
        <v>667</v>
      </c>
      <c r="M14" s="136" t="s">
        <v>326</v>
      </c>
      <c r="N14" s="138" t="s">
        <v>668</v>
      </c>
      <c r="O14" s="138" t="s">
        <v>669</v>
      </c>
      <c r="P14" s="138" t="s">
        <v>670</v>
      </c>
      <c r="Q14" s="136" t="s">
        <v>326</v>
      </c>
      <c r="R14" s="138" t="s">
        <v>677</v>
      </c>
      <c r="S14" s="138" t="s">
        <v>678</v>
      </c>
      <c r="T14" s="138" t="s">
        <v>319</v>
      </c>
      <c r="U14" s="139" t="s">
        <v>315</v>
      </c>
      <c r="V14" s="140" t="s">
        <v>316</v>
      </c>
      <c r="W14" s="140" t="s">
        <v>316</v>
      </c>
      <c r="X14" s="140" t="s">
        <v>316</v>
      </c>
      <c r="Y14" s="140" t="s">
        <v>316</v>
      </c>
      <c r="Z14" s="190" t="s">
        <v>327</v>
      </c>
      <c r="AA14" s="142" t="s">
        <v>679</v>
      </c>
      <c r="AB14" s="143" t="s">
        <v>680</v>
      </c>
    </row>
    <row r="15" spans="1:50" ht="21.75" customHeight="1">
      <c r="A15" s="136" t="s">
        <v>258</v>
      </c>
      <c r="B15" s="178" t="s">
        <v>320</v>
      </c>
      <c r="C15" s="287" t="s">
        <v>681</v>
      </c>
      <c r="D15" s="334"/>
      <c r="E15" s="138" t="s">
        <v>682</v>
      </c>
      <c r="F15" s="138" t="s">
        <v>675</v>
      </c>
      <c r="G15" s="138" t="s">
        <v>306</v>
      </c>
      <c r="H15" s="138" t="s">
        <v>676</v>
      </c>
      <c r="I15" s="138" t="s">
        <v>683</v>
      </c>
      <c r="J15" s="138" t="s">
        <v>665</v>
      </c>
      <c r="K15" s="138" t="s">
        <v>666</v>
      </c>
      <c r="L15" s="138" t="s">
        <v>667</v>
      </c>
      <c r="M15" s="136" t="s">
        <v>326</v>
      </c>
      <c r="N15" s="138" t="s">
        <v>668</v>
      </c>
      <c r="O15" s="138" t="s">
        <v>669</v>
      </c>
      <c r="P15" s="138" t="s">
        <v>670</v>
      </c>
      <c r="Q15" s="136" t="s">
        <v>326</v>
      </c>
      <c r="R15" s="138" t="s">
        <v>684</v>
      </c>
      <c r="S15" s="138" t="s">
        <v>671</v>
      </c>
      <c r="T15" s="138" t="s">
        <v>504</v>
      </c>
      <c r="U15" s="139" t="s">
        <v>315</v>
      </c>
      <c r="V15" s="140" t="s">
        <v>316</v>
      </c>
      <c r="W15" s="140" t="s">
        <v>316</v>
      </c>
      <c r="X15" s="140" t="s">
        <v>316</v>
      </c>
      <c r="Y15" s="140" t="s">
        <v>316</v>
      </c>
      <c r="Z15" s="190" t="s">
        <v>327</v>
      </c>
      <c r="AA15" s="142" t="s">
        <v>685</v>
      </c>
      <c r="AB15" s="143" t="s">
        <v>680</v>
      </c>
    </row>
    <row r="16" spans="1:50" ht="21.75" customHeight="1">
      <c r="A16" s="136" t="s">
        <v>237</v>
      </c>
      <c r="B16" s="178" t="s">
        <v>320</v>
      </c>
      <c r="C16" s="287" t="s">
        <v>686</v>
      </c>
      <c r="D16" s="334"/>
      <c r="E16" s="138" t="s">
        <v>687</v>
      </c>
      <c r="F16" s="138" t="s">
        <v>663</v>
      </c>
      <c r="G16" s="138" t="s">
        <v>306</v>
      </c>
      <c r="H16" s="138" t="s">
        <v>688</v>
      </c>
      <c r="I16" s="138" t="s">
        <v>689</v>
      </c>
      <c r="J16" s="138" t="s">
        <v>665</v>
      </c>
      <c r="K16" s="138" t="s">
        <v>666</v>
      </c>
      <c r="L16" s="138" t="s">
        <v>667</v>
      </c>
      <c r="M16" s="136" t="s">
        <v>326</v>
      </c>
      <c r="N16" s="138" t="s">
        <v>668</v>
      </c>
      <c r="O16" s="138" t="s">
        <v>669</v>
      </c>
      <c r="P16" s="138" t="s">
        <v>670</v>
      </c>
      <c r="Q16" s="179">
        <v>1224</v>
      </c>
      <c r="R16" s="138" t="s">
        <v>690</v>
      </c>
      <c r="S16" s="138" t="s">
        <v>678</v>
      </c>
      <c r="T16" s="138" t="s">
        <v>319</v>
      </c>
      <c r="U16" s="139" t="s">
        <v>315</v>
      </c>
      <c r="V16" s="140" t="s">
        <v>316</v>
      </c>
      <c r="W16" s="140" t="s">
        <v>316</v>
      </c>
      <c r="X16" s="140" t="s">
        <v>316</v>
      </c>
      <c r="Y16" s="140" t="s">
        <v>316</v>
      </c>
      <c r="Z16" s="190" t="s">
        <v>327</v>
      </c>
      <c r="AA16" s="142" t="s">
        <v>691</v>
      </c>
      <c r="AB16" s="143" t="s">
        <v>680</v>
      </c>
    </row>
    <row r="17" spans="1:28" ht="21.75" customHeight="1">
      <c r="A17" s="136" t="s">
        <v>363</v>
      </c>
      <c r="B17" s="178" t="s">
        <v>320</v>
      </c>
      <c r="C17" s="287" t="s">
        <v>692</v>
      </c>
      <c r="D17" s="334"/>
      <c r="E17" s="138" t="s">
        <v>693</v>
      </c>
      <c r="F17" s="138" t="s">
        <v>675</v>
      </c>
      <c r="G17" s="138" t="s">
        <v>306</v>
      </c>
      <c r="H17" s="138" t="s">
        <v>676</v>
      </c>
      <c r="I17" s="138" t="s">
        <v>530</v>
      </c>
      <c r="J17" s="138" t="s">
        <v>665</v>
      </c>
      <c r="K17" s="138" t="s">
        <v>666</v>
      </c>
      <c r="L17" s="138" t="s">
        <v>667</v>
      </c>
      <c r="M17" s="136" t="s">
        <v>326</v>
      </c>
      <c r="N17" s="138" t="s">
        <v>668</v>
      </c>
      <c r="O17" s="138" t="s">
        <v>669</v>
      </c>
      <c r="P17" s="138" t="s">
        <v>670</v>
      </c>
      <c r="Q17" s="136" t="s">
        <v>326</v>
      </c>
      <c r="R17" s="138" t="s">
        <v>694</v>
      </c>
      <c r="S17" s="138" t="s">
        <v>671</v>
      </c>
      <c r="T17" s="138" t="s">
        <v>504</v>
      </c>
      <c r="U17" s="139" t="s">
        <v>315</v>
      </c>
      <c r="V17" s="140" t="s">
        <v>316</v>
      </c>
      <c r="W17" s="140" t="s">
        <v>316</v>
      </c>
      <c r="X17" s="140" t="s">
        <v>316</v>
      </c>
      <c r="Y17" s="140" t="s">
        <v>316</v>
      </c>
      <c r="Z17" s="190" t="s">
        <v>327</v>
      </c>
      <c r="AA17" s="142" t="s">
        <v>695</v>
      </c>
      <c r="AB17" s="143" t="s">
        <v>680</v>
      </c>
    </row>
    <row r="18" spans="1:28" ht="26.25" customHeight="1">
      <c r="A18" s="145" t="s">
        <v>319</v>
      </c>
      <c r="B18" s="146" t="s">
        <v>343</v>
      </c>
      <c r="C18" s="157" t="s">
        <v>696</v>
      </c>
      <c r="D18" s="303" t="s">
        <v>345</v>
      </c>
      <c r="E18" s="147" t="s">
        <v>697</v>
      </c>
      <c r="F18" s="147" t="s">
        <v>663</v>
      </c>
      <c r="G18" s="147" t="s">
        <v>306</v>
      </c>
      <c r="H18" s="147" t="s">
        <v>698</v>
      </c>
      <c r="I18" s="147" t="s">
        <v>379</v>
      </c>
      <c r="J18" s="148" t="s">
        <v>64</v>
      </c>
      <c r="K18" s="148" t="s">
        <v>64</v>
      </c>
      <c r="L18" s="148" t="s">
        <v>667</v>
      </c>
      <c r="M18" s="150">
        <v>1287</v>
      </c>
      <c r="N18" s="148" t="s">
        <v>64</v>
      </c>
      <c r="O18" s="148" t="s">
        <v>64</v>
      </c>
      <c r="P18" s="148" t="s">
        <v>670</v>
      </c>
      <c r="Q18" s="150">
        <v>1472</v>
      </c>
      <c r="R18" s="147" t="s">
        <v>64</v>
      </c>
      <c r="S18" s="147" t="s">
        <v>699</v>
      </c>
      <c r="T18" s="147" t="s">
        <v>700</v>
      </c>
      <c r="U18" s="152" t="s">
        <v>316</v>
      </c>
      <c r="V18" s="153" t="s">
        <v>315</v>
      </c>
      <c r="W18" s="153" t="s">
        <v>315</v>
      </c>
      <c r="X18" s="153" t="s">
        <v>315</v>
      </c>
      <c r="Y18" s="153" t="s">
        <v>315</v>
      </c>
      <c r="Z18" s="190" t="s">
        <v>327</v>
      </c>
      <c r="AA18" s="155" t="s">
        <v>701</v>
      </c>
      <c r="AB18" s="156" t="s">
        <v>702</v>
      </c>
    </row>
    <row r="19" spans="1:28" ht="26.25" customHeight="1">
      <c r="A19" s="145" t="s">
        <v>258</v>
      </c>
      <c r="B19" s="146" t="s">
        <v>343</v>
      </c>
      <c r="C19" s="157" t="s">
        <v>703</v>
      </c>
      <c r="D19" s="338"/>
      <c r="E19" s="147" t="s">
        <v>704</v>
      </c>
      <c r="F19" s="147" t="s">
        <v>663</v>
      </c>
      <c r="G19" s="147" t="s">
        <v>306</v>
      </c>
      <c r="H19" s="147" t="s">
        <v>705</v>
      </c>
      <c r="I19" s="147" t="s">
        <v>706</v>
      </c>
      <c r="J19" s="148" t="s">
        <v>64</v>
      </c>
      <c r="K19" s="148" t="s">
        <v>64</v>
      </c>
      <c r="L19" s="148" t="s">
        <v>667</v>
      </c>
      <c r="M19" s="150">
        <v>1243</v>
      </c>
      <c r="N19" s="148" t="s">
        <v>64</v>
      </c>
      <c r="O19" s="148" t="s">
        <v>64</v>
      </c>
      <c r="P19" s="148" t="s">
        <v>670</v>
      </c>
      <c r="Q19" s="150">
        <v>1503</v>
      </c>
      <c r="R19" s="147" t="s">
        <v>64</v>
      </c>
      <c r="S19" s="147" t="s">
        <v>707</v>
      </c>
      <c r="T19" s="147" t="s">
        <v>264</v>
      </c>
      <c r="U19" s="152" t="s">
        <v>316</v>
      </c>
      <c r="V19" s="153" t="s">
        <v>315</v>
      </c>
      <c r="W19" s="153" t="s">
        <v>315</v>
      </c>
      <c r="X19" s="153" t="s">
        <v>315</v>
      </c>
      <c r="Y19" s="153" t="s">
        <v>315</v>
      </c>
      <c r="Z19" s="190" t="s">
        <v>327</v>
      </c>
      <c r="AA19" s="155" t="s">
        <v>708</v>
      </c>
      <c r="AB19" s="156" t="s">
        <v>709</v>
      </c>
    </row>
    <row r="20" spans="1:28" ht="26.25" customHeight="1">
      <c r="A20" s="145" t="s">
        <v>237</v>
      </c>
      <c r="B20" s="146" t="s">
        <v>343</v>
      </c>
      <c r="C20" s="157" t="s">
        <v>710</v>
      </c>
      <c r="D20" s="338"/>
      <c r="E20" s="147" t="s">
        <v>711</v>
      </c>
      <c r="F20" s="147" t="s">
        <v>663</v>
      </c>
      <c r="G20" s="147" t="s">
        <v>306</v>
      </c>
      <c r="H20" s="147" t="s">
        <v>705</v>
      </c>
      <c r="I20" s="147" t="s">
        <v>523</v>
      </c>
      <c r="J20" s="148" t="s">
        <v>64</v>
      </c>
      <c r="K20" s="148" t="s">
        <v>64</v>
      </c>
      <c r="L20" s="148" t="s">
        <v>667</v>
      </c>
      <c r="M20" s="150">
        <v>1389</v>
      </c>
      <c r="N20" s="148" t="s">
        <v>64</v>
      </c>
      <c r="O20" s="148" t="s">
        <v>64</v>
      </c>
      <c r="P20" s="148" t="s">
        <v>670</v>
      </c>
      <c r="Q20" s="150">
        <v>1549</v>
      </c>
      <c r="R20" s="147" t="s">
        <v>64</v>
      </c>
      <c r="S20" s="147" t="s">
        <v>635</v>
      </c>
      <c r="T20" s="147" t="s">
        <v>234</v>
      </c>
      <c r="U20" s="152" t="s">
        <v>316</v>
      </c>
      <c r="V20" s="153" t="s">
        <v>315</v>
      </c>
      <c r="W20" s="153" t="s">
        <v>315</v>
      </c>
      <c r="X20" s="153" t="s">
        <v>315</v>
      </c>
      <c r="Y20" s="153" t="s">
        <v>315</v>
      </c>
      <c r="Z20" s="190" t="s">
        <v>327</v>
      </c>
      <c r="AA20" s="155" t="s">
        <v>712</v>
      </c>
      <c r="AB20" s="156" t="s">
        <v>713</v>
      </c>
    </row>
    <row r="21" spans="1:28" ht="26.25" customHeight="1">
      <c r="A21" s="145" t="s">
        <v>363</v>
      </c>
      <c r="B21" s="146" t="s">
        <v>343</v>
      </c>
      <c r="C21" s="157" t="s">
        <v>714</v>
      </c>
      <c r="D21" s="338"/>
      <c r="E21" s="147" t="s">
        <v>715</v>
      </c>
      <c r="F21" s="147" t="s">
        <v>663</v>
      </c>
      <c r="G21" s="147" t="s">
        <v>306</v>
      </c>
      <c r="H21" s="147" t="s">
        <v>705</v>
      </c>
      <c r="I21" s="147" t="s">
        <v>716</v>
      </c>
      <c r="J21" s="148" t="s">
        <v>64</v>
      </c>
      <c r="K21" s="148" t="s">
        <v>64</v>
      </c>
      <c r="L21" s="148" t="s">
        <v>667</v>
      </c>
      <c r="M21" s="150">
        <v>1327</v>
      </c>
      <c r="N21" s="148" t="s">
        <v>64</v>
      </c>
      <c r="O21" s="148" t="s">
        <v>64</v>
      </c>
      <c r="P21" s="148" t="s">
        <v>670</v>
      </c>
      <c r="Q21" s="150">
        <v>1480</v>
      </c>
      <c r="R21" s="147" t="s">
        <v>64</v>
      </c>
      <c r="S21" s="147" t="s">
        <v>561</v>
      </c>
      <c r="T21" s="147" t="s">
        <v>217</v>
      </c>
      <c r="U21" s="152" t="s">
        <v>316</v>
      </c>
      <c r="V21" s="153" t="s">
        <v>315</v>
      </c>
      <c r="W21" s="153" t="s">
        <v>315</v>
      </c>
      <c r="X21" s="153" t="s">
        <v>315</v>
      </c>
      <c r="Y21" s="153" t="s">
        <v>315</v>
      </c>
      <c r="Z21" s="190" t="s">
        <v>327</v>
      </c>
      <c r="AA21" s="155" t="s">
        <v>717</v>
      </c>
      <c r="AB21" s="156" t="s">
        <v>718</v>
      </c>
    </row>
    <row r="22" spans="1:28" ht="26.25" customHeight="1">
      <c r="A22" s="145" t="s">
        <v>369</v>
      </c>
      <c r="B22" s="146" t="s">
        <v>343</v>
      </c>
      <c r="C22" s="157" t="s">
        <v>719</v>
      </c>
      <c r="D22" s="338"/>
      <c r="E22" s="147" t="s">
        <v>720</v>
      </c>
      <c r="F22" s="147" t="s">
        <v>663</v>
      </c>
      <c r="G22" s="147" t="s">
        <v>306</v>
      </c>
      <c r="H22" s="147" t="s">
        <v>705</v>
      </c>
      <c r="I22" s="147" t="s">
        <v>721</v>
      </c>
      <c r="J22" s="148" t="s">
        <v>64</v>
      </c>
      <c r="K22" s="148" t="s">
        <v>64</v>
      </c>
      <c r="L22" s="148" t="s">
        <v>667</v>
      </c>
      <c r="M22" s="150">
        <v>1360</v>
      </c>
      <c r="N22" s="148" t="s">
        <v>64</v>
      </c>
      <c r="O22" s="148" t="s">
        <v>64</v>
      </c>
      <c r="P22" s="148" t="s">
        <v>670</v>
      </c>
      <c r="Q22" s="150">
        <v>1694</v>
      </c>
      <c r="R22" s="147" t="s">
        <v>64</v>
      </c>
      <c r="S22" s="147" t="s">
        <v>635</v>
      </c>
      <c r="T22" s="147" t="s">
        <v>234</v>
      </c>
      <c r="U22" s="152" t="s">
        <v>316</v>
      </c>
      <c r="V22" s="153" t="s">
        <v>315</v>
      </c>
      <c r="W22" s="153" t="s">
        <v>315</v>
      </c>
      <c r="X22" s="153" t="s">
        <v>315</v>
      </c>
      <c r="Y22" s="153" t="s">
        <v>315</v>
      </c>
      <c r="Z22" s="190" t="s">
        <v>327</v>
      </c>
      <c r="AA22" s="155" t="s">
        <v>722</v>
      </c>
      <c r="AB22" s="156" t="s">
        <v>723</v>
      </c>
    </row>
    <row r="23" spans="1:28" ht="26.25" customHeight="1">
      <c r="A23" s="145" t="s">
        <v>255</v>
      </c>
      <c r="B23" s="146" t="s">
        <v>343</v>
      </c>
      <c r="C23" s="157" t="s">
        <v>724</v>
      </c>
      <c r="D23" s="339"/>
      <c r="E23" s="147" t="s">
        <v>725</v>
      </c>
      <c r="F23" s="147" t="s">
        <v>663</v>
      </c>
      <c r="G23" s="147" t="s">
        <v>306</v>
      </c>
      <c r="H23" s="147" t="s">
        <v>688</v>
      </c>
      <c r="I23" s="147" t="s">
        <v>726</v>
      </c>
      <c r="J23" s="148" t="s">
        <v>64</v>
      </c>
      <c r="K23" s="148" t="s">
        <v>64</v>
      </c>
      <c r="L23" s="148" t="s">
        <v>667</v>
      </c>
      <c r="M23" s="150">
        <v>1424</v>
      </c>
      <c r="N23" s="148" t="s">
        <v>64</v>
      </c>
      <c r="O23" s="148" t="s">
        <v>64</v>
      </c>
      <c r="P23" s="148" t="s">
        <v>670</v>
      </c>
      <c r="Q23" s="150">
        <v>1499</v>
      </c>
      <c r="R23" s="147" t="s">
        <v>64</v>
      </c>
      <c r="S23" s="147" t="s">
        <v>707</v>
      </c>
      <c r="T23" s="147" t="s">
        <v>264</v>
      </c>
      <c r="U23" s="152" t="s">
        <v>316</v>
      </c>
      <c r="V23" s="153" t="s">
        <v>315</v>
      </c>
      <c r="W23" s="153" t="s">
        <v>315</v>
      </c>
      <c r="X23" s="153" t="s">
        <v>315</v>
      </c>
      <c r="Y23" s="153" t="s">
        <v>315</v>
      </c>
      <c r="Z23" s="190" t="s">
        <v>327</v>
      </c>
      <c r="AA23" s="155" t="s">
        <v>727</v>
      </c>
      <c r="AB23" s="156" t="s">
        <v>728</v>
      </c>
    </row>
    <row r="24" spans="1:28" ht="28.5" customHeight="1">
      <c r="A24" s="159" t="s">
        <v>140</v>
      </c>
      <c r="B24" s="183" t="s">
        <v>382</v>
      </c>
      <c r="C24" s="286" t="s">
        <v>729</v>
      </c>
      <c r="D24" s="334"/>
      <c r="E24" s="159" t="s">
        <v>64</v>
      </c>
      <c r="F24" s="159" t="s">
        <v>663</v>
      </c>
      <c r="G24" s="159" t="s">
        <v>306</v>
      </c>
      <c r="H24" s="159" t="s">
        <v>64</v>
      </c>
      <c r="I24" s="159" t="s">
        <v>64</v>
      </c>
      <c r="J24" s="159" t="s">
        <v>667</v>
      </c>
      <c r="K24" s="159" t="s">
        <v>667</v>
      </c>
      <c r="L24" s="159" t="s">
        <v>667</v>
      </c>
      <c r="M24" s="159" t="s">
        <v>64</v>
      </c>
      <c r="N24" s="159" t="s">
        <v>670</v>
      </c>
      <c r="O24" s="159" t="s">
        <v>670</v>
      </c>
      <c r="P24" s="159" t="s">
        <v>670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382</v>
      </c>
      <c r="AA24" s="161" t="s">
        <v>730</v>
      </c>
      <c r="AB24" s="162" t="s">
        <v>385</v>
      </c>
    </row>
    <row r="25" spans="1:28" ht="34.5" customHeight="1">
      <c r="A25" s="163" t="s">
        <v>140</v>
      </c>
      <c r="B25" s="183" t="s">
        <v>382</v>
      </c>
      <c r="C25" s="292" t="s">
        <v>731</v>
      </c>
      <c r="D25" s="334"/>
      <c r="E25" s="163" t="s">
        <v>64</v>
      </c>
      <c r="F25" s="163" t="s">
        <v>663</v>
      </c>
      <c r="G25" s="163" t="s">
        <v>306</v>
      </c>
      <c r="H25" s="163" t="s">
        <v>64</v>
      </c>
      <c r="I25" s="163" t="s">
        <v>64</v>
      </c>
      <c r="J25" s="163" t="s">
        <v>732</v>
      </c>
      <c r="K25" s="163" t="s">
        <v>732</v>
      </c>
      <c r="L25" s="163" t="s">
        <v>732</v>
      </c>
      <c r="M25" s="164" t="s">
        <v>732</v>
      </c>
      <c r="N25" s="163" t="s">
        <v>733</v>
      </c>
      <c r="O25" s="163" t="s">
        <v>733</v>
      </c>
      <c r="P25" s="163" t="s">
        <v>733</v>
      </c>
      <c r="Q25" s="164" t="s">
        <v>733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382</v>
      </c>
      <c r="AA25" s="165" t="s">
        <v>734</v>
      </c>
      <c r="AB25" s="166" t="s">
        <v>390</v>
      </c>
    </row>
    <row r="26" spans="1:28"/>
    <row r="27" spans="1:28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28" ht="20.25" customHeight="1">
      <c r="A32" s="167" t="s">
        <v>221</v>
      </c>
      <c r="B32" s="168">
        <f>'Current Rents'!D15</f>
        <v>1375</v>
      </c>
      <c r="C32" s="170">
        <v>1338</v>
      </c>
      <c r="E32" s="184">
        <f>B32-C32</f>
        <v>37</v>
      </c>
      <c r="F32" s="215" t="str">
        <f>IF(E32&lt;-75,"LOOK INTO INCREASING THE RENT!","")</f>
        <v/>
      </c>
    </row>
    <row r="33" spans="1:6" ht="20.25" customHeight="1">
      <c r="A33" s="167" t="s">
        <v>215</v>
      </c>
      <c r="B33" s="168">
        <f>'Current Rents'!E15</f>
        <v>1552</v>
      </c>
      <c r="C33" s="170">
        <v>1533</v>
      </c>
      <c r="E33" s="184">
        <f>B33-C33</f>
        <v>19</v>
      </c>
      <c r="F33" s="215" t="str">
        <f>IF(E33&lt;-75,"LOOK INTO INCREASING THE RENT!","")</f>
        <v/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9:AB9"/>
    <mergeCell ref="A27:AB27"/>
    <mergeCell ref="C31:D31"/>
    <mergeCell ref="C17:D17"/>
    <mergeCell ref="Z8:AB8"/>
    <mergeCell ref="A11:AB11"/>
    <mergeCell ref="C15:D15"/>
    <mergeCell ref="C25:D25"/>
    <mergeCell ref="A10:AB10"/>
    <mergeCell ref="C14:D14"/>
    <mergeCell ref="C12:D12"/>
    <mergeCell ref="D18:D23"/>
    <mergeCell ref="A30:H30"/>
    <mergeCell ref="C24:D24"/>
    <mergeCell ref="C16:D16"/>
    <mergeCell ref="A29:H29"/>
    <mergeCell ref="A8:Y8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3"/>
  <sheetViews>
    <sheetView workbookViewId="0">
      <pane ySplit="1" topLeftCell="A17" activePane="bottomLeft" state="frozen"/>
      <selection pane="bottomLeft" activeCell="A30" sqref="A30:E30"/>
    </sheetView>
  </sheetViews>
  <sheetFormatPr defaultColWidth="9.140625" defaultRowHeight="15" customHeight="1"/>
  <cols>
    <col min="1" max="1" width="9.140625" customWidth="1"/>
    <col min="2" max="2" width="18.85546875" customWidth="1"/>
    <col min="3" max="3" width="43.42578125" customWidth="1"/>
    <col min="4" max="4" width="2.85546875" customWidth="1"/>
    <col min="5" max="5" width="29.85546875" customWidth="1"/>
    <col min="6" max="6" width="10.7109375" customWidth="1"/>
    <col min="7" max="9" width="8.7109375" customWidth="1"/>
    <col min="10" max="10" width="6.85546875" hidden="1" customWidth="1"/>
    <col min="11" max="11" width="13" hidden="1" customWidth="1"/>
    <col min="12" max="12" width="5.28515625" hidden="1" customWidth="1"/>
    <col min="13" max="13" width="15.7109375" customWidth="1"/>
    <col min="14" max="14" width="6.85546875" hidden="1" customWidth="1"/>
    <col min="15" max="15" width="13" hidden="1" customWidth="1"/>
    <col min="16" max="16" width="5.28515625" hidden="1" customWidth="1"/>
    <col min="17" max="17" width="15.7109375" customWidth="1"/>
    <col min="18" max="18" width="6.85546875" hidden="1" customWidth="1"/>
    <col min="19" max="19" width="13" hidden="1" customWidth="1"/>
    <col min="20" max="20" width="5.28515625" hidden="1" customWidth="1"/>
    <col min="21" max="21" width="15.7109375" customWidth="1"/>
    <col min="22" max="22" width="6.85546875" hidden="1" customWidth="1"/>
    <col min="23" max="23" width="13" hidden="1" customWidth="1"/>
    <col min="24" max="24" width="5.28515625" hidden="1" customWidth="1"/>
    <col min="25" max="32" width="9.28515625" customWidth="1"/>
    <col min="33" max="33" width="20.5703125" customWidth="1"/>
    <col min="34" max="34" width="65.7109375" customWidth="1"/>
    <col min="35" max="35" width="53.42578125" customWidth="1"/>
  </cols>
  <sheetData>
    <row r="1" spans="1:3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1.75" customHeight="1"/>
    <row r="6" spans="1:35" ht="21.75" customHeight="1"/>
    <row r="7" spans="1:35" ht="8.25" customHeight="1"/>
    <row r="8" spans="1:35" ht="36" customHeight="1">
      <c r="A8" s="293" t="s">
        <v>735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4"/>
      <c r="AG8" s="308" t="s">
        <v>736</v>
      </c>
      <c r="AH8" s="333"/>
      <c r="AI8" s="334"/>
    </row>
    <row r="9" spans="1:35" ht="18" customHeight="1">
      <c r="A9" s="307" t="s">
        <v>737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4"/>
    </row>
    <row r="10" spans="1:35" ht="14.25" customHeight="1">
      <c r="A10" s="297" t="s">
        <v>581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4"/>
    </row>
    <row r="11" spans="1:35" ht="25.5" customHeight="1">
      <c r="A11" s="295" t="s">
        <v>582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4"/>
    </row>
    <row r="12" spans="1:35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283</v>
      </c>
      <c r="K12" s="172" t="s">
        <v>284</v>
      </c>
      <c r="L12" s="172" t="s">
        <v>285</v>
      </c>
      <c r="M12" s="186" t="s">
        <v>402</v>
      </c>
      <c r="N12" s="187" t="s">
        <v>287</v>
      </c>
      <c r="O12" s="187" t="s">
        <v>288</v>
      </c>
      <c r="P12" s="187" t="s">
        <v>289</v>
      </c>
      <c r="Q12" s="186" t="s">
        <v>403</v>
      </c>
      <c r="R12" s="187" t="s">
        <v>738</v>
      </c>
      <c r="S12" s="187" t="s">
        <v>739</v>
      </c>
      <c r="T12" s="187" t="s">
        <v>740</v>
      </c>
      <c r="U12" s="186" t="s">
        <v>741</v>
      </c>
      <c r="V12" s="187" t="s">
        <v>742</v>
      </c>
      <c r="W12" s="187" t="s">
        <v>743</v>
      </c>
      <c r="X12" s="187" t="s">
        <v>744</v>
      </c>
      <c r="Y12" s="175" t="s">
        <v>6</v>
      </c>
      <c r="Z12" s="175" t="s">
        <v>291</v>
      </c>
      <c r="AA12" s="175" t="s">
        <v>292</v>
      </c>
      <c r="AB12" s="175" t="s">
        <v>293</v>
      </c>
      <c r="AC12" s="175" t="s">
        <v>294</v>
      </c>
      <c r="AD12" s="175" t="s">
        <v>295</v>
      </c>
      <c r="AE12" s="175" t="s">
        <v>296</v>
      </c>
      <c r="AF12" s="175" t="s">
        <v>297</v>
      </c>
      <c r="AG12" s="176" t="s">
        <v>298</v>
      </c>
      <c r="AH12" s="177" t="s">
        <v>299</v>
      </c>
      <c r="AI12" s="177" t="s">
        <v>300</v>
      </c>
    </row>
    <row r="13" spans="1:35" ht="21.75" customHeight="1">
      <c r="A13" s="127" t="s">
        <v>301</v>
      </c>
      <c r="B13" s="128" t="s">
        <v>302</v>
      </c>
      <c r="C13" s="305" t="s">
        <v>745</v>
      </c>
      <c r="D13" s="334"/>
      <c r="E13" s="129" t="s">
        <v>746</v>
      </c>
      <c r="F13" s="129" t="s">
        <v>747</v>
      </c>
      <c r="G13" s="129" t="s">
        <v>748</v>
      </c>
      <c r="H13" s="129" t="s">
        <v>749</v>
      </c>
      <c r="I13" s="129" t="s">
        <v>308</v>
      </c>
      <c r="J13" s="129" t="s">
        <v>750</v>
      </c>
      <c r="K13" s="129" t="s">
        <v>751</v>
      </c>
      <c r="L13" s="129" t="s">
        <v>752</v>
      </c>
      <c r="M13" s="130">
        <f>'Current Rents'!E16</f>
        <v>935</v>
      </c>
      <c r="N13" s="129" t="s">
        <v>753</v>
      </c>
      <c r="O13" s="129" t="s">
        <v>754</v>
      </c>
      <c r="P13" s="129" t="s">
        <v>755</v>
      </c>
      <c r="Q13" s="130">
        <f>'Current Rents'!F16</f>
        <v>1073</v>
      </c>
      <c r="R13" s="129" t="s">
        <v>756</v>
      </c>
      <c r="S13" s="129" t="s">
        <v>757</v>
      </c>
      <c r="T13" s="129" t="s">
        <v>758</v>
      </c>
      <c r="U13" s="130">
        <f>'Current Rents'!G16</f>
        <v>1147</v>
      </c>
      <c r="V13" s="129" t="s">
        <v>759</v>
      </c>
      <c r="W13" s="129" t="s">
        <v>760</v>
      </c>
      <c r="X13" s="129" t="s">
        <v>761</v>
      </c>
      <c r="Y13" s="129" t="s">
        <v>762</v>
      </c>
      <c r="Z13" s="129" t="s">
        <v>763</v>
      </c>
      <c r="AA13" s="129" t="s">
        <v>504</v>
      </c>
      <c r="AB13" s="132" t="s">
        <v>315</v>
      </c>
      <c r="AC13" s="133" t="s">
        <v>316</v>
      </c>
      <c r="AD13" s="133" t="s">
        <v>316</v>
      </c>
      <c r="AE13" s="133" t="s">
        <v>316</v>
      </c>
      <c r="AF13" s="133" t="s">
        <v>316</v>
      </c>
      <c r="AG13" s="128" t="s">
        <v>302</v>
      </c>
      <c r="AH13" s="134" t="s">
        <v>764</v>
      </c>
      <c r="AI13" s="135" t="s">
        <v>318</v>
      </c>
    </row>
    <row r="14" spans="1:35" ht="21.75" customHeight="1">
      <c r="A14" s="136" t="s">
        <v>319</v>
      </c>
      <c r="B14" s="178" t="s">
        <v>320</v>
      </c>
      <c r="C14" s="287" t="s">
        <v>765</v>
      </c>
      <c r="D14" s="334"/>
      <c r="E14" s="138" t="s">
        <v>766</v>
      </c>
      <c r="F14" s="138" t="s">
        <v>747</v>
      </c>
      <c r="G14" s="138" t="s">
        <v>748</v>
      </c>
      <c r="H14" s="138" t="s">
        <v>749</v>
      </c>
      <c r="I14" s="138" t="s">
        <v>366</v>
      </c>
      <c r="J14" s="138" t="s">
        <v>750</v>
      </c>
      <c r="K14" s="138" t="s">
        <v>751</v>
      </c>
      <c r="L14" s="138" t="s">
        <v>752</v>
      </c>
      <c r="M14" s="136" t="s">
        <v>326</v>
      </c>
      <c r="N14" s="138" t="s">
        <v>753</v>
      </c>
      <c r="O14" s="138" t="s">
        <v>754</v>
      </c>
      <c r="P14" s="138" t="s">
        <v>755</v>
      </c>
      <c r="Q14" s="136" t="s">
        <v>326</v>
      </c>
      <c r="R14" s="138" t="s">
        <v>756</v>
      </c>
      <c r="S14" s="138" t="s">
        <v>757</v>
      </c>
      <c r="T14" s="138" t="s">
        <v>758</v>
      </c>
      <c r="U14" s="136" t="s">
        <v>326</v>
      </c>
      <c r="V14" s="138" t="s">
        <v>759</v>
      </c>
      <c r="W14" s="138" t="s">
        <v>760</v>
      </c>
      <c r="X14" s="138" t="s">
        <v>761</v>
      </c>
      <c r="Y14" s="138" t="s">
        <v>593</v>
      </c>
      <c r="Z14" s="138" t="s">
        <v>767</v>
      </c>
      <c r="AA14" s="138" t="s">
        <v>319</v>
      </c>
      <c r="AB14" s="139" t="s">
        <v>315</v>
      </c>
      <c r="AC14" s="140" t="s">
        <v>316</v>
      </c>
      <c r="AD14" s="140" t="s">
        <v>316</v>
      </c>
      <c r="AE14" s="140" t="s">
        <v>316</v>
      </c>
      <c r="AF14" s="140" t="s">
        <v>316</v>
      </c>
      <c r="AG14" s="190" t="s">
        <v>327</v>
      </c>
      <c r="AH14" s="142" t="s">
        <v>768</v>
      </c>
      <c r="AI14" s="143" t="s">
        <v>769</v>
      </c>
    </row>
    <row r="15" spans="1:35" ht="21.75" customHeight="1">
      <c r="A15" s="136" t="s">
        <v>258</v>
      </c>
      <c r="B15" s="178" t="s">
        <v>320</v>
      </c>
      <c r="C15" s="287" t="s">
        <v>770</v>
      </c>
      <c r="D15" s="334"/>
      <c r="E15" s="138" t="s">
        <v>771</v>
      </c>
      <c r="F15" s="138" t="s">
        <v>772</v>
      </c>
      <c r="G15" s="138" t="s">
        <v>748</v>
      </c>
      <c r="H15" s="138" t="s">
        <v>773</v>
      </c>
      <c r="I15" s="138" t="s">
        <v>774</v>
      </c>
      <c r="J15" s="138" t="s">
        <v>750</v>
      </c>
      <c r="K15" s="138" t="s">
        <v>751</v>
      </c>
      <c r="L15" s="138" t="s">
        <v>752</v>
      </c>
      <c r="M15" s="136" t="s">
        <v>326</v>
      </c>
      <c r="N15" s="138" t="s">
        <v>753</v>
      </c>
      <c r="O15" s="138" t="s">
        <v>754</v>
      </c>
      <c r="P15" s="138" t="s">
        <v>755</v>
      </c>
      <c r="Q15" s="136" t="s">
        <v>326</v>
      </c>
      <c r="R15" s="138" t="s">
        <v>756</v>
      </c>
      <c r="S15" s="138" t="s">
        <v>757</v>
      </c>
      <c r="T15" s="138" t="s">
        <v>758</v>
      </c>
      <c r="U15" s="136" t="s">
        <v>326</v>
      </c>
      <c r="V15" s="138" t="s">
        <v>759</v>
      </c>
      <c r="W15" s="138" t="s">
        <v>760</v>
      </c>
      <c r="X15" s="138" t="s">
        <v>761</v>
      </c>
      <c r="Y15" s="138" t="s">
        <v>775</v>
      </c>
      <c r="Z15" s="138" t="s">
        <v>776</v>
      </c>
      <c r="AA15" s="138" t="s">
        <v>363</v>
      </c>
      <c r="AB15" s="139" t="s">
        <v>315</v>
      </c>
      <c r="AC15" s="140" t="s">
        <v>316</v>
      </c>
      <c r="AD15" s="140" t="s">
        <v>316</v>
      </c>
      <c r="AE15" s="140" t="s">
        <v>316</v>
      </c>
      <c r="AF15" s="140" t="s">
        <v>316</v>
      </c>
      <c r="AG15" s="191" t="s">
        <v>606</v>
      </c>
      <c r="AH15" s="142" t="s">
        <v>777</v>
      </c>
      <c r="AI15" s="143" t="s">
        <v>778</v>
      </c>
    </row>
    <row r="16" spans="1:35" ht="21.75" customHeight="1">
      <c r="A16" s="136" t="s">
        <v>237</v>
      </c>
      <c r="B16" s="178" t="s">
        <v>320</v>
      </c>
      <c r="C16" s="287" t="s">
        <v>779</v>
      </c>
      <c r="D16" s="334"/>
      <c r="E16" s="138" t="s">
        <v>780</v>
      </c>
      <c r="F16" s="138" t="s">
        <v>781</v>
      </c>
      <c r="G16" s="138" t="s">
        <v>748</v>
      </c>
      <c r="H16" s="138" t="s">
        <v>782</v>
      </c>
      <c r="I16" s="138" t="s">
        <v>783</v>
      </c>
      <c r="J16" s="138" t="s">
        <v>750</v>
      </c>
      <c r="K16" s="138" t="s">
        <v>751</v>
      </c>
      <c r="L16" s="138" t="s">
        <v>752</v>
      </c>
      <c r="M16" s="136" t="s">
        <v>326</v>
      </c>
      <c r="N16" s="138" t="s">
        <v>753</v>
      </c>
      <c r="O16" s="138" t="s">
        <v>754</v>
      </c>
      <c r="P16" s="138" t="s">
        <v>755</v>
      </c>
      <c r="Q16" s="136" t="s">
        <v>326</v>
      </c>
      <c r="R16" s="138" t="s">
        <v>756</v>
      </c>
      <c r="S16" s="138" t="s">
        <v>757</v>
      </c>
      <c r="T16" s="138" t="s">
        <v>758</v>
      </c>
      <c r="U16" s="136" t="s">
        <v>326</v>
      </c>
      <c r="V16" s="138" t="s">
        <v>759</v>
      </c>
      <c r="W16" s="138" t="s">
        <v>760</v>
      </c>
      <c r="X16" s="138" t="s">
        <v>761</v>
      </c>
      <c r="Y16" s="138" t="s">
        <v>593</v>
      </c>
      <c r="Z16" s="138" t="s">
        <v>784</v>
      </c>
      <c r="AA16" s="138" t="s">
        <v>319</v>
      </c>
      <c r="AB16" s="139" t="s">
        <v>315</v>
      </c>
      <c r="AC16" s="140" t="s">
        <v>316</v>
      </c>
      <c r="AD16" s="140" t="s">
        <v>316</v>
      </c>
      <c r="AE16" s="140" t="s">
        <v>316</v>
      </c>
      <c r="AF16" s="140" t="s">
        <v>316</v>
      </c>
      <c r="AG16" s="191" t="s">
        <v>606</v>
      </c>
      <c r="AH16" s="142" t="s">
        <v>785</v>
      </c>
      <c r="AI16" s="143" t="s">
        <v>786</v>
      </c>
    </row>
    <row r="17" spans="1:35" ht="21.75" customHeight="1">
      <c r="A17" s="136" t="s">
        <v>363</v>
      </c>
      <c r="B17" s="178" t="s">
        <v>320</v>
      </c>
      <c r="C17" s="287" t="s">
        <v>787</v>
      </c>
      <c r="D17" s="334"/>
      <c r="E17" s="138" t="s">
        <v>788</v>
      </c>
      <c r="F17" s="138" t="s">
        <v>747</v>
      </c>
      <c r="G17" s="138" t="s">
        <v>748</v>
      </c>
      <c r="H17" s="138" t="s">
        <v>749</v>
      </c>
      <c r="I17" s="138" t="s">
        <v>541</v>
      </c>
      <c r="J17" s="138" t="s">
        <v>750</v>
      </c>
      <c r="K17" s="138" t="s">
        <v>751</v>
      </c>
      <c r="L17" s="138" t="s">
        <v>752</v>
      </c>
      <c r="M17" s="136" t="s">
        <v>326</v>
      </c>
      <c r="N17" s="138" t="s">
        <v>753</v>
      </c>
      <c r="O17" s="138" t="s">
        <v>754</v>
      </c>
      <c r="P17" s="138" t="s">
        <v>755</v>
      </c>
      <c r="Q17" s="136" t="s">
        <v>326</v>
      </c>
      <c r="R17" s="138" t="s">
        <v>756</v>
      </c>
      <c r="S17" s="138" t="s">
        <v>757</v>
      </c>
      <c r="T17" s="138" t="s">
        <v>758</v>
      </c>
      <c r="U17" s="136" t="s">
        <v>326</v>
      </c>
      <c r="V17" s="138" t="s">
        <v>759</v>
      </c>
      <c r="W17" s="138" t="s">
        <v>760</v>
      </c>
      <c r="X17" s="138" t="s">
        <v>761</v>
      </c>
      <c r="Y17" s="138" t="s">
        <v>789</v>
      </c>
      <c r="Z17" s="138" t="s">
        <v>790</v>
      </c>
      <c r="AA17" s="138" t="s">
        <v>258</v>
      </c>
      <c r="AB17" s="139" t="s">
        <v>315</v>
      </c>
      <c r="AC17" s="140" t="s">
        <v>316</v>
      </c>
      <c r="AD17" s="140" t="s">
        <v>316</v>
      </c>
      <c r="AE17" s="140" t="s">
        <v>316</v>
      </c>
      <c r="AF17" s="140" t="s">
        <v>316</v>
      </c>
      <c r="AG17" s="190" t="s">
        <v>327</v>
      </c>
      <c r="AH17" s="142" t="s">
        <v>791</v>
      </c>
      <c r="AI17" s="143" t="s">
        <v>769</v>
      </c>
    </row>
    <row r="18" spans="1:35" ht="26.25" customHeight="1">
      <c r="A18" s="145" t="s">
        <v>319</v>
      </c>
      <c r="B18" s="146" t="s">
        <v>343</v>
      </c>
      <c r="C18" s="157" t="s">
        <v>792</v>
      </c>
      <c r="D18" s="303" t="s">
        <v>345</v>
      </c>
      <c r="E18" s="147" t="s">
        <v>793</v>
      </c>
      <c r="F18" s="147" t="s">
        <v>747</v>
      </c>
      <c r="G18" s="147" t="s">
        <v>748</v>
      </c>
      <c r="H18" s="147" t="s">
        <v>749</v>
      </c>
      <c r="I18" s="147" t="s">
        <v>348</v>
      </c>
      <c r="J18" s="148" t="s">
        <v>64</v>
      </c>
      <c r="K18" s="148" t="s">
        <v>64</v>
      </c>
      <c r="L18" s="148" t="s">
        <v>752</v>
      </c>
      <c r="M18" s="150">
        <v>850</v>
      </c>
      <c r="N18" s="148" t="s">
        <v>64</v>
      </c>
      <c r="O18" s="148" t="s">
        <v>64</v>
      </c>
      <c r="P18" s="148" t="s">
        <v>755</v>
      </c>
      <c r="Q18" s="158" t="s">
        <v>326</v>
      </c>
      <c r="R18" s="148" t="s">
        <v>64</v>
      </c>
      <c r="S18" s="148" t="s">
        <v>64</v>
      </c>
      <c r="T18" s="148" t="s">
        <v>758</v>
      </c>
      <c r="U18" s="158" t="s">
        <v>326</v>
      </c>
      <c r="V18" s="148" t="s">
        <v>64</v>
      </c>
      <c r="W18" s="148" t="s">
        <v>64</v>
      </c>
      <c r="X18" s="148" t="s">
        <v>761</v>
      </c>
      <c r="Y18" s="149" t="s">
        <v>64</v>
      </c>
      <c r="Z18" s="149" t="s">
        <v>432</v>
      </c>
      <c r="AA18" s="149" t="s">
        <v>264</v>
      </c>
      <c r="AB18" s="180" t="s">
        <v>316</v>
      </c>
      <c r="AC18" s="180" t="s">
        <v>316</v>
      </c>
      <c r="AD18" s="180" t="s">
        <v>316</v>
      </c>
      <c r="AE18" s="180" t="s">
        <v>316</v>
      </c>
      <c r="AF18" s="180" t="s">
        <v>316</v>
      </c>
      <c r="AG18" s="190" t="s">
        <v>327</v>
      </c>
      <c r="AH18" s="155" t="s">
        <v>794</v>
      </c>
      <c r="AI18" s="156" t="s">
        <v>795</v>
      </c>
    </row>
    <row r="19" spans="1:35" ht="26.25" customHeight="1">
      <c r="A19" s="145" t="s">
        <v>258</v>
      </c>
      <c r="B19" s="146" t="s">
        <v>343</v>
      </c>
      <c r="C19" s="157" t="s">
        <v>796</v>
      </c>
      <c r="D19" s="338"/>
      <c r="E19" s="147" t="s">
        <v>797</v>
      </c>
      <c r="F19" s="147" t="s">
        <v>747</v>
      </c>
      <c r="G19" s="147" t="s">
        <v>748</v>
      </c>
      <c r="H19" s="147" t="s">
        <v>749</v>
      </c>
      <c r="I19" s="147" t="s">
        <v>640</v>
      </c>
      <c r="J19" s="148" t="s">
        <v>64</v>
      </c>
      <c r="K19" s="148" t="s">
        <v>64</v>
      </c>
      <c r="L19" s="148" t="s">
        <v>752</v>
      </c>
      <c r="M19" s="150">
        <v>815</v>
      </c>
      <c r="N19" s="148" t="s">
        <v>64</v>
      </c>
      <c r="O19" s="148" t="s">
        <v>64</v>
      </c>
      <c r="P19" s="148" t="s">
        <v>755</v>
      </c>
      <c r="Q19" s="158" t="s">
        <v>326</v>
      </c>
      <c r="R19" s="148" t="s">
        <v>64</v>
      </c>
      <c r="S19" s="148" t="s">
        <v>64</v>
      </c>
      <c r="T19" s="148" t="s">
        <v>758</v>
      </c>
      <c r="U19" s="158" t="s">
        <v>326</v>
      </c>
      <c r="V19" s="148" t="s">
        <v>64</v>
      </c>
      <c r="W19" s="148" t="s">
        <v>64</v>
      </c>
      <c r="X19" s="148" t="s">
        <v>761</v>
      </c>
      <c r="Y19" s="149" t="s">
        <v>64</v>
      </c>
      <c r="Z19" s="149" t="s">
        <v>449</v>
      </c>
      <c r="AA19" s="149" t="s">
        <v>239</v>
      </c>
      <c r="AB19" s="180" t="s">
        <v>316</v>
      </c>
      <c r="AC19" s="180" t="s">
        <v>316</v>
      </c>
      <c r="AD19" s="180" t="s">
        <v>316</v>
      </c>
      <c r="AE19" s="180" t="s">
        <v>316</v>
      </c>
      <c r="AF19" s="180" t="s">
        <v>316</v>
      </c>
      <c r="AG19" s="190" t="s">
        <v>327</v>
      </c>
      <c r="AH19" s="155" t="s">
        <v>798</v>
      </c>
      <c r="AI19" s="156" t="s">
        <v>795</v>
      </c>
    </row>
    <row r="20" spans="1:35" ht="26.25" customHeight="1">
      <c r="A20" s="145" t="s">
        <v>237</v>
      </c>
      <c r="B20" s="146" t="s">
        <v>343</v>
      </c>
      <c r="C20" s="157" t="s">
        <v>799</v>
      </c>
      <c r="D20" s="338"/>
      <c r="E20" s="147" t="s">
        <v>800</v>
      </c>
      <c r="F20" s="147" t="s">
        <v>747</v>
      </c>
      <c r="G20" s="147" t="s">
        <v>748</v>
      </c>
      <c r="H20" s="147" t="s">
        <v>749</v>
      </c>
      <c r="I20" s="147" t="s">
        <v>366</v>
      </c>
      <c r="J20" s="148" t="s">
        <v>64</v>
      </c>
      <c r="K20" s="148" t="s">
        <v>64</v>
      </c>
      <c r="L20" s="148" t="s">
        <v>752</v>
      </c>
      <c r="M20" s="150">
        <v>750</v>
      </c>
      <c r="N20" s="148" t="s">
        <v>64</v>
      </c>
      <c r="O20" s="148" t="s">
        <v>64</v>
      </c>
      <c r="P20" s="148" t="s">
        <v>755</v>
      </c>
      <c r="Q20" s="150">
        <v>850</v>
      </c>
      <c r="R20" s="148" t="s">
        <v>64</v>
      </c>
      <c r="S20" s="148" t="s">
        <v>64</v>
      </c>
      <c r="T20" s="148" t="s">
        <v>758</v>
      </c>
      <c r="U20" s="158" t="s">
        <v>326</v>
      </c>
      <c r="V20" s="148" t="s">
        <v>64</v>
      </c>
      <c r="W20" s="148" t="s">
        <v>64</v>
      </c>
      <c r="X20" s="148" t="s">
        <v>761</v>
      </c>
      <c r="Y20" s="149" t="s">
        <v>64</v>
      </c>
      <c r="Z20" s="149" t="s">
        <v>801</v>
      </c>
      <c r="AA20" s="149" t="s">
        <v>230</v>
      </c>
      <c r="AB20" s="180" t="s">
        <v>316</v>
      </c>
      <c r="AC20" s="180" t="s">
        <v>316</v>
      </c>
      <c r="AD20" s="180" t="s">
        <v>316</v>
      </c>
      <c r="AE20" s="180" t="s">
        <v>316</v>
      </c>
      <c r="AF20" s="180" t="s">
        <v>316</v>
      </c>
      <c r="AG20" s="190" t="s">
        <v>327</v>
      </c>
      <c r="AH20" s="155" t="s">
        <v>802</v>
      </c>
      <c r="AI20" s="156" t="s">
        <v>795</v>
      </c>
    </row>
    <row r="21" spans="1:35" ht="26.25" customHeight="1">
      <c r="A21" s="145" t="s">
        <v>363</v>
      </c>
      <c r="B21" s="146" t="s">
        <v>343</v>
      </c>
      <c r="C21" s="157" t="s">
        <v>803</v>
      </c>
      <c r="D21" s="338"/>
      <c r="E21" s="147" t="s">
        <v>804</v>
      </c>
      <c r="F21" s="147" t="s">
        <v>747</v>
      </c>
      <c r="G21" s="147" t="s">
        <v>748</v>
      </c>
      <c r="H21" s="147" t="s">
        <v>749</v>
      </c>
      <c r="I21" s="147" t="s">
        <v>373</v>
      </c>
      <c r="J21" s="148" t="s">
        <v>64</v>
      </c>
      <c r="K21" s="148" t="s">
        <v>64</v>
      </c>
      <c r="L21" s="148" t="s">
        <v>752</v>
      </c>
      <c r="M21" s="150">
        <v>730</v>
      </c>
      <c r="N21" s="148" t="s">
        <v>64</v>
      </c>
      <c r="O21" s="148" t="s">
        <v>64</v>
      </c>
      <c r="P21" s="148" t="s">
        <v>755</v>
      </c>
      <c r="Q21" s="158" t="s">
        <v>326</v>
      </c>
      <c r="R21" s="148" t="s">
        <v>64</v>
      </c>
      <c r="S21" s="148" t="s">
        <v>64</v>
      </c>
      <c r="T21" s="148" t="s">
        <v>758</v>
      </c>
      <c r="U21" s="158" t="s">
        <v>326</v>
      </c>
      <c r="V21" s="148" t="s">
        <v>64</v>
      </c>
      <c r="W21" s="148" t="s">
        <v>64</v>
      </c>
      <c r="X21" s="148" t="s">
        <v>761</v>
      </c>
      <c r="Y21" s="149" t="s">
        <v>64</v>
      </c>
      <c r="Z21" s="149" t="s">
        <v>437</v>
      </c>
      <c r="AA21" s="149" t="s">
        <v>259</v>
      </c>
      <c r="AB21" s="180" t="s">
        <v>316</v>
      </c>
      <c r="AC21" s="180" t="s">
        <v>316</v>
      </c>
      <c r="AD21" s="180" t="s">
        <v>316</v>
      </c>
      <c r="AE21" s="180" t="s">
        <v>316</v>
      </c>
      <c r="AF21" s="180" t="s">
        <v>316</v>
      </c>
      <c r="AG21" s="190" t="s">
        <v>327</v>
      </c>
      <c r="AH21" s="155" t="s">
        <v>805</v>
      </c>
      <c r="AI21" s="156" t="s">
        <v>795</v>
      </c>
    </row>
    <row r="22" spans="1:35" ht="26.25" customHeight="1">
      <c r="A22" s="145" t="s">
        <v>369</v>
      </c>
      <c r="B22" s="146" t="s">
        <v>343</v>
      </c>
      <c r="C22" s="157" t="s">
        <v>806</v>
      </c>
      <c r="D22" s="338"/>
      <c r="E22" s="147" t="s">
        <v>807</v>
      </c>
      <c r="F22" s="147" t="s">
        <v>747</v>
      </c>
      <c r="G22" s="147" t="s">
        <v>748</v>
      </c>
      <c r="H22" s="147" t="s">
        <v>749</v>
      </c>
      <c r="I22" s="147" t="s">
        <v>808</v>
      </c>
      <c r="J22" s="148" t="s">
        <v>64</v>
      </c>
      <c r="K22" s="148" t="s">
        <v>64</v>
      </c>
      <c r="L22" s="148" t="s">
        <v>752</v>
      </c>
      <c r="M22" s="158" t="s">
        <v>64</v>
      </c>
      <c r="N22" s="148" t="s">
        <v>64</v>
      </c>
      <c r="O22" s="148" t="s">
        <v>64</v>
      </c>
      <c r="P22" s="148" t="s">
        <v>755</v>
      </c>
      <c r="Q22" s="150">
        <v>1150</v>
      </c>
      <c r="R22" s="148" t="s">
        <v>64</v>
      </c>
      <c r="S22" s="148" t="s">
        <v>64</v>
      </c>
      <c r="T22" s="148" t="s">
        <v>758</v>
      </c>
      <c r="U22" s="158" t="s">
        <v>326</v>
      </c>
      <c r="V22" s="148" t="s">
        <v>64</v>
      </c>
      <c r="W22" s="148" t="s">
        <v>64</v>
      </c>
      <c r="X22" s="148" t="s">
        <v>761</v>
      </c>
      <c r="Y22" s="149" t="s">
        <v>319</v>
      </c>
      <c r="Z22" s="149" t="s">
        <v>809</v>
      </c>
      <c r="AA22" s="149" t="s">
        <v>810</v>
      </c>
      <c r="AB22" s="180" t="s">
        <v>316</v>
      </c>
      <c r="AC22" s="180" t="s">
        <v>316</v>
      </c>
      <c r="AD22" s="180" t="s">
        <v>316</v>
      </c>
      <c r="AE22" s="180" t="s">
        <v>316</v>
      </c>
      <c r="AF22" s="180" t="s">
        <v>316</v>
      </c>
      <c r="AG22" s="190" t="s">
        <v>327</v>
      </c>
      <c r="AH22" s="155" t="s">
        <v>811</v>
      </c>
      <c r="AI22" s="156" t="s">
        <v>812</v>
      </c>
    </row>
    <row r="23" spans="1:35" ht="26.25" customHeight="1">
      <c r="A23" s="145" t="s">
        <v>255</v>
      </c>
      <c r="B23" s="146" t="s">
        <v>343</v>
      </c>
      <c r="C23" s="157" t="s">
        <v>813</v>
      </c>
      <c r="D23" s="339"/>
      <c r="E23" s="147" t="s">
        <v>814</v>
      </c>
      <c r="F23" s="147" t="s">
        <v>747</v>
      </c>
      <c r="G23" s="147" t="s">
        <v>748</v>
      </c>
      <c r="H23" s="147" t="s">
        <v>749</v>
      </c>
      <c r="I23" s="147" t="s">
        <v>815</v>
      </c>
      <c r="J23" s="148" t="s">
        <v>64</v>
      </c>
      <c r="K23" s="148" t="s">
        <v>64</v>
      </c>
      <c r="L23" s="148" t="s">
        <v>752</v>
      </c>
      <c r="M23" s="158" t="s">
        <v>64</v>
      </c>
      <c r="N23" s="148" t="s">
        <v>64</v>
      </c>
      <c r="O23" s="148" t="s">
        <v>64</v>
      </c>
      <c r="P23" s="148" t="s">
        <v>755</v>
      </c>
      <c r="Q23" s="150">
        <v>1895</v>
      </c>
      <c r="R23" s="148" t="s">
        <v>64</v>
      </c>
      <c r="S23" s="148" t="s">
        <v>64</v>
      </c>
      <c r="T23" s="148" t="s">
        <v>758</v>
      </c>
      <c r="U23" s="158" t="s">
        <v>326</v>
      </c>
      <c r="V23" s="148" t="s">
        <v>64</v>
      </c>
      <c r="W23" s="148" t="s">
        <v>64</v>
      </c>
      <c r="X23" s="148" t="s">
        <v>761</v>
      </c>
      <c r="Y23" s="149" t="s">
        <v>319</v>
      </c>
      <c r="Z23" s="149" t="s">
        <v>816</v>
      </c>
      <c r="AA23" s="149" t="s">
        <v>222</v>
      </c>
      <c r="AB23" s="180" t="s">
        <v>316</v>
      </c>
      <c r="AC23" s="180" t="s">
        <v>316</v>
      </c>
      <c r="AD23" s="180" t="s">
        <v>316</v>
      </c>
      <c r="AE23" s="180" t="s">
        <v>316</v>
      </c>
      <c r="AF23" s="180" t="s">
        <v>316</v>
      </c>
      <c r="AG23" s="190" t="s">
        <v>327</v>
      </c>
      <c r="AH23" s="155" t="s">
        <v>817</v>
      </c>
      <c r="AI23" s="156" t="s">
        <v>812</v>
      </c>
    </row>
    <row r="24" spans="1:35" ht="28.5" customHeight="1">
      <c r="A24" s="159" t="s">
        <v>140</v>
      </c>
      <c r="B24" s="183" t="s">
        <v>382</v>
      </c>
      <c r="C24" s="286" t="s">
        <v>818</v>
      </c>
      <c r="D24" s="334"/>
      <c r="E24" s="159" t="s">
        <v>64</v>
      </c>
      <c r="F24" s="159" t="s">
        <v>747</v>
      </c>
      <c r="G24" s="159" t="s">
        <v>748</v>
      </c>
      <c r="H24" s="159" t="s">
        <v>64</v>
      </c>
      <c r="I24" s="159" t="s">
        <v>64</v>
      </c>
      <c r="J24" s="159" t="s">
        <v>752</v>
      </c>
      <c r="K24" s="159" t="s">
        <v>752</v>
      </c>
      <c r="L24" s="159" t="s">
        <v>752</v>
      </c>
      <c r="M24" s="159" t="s">
        <v>64</v>
      </c>
      <c r="N24" s="159" t="s">
        <v>755</v>
      </c>
      <c r="O24" s="159" t="s">
        <v>755</v>
      </c>
      <c r="P24" s="159" t="s">
        <v>755</v>
      </c>
      <c r="Q24" s="159" t="s">
        <v>64</v>
      </c>
      <c r="R24" s="159" t="s">
        <v>758</v>
      </c>
      <c r="S24" s="159" t="s">
        <v>758</v>
      </c>
      <c r="T24" s="159" t="s">
        <v>758</v>
      </c>
      <c r="U24" s="159" t="s">
        <v>64</v>
      </c>
      <c r="V24" s="159" t="s">
        <v>761</v>
      </c>
      <c r="W24" s="159" t="s">
        <v>761</v>
      </c>
      <c r="X24" s="159" t="s">
        <v>761</v>
      </c>
      <c r="Y24" s="159" t="s">
        <v>64</v>
      </c>
      <c r="Z24" s="159" t="s">
        <v>64</v>
      </c>
      <c r="AA24" s="159" t="s">
        <v>64</v>
      </c>
      <c r="AB24" s="159" t="s">
        <v>64</v>
      </c>
      <c r="AC24" s="159" t="s">
        <v>64</v>
      </c>
      <c r="AD24" s="159" t="s">
        <v>64</v>
      </c>
      <c r="AE24" s="159" t="s">
        <v>64</v>
      </c>
      <c r="AF24" s="159" t="s">
        <v>64</v>
      </c>
      <c r="AG24" s="146" t="s">
        <v>382</v>
      </c>
      <c r="AH24" s="161" t="s">
        <v>819</v>
      </c>
      <c r="AI24" s="162" t="s">
        <v>385</v>
      </c>
    </row>
    <row r="25" spans="1:35" ht="34.5" customHeight="1">
      <c r="A25" s="163" t="s">
        <v>140</v>
      </c>
      <c r="B25" s="183" t="s">
        <v>382</v>
      </c>
      <c r="C25" s="292" t="s">
        <v>820</v>
      </c>
      <c r="D25" s="334"/>
      <c r="E25" s="163" t="s">
        <v>64</v>
      </c>
      <c r="F25" s="163" t="s">
        <v>747</v>
      </c>
      <c r="G25" s="163" t="s">
        <v>748</v>
      </c>
      <c r="H25" s="163" t="s">
        <v>64</v>
      </c>
      <c r="I25" s="163" t="s">
        <v>64</v>
      </c>
      <c r="J25" s="163" t="s">
        <v>821</v>
      </c>
      <c r="K25" s="163" t="s">
        <v>821</v>
      </c>
      <c r="L25" s="163" t="s">
        <v>821</v>
      </c>
      <c r="M25" s="164" t="s">
        <v>821</v>
      </c>
      <c r="N25" s="163" t="s">
        <v>822</v>
      </c>
      <c r="O25" s="163" t="s">
        <v>822</v>
      </c>
      <c r="P25" s="163" t="s">
        <v>822</v>
      </c>
      <c r="Q25" s="164" t="s">
        <v>822</v>
      </c>
      <c r="R25" s="163" t="s">
        <v>64</v>
      </c>
      <c r="S25" s="163" t="s">
        <v>64</v>
      </c>
      <c r="T25" s="163" t="s">
        <v>64</v>
      </c>
      <c r="U25" s="164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63" t="s">
        <v>64</v>
      </c>
      <c r="AA25" s="163" t="s">
        <v>64</v>
      </c>
      <c r="AB25" s="163" t="s">
        <v>64</v>
      </c>
      <c r="AC25" s="163" t="s">
        <v>64</v>
      </c>
      <c r="AD25" s="163" t="s">
        <v>64</v>
      </c>
      <c r="AE25" s="163" t="s">
        <v>64</v>
      </c>
      <c r="AF25" s="163" t="s">
        <v>64</v>
      </c>
      <c r="AG25" s="146" t="s">
        <v>382</v>
      </c>
      <c r="AH25" s="165" t="s">
        <v>823</v>
      </c>
      <c r="AI25" s="166" t="s">
        <v>390</v>
      </c>
    </row>
    <row r="26" spans="1:35"/>
    <row r="27" spans="1:35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5"/>
      <c r="AI27" s="325"/>
    </row>
    <row r="28" spans="1:35"/>
    <row r="29" spans="1:35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35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35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35" ht="20.25" customHeight="1">
      <c r="A32" s="167" t="s">
        <v>215</v>
      </c>
      <c r="B32" s="168">
        <f>'Current Rents'!E16</f>
        <v>935</v>
      </c>
      <c r="C32" s="170">
        <v>786</v>
      </c>
      <c r="E32" s="196">
        <f>B32-C32</f>
        <v>149</v>
      </c>
      <c r="F32" s="215" t="str">
        <f>IF(E32&lt;-75,"LOOK INTO INCREASING THE RENT!","")</f>
        <v/>
      </c>
    </row>
    <row r="33" spans="1:6" ht="20.25" customHeight="1">
      <c r="A33" s="167" t="s">
        <v>216</v>
      </c>
      <c r="B33" s="168">
        <f>'Current Rents'!F16</f>
        <v>1073</v>
      </c>
      <c r="C33" s="170">
        <v>1298</v>
      </c>
      <c r="E33" s="184">
        <f>B33-C33</f>
        <v>-225</v>
      </c>
      <c r="F33" s="215" t="str">
        <f>IF(E33&lt;-75,"LOOK INTO INCREASING THE RENT!","")</f>
        <v>LOOK INTO INCREASING THE RENT!</v>
      </c>
    </row>
    <row r="34" spans="1:6" ht="20.25" customHeight="1">
      <c r="A34" s="167" t="s">
        <v>218</v>
      </c>
      <c r="B34" s="168">
        <f>'Current Rents'!G16</f>
        <v>1147</v>
      </c>
      <c r="C34" s="197" t="s">
        <v>64</v>
      </c>
      <c r="E34" s="184" t="e">
        <f>B34-C34</f>
        <v>#VALUE!</v>
      </c>
      <c r="F34" s="215" t="e">
        <f>IF(E34&lt;-75,"LOOK INTO INCREASING THE RENT!","")</f>
        <v>#VALUE!</v>
      </c>
    </row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8:AF8"/>
    <mergeCell ref="A9:AI9"/>
    <mergeCell ref="A27:AI27"/>
    <mergeCell ref="C14:D14"/>
    <mergeCell ref="AG8:AI8"/>
    <mergeCell ref="C13:D13"/>
    <mergeCell ref="C12:D12"/>
    <mergeCell ref="A11:AI11"/>
    <mergeCell ref="D18:D23"/>
    <mergeCell ref="A10:AI10"/>
    <mergeCell ref="C16:D16"/>
    <mergeCell ref="A29:H29"/>
    <mergeCell ref="C15:D15"/>
    <mergeCell ref="C24:D24"/>
    <mergeCell ref="C25:D25"/>
    <mergeCell ref="C31:D31"/>
    <mergeCell ref="C17:D17"/>
    <mergeCell ref="A30:H3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43"/>
  <sheetViews>
    <sheetView workbookViewId="0">
      <pane ySplit="1" topLeftCell="A19" activePane="bottomLeft" state="frozen"/>
      <selection pane="bottomLeft" activeCell="A30" sqref="A30:E30"/>
    </sheetView>
  </sheetViews>
  <sheetFormatPr defaultColWidth="9.140625" defaultRowHeight="15" customHeight="1"/>
  <cols>
    <col min="1" max="1" width="10.85546875" customWidth="1"/>
    <col min="2" max="2" width="20.140625" customWidth="1"/>
    <col min="3" max="3" width="50.42578125" customWidth="1"/>
    <col min="4" max="4" width="2.85546875" customWidth="1"/>
    <col min="5" max="5" width="23.28515625" customWidth="1"/>
    <col min="6" max="6" width="14.42578125" customWidth="1"/>
    <col min="7" max="7" width="7.140625" customWidth="1"/>
    <col min="8" max="8" width="9" customWidth="1"/>
    <col min="9" max="9" width="11.140625" customWidth="1"/>
    <col min="10" max="10" width="6.85546875" hidden="1" customWidth="1"/>
    <col min="11" max="11" width="13" hidden="1" customWidth="1"/>
    <col min="12" max="12" width="5.28515625" hidden="1" customWidth="1"/>
    <col min="13" max="13" width="17.5703125" customWidth="1"/>
    <col min="14" max="14" width="6.85546875" hidden="1" customWidth="1"/>
    <col min="15" max="15" width="13" hidden="1" customWidth="1"/>
    <col min="16" max="16" width="5.28515625" hidden="1" customWidth="1"/>
    <col min="17" max="17" width="20.42578125" customWidth="1"/>
    <col min="18" max="18" width="6.85546875" hidden="1" customWidth="1"/>
    <col min="19" max="19" width="13" hidden="1" customWidth="1"/>
    <col min="20" max="20" width="5.28515625" hidden="1" customWidth="1"/>
    <col min="21" max="21" width="20.28515625" customWidth="1"/>
    <col min="22" max="22" width="6.85546875" hidden="1" customWidth="1"/>
    <col min="23" max="23" width="13" hidden="1" customWidth="1"/>
    <col min="24" max="24" width="5.28515625" hidden="1" customWidth="1"/>
    <col min="25" max="25" width="15.28515625" customWidth="1"/>
    <col min="26" max="33" width="9.28515625" customWidth="1"/>
    <col min="34" max="34" width="31.28515625" customWidth="1"/>
    <col min="35" max="35" width="65.7109375" customWidth="1"/>
    <col min="36" max="36" width="58.140625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" hidden="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.75" hidden="1" customHeight="1"/>
    <row r="6" spans="1:36" ht="21.75" hidden="1" customHeight="1"/>
    <row r="7" spans="1:36" ht="8.25" hidden="1" customHeight="1"/>
    <row r="8" spans="1:36" ht="36" customHeight="1">
      <c r="A8" s="293" t="s">
        <v>824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3"/>
      <c r="AG8" s="334"/>
      <c r="AH8" s="308" t="s">
        <v>825</v>
      </c>
      <c r="AI8" s="333"/>
      <c r="AJ8" s="334"/>
    </row>
    <row r="9" spans="1:36" ht="18" customHeight="1">
      <c r="A9" s="307" t="s">
        <v>826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3"/>
      <c r="AJ9" s="334"/>
    </row>
    <row r="10" spans="1:36" ht="14.25" customHeight="1">
      <c r="A10" s="297" t="s">
        <v>274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4"/>
    </row>
    <row r="11" spans="1:36" ht="25.5" customHeight="1">
      <c r="A11" s="295" t="s">
        <v>275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4"/>
    </row>
    <row r="12" spans="1:36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486</v>
      </c>
      <c r="K12" s="172" t="s">
        <v>487</v>
      </c>
      <c r="L12" s="172" t="s">
        <v>488</v>
      </c>
      <c r="M12" s="173" t="s">
        <v>489</v>
      </c>
      <c r="N12" s="172" t="s">
        <v>283</v>
      </c>
      <c r="O12" s="172" t="s">
        <v>284</v>
      </c>
      <c r="P12" s="172" t="s">
        <v>285</v>
      </c>
      <c r="Q12" s="173" t="s">
        <v>402</v>
      </c>
      <c r="R12" s="172" t="s">
        <v>287</v>
      </c>
      <c r="S12" s="172" t="s">
        <v>288</v>
      </c>
      <c r="T12" s="172" t="s">
        <v>289</v>
      </c>
      <c r="U12" s="173" t="s">
        <v>403</v>
      </c>
      <c r="V12" s="172" t="s">
        <v>738</v>
      </c>
      <c r="W12" s="172" t="s">
        <v>739</v>
      </c>
      <c r="X12" s="172" t="s">
        <v>740</v>
      </c>
      <c r="Y12" s="173" t="s">
        <v>741</v>
      </c>
      <c r="Z12" s="175" t="s">
        <v>6</v>
      </c>
      <c r="AA12" s="175" t="s">
        <v>291</v>
      </c>
      <c r="AB12" s="175" t="s">
        <v>292</v>
      </c>
      <c r="AC12" s="175" t="s">
        <v>293</v>
      </c>
      <c r="AD12" s="175" t="s">
        <v>294</v>
      </c>
      <c r="AE12" s="175" t="s">
        <v>295</v>
      </c>
      <c r="AF12" s="175" t="s">
        <v>296</v>
      </c>
      <c r="AG12" s="175" t="s">
        <v>297</v>
      </c>
      <c r="AH12" s="176" t="s">
        <v>298</v>
      </c>
      <c r="AI12" s="177" t="s">
        <v>299</v>
      </c>
      <c r="AJ12" s="177" t="s">
        <v>300</v>
      </c>
    </row>
    <row r="13" spans="1:36" ht="21.75" customHeight="1">
      <c r="A13" s="127" t="s">
        <v>301</v>
      </c>
      <c r="B13" s="198" t="s">
        <v>302</v>
      </c>
      <c r="C13" s="310" t="s">
        <v>827</v>
      </c>
      <c r="D13" s="334"/>
      <c r="E13" s="129" t="s">
        <v>828</v>
      </c>
      <c r="F13" s="129" t="s">
        <v>829</v>
      </c>
      <c r="G13" s="129" t="s">
        <v>748</v>
      </c>
      <c r="H13" s="129" t="s">
        <v>830</v>
      </c>
      <c r="I13" s="129" t="s">
        <v>308</v>
      </c>
      <c r="J13" s="129" t="s">
        <v>831</v>
      </c>
      <c r="K13" s="129" t="s">
        <v>832</v>
      </c>
      <c r="L13" s="129" t="s">
        <v>833</v>
      </c>
      <c r="M13" s="130">
        <f>'Current Rents'!D17</f>
        <v>1074</v>
      </c>
      <c r="N13" s="129" t="s">
        <v>750</v>
      </c>
      <c r="O13" s="129" t="s">
        <v>751</v>
      </c>
      <c r="P13" s="129" t="s">
        <v>834</v>
      </c>
      <c r="Q13" s="130">
        <f>'Current Rents'!E17</f>
        <v>1166</v>
      </c>
      <c r="R13" s="129" t="s">
        <v>753</v>
      </c>
      <c r="S13" s="129" t="s">
        <v>754</v>
      </c>
      <c r="T13" s="129" t="s">
        <v>835</v>
      </c>
      <c r="U13" s="130">
        <f>'Current Rents'!F17</f>
        <v>1290</v>
      </c>
      <c r="V13" s="129" t="s">
        <v>756</v>
      </c>
      <c r="W13" s="129" t="s">
        <v>757</v>
      </c>
      <c r="X13" s="129" t="s">
        <v>836</v>
      </c>
      <c r="Y13" s="130">
        <f>'Current Rents'!G17</f>
        <v>1433</v>
      </c>
      <c r="Z13" s="129">
        <v>68</v>
      </c>
      <c r="AA13" s="129">
        <v>1985</v>
      </c>
      <c r="AB13" s="129" t="s">
        <v>504</v>
      </c>
      <c r="AC13" s="132" t="s">
        <v>315</v>
      </c>
      <c r="AD13" s="133" t="s">
        <v>316</v>
      </c>
      <c r="AE13" s="133" t="s">
        <v>316</v>
      </c>
      <c r="AF13" s="133" t="s">
        <v>316</v>
      </c>
      <c r="AG13" s="133" t="s">
        <v>316</v>
      </c>
      <c r="AH13" s="128" t="s">
        <v>302</v>
      </c>
      <c r="AI13" s="134" t="s">
        <v>837</v>
      </c>
      <c r="AJ13" s="135" t="s">
        <v>318</v>
      </c>
    </row>
    <row r="14" spans="1:36" ht="21.75" customHeight="1">
      <c r="A14" s="136" t="s">
        <v>319</v>
      </c>
      <c r="B14" s="178" t="s">
        <v>320</v>
      </c>
      <c r="C14" s="287" t="s">
        <v>838</v>
      </c>
      <c r="D14" s="334"/>
      <c r="E14" s="138" t="s">
        <v>839</v>
      </c>
      <c r="F14" s="138" t="s">
        <v>840</v>
      </c>
      <c r="G14" s="138" t="s">
        <v>748</v>
      </c>
      <c r="H14" s="138" t="s">
        <v>841</v>
      </c>
      <c r="I14" s="138" t="s">
        <v>842</v>
      </c>
      <c r="J14" s="138" t="s">
        <v>831</v>
      </c>
      <c r="K14" s="138" t="s">
        <v>832</v>
      </c>
      <c r="L14" s="138" t="s">
        <v>833</v>
      </c>
      <c r="M14" s="136" t="s">
        <v>326</v>
      </c>
      <c r="N14" s="138" t="s">
        <v>750</v>
      </c>
      <c r="O14" s="138" t="s">
        <v>751</v>
      </c>
      <c r="P14" s="138" t="s">
        <v>834</v>
      </c>
      <c r="Q14" s="136" t="s">
        <v>326</v>
      </c>
      <c r="R14" s="138" t="s">
        <v>753</v>
      </c>
      <c r="S14" s="138" t="s">
        <v>754</v>
      </c>
      <c r="T14" s="138" t="s">
        <v>835</v>
      </c>
      <c r="U14" s="136" t="s">
        <v>326</v>
      </c>
      <c r="V14" s="138" t="s">
        <v>756</v>
      </c>
      <c r="W14" s="138" t="s">
        <v>757</v>
      </c>
      <c r="X14" s="138" t="s">
        <v>836</v>
      </c>
      <c r="Y14" s="136" t="s">
        <v>326</v>
      </c>
      <c r="Z14" s="138">
        <v>32</v>
      </c>
      <c r="AA14" s="138">
        <v>1987</v>
      </c>
      <c r="AB14" s="138">
        <v>2</v>
      </c>
      <c r="AC14" s="139" t="s">
        <v>315</v>
      </c>
      <c r="AD14" s="140" t="s">
        <v>316</v>
      </c>
      <c r="AE14" s="140" t="s">
        <v>316</v>
      </c>
      <c r="AF14" s="140" t="s">
        <v>316</v>
      </c>
      <c r="AG14" s="140" t="s">
        <v>316</v>
      </c>
      <c r="AH14" s="190" t="s">
        <v>327</v>
      </c>
      <c r="AI14" s="142" t="s">
        <v>843</v>
      </c>
      <c r="AJ14" s="143" t="s">
        <v>680</v>
      </c>
    </row>
    <row r="15" spans="1:36" ht="21.75" customHeight="1">
      <c r="A15" s="136" t="s">
        <v>258</v>
      </c>
      <c r="B15" s="178" t="s">
        <v>320</v>
      </c>
      <c r="C15" s="287" t="s">
        <v>844</v>
      </c>
      <c r="D15" s="334"/>
      <c r="E15" s="138" t="s">
        <v>845</v>
      </c>
      <c r="F15" s="138" t="s">
        <v>846</v>
      </c>
      <c r="G15" s="138" t="s">
        <v>748</v>
      </c>
      <c r="H15" s="138" t="s">
        <v>64</v>
      </c>
      <c r="I15" s="138" t="s">
        <v>64</v>
      </c>
      <c r="J15" s="138" t="s">
        <v>831</v>
      </c>
      <c r="K15" s="138" t="s">
        <v>832</v>
      </c>
      <c r="L15" s="138" t="s">
        <v>833</v>
      </c>
      <c r="M15" s="136" t="s">
        <v>326</v>
      </c>
      <c r="N15" s="138" t="s">
        <v>750</v>
      </c>
      <c r="O15" s="138" t="s">
        <v>751</v>
      </c>
      <c r="P15" s="138" t="s">
        <v>834</v>
      </c>
      <c r="Q15" s="136" t="s">
        <v>326</v>
      </c>
      <c r="R15" s="138" t="s">
        <v>753</v>
      </c>
      <c r="S15" s="138" t="s">
        <v>754</v>
      </c>
      <c r="T15" s="138" t="s">
        <v>835</v>
      </c>
      <c r="U15" s="136" t="s">
        <v>326</v>
      </c>
      <c r="V15" s="138" t="s">
        <v>756</v>
      </c>
      <c r="W15" s="138" t="s">
        <v>757</v>
      </c>
      <c r="X15" s="138" t="s">
        <v>836</v>
      </c>
      <c r="Y15" s="136" t="s">
        <v>326</v>
      </c>
      <c r="Z15" s="138">
        <v>52</v>
      </c>
      <c r="AA15" s="138">
        <v>1988</v>
      </c>
      <c r="AB15" s="138">
        <v>3</v>
      </c>
      <c r="AC15" s="139" t="s">
        <v>315</v>
      </c>
      <c r="AD15" s="140" t="s">
        <v>316</v>
      </c>
      <c r="AE15" s="140" t="s">
        <v>316</v>
      </c>
      <c r="AF15" s="140" t="s">
        <v>316</v>
      </c>
      <c r="AG15" s="140" t="s">
        <v>316</v>
      </c>
      <c r="AH15" s="190" t="s">
        <v>327</v>
      </c>
      <c r="AI15" s="142" t="s">
        <v>847</v>
      </c>
      <c r="AJ15" s="143" t="s">
        <v>680</v>
      </c>
    </row>
    <row r="16" spans="1:36" ht="21.75" customHeight="1">
      <c r="A16" s="136" t="s">
        <v>237</v>
      </c>
      <c r="B16" s="178" t="s">
        <v>320</v>
      </c>
      <c r="C16" s="287" t="s">
        <v>848</v>
      </c>
      <c r="D16" s="334"/>
      <c r="E16" s="138" t="s">
        <v>849</v>
      </c>
      <c r="F16" s="138" t="s">
        <v>850</v>
      </c>
      <c r="G16" s="138" t="s">
        <v>748</v>
      </c>
      <c r="H16" s="138" t="s">
        <v>851</v>
      </c>
      <c r="I16" s="138" t="s">
        <v>852</v>
      </c>
      <c r="J16" s="138" t="s">
        <v>831</v>
      </c>
      <c r="K16" s="138" t="s">
        <v>832</v>
      </c>
      <c r="L16" s="138" t="s">
        <v>833</v>
      </c>
      <c r="M16" s="136" t="s">
        <v>326</v>
      </c>
      <c r="N16" s="138" t="s">
        <v>750</v>
      </c>
      <c r="O16" s="138" t="s">
        <v>751</v>
      </c>
      <c r="P16" s="138" t="s">
        <v>834</v>
      </c>
      <c r="Q16" s="136" t="s">
        <v>326</v>
      </c>
      <c r="R16" s="138" t="s">
        <v>753</v>
      </c>
      <c r="S16" s="138" t="s">
        <v>754</v>
      </c>
      <c r="T16" s="138" t="s">
        <v>835</v>
      </c>
      <c r="U16" s="136" t="s">
        <v>326</v>
      </c>
      <c r="V16" s="138" t="s">
        <v>756</v>
      </c>
      <c r="W16" s="138" t="s">
        <v>757</v>
      </c>
      <c r="X16" s="138" t="s">
        <v>836</v>
      </c>
      <c r="Y16" s="136" t="s">
        <v>326</v>
      </c>
      <c r="Z16" s="138">
        <v>24</v>
      </c>
      <c r="AA16" s="138">
        <v>1987</v>
      </c>
      <c r="AB16" s="138">
        <v>2</v>
      </c>
      <c r="AC16" s="139" t="s">
        <v>315</v>
      </c>
      <c r="AD16" s="140" t="s">
        <v>316</v>
      </c>
      <c r="AE16" s="140" t="s">
        <v>316</v>
      </c>
      <c r="AF16" s="140" t="s">
        <v>316</v>
      </c>
      <c r="AG16" s="140" t="s">
        <v>316</v>
      </c>
      <c r="AH16" s="190" t="s">
        <v>327</v>
      </c>
      <c r="AI16" s="142" t="s">
        <v>853</v>
      </c>
      <c r="AJ16" s="143" t="s">
        <v>680</v>
      </c>
    </row>
    <row r="17" spans="1:36" ht="21.75" customHeight="1">
      <c r="A17" s="136" t="s">
        <v>363</v>
      </c>
      <c r="B17" s="178" t="s">
        <v>320</v>
      </c>
      <c r="C17" s="287" t="s">
        <v>854</v>
      </c>
      <c r="D17" s="334"/>
      <c r="E17" s="138" t="s">
        <v>855</v>
      </c>
      <c r="F17" s="138" t="s">
        <v>856</v>
      </c>
      <c r="G17" s="138" t="s">
        <v>748</v>
      </c>
      <c r="H17" s="138" t="s">
        <v>857</v>
      </c>
      <c r="I17" s="138" t="s">
        <v>858</v>
      </c>
      <c r="J17" s="138" t="s">
        <v>831</v>
      </c>
      <c r="K17" s="138" t="s">
        <v>832</v>
      </c>
      <c r="L17" s="138" t="s">
        <v>833</v>
      </c>
      <c r="M17" s="136" t="s">
        <v>326</v>
      </c>
      <c r="N17" s="138" t="s">
        <v>750</v>
      </c>
      <c r="O17" s="138" t="s">
        <v>751</v>
      </c>
      <c r="P17" s="138" t="s">
        <v>834</v>
      </c>
      <c r="Q17" s="136" t="s">
        <v>326</v>
      </c>
      <c r="R17" s="138" t="s">
        <v>753</v>
      </c>
      <c r="S17" s="138" t="s">
        <v>754</v>
      </c>
      <c r="T17" s="138" t="s">
        <v>835</v>
      </c>
      <c r="U17" s="136" t="s">
        <v>326</v>
      </c>
      <c r="V17" s="138" t="s">
        <v>756</v>
      </c>
      <c r="W17" s="138" t="s">
        <v>757</v>
      </c>
      <c r="X17" s="138" t="s">
        <v>836</v>
      </c>
      <c r="Y17" s="136" t="s">
        <v>326</v>
      </c>
      <c r="Z17" s="138">
        <v>24</v>
      </c>
      <c r="AA17" s="138">
        <v>1987</v>
      </c>
      <c r="AB17" s="138">
        <v>2</v>
      </c>
      <c r="AC17" s="139" t="s">
        <v>315</v>
      </c>
      <c r="AD17" s="140" t="s">
        <v>316</v>
      </c>
      <c r="AE17" s="140" t="s">
        <v>316</v>
      </c>
      <c r="AF17" s="140" t="s">
        <v>316</v>
      </c>
      <c r="AG17" s="140" t="s">
        <v>316</v>
      </c>
      <c r="AH17" s="190" t="s">
        <v>327</v>
      </c>
      <c r="AI17" s="142" t="s">
        <v>859</v>
      </c>
      <c r="AJ17" s="143" t="s">
        <v>680</v>
      </c>
    </row>
    <row r="18" spans="1:36" ht="26.25" customHeight="1">
      <c r="A18" s="145" t="s">
        <v>319</v>
      </c>
      <c r="B18" s="146" t="s">
        <v>343</v>
      </c>
      <c r="C18" s="157" t="s">
        <v>860</v>
      </c>
      <c r="D18" s="303" t="s">
        <v>345</v>
      </c>
      <c r="E18" s="147" t="s">
        <v>861</v>
      </c>
      <c r="F18" s="147" t="s">
        <v>850</v>
      </c>
      <c r="G18" s="147" t="s">
        <v>748</v>
      </c>
      <c r="H18" s="147" t="s">
        <v>862</v>
      </c>
      <c r="I18" s="147" t="s">
        <v>863</v>
      </c>
      <c r="J18" s="148" t="s">
        <v>64</v>
      </c>
      <c r="K18" s="148" t="s">
        <v>64</v>
      </c>
      <c r="L18" s="148" t="s">
        <v>64</v>
      </c>
      <c r="M18" s="158" t="s">
        <v>64</v>
      </c>
      <c r="N18" s="148" t="s">
        <v>64</v>
      </c>
      <c r="O18" s="148" t="s">
        <v>64</v>
      </c>
      <c r="P18" s="148" t="s">
        <v>64</v>
      </c>
      <c r="Q18" s="150">
        <v>815</v>
      </c>
      <c r="R18" s="148" t="s">
        <v>64</v>
      </c>
      <c r="S18" s="148" t="s">
        <v>64</v>
      </c>
      <c r="T18" s="148" t="s">
        <v>64</v>
      </c>
      <c r="U18" s="150">
        <v>975</v>
      </c>
      <c r="V18" s="148" t="s">
        <v>64</v>
      </c>
      <c r="W18" s="148" t="s">
        <v>64</v>
      </c>
      <c r="X18" s="148" t="s">
        <v>64</v>
      </c>
      <c r="Y18" s="158" t="s">
        <v>64</v>
      </c>
      <c r="Z18" s="147" t="s">
        <v>64</v>
      </c>
      <c r="AA18" s="147" t="s">
        <v>64</v>
      </c>
      <c r="AB18" s="147" t="s">
        <v>64</v>
      </c>
      <c r="AC18" s="145" t="s">
        <v>64</v>
      </c>
      <c r="AD18" s="145" t="s">
        <v>64</v>
      </c>
      <c r="AE18" s="152" t="s">
        <v>316</v>
      </c>
      <c r="AF18" s="145" t="s">
        <v>64</v>
      </c>
      <c r="AG18" s="145" t="s">
        <v>64</v>
      </c>
      <c r="AH18" s="190" t="s">
        <v>327</v>
      </c>
      <c r="AI18" s="155" t="s">
        <v>864</v>
      </c>
      <c r="AJ18" s="156" t="s">
        <v>865</v>
      </c>
    </row>
    <row r="19" spans="1:36" ht="26.25" customHeight="1">
      <c r="A19" s="145" t="s">
        <v>258</v>
      </c>
      <c r="B19" s="146" t="s">
        <v>343</v>
      </c>
      <c r="C19" s="157" t="s">
        <v>866</v>
      </c>
      <c r="D19" s="338"/>
      <c r="E19" s="147" t="s">
        <v>867</v>
      </c>
      <c r="F19" s="147" t="s">
        <v>850</v>
      </c>
      <c r="G19" s="147" t="s">
        <v>748</v>
      </c>
      <c r="H19" s="147" t="s">
        <v>862</v>
      </c>
      <c r="I19" s="147" t="s">
        <v>868</v>
      </c>
      <c r="J19" s="148" t="s">
        <v>64</v>
      </c>
      <c r="K19" s="148" t="s">
        <v>64</v>
      </c>
      <c r="L19" s="148" t="s">
        <v>64</v>
      </c>
      <c r="M19" s="158" t="s">
        <v>64</v>
      </c>
      <c r="N19" s="148" t="s">
        <v>64</v>
      </c>
      <c r="O19" s="148" t="s">
        <v>64</v>
      </c>
      <c r="P19" s="148" t="s">
        <v>64</v>
      </c>
      <c r="Q19" s="150">
        <v>1100</v>
      </c>
      <c r="R19" s="148" t="s">
        <v>64</v>
      </c>
      <c r="S19" s="148" t="s">
        <v>64</v>
      </c>
      <c r="T19" s="148" t="s">
        <v>64</v>
      </c>
      <c r="U19" s="158" t="s">
        <v>64</v>
      </c>
      <c r="V19" s="148" t="s">
        <v>64</v>
      </c>
      <c r="W19" s="148" t="s">
        <v>64</v>
      </c>
      <c r="X19" s="148" t="s">
        <v>64</v>
      </c>
      <c r="Y19" s="158" t="s">
        <v>64</v>
      </c>
      <c r="Z19" s="147" t="s">
        <v>64</v>
      </c>
      <c r="AA19" s="147" t="s">
        <v>64</v>
      </c>
      <c r="AB19" s="147" t="s">
        <v>64</v>
      </c>
      <c r="AC19" s="145" t="s">
        <v>64</v>
      </c>
      <c r="AD19" s="145" t="s">
        <v>64</v>
      </c>
      <c r="AE19" s="152" t="s">
        <v>316</v>
      </c>
      <c r="AF19" s="145" t="s">
        <v>64</v>
      </c>
      <c r="AG19" s="145" t="s">
        <v>64</v>
      </c>
      <c r="AH19" s="190" t="s">
        <v>327</v>
      </c>
      <c r="AI19" s="155" t="s">
        <v>869</v>
      </c>
      <c r="AJ19" s="156" t="s">
        <v>865</v>
      </c>
    </row>
    <row r="20" spans="1:36" ht="26.25" customHeight="1">
      <c r="A20" s="145" t="s">
        <v>237</v>
      </c>
      <c r="B20" s="146" t="s">
        <v>343</v>
      </c>
      <c r="C20" s="157" t="s">
        <v>870</v>
      </c>
      <c r="D20" s="338"/>
      <c r="E20" s="147" t="s">
        <v>871</v>
      </c>
      <c r="F20" s="147" t="s">
        <v>850</v>
      </c>
      <c r="G20" s="147" t="s">
        <v>748</v>
      </c>
      <c r="H20" s="147" t="s">
        <v>872</v>
      </c>
      <c r="I20" s="147" t="s">
        <v>873</v>
      </c>
      <c r="J20" s="148" t="s">
        <v>64</v>
      </c>
      <c r="K20" s="148" t="s">
        <v>64</v>
      </c>
      <c r="L20" s="148" t="s">
        <v>64</v>
      </c>
      <c r="M20" s="158" t="s">
        <v>64</v>
      </c>
      <c r="N20" s="148" t="s">
        <v>64</v>
      </c>
      <c r="O20" s="148" t="s">
        <v>64</v>
      </c>
      <c r="P20" s="148" t="s">
        <v>64</v>
      </c>
      <c r="Q20" s="150">
        <v>1100</v>
      </c>
      <c r="R20" s="148" t="s">
        <v>64</v>
      </c>
      <c r="S20" s="148" t="s">
        <v>64</v>
      </c>
      <c r="T20" s="148" t="s">
        <v>64</v>
      </c>
      <c r="U20" s="158" t="s">
        <v>64</v>
      </c>
      <c r="V20" s="148" t="s">
        <v>64</v>
      </c>
      <c r="W20" s="148" t="s">
        <v>64</v>
      </c>
      <c r="X20" s="148" t="s">
        <v>64</v>
      </c>
      <c r="Y20" s="158" t="s">
        <v>64</v>
      </c>
      <c r="Z20" s="147" t="s">
        <v>64</v>
      </c>
      <c r="AA20" s="147" t="s">
        <v>64</v>
      </c>
      <c r="AB20" s="147" t="s">
        <v>64</v>
      </c>
      <c r="AC20" s="145" t="s">
        <v>64</v>
      </c>
      <c r="AD20" s="145" t="s">
        <v>64</v>
      </c>
      <c r="AE20" s="152" t="s">
        <v>316</v>
      </c>
      <c r="AF20" s="145" t="s">
        <v>64</v>
      </c>
      <c r="AG20" s="145" t="s">
        <v>64</v>
      </c>
      <c r="AH20" s="190" t="s">
        <v>327</v>
      </c>
      <c r="AI20" s="155" t="s">
        <v>874</v>
      </c>
      <c r="AJ20" s="156" t="s">
        <v>865</v>
      </c>
    </row>
    <row r="21" spans="1:36" ht="26.25" customHeight="1">
      <c r="A21" s="145" t="s">
        <v>363</v>
      </c>
      <c r="B21" s="146" t="s">
        <v>343</v>
      </c>
      <c r="C21" s="157" t="s">
        <v>875</v>
      </c>
      <c r="D21" s="338"/>
      <c r="E21" s="147" t="s">
        <v>876</v>
      </c>
      <c r="F21" s="147" t="s">
        <v>877</v>
      </c>
      <c r="G21" s="147" t="s">
        <v>748</v>
      </c>
      <c r="H21" s="147" t="s">
        <v>878</v>
      </c>
      <c r="I21" s="147" t="s">
        <v>879</v>
      </c>
      <c r="J21" s="148" t="s">
        <v>64</v>
      </c>
      <c r="K21" s="148" t="s">
        <v>64</v>
      </c>
      <c r="L21" s="148" t="s">
        <v>64</v>
      </c>
      <c r="M21" s="158" t="s">
        <v>64</v>
      </c>
      <c r="N21" s="148" t="s">
        <v>64</v>
      </c>
      <c r="O21" s="148" t="s">
        <v>64</v>
      </c>
      <c r="P21" s="148" t="s">
        <v>64</v>
      </c>
      <c r="Q21" s="150">
        <v>1183</v>
      </c>
      <c r="R21" s="148" t="s">
        <v>64</v>
      </c>
      <c r="S21" s="148" t="s">
        <v>64</v>
      </c>
      <c r="T21" s="148" t="s">
        <v>64</v>
      </c>
      <c r="U21" s="150">
        <v>1697</v>
      </c>
      <c r="V21" s="148" t="s">
        <v>64</v>
      </c>
      <c r="W21" s="148" t="s">
        <v>64</v>
      </c>
      <c r="X21" s="148" t="s">
        <v>64</v>
      </c>
      <c r="Y21" s="158" t="s">
        <v>64</v>
      </c>
      <c r="Z21" s="147" t="s">
        <v>64</v>
      </c>
      <c r="AA21" s="147" t="s">
        <v>64</v>
      </c>
      <c r="AB21" s="147" t="s">
        <v>64</v>
      </c>
      <c r="AC21" s="145" t="s">
        <v>64</v>
      </c>
      <c r="AD21" s="145" t="s">
        <v>64</v>
      </c>
      <c r="AE21" s="152" t="s">
        <v>316</v>
      </c>
      <c r="AF21" s="145" t="s">
        <v>64</v>
      </c>
      <c r="AG21" s="145" t="s">
        <v>64</v>
      </c>
      <c r="AH21" s="190" t="s">
        <v>327</v>
      </c>
      <c r="AI21" s="155" t="s">
        <v>880</v>
      </c>
      <c r="AJ21" s="156" t="s">
        <v>865</v>
      </c>
    </row>
    <row r="22" spans="1:36" ht="26.25" customHeight="1">
      <c r="A22" s="145" t="s">
        <v>369</v>
      </c>
      <c r="B22" s="146" t="s">
        <v>343</v>
      </c>
      <c r="C22" s="157" t="s">
        <v>881</v>
      </c>
      <c r="D22" s="338"/>
      <c r="E22" s="147" t="s">
        <v>882</v>
      </c>
      <c r="F22" s="147" t="s">
        <v>850</v>
      </c>
      <c r="G22" s="147" t="s">
        <v>748</v>
      </c>
      <c r="H22" s="147" t="s">
        <v>883</v>
      </c>
      <c r="I22" s="147" t="s">
        <v>884</v>
      </c>
      <c r="J22" s="148" t="s">
        <v>64</v>
      </c>
      <c r="K22" s="148" t="s">
        <v>64</v>
      </c>
      <c r="L22" s="148" t="s">
        <v>64</v>
      </c>
      <c r="M22" s="158" t="s">
        <v>64</v>
      </c>
      <c r="N22" s="148" t="s">
        <v>64</v>
      </c>
      <c r="O22" s="148" t="s">
        <v>64</v>
      </c>
      <c r="P22" s="148" t="s">
        <v>64</v>
      </c>
      <c r="Q22" s="150">
        <v>1002</v>
      </c>
      <c r="R22" s="148" t="s">
        <v>64</v>
      </c>
      <c r="S22" s="148" t="s">
        <v>64</v>
      </c>
      <c r="T22" s="148" t="s">
        <v>64</v>
      </c>
      <c r="U22" s="158" t="s">
        <v>64</v>
      </c>
      <c r="V22" s="148" t="s">
        <v>64</v>
      </c>
      <c r="W22" s="148" t="s">
        <v>64</v>
      </c>
      <c r="X22" s="148" t="s">
        <v>64</v>
      </c>
      <c r="Y22" s="158" t="s">
        <v>64</v>
      </c>
      <c r="Z22" s="147" t="s">
        <v>64</v>
      </c>
      <c r="AA22" s="147" t="s">
        <v>64</v>
      </c>
      <c r="AB22" s="147" t="s">
        <v>64</v>
      </c>
      <c r="AC22" s="145" t="s">
        <v>64</v>
      </c>
      <c r="AD22" s="145" t="s">
        <v>64</v>
      </c>
      <c r="AE22" s="152" t="s">
        <v>316</v>
      </c>
      <c r="AF22" s="145" t="s">
        <v>64</v>
      </c>
      <c r="AG22" s="145" t="s">
        <v>64</v>
      </c>
      <c r="AH22" s="190" t="s">
        <v>327</v>
      </c>
      <c r="AI22" s="155" t="s">
        <v>885</v>
      </c>
      <c r="AJ22" s="156" t="s">
        <v>865</v>
      </c>
    </row>
    <row r="23" spans="1:36" ht="26.25" customHeight="1">
      <c r="A23" s="145" t="s">
        <v>255</v>
      </c>
      <c r="B23" s="146" t="s">
        <v>343</v>
      </c>
      <c r="C23" s="157" t="s">
        <v>886</v>
      </c>
      <c r="D23" s="339"/>
      <c r="E23" s="147" t="s">
        <v>887</v>
      </c>
      <c r="F23" s="147" t="s">
        <v>877</v>
      </c>
      <c r="G23" s="147" t="s">
        <v>748</v>
      </c>
      <c r="H23" s="147" t="s">
        <v>878</v>
      </c>
      <c r="I23" s="147" t="s">
        <v>888</v>
      </c>
      <c r="J23" s="148" t="s">
        <v>64</v>
      </c>
      <c r="K23" s="148" t="s">
        <v>64</v>
      </c>
      <c r="L23" s="148" t="s">
        <v>64</v>
      </c>
      <c r="M23" s="158" t="s">
        <v>64</v>
      </c>
      <c r="N23" s="148" t="s">
        <v>64</v>
      </c>
      <c r="O23" s="148" t="s">
        <v>64</v>
      </c>
      <c r="P23" s="148" t="s">
        <v>64</v>
      </c>
      <c r="Q23" s="150">
        <v>1045</v>
      </c>
      <c r="R23" s="148" t="s">
        <v>64</v>
      </c>
      <c r="S23" s="148" t="s">
        <v>64</v>
      </c>
      <c r="T23" s="148" t="s">
        <v>64</v>
      </c>
      <c r="U23" s="150">
        <v>1450</v>
      </c>
      <c r="V23" s="148" t="s">
        <v>64</v>
      </c>
      <c r="W23" s="148" t="s">
        <v>64</v>
      </c>
      <c r="X23" s="148" t="s">
        <v>64</v>
      </c>
      <c r="Y23" s="158" t="s">
        <v>64</v>
      </c>
      <c r="Z23" s="147" t="s">
        <v>64</v>
      </c>
      <c r="AA23" s="147" t="s">
        <v>64</v>
      </c>
      <c r="AB23" s="147" t="s">
        <v>64</v>
      </c>
      <c r="AC23" s="145" t="s">
        <v>64</v>
      </c>
      <c r="AD23" s="145" t="s">
        <v>64</v>
      </c>
      <c r="AE23" s="152" t="s">
        <v>316</v>
      </c>
      <c r="AF23" s="145" t="s">
        <v>64</v>
      </c>
      <c r="AG23" s="145" t="s">
        <v>64</v>
      </c>
      <c r="AH23" s="190" t="s">
        <v>327</v>
      </c>
      <c r="AI23" s="155" t="s">
        <v>889</v>
      </c>
      <c r="AJ23" s="156" t="s">
        <v>865</v>
      </c>
    </row>
    <row r="24" spans="1:36" ht="28.5" customHeight="1">
      <c r="A24" s="159" t="s">
        <v>140</v>
      </c>
      <c r="B24" s="183" t="s">
        <v>382</v>
      </c>
      <c r="C24" s="286" t="s">
        <v>890</v>
      </c>
      <c r="D24" s="334"/>
      <c r="E24" s="159" t="s">
        <v>64</v>
      </c>
      <c r="F24" s="159" t="s">
        <v>829</v>
      </c>
      <c r="G24" s="159" t="s">
        <v>748</v>
      </c>
      <c r="H24" s="159" t="s">
        <v>64</v>
      </c>
      <c r="I24" s="159" t="s">
        <v>64</v>
      </c>
      <c r="J24" s="159" t="s">
        <v>833</v>
      </c>
      <c r="K24" s="159" t="s">
        <v>833</v>
      </c>
      <c r="L24" s="159" t="s">
        <v>833</v>
      </c>
      <c r="M24" s="159" t="s">
        <v>64</v>
      </c>
      <c r="N24" s="159" t="s">
        <v>834</v>
      </c>
      <c r="O24" s="159" t="s">
        <v>834</v>
      </c>
      <c r="P24" s="159" t="s">
        <v>834</v>
      </c>
      <c r="Q24" s="159" t="s">
        <v>64</v>
      </c>
      <c r="R24" s="159" t="s">
        <v>835</v>
      </c>
      <c r="S24" s="159" t="s">
        <v>835</v>
      </c>
      <c r="T24" s="159" t="s">
        <v>835</v>
      </c>
      <c r="U24" s="159" t="s">
        <v>64</v>
      </c>
      <c r="V24" s="159" t="s">
        <v>836</v>
      </c>
      <c r="W24" s="159" t="s">
        <v>836</v>
      </c>
      <c r="X24" s="159" t="s">
        <v>836</v>
      </c>
      <c r="Y24" s="159" t="s">
        <v>64</v>
      </c>
      <c r="Z24" s="159" t="s">
        <v>64</v>
      </c>
      <c r="AA24" s="159" t="s">
        <v>64</v>
      </c>
      <c r="AB24" s="159" t="s">
        <v>64</v>
      </c>
      <c r="AC24" s="159" t="s">
        <v>64</v>
      </c>
      <c r="AD24" s="159" t="s">
        <v>64</v>
      </c>
      <c r="AE24" s="159" t="s">
        <v>64</v>
      </c>
      <c r="AF24" s="159" t="s">
        <v>64</v>
      </c>
      <c r="AG24" s="159" t="s">
        <v>64</v>
      </c>
      <c r="AH24" s="146" t="s">
        <v>382</v>
      </c>
      <c r="AI24" s="161" t="s">
        <v>891</v>
      </c>
      <c r="AJ24" s="162" t="s">
        <v>385</v>
      </c>
    </row>
    <row r="25" spans="1:36" ht="34.5" customHeight="1">
      <c r="A25" s="163" t="s">
        <v>140</v>
      </c>
      <c r="B25" s="183" t="s">
        <v>382</v>
      </c>
      <c r="C25" s="292" t="s">
        <v>892</v>
      </c>
      <c r="D25" s="334"/>
      <c r="E25" s="163" t="s">
        <v>64</v>
      </c>
      <c r="F25" s="163" t="s">
        <v>829</v>
      </c>
      <c r="G25" s="163" t="s">
        <v>748</v>
      </c>
      <c r="H25" s="163" t="s">
        <v>64</v>
      </c>
      <c r="I25" s="163" t="s">
        <v>64</v>
      </c>
      <c r="J25" s="163" t="s">
        <v>64</v>
      </c>
      <c r="K25" s="163" t="s">
        <v>64</v>
      </c>
      <c r="L25" s="163" t="s">
        <v>64</v>
      </c>
      <c r="M25" s="164" t="s">
        <v>64</v>
      </c>
      <c r="N25" s="163">
        <v>1041</v>
      </c>
      <c r="O25" s="163">
        <v>1041</v>
      </c>
      <c r="P25" s="163">
        <v>1041</v>
      </c>
      <c r="Q25" s="199">
        <v>1041</v>
      </c>
      <c r="R25" s="200">
        <v>1374</v>
      </c>
      <c r="S25" s="200">
        <v>1374</v>
      </c>
      <c r="T25" s="200">
        <v>1374</v>
      </c>
      <c r="U25" s="199">
        <v>1374</v>
      </c>
      <c r="V25" s="163" t="s">
        <v>64</v>
      </c>
      <c r="W25" s="163" t="s">
        <v>64</v>
      </c>
      <c r="X25" s="163" t="s">
        <v>64</v>
      </c>
      <c r="Y25" s="164" t="s">
        <v>64</v>
      </c>
      <c r="Z25" s="163" t="s">
        <v>64</v>
      </c>
      <c r="AA25" s="163" t="s">
        <v>64</v>
      </c>
      <c r="AB25" s="163" t="s">
        <v>64</v>
      </c>
      <c r="AC25" s="163" t="s">
        <v>64</v>
      </c>
      <c r="AD25" s="163" t="s">
        <v>64</v>
      </c>
      <c r="AE25" s="163" t="s">
        <v>64</v>
      </c>
      <c r="AF25" s="163" t="s">
        <v>64</v>
      </c>
      <c r="AG25" s="163" t="s">
        <v>64</v>
      </c>
      <c r="AH25" s="146" t="s">
        <v>382</v>
      </c>
      <c r="AI25" s="165" t="s">
        <v>893</v>
      </c>
      <c r="AJ25" s="166" t="s">
        <v>390</v>
      </c>
    </row>
    <row r="26" spans="1:36"/>
    <row r="27" spans="1:36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5"/>
      <c r="AI27" s="325"/>
      <c r="AJ27" s="325"/>
    </row>
    <row r="28" spans="1:36"/>
    <row r="29" spans="1:36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36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36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36" ht="20.25" customHeight="1">
      <c r="A32" s="167" t="s">
        <v>221</v>
      </c>
      <c r="B32" s="201">
        <f>'Current Rents'!D17</f>
        <v>1074</v>
      </c>
      <c r="C32" s="202" t="s">
        <v>64</v>
      </c>
      <c r="D32" s="203"/>
      <c r="E32" s="204" t="e">
        <f>B32-C32</f>
        <v>#VALUE!</v>
      </c>
      <c r="F32" s="215" t="e">
        <f>IF(E32&lt;-75,"LOOK INTO INCREASING THE RENT!","")</f>
        <v>#VALUE!</v>
      </c>
    </row>
    <row r="33" spans="1:6" ht="20.25" customHeight="1">
      <c r="A33" s="167" t="s">
        <v>215</v>
      </c>
      <c r="B33" s="201">
        <f>'Current Rents'!E17</f>
        <v>1166</v>
      </c>
      <c r="C33" s="202">
        <v>1041</v>
      </c>
      <c r="D33" s="203"/>
      <c r="E33" s="205">
        <f>B33-C33</f>
        <v>125</v>
      </c>
      <c r="F33" s="215" t="str">
        <f>IF(E33&lt;-75,"LOOK INTO INCREASING THE RENT!","")</f>
        <v/>
      </c>
    </row>
    <row r="34" spans="1:6" ht="20.25" customHeight="1">
      <c r="A34" s="167" t="s">
        <v>216</v>
      </c>
      <c r="B34" s="201">
        <f>'Current Rents'!F17</f>
        <v>1290</v>
      </c>
      <c r="C34" s="202">
        <v>1374</v>
      </c>
      <c r="D34" s="203"/>
      <c r="E34" s="204">
        <f>B34-C34</f>
        <v>-84</v>
      </c>
      <c r="F34" s="215" t="str">
        <f>IF(E34&lt;-75,"LOOK INTO INCREASING THE RENT!","")</f>
        <v>LOOK INTO INCREASING THE RENT!</v>
      </c>
    </row>
    <row r="35" spans="1:6" ht="20.25" customHeight="1">
      <c r="A35" s="167" t="s">
        <v>218</v>
      </c>
      <c r="B35" s="201">
        <f>'Current Rents'!G17</f>
        <v>1433</v>
      </c>
      <c r="C35" s="202" t="s">
        <v>64</v>
      </c>
      <c r="D35" s="203"/>
      <c r="E35" s="204" t="e">
        <f>B35-C35</f>
        <v>#VALUE!</v>
      </c>
      <c r="F35" s="215" t="e">
        <f>IF(E35&lt;-75,"LOOK INTO INCREASING THE RENT!","")</f>
        <v>#VALUE!</v>
      </c>
    </row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C31:D31"/>
    <mergeCell ref="C17:D17"/>
    <mergeCell ref="A11:AJ11"/>
    <mergeCell ref="C12:D12"/>
    <mergeCell ref="AH8:AJ8"/>
    <mergeCell ref="D18:D23"/>
    <mergeCell ref="A30:H30"/>
    <mergeCell ref="A8:AG8"/>
    <mergeCell ref="C16:D16"/>
    <mergeCell ref="A9:AJ9"/>
    <mergeCell ref="A29:H29"/>
    <mergeCell ref="C15:D15"/>
    <mergeCell ref="C25:D25"/>
    <mergeCell ref="A27:AJ27"/>
    <mergeCell ref="C24:D24"/>
    <mergeCell ref="C14:D14"/>
    <mergeCell ref="C13:D13"/>
    <mergeCell ref="A10:AJ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43"/>
  <sheetViews>
    <sheetView workbookViewId="0">
      <pane ySplit="1" topLeftCell="A20" activePane="bottomLeft" state="frozen"/>
      <selection pane="bottomLeft" activeCell="A35" sqref="A35:XFD39"/>
    </sheetView>
  </sheetViews>
  <sheetFormatPr defaultColWidth="9.140625" defaultRowHeight="15" customHeight="1"/>
  <cols>
    <col min="1" max="1" width="9.85546875" customWidth="1"/>
    <col min="2" max="2" width="19.140625" customWidth="1"/>
    <col min="3" max="3" width="47.140625" customWidth="1"/>
    <col min="4" max="4" width="2.85546875" customWidth="1"/>
    <col min="5" max="5" width="31.42578125" customWidth="1"/>
    <col min="6" max="6" width="10.7109375" customWidth="1"/>
    <col min="7" max="9" width="8.7109375" customWidth="1"/>
    <col min="10" max="10" width="6.85546875" hidden="1" customWidth="1"/>
    <col min="11" max="11" width="13" hidden="1" customWidth="1"/>
    <col min="12" max="12" width="5.28515625" hidden="1" customWidth="1"/>
    <col min="13" max="13" width="21.140625" customWidth="1"/>
    <col min="14" max="14" width="6.85546875" hidden="1" customWidth="1"/>
    <col min="15" max="15" width="13" hidden="1" customWidth="1"/>
    <col min="16" max="16" width="5.28515625" hidden="1" customWidth="1"/>
    <col min="17" max="17" width="20" customWidth="1"/>
    <col min="18" max="25" width="10.28515625" customWidth="1"/>
    <col min="26" max="26" width="26" customWidth="1"/>
    <col min="27" max="27" width="65.7109375" customWidth="1"/>
    <col min="28" max="28" width="53.4257812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1.75" customHeight="1"/>
    <row r="6" spans="1:28" ht="21.75" customHeight="1"/>
    <row r="7" spans="1:28" ht="8.25" customHeight="1"/>
    <row r="8" spans="1:28" ht="36" customHeight="1">
      <c r="A8" s="293" t="s">
        <v>894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895</v>
      </c>
      <c r="AA8" s="333"/>
      <c r="AB8" s="334"/>
    </row>
    <row r="9" spans="1:28" ht="18" customHeight="1">
      <c r="A9" s="307" t="s">
        <v>896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28" ht="14.25" customHeight="1">
      <c r="A10" s="297" t="s">
        <v>274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28" ht="25.5" customHeight="1">
      <c r="A11" s="311" t="s">
        <v>275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28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283</v>
      </c>
      <c r="K12" s="172" t="s">
        <v>284</v>
      </c>
      <c r="L12" s="172" t="s">
        <v>285</v>
      </c>
      <c r="M12" s="173" t="s">
        <v>402</v>
      </c>
      <c r="N12" s="172" t="s">
        <v>287</v>
      </c>
      <c r="O12" s="172" t="s">
        <v>288</v>
      </c>
      <c r="P12" s="172" t="s">
        <v>289</v>
      </c>
      <c r="Q12" s="173" t="s">
        <v>403</v>
      </c>
      <c r="R12" s="175" t="s">
        <v>6</v>
      </c>
      <c r="S12" s="175" t="s">
        <v>291</v>
      </c>
      <c r="T12" s="175" t="s">
        <v>292</v>
      </c>
      <c r="U12" s="175" t="s">
        <v>293</v>
      </c>
      <c r="V12" s="175" t="s">
        <v>294</v>
      </c>
      <c r="W12" s="175" t="s">
        <v>295</v>
      </c>
      <c r="X12" s="175" t="s">
        <v>296</v>
      </c>
      <c r="Y12" s="175" t="s">
        <v>297</v>
      </c>
      <c r="Z12" s="176" t="s">
        <v>298</v>
      </c>
      <c r="AA12" s="177" t="s">
        <v>299</v>
      </c>
      <c r="AB12" s="177" t="s">
        <v>300</v>
      </c>
    </row>
    <row r="13" spans="1:28" ht="21.75" customHeight="1">
      <c r="A13" s="127" t="s">
        <v>301</v>
      </c>
      <c r="B13" s="128" t="s">
        <v>302</v>
      </c>
      <c r="C13" s="305" t="s">
        <v>897</v>
      </c>
      <c r="D13" s="334"/>
      <c r="E13" s="129" t="s">
        <v>747</v>
      </c>
      <c r="F13" s="129" t="s">
        <v>747</v>
      </c>
      <c r="G13" s="129" t="s">
        <v>748</v>
      </c>
      <c r="H13" s="129" t="s">
        <v>749</v>
      </c>
      <c r="I13" s="129" t="s">
        <v>308</v>
      </c>
      <c r="J13" s="129" t="s">
        <v>750</v>
      </c>
      <c r="K13" s="129" t="s">
        <v>751</v>
      </c>
      <c r="L13" s="129" t="s">
        <v>752</v>
      </c>
      <c r="M13" s="130">
        <f>'Current Rents'!E18</f>
        <v>1346</v>
      </c>
      <c r="N13" s="129" t="s">
        <v>753</v>
      </c>
      <c r="O13" s="129" t="s">
        <v>754</v>
      </c>
      <c r="P13" s="129" t="s">
        <v>755</v>
      </c>
      <c r="Q13" s="130">
        <f>'Current Rents'!F18</f>
        <v>1465</v>
      </c>
      <c r="R13" s="129">
        <v>168</v>
      </c>
      <c r="S13" s="129">
        <v>1975</v>
      </c>
      <c r="T13" s="129" t="s">
        <v>504</v>
      </c>
      <c r="U13" s="132" t="s">
        <v>315</v>
      </c>
      <c r="V13" s="133" t="s">
        <v>316</v>
      </c>
      <c r="W13" s="133" t="s">
        <v>316</v>
      </c>
      <c r="X13" s="133" t="s">
        <v>316</v>
      </c>
      <c r="Y13" s="133" t="s">
        <v>316</v>
      </c>
      <c r="Z13" s="128" t="s">
        <v>302</v>
      </c>
      <c r="AA13" s="134" t="s">
        <v>898</v>
      </c>
      <c r="AB13" s="135" t="s">
        <v>318</v>
      </c>
    </row>
    <row r="14" spans="1:28" ht="21.75" customHeight="1">
      <c r="A14" s="136" t="s">
        <v>319</v>
      </c>
      <c r="B14" s="178" t="s">
        <v>320</v>
      </c>
      <c r="C14" s="287" t="s">
        <v>899</v>
      </c>
      <c r="D14" s="334"/>
      <c r="E14" s="138" t="s">
        <v>900</v>
      </c>
      <c r="F14" s="138" t="s">
        <v>747</v>
      </c>
      <c r="G14" s="138" t="s">
        <v>748</v>
      </c>
      <c r="H14" s="138" t="s">
        <v>749</v>
      </c>
      <c r="I14" s="138" t="s">
        <v>366</v>
      </c>
      <c r="J14" s="138" t="s">
        <v>750</v>
      </c>
      <c r="K14" s="138" t="s">
        <v>751</v>
      </c>
      <c r="L14" s="138" t="s">
        <v>752</v>
      </c>
      <c r="M14" s="136" t="s">
        <v>326</v>
      </c>
      <c r="N14" s="138" t="s">
        <v>753</v>
      </c>
      <c r="O14" s="138" t="s">
        <v>754</v>
      </c>
      <c r="P14" s="138" t="s">
        <v>755</v>
      </c>
      <c r="Q14" s="136" t="s">
        <v>326</v>
      </c>
      <c r="R14" s="138">
        <v>160</v>
      </c>
      <c r="S14" s="138">
        <v>1975</v>
      </c>
      <c r="T14" s="138">
        <v>0</v>
      </c>
      <c r="U14" s="139" t="s">
        <v>315</v>
      </c>
      <c r="V14" s="140" t="s">
        <v>316</v>
      </c>
      <c r="W14" s="140" t="s">
        <v>316</v>
      </c>
      <c r="X14" s="140" t="s">
        <v>316</v>
      </c>
      <c r="Y14" s="140" t="s">
        <v>316</v>
      </c>
      <c r="Z14" s="190" t="s">
        <v>327</v>
      </c>
      <c r="AA14" s="142" t="s">
        <v>901</v>
      </c>
      <c r="AB14" s="143" t="s">
        <v>769</v>
      </c>
    </row>
    <row r="15" spans="1:28" ht="21.75" customHeight="1">
      <c r="A15" s="136" t="s">
        <v>258</v>
      </c>
      <c r="B15" s="178" t="s">
        <v>320</v>
      </c>
      <c r="C15" s="287" t="s">
        <v>902</v>
      </c>
      <c r="D15" s="334"/>
      <c r="E15" s="138" t="s">
        <v>903</v>
      </c>
      <c r="F15" s="138" t="s">
        <v>772</v>
      </c>
      <c r="G15" s="138" t="s">
        <v>748</v>
      </c>
      <c r="H15" s="138" t="s">
        <v>773</v>
      </c>
      <c r="I15" s="138" t="s">
        <v>774</v>
      </c>
      <c r="J15" s="138" t="s">
        <v>750</v>
      </c>
      <c r="K15" s="138" t="s">
        <v>751</v>
      </c>
      <c r="L15" s="138" t="s">
        <v>752</v>
      </c>
      <c r="M15" s="136" t="s">
        <v>326</v>
      </c>
      <c r="N15" s="138" t="s">
        <v>753</v>
      </c>
      <c r="O15" s="138" t="s">
        <v>754</v>
      </c>
      <c r="P15" s="138" t="s">
        <v>755</v>
      </c>
      <c r="Q15" s="136" t="s">
        <v>326</v>
      </c>
      <c r="R15" s="138">
        <v>150</v>
      </c>
      <c r="S15" s="138">
        <v>1976</v>
      </c>
      <c r="T15" s="138">
        <v>1</v>
      </c>
      <c r="U15" s="139" t="s">
        <v>315</v>
      </c>
      <c r="V15" s="140" t="s">
        <v>316</v>
      </c>
      <c r="W15" s="140" t="s">
        <v>316</v>
      </c>
      <c r="X15" s="140" t="s">
        <v>316</v>
      </c>
      <c r="Y15" s="140" t="s">
        <v>316</v>
      </c>
      <c r="Z15" s="191" t="s">
        <v>606</v>
      </c>
      <c r="AA15" s="142" t="s">
        <v>904</v>
      </c>
      <c r="AB15" s="143" t="s">
        <v>329</v>
      </c>
    </row>
    <row r="16" spans="1:28" ht="21.75" customHeight="1">
      <c r="A16" s="136" t="s">
        <v>237</v>
      </c>
      <c r="B16" s="178" t="s">
        <v>320</v>
      </c>
      <c r="C16" s="287" t="s">
        <v>905</v>
      </c>
      <c r="D16" s="334"/>
      <c r="E16" s="138" t="s">
        <v>906</v>
      </c>
      <c r="F16" s="138" t="s">
        <v>907</v>
      </c>
      <c r="G16" s="138" t="s">
        <v>748</v>
      </c>
      <c r="H16" s="138" t="s">
        <v>908</v>
      </c>
      <c r="I16" s="138" t="s">
        <v>783</v>
      </c>
      <c r="J16" s="138" t="s">
        <v>750</v>
      </c>
      <c r="K16" s="138" t="s">
        <v>751</v>
      </c>
      <c r="L16" s="138" t="s">
        <v>752</v>
      </c>
      <c r="M16" s="136" t="s">
        <v>326</v>
      </c>
      <c r="N16" s="138" t="s">
        <v>753</v>
      </c>
      <c r="O16" s="138" t="s">
        <v>754</v>
      </c>
      <c r="P16" s="138" t="s">
        <v>755</v>
      </c>
      <c r="Q16" s="136" t="s">
        <v>326</v>
      </c>
      <c r="R16" s="138">
        <v>172</v>
      </c>
      <c r="S16" s="138">
        <v>1974</v>
      </c>
      <c r="T16" s="138">
        <v>1</v>
      </c>
      <c r="U16" s="139" t="s">
        <v>315</v>
      </c>
      <c r="V16" s="140" t="s">
        <v>316</v>
      </c>
      <c r="W16" s="140" t="s">
        <v>316</v>
      </c>
      <c r="X16" s="140" t="s">
        <v>316</v>
      </c>
      <c r="Y16" s="140" t="s">
        <v>316</v>
      </c>
      <c r="Z16" s="191" t="s">
        <v>606</v>
      </c>
      <c r="AA16" s="142" t="s">
        <v>909</v>
      </c>
      <c r="AB16" s="143" t="s">
        <v>910</v>
      </c>
    </row>
    <row r="17" spans="1:28" ht="21.75" customHeight="1">
      <c r="A17" s="136" t="s">
        <v>363</v>
      </c>
      <c r="B17" s="178" t="s">
        <v>320</v>
      </c>
      <c r="C17" s="287" t="s">
        <v>911</v>
      </c>
      <c r="D17" s="334"/>
      <c r="E17" s="138" t="s">
        <v>912</v>
      </c>
      <c r="F17" s="138" t="s">
        <v>747</v>
      </c>
      <c r="G17" s="138" t="s">
        <v>748</v>
      </c>
      <c r="H17" s="138" t="s">
        <v>749</v>
      </c>
      <c r="I17" s="138" t="s">
        <v>373</v>
      </c>
      <c r="J17" s="138" t="s">
        <v>750</v>
      </c>
      <c r="K17" s="138" t="s">
        <v>751</v>
      </c>
      <c r="L17" s="138" t="s">
        <v>752</v>
      </c>
      <c r="M17" s="136" t="s">
        <v>326</v>
      </c>
      <c r="N17" s="138" t="s">
        <v>753</v>
      </c>
      <c r="O17" s="138" t="s">
        <v>754</v>
      </c>
      <c r="P17" s="138" t="s">
        <v>755</v>
      </c>
      <c r="Q17" s="136" t="s">
        <v>326</v>
      </c>
      <c r="R17" s="138">
        <v>156</v>
      </c>
      <c r="S17" s="138">
        <v>1977</v>
      </c>
      <c r="T17" s="138">
        <v>2</v>
      </c>
      <c r="U17" s="139" t="s">
        <v>315</v>
      </c>
      <c r="V17" s="140" t="s">
        <v>316</v>
      </c>
      <c r="W17" s="140" t="s">
        <v>316</v>
      </c>
      <c r="X17" s="140" t="s">
        <v>316</v>
      </c>
      <c r="Y17" s="140" t="s">
        <v>316</v>
      </c>
      <c r="Z17" s="190" t="s">
        <v>327</v>
      </c>
      <c r="AA17" s="142" t="s">
        <v>913</v>
      </c>
      <c r="AB17" s="143" t="s">
        <v>329</v>
      </c>
    </row>
    <row r="18" spans="1:28" ht="26.25" customHeight="1">
      <c r="A18" s="145" t="s">
        <v>319</v>
      </c>
      <c r="B18" s="146" t="s">
        <v>343</v>
      </c>
      <c r="C18" s="157" t="s">
        <v>792</v>
      </c>
      <c r="D18" s="303" t="s">
        <v>345</v>
      </c>
      <c r="E18" s="147" t="s">
        <v>793</v>
      </c>
      <c r="F18" s="147" t="s">
        <v>747</v>
      </c>
      <c r="G18" s="147" t="s">
        <v>748</v>
      </c>
      <c r="H18" s="147" t="s">
        <v>749</v>
      </c>
      <c r="I18" s="147" t="s">
        <v>634</v>
      </c>
      <c r="J18" s="148" t="s">
        <v>64</v>
      </c>
      <c r="K18" s="148" t="s">
        <v>64</v>
      </c>
      <c r="L18" s="148" t="s">
        <v>64</v>
      </c>
      <c r="M18" s="158" t="s">
        <v>64</v>
      </c>
      <c r="N18" s="148" t="s">
        <v>64</v>
      </c>
      <c r="O18" s="148" t="s">
        <v>64</v>
      </c>
      <c r="P18" s="148" t="s">
        <v>64</v>
      </c>
      <c r="Q18" s="150">
        <v>850</v>
      </c>
      <c r="R18" s="147" t="s">
        <v>64</v>
      </c>
      <c r="S18" s="147" t="s">
        <v>64</v>
      </c>
      <c r="T18" s="147" t="s">
        <v>64</v>
      </c>
      <c r="U18" s="145" t="s">
        <v>64</v>
      </c>
      <c r="V18" s="145" t="s">
        <v>64</v>
      </c>
      <c r="W18" s="152" t="s">
        <v>316</v>
      </c>
      <c r="X18" s="145" t="s">
        <v>64</v>
      </c>
      <c r="Y18" s="145" t="s">
        <v>64</v>
      </c>
      <c r="Z18" s="190" t="s">
        <v>327</v>
      </c>
      <c r="AA18" s="155" t="s">
        <v>914</v>
      </c>
      <c r="AB18" s="156" t="s">
        <v>865</v>
      </c>
    </row>
    <row r="19" spans="1:28" ht="26.25" customHeight="1">
      <c r="A19" s="145" t="s">
        <v>258</v>
      </c>
      <c r="B19" s="146" t="s">
        <v>343</v>
      </c>
      <c r="C19" s="157" t="s">
        <v>796</v>
      </c>
      <c r="D19" s="338"/>
      <c r="E19" s="147" t="s">
        <v>797</v>
      </c>
      <c r="F19" s="147" t="s">
        <v>747</v>
      </c>
      <c r="G19" s="147" t="s">
        <v>748</v>
      </c>
      <c r="H19" s="147" t="s">
        <v>749</v>
      </c>
      <c r="I19" s="147" t="s">
        <v>366</v>
      </c>
      <c r="J19" s="148" t="s">
        <v>64</v>
      </c>
      <c r="K19" s="148" t="s">
        <v>64</v>
      </c>
      <c r="L19" s="148" t="s">
        <v>64</v>
      </c>
      <c r="M19" s="158" t="s">
        <v>64</v>
      </c>
      <c r="N19" s="148" t="s">
        <v>64</v>
      </c>
      <c r="O19" s="148" t="s">
        <v>64</v>
      </c>
      <c r="P19" s="148" t="s">
        <v>64</v>
      </c>
      <c r="Q19" s="150">
        <v>815</v>
      </c>
      <c r="R19" s="147" t="s">
        <v>64</v>
      </c>
      <c r="S19" s="147" t="s">
        <v>64</v>
      </c>
      <c r="T19" s="147" t="s">
        <v>64</v>
      </c>
      <c r="U19" s="145" t="s">
        <v>64</v>
      </c>
      <c r="V19" s="145" t="s">
        <v>64</v>
      </c>
      <c r="W19" s="152" t="s">
        <v>316</v>
      </c>
      <c r="X19" s="145" t="s">
        <v>64</v>
      </c>
      <c r="Y19" s="145" t="s">
        <v>64</v>
      </c>
      <c r="Z19" s="190" t="s">
        <v>327</v>
      </c>
      <c r="AA19" s="155" t="s">
        <v>915</v>
      </c>
      <c r="AB19" s="156" t="s">
        <v>865</v>
      </c>
    </row>
    <row r="20" spans="1:28" ht="26.25" customHeight="1">
      <c r="A20" s="145" t="s">
        <v>237</v>
      </c>
      <c r="B20" s="146" t="s">
        <v>343</v>
      </c>
      <c r="C20" s="157" t="s">
        <v>803</v>
      </c>
      <c r="D20" s="338"/>
      <c r="E20" s="147" t="s">
        <v>804</v>
      </c>
      <c r="F20" s="147" t="s">
        <v>747</v>
      </c>
      <c r="G20" s="147" t="s">
        <v>748</v>
      </c>
      <c r="H20" s="147" t="s">
        <v>749</v>
      </c>
      <c r="I20" s="147" t="s">
        <v>541</v>
      </c>
      <c r="J20" s="148" t="s">
        <v>64</v>
      </c>
      <c r="K20" s="148" t="s">
        <v>64</v>
      </c>
      <c r="L20" s="148" t="s">
        <v>64</v>
      </c>
      <c r="M20" s="158" t="s">
        <v>64</v>
      </c>
      <c r="N20" s="148" t="s">
        <v>64</v>
      </c>
      <c r="O20" s="148" t="s">
        <v>64</v>
      </c>
      <c r="P20" s="148" t="s">
        <v>64</v>
      </c>
      <c r="Q20" s="150">
        <v>730</v>
      </c>
      <c r="R20" s="147" t="s">
        <v>64</v>
      </c>
      <c r="S20" s="147" t="s">
        <v>64</v>
      </c>
      <c r="T20" s="147" t="s">
        <v>64</v>
      </c>
      <c r="U20" s="145" t="s">
        <v>64</v>
      </c>
      <c r="V20" s="145" t="s">
        <v>64</v>
      </c>
      <c r="W20" s="152" t="s">
        <v>316</v>
      </c>
      <c r="X20" s="145" t="s">
        <v>64</v>
      </c>
      <c r="Y20" s="145" t="s">
        <v>64</v>
      </c>
      <c r="Z20" s="190" t="s">
        <v>327</v>
      </c>
      <c r="AA20" s="155" t="s">
        <v>916</v>
      </c>
      <c r="AB20" s="156" t="s">
        <v>865</v>
      </c>
    </row>
    <row r="21" spans="1:28" ht="26.25" customHeight="1">
      <c r="A21" s="145" t="s">
        <v>363</v>
      </c>
      <c r="B21" s="146" t="s">
        <v>343</v>
      </c>
      <c r="C21" s="157" t="s">
        <v>799</v>
      </c>
      <c r="D21" s="338"/>
      <c r="E21" s="147" t="s">
        <v>800</v>
      </c>
      <c r="F21" s="147" t="s">
        <v>747</v>
      </c>
      <c r="G21" s="147" t="s">
        <v>748</v>
      </c>
      <c r="H21" s="147" t="s">
        <v>749</v>
      </c>
      <c r="I21" s="147" t="s">
        <v>373</v>
      </c>
      <c r="J21" s="148" t="s">
        <v>64</v>
      </c>
      <c r="K21" s="148" t="s">
        <v>64</v>
      </c>
      <c r="L21" s="148" t="s">
        <v>64</v>
      </c>
      <c r="M21" s="158" t="s">
        <v>64</v>
      </c>
      <c r="N21" s="148" t="s">
        <v>64</v>
      </c>
      <c r="O21" s="148" t="s">
        <v>64</v>
      </c>
      <c r="P21" s="148" t="s">
        <v>64</v>
      </c>
      <c r="Q21" s="150">
        <v>850</v>
      </c>
      <c r="R21" s="147" t="s">
        <v>64</v>
      </c>
      <c r="S21" s="147" t="s">
        <v>64</v>
      </c>
      <c r="T21" s="147" t="s">
        <v>64</v>
      </c>
      <c r="U21" s="145" t="s">
        <v>64</v>
      </c>
      <c r="V21" s="145" t="s">
        <v>64</v>
      </c>
      <c r="W21" s="152" t="s">
        <v>316</v>
      </c>
      <c r="X21" s="145" t="s">
        <v>64</v>
      </c>
      <c r="Y21" s="145" t="s">
        <v>64</v>
      </c>
      <c r="Z21" s="190" t="s">
        <v>327</v>
      </c>
      <c r="AA21" s="155" t="s">
        <v>917</v>
      </c>
      <c r="AB21" s="156" t="s">
        <v>865</v>
      </c>
    </row>
    <row r="22" spans="1:28" ht="26.25" customHeight="1">
      <c r="A22" s="145" t="s">
        <v>369</v>
      </c>
      <c r="B22" s="146" t="s">
        <v>343</v>
      </c>
      <c r="C22" s="157" t="s">
        <v>918</v>
      </c>
      <c r="D22" s="338"/>
      <c r="E22" s="147" t="s">
        <v>919</v>
      </c>
      <c r="F22" s="147" t="s">
        <v>747</v>
      </c>
      <c r="G22" s="147" t="s">
        <v>748</v>
      </c>
      <c r="H22" s="147" t="s">
        <v>749</v>
      </c>
      <c r="I22" s="147" t="s">
        <v>815</v>
      </c>
      <c r="J22" s="148" t="s">
        <v>64</v>
      </c>
      <c r="K22" s="148" t="s">
        <v>64</v>
      </c>
      <c r="L22" s="148" t="s">
        <v>64</v>
      </c>
      <c r="M22" s="158" t="s">
        <v>64</v>
      </c>
      <c r="N22" s="148" t="s">
        <v>64</v>
      </c>
      <c r="O22" s="148" t="s">
        <v>64</v>
      </c>
      <c r="P22" s="148" t="s">
        <v>64</v>
      </c>
      <c r="Q22" s="150">
        <v>1289</v>
      </c>
      <c r="R22" s="147">
        <v>1</v>
      </c>
      <c r="S22" s="147" t="s">
        <v>64</v>
      </c>
      <c r="T22" s="147" t="s">
        <v>64</v>
      </c>
      <c r="U22" s="145" t="s">
        <v>64</v>
      </c>
      <c r="V22" s="145" t="s">
        <v>64</v>
      </c>
      <c r="W22" s="152" t="s">
        <v>316</v>
      </c>
      <c r="X22" s="145" t="s">
        <v>64</v>
      </c>
      <c r="Y22" s="145" t="s">
        <v>64</v>
      </c>
      <c r="Z22" s="190" t="s">
        <v>327</v>
      </c>
      <c r="AA22" s="155" t="s">
        <v>920</v>
      </c>
      <c r="AB22" s="156" t="s">
        <v>865</v>
      </c>
    </row>
    <row r="23" spans="1:28" ht="26.25" customHeight="1">
      <c r="A23" s="145" t="s">
        <v>255</v>
      </c>
      <c r="B23" s="146" t="s">
        <v>343</v>
      </c>
      <c r="C23" s="157" t="s">
        <v>921</v>
      </c>
      <c r="D23" s="339"/>
      <c r="E23" s="147" t="s">
        <v>807</v>
      </c>
      <c r="F23" s="147" t="s">
        <v>747</v>
      </c>
      <c r="G23" s="147" t="s">
        <v>748</v>
      </c>
      <c r="H23" s="147" t="s">
        <v>749</v>
      </c>
      <c r="I23" s="147" t="s">
        <v>922</v>
      </c>
      <c r="J23" s="148" t="s">
        <v>64</v>
      </c>
      <c r="K23" s="148" t="s">
        <v>64</v>
      </c>
      <c r="L23" s="148" t="s">
        <v>64</v>
      </c>
      <c r="M23" s="158" t="s">
        <v>64</v>
      </c>
      <c r="N23" s="148" t="s">
        <v>64</v>
      </c>
      <c r="O23" s="148" t="s">
        <v>64</v>
      </c>
      <c r="P23" s="148" t="s">
        <v>64</v>
      </c>
      <c r="Q23" s="150">
        <v>1150</v>
      </c>
      <c r="R23" s="147">
        <v>1</v>
      </c>
      <c r="S23" s="147" t="s">
        <v>64</v>
      </c>
      <c r="T23" s="147" t="s">
        <v>64</v>
      </c>
      <c r="U23" s="145" t="s">
        <v>64</v>
      </c>
      <c r="V23" s="145" t="s">
        <v>64</v>
      </c>
      <c r="W23" s="152" t="s">
        <v>316</v>
      </c>
      <c r="X23" s="145" t="s">
        <v>64</v>
      </c>
      <c r="Y23" s="145" t="s">
        <v>64</v>
      </c>
      <c r="Z23" s="190" t="s">
        <v>327</v>
      </c>
      <c r="AA23" s="155" t="s">
        <v>923</v>
      </c>
      <c r="AB23" s="156" t="s">
        <v>865</v>
      </c>
    </row>
    <row r="24" spans="1:28" ht="28.5" customHeight="1">
      <c r="A24" s="159" t="s">
        <v>140</v>
      </c>
      <c r="B24" s="183" t="s">
        <v>382</v>
      </c>
      <c r="C24" s="286" t="s">
        <v>818</v>
      </c>
      <c r="D24" s="334"/>
      <c r="E24" s="159" t="s">
        <v>64</v>
      </c>
      <c r="F24" s="159" t="s">
        <v>747</v>
      </c>
      <c r="G24" s="159" t="s">
        <v>748</v>
      </c>
      <c r="H24" s="159" t="s">
        <v>64</v>
      </c>
      <c r="I24" s="159" t="s">
        <v>64</v>
      </c>
      <c r="J24" s="159" t="s">
        <v>752</v>
      </c>
      <c r="K24" s="159" t="s">
        <v>752</v>
      </c>
      <c r="L24" s="159" t="s">
        <v>752</v>
      </c>
      <c r="M24" s="159" t="s">
        <v>64</v>
      </c>
      <c r="N24" s="159" t="s">
        <v>755</v>
      </c>
      <c r="O24" s="159" t="s">
        <v>755</v>
      </c>
      <c r="P24" s="159" t="s">
        <v>755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382</v>
      </c>
      <c r="AA24" s="161" t="s">
        <v>924</v>
      </c>
      <c r="AB24" s="162" t="s">
        <v>385</v>
      </c>
    </row>
    <row r="25" spans="1:28" ht="34.5" customHeight="1">
      <c r="A25" s="163" t="s">
        <v>140</v>
      </c>
      <c r="B25" s="183" t="s">
        <v>382</v>
      </c>
      <c r="C25" s="292" t="s">
        <v>820</v>
      </c>
      <c r="D25" s="334"/>
      <c r="E25" s="163" t="s">
        <v>64</v>
      </c>
      <c r="F25" s="163" t="s">
        <v>747</v>
      </c>
      <c r="G25" s="163" t="s">
        <v>748</v>
      </c>
      <c r="H25" s="163" t="s">
        <v>64</v>
      </c>
      <c r="I25" s="163" t="s">
        <v>64</v>
      </c>
      <c r="J25" s="163" t="s">
        <v>64</v>
      </c>
      <c r="K25" s="163" t="s">
        <v>64</v>
      </c>
      <c r="L25" s="163" t="s">
        <v>64</v>
      </c>
      <c r="M25" s="164" t="s">
        <v>64</v>
      </c>
      <c r="N25" s="163">
        <v>786</v>
      </c>
      <c r="O25" s="163">
        <v>786</v>
      </c>
      <c r="P25" s="163">
        <v>786</v>
      </c>
      <c r="Q25" s="206">
        <f>AVERAGE(Q18:Q23)</f>
        <v>947.33333333333337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382</v>
      </c>
      <c r="AA25" s="165" t="s">
        <v>925</v>
      </c>
      <c r="AB25" s="166" t="s">
        <v>390</v>
      </c>
    </row>
    <row r="26" spans="1:28"/>
    <row r="27" spans="1:28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28" ht="20.25" customHeight="1">
      <c r="A32" s="167" t="s">
        <v>215</v>
      </c>
      <c r="B32" s="207">
        <f>'Current Rents'!E18</f>
        <v>1346</v>
      </c>
      <c r="C32" s="313" t="s">
        <v>64</v>
      </c>
      <c r="D32" s="325"/>
      <c r="E32" s="184" t="e">
        <f>B32-C32</f>
        <v>#VALUE!</v>
      </c>
      <c r="F32" s="215" t="e">
        <f>IF(E32&lt;-75,"LOOK INTO INCREASING THE RENT!","")</f>
        <v>#VALUE!</v>
      </c>
    </row>
    <row r="33" spans="1:6" ht="20.25" customHeight="1">
      <c r="A33" s="167" t="s">
        <v>216</v>
      </c>
      <c r="B33" s="207">
        <f>'Current Rents'!F18</f>
        <v>1465</v>
      </c>
      <c r="C33" s="312">
        <f>Q25</f>
        <v>947.33333333333337</v>
      </c>
      <c r="D33" s="325"/>
      <c r="E33" s="169">
        <f>C33-B33</f>
        <v>-517.66666666666663</v>
      </c>
      <c r="F33" s="215" t="str">
        <f>IF(E33&lt;-75,"LOOK INTO INCREASING THE RENT!","")</f>
        <v>LOOK INTO INCREASING THE RENT!</v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20">
    <mergeCell ref="A30:H30"/>
    <mergeCell ref="C24:D24"/>
    <mergeCell ref="C15:D15"/>
    <mergeCell ref="C33:D33"/>
    <mergeCell ref="C14:D14"/>
    <mergeCell ref="C31:D31"/>
    <mergeCell ref="C32:D32"/>
    <mergeCell ref="A29:H29"/>
    <mergeCell ref="A27:AB27"/>
    <mergeCell ref="A8:Y8"/>
    <mergeCell ref="Z8:AB8"/>
    <mergeCell ref="C16:D16"/>
    <mergeCell ref="C25:D25"/>
    <mergeCell ref="A10:AB10"/>
    <mergeCell ref="A9:AB9"/>
    <mergeCell ref="C12:D12"/>
    <mergeCell ref="A11:AB11"/>
    <mergeCell ref="C17:D17"/>
    <mergeCell ref="D18:D23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0"/>
  <sheetViews>
    <sheetView workbookViewId="0">
      <pane ySplit="1" topLeftCell="A16" activePane="bottomLeft" state="frozen"/>
      <selection pane="bottomLeft" activeCell="A27" sqref="A27:E27"/>
    </sheetView>
  </sheetViews>
  <sheetFormatPr defaultColWidth="9.140625" defaultRowHeight="15" customHeight="1"/>
  <cols>
    <col min="1" max="1" width="7.42578125" customWidth="1"/>
    <col min="2" max="2" width="15" customWidth="1"/>
    <col min="3" max="3" width="43.42578125" customWidth="1"/>
    <col min="4" max="4" width="2.85546875" customWidth="1"/>
    <col min="5" max="5" width="27" customWidth="1"/>
    <col min="6" max="6" width="14.85546875" customWidth="1"/>
    <col min="7" max="7" width="5" customWidth="1"/>
    <col min="8" max="8" width="6.7109375" customWidth="1"/>
    <col min="9" max="9" width="12" customWidth="1"/>
    <col min="10" max="10" width="6.85546875" hidden="1" customWidth="1"/>
    <col min="11" max="11" width="13" hidden="1" customWidth="1"/>
    <col min="12" max="12" width="5.28515625" hidden="1" customWidth="1"/>
    <col min="13" max="13" width="6.85546875" hidden="1" customWidth="1"/>
    <col min="14" max="14" width="13" hidden="1" customWidth="1"/>
    <col min="15" max="15" width="5.28515625" hidden="1" customWidth="1"/>
    <col min="16" max="16" width="18.85546875" customWidth="1"/>
    <col min="17" max="19" width="9.28515625" customWidth="1"/>
    <col min="20" max="20" width="13.28515625" customWidth="1"/>
    <col min="21" max="21" width="13.140625" customWidth="1"/>
    <col min="22" max="24" width="9.28515625" customWidth="1"/>
    <col min="25" max="25" width="25.28515625" customWidth="1"/>
    <col min="26" max="26" width="65.7109375" customWidth="1"/>
    <col min="27" max="27" width="53.425781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.75" customHeight="1"/>
    <row r="3" spans="1:27" ht="21.75" customHeight="1"/>
    <row r="4" spans="1:27" ht="8.25" customHeight="1"/>
    <row r="5" spans="1:27" ht="36" customHeight="1">
      <c r="A5" s="293" t="s">
        <v>926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4"/>
      <c r="Y5" s="308" t="s">
        <v>927</v>
      </c>
      <c r="Z5" s="333"/>
      <c r="AA5" s="334"/>
    </row>
    <row r="6" spans="1:27" ht="18" customHeight="1">
      <c r="A6" s="307" t="s">
        <v>928</v>
      </c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4"/>
    </row>
    <row r="7" spans="1:27" ht="14.25" customHeight="1">
      <c r="A7" s="297" t="s">
        <v>929</v>
      </c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  <c r="AA7" s="334"/>
    </row>
    <row r="8" spans="1:27" ht="52.5" customHeight="1">
      <c r="A8" s="311" t="s">
        <v>275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4"/>
    </row>
    <row r="9" spans="1:27" ht="25.5" customHeight="1">
      <c r="A9" s="171" t="s">
        <v>276</v>
      </c>
      <c r="B9" s="171" t="s">
        <v>277</v>
      </c>
      <c r="C9" s="304" t="s">
        <v>3</v>
      </c>
      <c r="D9" s="334"/>
      <c r="E9" s="171" t="s">
        <v>278</v>
      </c>
      <c r="F9" s="171" t="s">
        <v>279</v>
      </c>
      <c r="G9" s="172" t="s">
        <v>280</v>
      </c>
      <c r="H9" s="172" t="s">
        <v>281</v>
      </c>
      <c r="I9" s="172" t="s">
        <v>282</v>
      </c>
      <c r="J9" s="172" t="s">
        <v>486</v>
      </c>
      <c r="K9" s="172" t="s">
        <v>487</v>
      </c>
      <c r="L9" s="172" t="s">
        <v>488</v>
      </c>
      <c r="M9" s="172" t="s">
        <v>283</v>
      </c>
      <c r="N9" s="172" t="s">
        <v>284</v>
      </c>
      <c r="O9" s="172" t="s">
        <v>285</v>
      </c>
      <c r="P9" s="173" t="s">
        <v>402</v>
      </c>
      <c r="Q9" s="175" t="s">
        <v>6</v>
      </c>
      <c r="R9" s="175" t="s">
        <v>291</v>
      </c>
      <c r="S9" s="175" t="s">
        <v>292</v>
      </c>
      <c r="T9" s="208" t="s">
        <v>293</v>
      </c>
      <c r="U9" s="208" t="s">
        <v>294</v>
      </c>
      <c r="V9" s="175" t="s">
        <v>295</v>
      </c>
      <c r="W9" s="175" t="s">
        <v>296</v>
      </c>
      <c r="X9" s="175" t="s">
        <v>297</v>
      </c>
      <c r="Y9" s="176" t="s">
        <v>298</v>
      </c>
      <c r="Z9" s="177" t="s">
        <v>299</v>
      </c>
      <c r="AA9" s="177" t="s">
        <v>300</v>
      </c>
    </row>
    <row r="10" spans="1:27" ht="21.75" customHeight="1">
      <c r="A10" s="127" t="s">
        <v>301</v>
      </c>
      <c r="B10" s="128" t="s">
        <v>302</v>
      </c>
      <c r="C10" s="289" t="s">
        <v>930</v>
      </c>
      <c r="D10" s="336"/>
      <c r="E10" s="129" t="s">
        <v>931</v>
      </c>
      <c r="F10" s="129" t="s">
        <v>932</v>
      </c>
      <c r="G10" s="129" t="s">
        <v>933</v>
      </c>
      <c r="H10" s="129" t="s">
        <v>934</v>
      </c>
      <c r="I10" s="129" t="s">
        <v>308</v>
      </c>
      <c r="J10" s="129" t="s">
        <v>935</v>
      </c>
      <c r="K10" s="129" t="s">
        <v>935</v>
      </c>
      <c r="L10" s="129" t="s">
        <v>936</v>
      </c>
      <c r="M10" s="129" t="s">
        <v>935</v>
      </c>
      <c r="N10" s="129" t="s">
        <v>935</v>
      </c>
      <c r="O10" s="129" t="s">
        <v>937</v>
      </c>
      <c r="P10" s="130">
        <f>'Current Rents'!E19</f>
        <v>1400</v>
      </c>
      <c r="Q10" s="129">
        <v>160</v>
      </c>
      <c r="R10" s="129">
        <v>1996</v>
      </c>
      <c r="S10" s="129" t="s">
        <v>504</v>
      </c>
      <c r="T10" s="133" t="s">
        <v>938</v>
      </c>
      <c r="U10" s="133" t="s">
        <v>316</v>
      </c>
      <c r="V10" s="133" t="s">
        <v>316</v>
      </c>
      <c r="W10" s="133" t="s">
        <v>316</v>
      </c>
      <c r="X10" s="133" t="s">
        <v>316</v>
      </c>
      <c r="Y10" s="128" t="s">
        <v>302</v>
      </c>
      <c r="Z10" s="134" t="s">
        <v>939</v>
      </c>
      <c r="AA10" s="135" t="s">
        <v>318</v>
      </c>
    </row>
    <row r="11" spans="1:27" ht="21.75" customHeight="1">
      <c r="A11" s="136" t="s">
        <v>319</v>
      </c>
      <c r="B11" s="137" t="s">
        <v>320</v>
      </c>
      <c r="C11" s="287" t="s">
        <v>940</v>
      </c>
      <c r="D11" s="334"/>
      <c r="E11" s="226" t="s">
        <v>941</v>
      </c>
      <c r="F11" s="138" t="s">
        <v>942</v>
      </c>
      <c r="G11" s="138" t="s">
        <v>933</v>
      </c>
      <c r="H11" s="138" t="s">
        <v>943</v>
      </c>
      <c r="I11" s="138" t="s">
        <v>944</v>
      </c>
      <c r="J11" s="138" t="s">
        <v>64</v>
      </c>
      <c r="K11" s="138" t="s">
        <v>64</v>
      </c>
      <c r="L11" s="138" t="s">
        <v>936</v>
      </c>
      <c r="M11" s="138" t="s">
        <v>64</v>
      </c>
      <c r="N11" s="138" t="s">
        <v>64</v>
      </c>
      <c r="O11" s="138" t="s">
        <v>937</v>
      </c>
      <c r="P11" s="136" t="s">
        <v>326</v>
      </c>
      <c r="Q11" s="138">
        <v>160</v>
      </c>
      <c r="R11" s="138">
        <v>1996</v>
      </c>
      <c r="S11" s="138">
        <v>0</v>
      </c>
      <c r="T11" s="139" t="s">
        <v>315</v>
      </c>
      <c r="U11" s="140" t="s">
        <v>316</v>
      </c>
      <c r="V11" s="140" t="s">
        <v>316</v>
      </c>
      <c r="W11" s="140" t="s">
        <v>316</v>
      </c>
      <c r="X11" s="140" t="s">
        <v>316</v>
      </c>
      <c r="Y11" s="190" t="s">
        <v>327</v>
      </c>
      <c r="Z11" s="142" t="s">
        <v>945</v>
      </c>
      <c r="AA11" s="143" t="s">
        <v>680</v>
      </c>
    </row>
    <row r="12" spans="1:27" ht="21.75" customHeight="1">
      <c r="A12" s="136" t="s">
        <v>258</v>
      </c>
      <c r="B12" s="137" t="s">
        <v>320</v>
      </c>
      <c r="C12" s="287" t="s">
        <v>946</v>
      </c>
      <c r="D12" s="334"/>
      <c r="E12" s="226" t="s">
        <v>947</v>
      </c>
      <c r="F12" s="138" t="s">
        <v>948</v>
      </c>
      <c r="G12" s="138" t="s">
        <v>933</v>
      </c>
      <c r="H12" s="138" t="s">
        <v>949</v>
      </c>
      <c r="I12" s="138" t="s">
        <v>950</v>
      </c>
      <c r="J12" s="138" t="s">
        <v>64</v>
      </c>
      <c r="K12" s="138" t="s">
        <v>64</v>
      </c>
      <c r="L12" s="138" t="s">
        <v>936</v>
      </c>
      <c r="M12" s="138" t="s">
        <v>64</v>
      </c>
      <c r="N12" s="138" t="s">
        <v>64</v>
      </c>
      <c r="O12" s="138" t="s">
        <v>937</v>
      </c>
      <c r="P12" s="179">
        <v>1031</v>
      </c>
      <c r="Q12" s="138">
        <v>150</v>
      </c>
      <c r="R12" s="138">
        <v>1996</v>
      </c>
      <c r="S12" s="138">
        <v>0</v>
      </c>
      <c r="T12" s="139" t="s">
        <v>315</v>
      </c>
      <c r="U12" s="140" t="s">
        <v>316</v>
      </c>
      <c r="V12" s="140" t="s">
        <v>316</v>
      </c>
      <c r="W12" s="140" t="s">
        <v>316</v>
      </c>
      <c r="X12" s="140" t="s">
        <v>316</v>
      </c>
      <c r="Y12" s="190" t="s">
        <v>327</v>
      </c>
      <c r="Z12" s="142" t="s">
        <v>951</v>
      </c>
      <c r="AA12" s="143" t="s">
        <v>680</v>
      </c>
    </row>
    <row r="13" spans="1:27" ht="21.75" customHeight="1">
      <c r="A13" s="136" t="s">
        <v>237</v>
      </c>
      <c r="B13" s="137" t="s">
        <v>320</v>
      </c>
      <c r="C13" s="287" t="s">
        <v>952</v>
      </c>
      <c r="D13" s="334"/>
      <c r="E13" s="226" t="s">
        <v>953</v>
      </c>
      <c r="F13" s="138" t="s">
        <v>932</v>
      </c>
      <c r="G13" s="138" t="s">
        <v>933</v>
      </c>
      <c r="H13" s="138" t="s">
        <v>954</v>
      </c>
      <c r="I13" s="138" t="s">
        <v>955</v>
      </c>
      <c r="J13" s="138" t="s">
        <v>64</v>
      </c>
      <c r="K13" s="138" t="s">
        <v>64</v>
      </c>
      <c r="L13" s="138" t="s">
        <v>936</v>
      </c>
      <c r="M13" s="138" t="s">
        <v>64</v>
      </c>
      <c r="N13" s="138" t="s">
        <v>64</v>
      </c>
      <c r="O13" s="138" t="s">
        <v>937</v>
      </c>
      <c r="P13" s="136" t="s">
        <v>326</v>
      </c>
      <c r="Q13" s="138">
        <v>102</v>
      </c>
      <c r="R13" s="138">
        <v>1996</v>
      </c>
      <c r="S13" s="138">
        <v>0</v>
      </c>
      <c r="T13" s="139" t="s">
        <v>315</v>
      </c>
      <c r="U13" s="140" t="s">
        <v>316</v>
      </c>
      <c r="V13" s="140" t="s">
        <v>316</v>
      </c>
      <c r="W13" s="140" t="s">
        <v>316</v>
      </c>
      <c r="X13" s="140" t="s">
        <v>316</v>
      </c>
      <c r="Y13" s="190" t="s">
        <v>327</v>
      </c>
      <c r="Z13" s="142" t="s">
        <v>956</v>
      </c>
      <c r="AA13" s="143" t="s">
        <v>680</v>
      </c>
    </row>
    <row r="14" spans="1:27" ht="21.75" customHeight="1">
      <c r="A14" s="136" t="s">
        <v>363</v>
      </c>
      <c r="B14" s="137" t="s">
        <v>320</v>
      </c>
      <c r="C14" s="287" t="s">
        <v>957</v>
      </c>
      <c r="D14" s="334"/>
      <c r="E14" s="226" t="s">
        <v>958</v>
      </c>
      <c r="F14" s="138" t="s">
        <v>948</v>
      </c>
      <c r="G14" s="138" t="s">
        <v>933</v>
      </c>
      <c r="H14" s="138" t="s">
        <v>949</v>
      </c>
      <c r="I14" s="138" t="s">
        <v>959</v>
      </c>
      <c r="J14" s="138" t="s">
        <v>64</v>
      </c>
      <c r="K14" s="138" t="s">
        <v>64</v>
      </c>
      <c r="L14" s="138" t="s">
        <v>936</v>
      </c>
      <c r="M14" s="138" t="s">
        <v>64</v>
      </c>
      <c r="N14" s="138" t="s">
        <v>64</v>
      </c>
      <c r="O14" s="138" t="s">
        <v>937</v>
      </c>
      <c r="P14" s="136" t="s">
        <v>326</v>
      </c>
      <c r="Q14" s="138">
        <v>124</v>
      </c>
      <c r="R14" s="138">
        <v>1996</v>
      </c>
      <c r="S14" s="138">
        <v>0</v>
      </c>
      <c r="T14" s="139" t="s">
        <v>315</v>
      </c>
      <c r="U14" s="140" t="s">
        <v>316</v>
      </c>
      <c r="V14" s="140" t="s">
        <v>316</v>
      </c>
      <c r="W14" s="140" t="s">
        <v>316</v>
      </c>
      <c r="X14" s="140" t="s">
        <v>316</v>
      </c>
      <c r="Y14" s="190" t="s">
        <v>327</v>
      </c>
      <c r="Z14" s="142" t="s">
        <v>960</v>
      </c>
      <c r="AA14" s="143" t="s">
        <v>680</v>
      </c>
    </row>
    <row r="15" spans="1:27" ht="26.25" customHeight="1">
      <c r="A15" s="145" t="s">
        <v>319</v>
      </c>
      <c r="B15" s="146" t="s">
        <v>343</v>
      </c>
      <c r="C15" s="227" t="s">
        <v>961</v>
      </c>
      <c r="D15" s="301" t="s">
        <v>345</v>
      </c>
      <c r="E15" s="147" t="s">
        <v>962</v>
      </c>
      <c r="F15" s="147" t="s">
        <v>932</v>
      </c>
      <c r="G15" s="147" t="s">
        <v>933</v>
      </c>
      <c r="H15" s="147" t="s">
        <v>934</v>
      </c>
      <c r="I15" s="147" t="s">
        <v>418</v>
      </c>
      <c r="J15" s="148" t="s">
        <v>64</v>
      </c>
      <c r="K15" s="148" t="s">
        <v>64</v>
      </c>
      <c r="L15" s="148" t="s">
        <v>936</v>
      </c>
      <c r="M15" s="148" t="s">
        <v>64</v>
      </c>
      <c r="N15" s="148" t="s">
        <v>64</v>
      </c>
      <c r="O15" s="148" t="s">
        <v>937</v>
      </c>
      <c r="P15" s="158" t="s">
        <v>64</v>
      </c>
      <c r="Q15" s="147" t="s">
        <v>64</v>
      </c>
      <c r="R15" s="147">
        <v>1994</v>
      </c>
      <c r="S15" s="147">
        <v>2</v>
      </c>
      <c r="T15" s="152" t="s">
        <v>316</v>
      </c>
      <c r="U15" s="145" t="s">
        <v>549</v>
      </c>
      <c r="V15" s="145" t="s">
        <v>549</v>
      </c>
      <c r="W15" s="145" t="s">
        <v>549</v>
      </c>
      <c r="X15" s="145" t="s">
        <v>549</v>
      </c>
      <c r="Y15" s="190" t="s">
        <v>327</v>
      </c>
      <c r="Z15" s="155" t="s">
        <v>963</v>
      </c>
      <c r="AA15" s="156" t="s">
        <v>964</v>
      </c>
    </row>
    <row r="16" spans="1:27" ht="26.25" customHeight="1">
      <c r="A16" s="145" t="s">
        <v>258</v>
      </c>
      <c r="B16" s="146" t="s">
        <v>343</v>
      </c>
      <c r="C16" s="157" t="s">
        <v>965</v>
      </c>
      <c r="D16" s="338"/>
      <c r="E16" s="147" t="s">
        <v>966</v>
      </c>
      <c r="F16" s="147" t="s">
        <v>932</v>
      </c>
      <c r="G16" s="147" t="s">
        <v>933</v>
      </c>
      <c r="H16" s="147" t="s">
        <v>934</v>
      </c>
      <c r="I16" s="147" t="s">
        <v>366</v>
      </c>
      <c r="J16" s="148" t="s">
        <v>64</v>
      </c>
      <c r="K16" s="148" t="s">
        <v>64</v>
      </c>
      <c r="L16" s="148" t="s">
        <v>936</v>
      </c>
      <c r="M16" s="148" t="s">
        <v>64</v>
      </c>
      <c r="N16" s="148" t="s">
        <v>64</v>
      </c>
      <c r="O16" s="148" t="s">
        <v>937</v>
      </c>
      <c r="P16" s="150">
        <v>1175</v>
      </c>
      <c r="Q16" s="147" t="s">
        <v>64</v>
      </c>
      <c r="R16" s="147">
        <v>1995</v>
      </c>
      <c r="S16" s="147">
        <v>1</v>
      </c>
      <c r="T16" s="152" t="s">
        <v>316</v>
      </c>
      <c r="U16" s="145" t="s">
        <v>549</v>
      </c>
      <c r="V16" s="145" t="s">
        <v>549</v>
      </c>
      <c r="W16" s="145" t="s">
        <v>549</v>
      </c>
      <c r="X16" s="145" t="s">
        <v>549</v>
      </c>
      <c r="Y16" s="190" t="s">
        <v>327</v>
      </c>
      <c r="Z16" s="155" t="s">
        <v>967</v>
      </c>
      <c r="AA16" s="156" t="s">
        <v>968</v>
      </c>
    </row>
    <row r="17" spans="1:27" ht="26.25" customHeight="1">
      <c r="A17" s="145" t="s">
        <v>237</v>
      </c>
      <c r="B17" s="146" t="s">
        <v>343</v>
      </c>
      <c r="C17" s="157" t="s">
        <v>969</v>
      </c>
      <c r="D17" s="338"/>
      <c r="E17" s="147" t="s">
        <v>970</v>
      </c>
      <c r="F17" s="147" t="s">
        <v>932</v>
      </c>
      <c r="G17" s="147" t="s">
        <v>933</v>
      </c>
      <c r="H17" s="147" t="s">
        <v>934</v>
      </c>
      <c r="I17" s="147" t="s">
        <v>971</v>
      </c>
      <c r="J17" s="148" t="s">
        <v>64</v>
      </c>
      <c r="K17" s="148" t="s">
        <v>64</v>
      </c>
      <c r="L17" s="148" t="s">
        <v>936</v>
      </c>
      <c r="M17" s="148" t="s">
        <v>64</v>
      </c>
      <c r="N17" s="148" t="s">
        <v>64</v>
      </c>
      <c r="O17" s="148" t="s">
        <v>937</v>
      </c>
      <c r="P17" s="150">
        <v>1095</v>
      </c>
      <c r="Q17" s="147" t="s">
        <v>64</v>
      </c>
      <c r="R17" s="147">
        <v>1996</v>
      </c>
      <c r="S17" s="147">
        <v>0</v>
      </c>
      <c r="T17" s="152" t="s">
        <v>316</v>
      </c>
      <c r="U17" s="145" t="s">
        <v>549</v>
      </c>
      <c r="V17" s="145" t="s">
        <v>549</v>
      </c>
      <c r="W17" s="145" t="s">
        <v>549</v>
      </c>
      <c r="X17" s="145" t="s">
        <v>549</v>
      </c>
      <c r="Y17" s="190" t="s">
        <v>327</v>
      </c>
      <c r="Z17" s="155" t="s">
        <v>972</v>
      </c>
      <c r="AA17" s="156" t="s">
        <v>973</v>
      </c>
    </row>
    <row r="18" spans="1:27" ht="26.25" customHeight="1">
      <c r="A18" s="145" t="s">
        <v>363</v>
      </c>
      <c r="B18" s="146" t="s">
        <v>343</v>
      </c>
      <c r="C18" s="157" t="s">
        <v>974</v>
      </c>
      <c r="D18" s="338"/>
      <c r="E18" s="147" t="s">
        <v>975</v>
      </c>
      <c r="F18" s="147" t="s">
        <v>932</v>
      </c>
      <c r="G18" s="147" t="s">
        <v>933</v>
      </c>
      <c r="H18" s="147" t="s">
        <v>934</v>
      </c>
      <c r="I18" s="147" t="s">
        <v>366</v>
      </c>
      <c r="J18" s="148" t="s">
        <v>64</v>
      </c>
      <c r="K18" s="148" t="s">
        <v>64</v>
      </c>
      <c r="L18" s="148" t="s">
        <v>936</v>
      </c>
      <c r="M18" s="148" t="s">
        <v>64</v>
      </c>
      <c r="N18" s="148" t="s">
        <v>64</v>
      </c>
      <c r="O18" s="148" t="s">
        <v>937</v>
      </c>
      <c r="P18" s="150">
        <v>1109</v>
      </c>
      <c r="Q18" s="147" t="s">
        <v>64</v>
      </c>
      <c r="R18" s="147">
        <v>1998</v>
      </c>
      <c r="S18" s="147">
        <v>2</v>
      </c>
      <c r="T18" s="152" t="s">
        <v>316</v>
      </c>
      <c r="U18" s="145" t="s">
        <v>549</v>
      </c>
      <c r="V18" s="145" t="s">
        <v>549</v>
      </c>
      <c r="W18" s="145" t="s">
        <v>549</v>
      </c>
      <c r="X18" s="145" t="s">
        <v>549</v>
      </c>
      <c r="Y18" s="190" t="s">
        <v>327</v>
      </c>
      <c r="Z18" s="155" t="s">
        <v>976</v>
      </c>
      <c r="AA18" s="156" t="s">
        <v>977</v>
      </c>
    </row>
    <row r="19" spans="1:27" ht="26.25" customHeight="1">
      <c r="A19" s="145" t="s">
        <v>369</v>
      </c>
      <c r="B19" s="146" t="s">
        <v>343</v>
      </c>
      <c r="C19" s="157" t="s">
        <v>978</v>
      </c>
      <c r="D19" s="338"/>
      <c r="E19" s="147" t="s">
        <v>979</v>
      </c>
      <c r="F19" s="147" t="s">
        <v>932</v>
      </c>
      <c r="G19" s="147" t="s">
        <v>933</v>
      </c>
      <c r="H19" s="147" t="s">
        <v>934</v>
      </c>
      <c r="I19" s="147" t="s">
        <v>971</v>
      </c>
      <c r="J19" s="148" t="s">
        <v>64</v>
      </c>
      <c r="K19" s="148" t="s">
        <v>64</v>
      </c>
      <c r="L19" s="148" t="s">
        <v>936</v>
      </c>
      <c r="M19" s="148" t="s">
        <v>64</v>
      </c>
      <c r="N19" s="148" t="s">
        <v>64</v>
      </c>
      <c r="O19" s="148" t="s">
        <v>937</v>
      </c>
      <c r="P19" s="150">
        <v>1025</v>
      </c>
      <c r="Q19" s="147" t="s">
        <v>64</v>
      </c>
      <c r="R19" s="147">
        <v>1997</v>
      </c>
      <c r="S19" s="147">
        <v>1</v>
      </c>
      <c r="T19" s="145" t="s">
        <v>64</v>
      </c>
      <c r="U19" s="145" t="s">
        <v>64</v>
      </c>
      <c r="V19" s="145" t="s">
        <v>64</v>
      </c>
      <c r="W19" s="145" t="s">
        <v>64</v>
      </c>
      <c r="X19" s="145" t="s">
        <v>64</v>
      </c>
      <c r="Y19" s="190" t="s">
        <v>327</v>
      </c>
      <c r="Z19" s="155" t="s">
        <v>980</v>
      </c>
      <c r="AA19" s="156" t="s">
        <v>981</v>
      </c>
    </row>
    <row r="20" spans="1:27" ht="26.25" customHeight="1">
      <c r="A20" s="145" t="s">
        <v>255</v>
      </c>
      <c r="B20" s="146" t="s">
        <v>343</v>
      </c>
      <c r="C20" s="157" t="s">
        <v>982</v>
      </c>
      <c r="D20" s="339"/>
      <c r="E20" s="147" t="s">
        <v>983</v>
      </c>
      <c r="F20" s="147" t="s">
        <v>932</v>
      </c>
      <c r="G20" s="147" t="s">
        <v>933</v>
      </c>
      <c r="H20" s="147" t="s">
        <v>934</v>
      </c>
      <c r="I20" s="147" t="s">
        <v>567</v>
      </c>
      <c r="J20" s="148" t="s">
        <v>64</v>
      </c>
      <c r="K20" s="148" t="s">
        <v>64</v>
      </c>
      <c r="L20" s="148" t="s">
        <v>936</v>
      </c>
      <c r="M20" s="148" t="s">
        <v>64</v>
      </c>
      <c r="N20" s="148" t="s">
        <v>64</v>
      </c>
      <c r="O20" s="148" t="s">
        <v>937</v>
      </c>
      <c r="P20" s="150">
        <v>1030</v>
      </c>
      <c r="Q20" s="147" t="s">
        <v>64</v>
      </c>
      <c r="R20" s="147">
        <v>1993</v>
      </c>
      <c r="S20" s="147">
        <v>3</v>
      </c>
      <c r="T20" s="145" t="s">
        <v>64</v>
      </c>
      <c r="U20" s="145" t="s">
        <v>64</v>
      </c>
      <c r="V20" s="145" t="s">
        <v>64</v>
      </c>
      <c r="W20" s="145" t="s">
        <v>64</v>
      </c>
      <c r="X20" s="145" t="s">
        <v>64</v>
      </c>
      <c r="Y20" s="190" t="s">
        <v>327</v>
      </c>
      <c r="Z20" s="155" t="s">
        <v>984</v>
      </c>
      <c r="AA20" s="156" t="s">
        <v>985</v>
      </c>
    </row>
    <row r="21" spans="1:27" ht="28.5" customHeight="1">
      <c r="A21" s="159" t="s">
        <v>140</v>
      </c>
      <c r="B21" s="183" t="s">
        <v>382</v>
      </c>
      <c r="C21" s="286" t="s">
        <v>986</v>
      </c>
      <c r="D21" s="334"/>
      <c r="E21" s="159" t="s">
        <v>64</v>
      </c>
      <c r="F21" s="159" t="s">
        <v>932</v>
      </c>
      <c r="G21" s="159" t="s">
        <v>933</v>
      </c>
      <c r="H21" s="159" t="s">
        <v>64</v>
      </c>
      <c r="I21" s="159" t="s">
        <v>64</v>
      </c>
      <c r="J21" s="159" t="s">
        <v>936</v>
      </c>
      <c r="K21" s="159" t="s">
        <v>936</v>
      </c>
      <c r="L21" s="159" t="s">
        <v>936</v>
      </c>
      <c r="M21" s="159" t="s">
        <v>937</v>
      </c>
      <c r="N21" s="159" t="s">
        <v>937</v>
      </c>
      <c r="O21" s="159" t="s">
        <v>937</v>
      </c>
      <c r="P21" s="159" t="s">
        <v>64</v>
      </c>
      <c r="Q21" s="159" t="s">
        <v>64</v>
      </c>
      <c r="R21" s="159" t="s">
        <v>64</v>
      </c>
      <c r="S21" s="159" t="s">
        <v>64</v>
      </c>
      <c r="T21" s="159" t="s">
        <v>64</v>
      </c>
      <c r="U21" s="159" t="s">
        <v>64</v>
      </c>
      <c r="V21" s="159" t="s">
        <v>64</v>
      </c>
      <c r="W21" s="159" t="s">
        <v>64</v>
      </c>
      <c r="X21" s="159" t="s">
        <v>64</v>
      </c>
      <c r="Y21" s="146" t="s">
        <v>382</v>
      </c>
      <c r="Z21" s="161" t="s">
        <v>987</v>
      </c>
      <c r="AA21" s="162" t="s">
        <v>385</v>
      </c>
    </row>
    <row r="22" spans="1:27" ht="34.5" customHeight="1">
      <c r="A22" s="163" t="s">
        <v>140</v>
      </c>
      <c r="B22" s="183" t="s">
        <v>382</v>
      </c>
      <c r="C22" s="292" t="s">
        <v>988</v>
      </c>
      <c r="D22" s="334"/>
      <c r="E22" s="163" t="s">
        <v>64</v>
      </c>
      <c r="F22" s="163" t="s">
        <v>932</v>
      </c>
      <c r="G22" s="163" t="s">
        <v>933</v>
      </c>
      <c r="H22" s="163" t="s">
        <v>64</v>
      </c>
      <c r="I22" s="163" t="s">
        <v>64</v>
      </c>
      <c r="J22" s="163">
        <v>952</v>
      </c>
      <c r="K22" s="163">
        <v>952</v>
      </c>
      <c r="L22" s="163">
        <v>952</v>
      </c>
      <c r="M22" s="163">
        <v>1087</v>
      </c>
      <c r="N22" s="163">
        <v>1087</v>
      </c>
      <c r="O22" s="163">
        <v>1087</v>
      </c>
      <c r="P22" s="164">
        <v>1087</v>
      </c>
      <c r="Q22" s="163" t="s">
        <v>64</v>
      </c>
      <c r="R22" s="163" t="s">
        <v>64</v>
      </c>
      <c r="S22" s="163" t="s">
        <v>64</v>
      </c>
      <c r="T22" s="163" t="s">
        <v>64</v>
      </c>
      <c r="U22" s="163" t="s">
        <v>64</v>
      </c>
      <c r="V22" s="163" t="s">
        <v>64</v>
      </c>
      <c r="W22" s="163" t="s">
        <v>64</v>
      </c>
      <c r="X22" s="163" t="s">
        <v>64</v>
      </c>
      <c r="Y22" s="146" t="s">
        <v>382</v>
      </c>
      <c r="Z22" s="165" t="s">
        <v>989</v>
      </c>
      <c r="AA22" s="166" t="s">
        <v>390</v>
      </c>
    </row>
    <row r="23" spans="1:27"/>
    <row r="24" spans="1:27" ht="14.25" customHeight="1">
      <c r="A24" s="298" t="s">
        <v>482</v>
      </c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  <c r="AA24" s="325"/>
    </row>
    <row r="25" spans="1:27"/>
    <row r="26" spans="1:27" ht="18" customHeight="1">
      <c r="A26" s="288" t="s">
        <v>392</v>
      </c>
      <c r="B26" s="325"/>
      <c r="C26" s="325"/>
      <c r="D26" s="325"/>
      <c r="E26" s="325"/>
      <c r="F26" s="325"/>
      <c r="G26" s="325"/>
      <c r="H26" s="325"/>
    </row>
    <row r="27" spans="1:27" ht="15.75" customHeight="1">
      <c r="A27" s="285" t="s">
        <v>393</v>
      </c>
      <c r="B27" s="325"/>
      <c r="C27" s="325"/>
      <c r="D27" s="325"/>
      <c r="E27" s="325"/>
      <c r="F27" s="325"/>
      <c r="G27" s="325"/>
      <c r="H27" s="325"/>
    </row>
    <row r="28" spans="1:27" ht="15.75" customHeight="1">
      <c r="A28" s="15"/>
      <c r="B28" s="123" t="s">
        <v>394</v>
      </c>
      <c r="C28" s="269" t="s">
        <v>395</v>
      </c>
      <c r="D28" s="328"/>
      <c r="E28" s="123" t="s">
        <v>396</v>
      </c>
    </row>
    <row r="29" spans="1:27" ht="20.25" customHeight="1">
      <c r="A29" s="167" t="s">
        <v>215</v>
      </c>
      <c r="B29" s="207">
        <f>'Current Rents'!E19</f>
        <v>1400</v>
      </c>
      <c r="C29" s="314">
        <v>1087</v>
      </c>
      <c r="D29" s="325"/>
      <c r="E29" s="210">
        <f>B29-C29</f>
        <v>313</v>
      </c>
      <c r="F29" s="215" t="str">
        <f>IF(E29&lt;-75,"LOOK INTO INCREASING THE RENT!","")</f>
        <v/>
      </c>
    </row>
    <row r="30" spans="1:27"/>
    <row r="31" spans="1:27"/>
    <row r="32" spans="1:27"/>
    <row r="33"/>
    <row r="34"/>
    <row r="35"/>
    <row r="36"/>
    <row r="37"/>
    <row r="38"/>
    <row r="39"/>
    <row r="40"/>
  </sheetData>
  <mergeCells count="19">
    <mergeCell ref="C28:D28"/>
    <mergeCell ref="C13:D13"/>
    <mergeCell ref="A6:AA6"/>
    <mergeCell ref="Y5:AA5"/>
    <mergeCell ref="A7:AA7"/>
    <mergeCell ref="C14:D14"/>
    <mergeCell ref="C29:D29"/>
    <mergeCell ref="C10:D10"/>
    <mergeCell ref="C22:D22"/>
    <mergeCell ref="A5:X5"/>
    <mergeCell ref="C9:D9"/>
    <mergeCell ref="A27:H27"/>
    <mergeCell ref="A8:AA8"/>
    <mergeCell ref="C12:D12"/>
    <mergeCell ref="A26:H26"/>
    <mergeCell ref="C21:D21"/>
    <mergeCell ref="C11:D11"/>
    <mergeCell ref="A24:AA24"/>
    <mergeCell ref="D15:D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43"/>
  <sheetViews>
    <sheetView workbookViewId="0">
      <pane ySplit="1" topLeftCell="A18" activePane="bottomLeft" state="frozen"/>
      <selection pane="bottomLeft" activeCell="O27" sqref="O27"/>
    </sheetView>
  </sheetViews>
  <sheetFormatPr defaultColWidth="9.140625" defaultRowHeight="21.75" customHeight="1"/>
  <cols>
    <col min="1" max="1" width="6.85546875" customWidth="1"/>
    <col min="2" max="2" width="13.85546875" customWidth="1"/>
    <col min="3" max="3" width="36.5703125" customWidth="1"/>
    <col min="4" max="4" width="2.85546875" customWidth="1"/>
    <col min="5" max="5" width="18.28515625" customWidth="1"/>
    <col min="6" max="6" width="28.28515625" customWidth="1"/>
    <col min="7" max="7" width="2.85546875" customWidth="1"/>
    <col min="8" max="8" width="6.28515625" customWidth="1"/>
    <col min="9" max="9" width="6.5703125" customWidth="1"/>
    <col min="10" max="10" width="6.85546875" hidden="1" customWidth="1"/>
    <col min="11" max="11" width="6.85546875" customWidth="1"/>
    <col min="12" max="12" width="5.28515625" hidden="1" customWidth="1"/>
    <col min="13" max="13" width="8" customWidth="1"/>
    <col min="14" max="14" width="6.85546875" hidden="1" customWidth="1"/>
    <col min="15" max="15" width="6.85546875" customWidth="1"/>
    <col min="16" max="16" width="5.28515625" hidden="1" customWidth="1"/>
    <col min="17" max="17" width="9" customWidth="1"/>
    <col min="18" max="18" width="4.7109375" customWidth="1"/>
    <col min="19" max="19" width="6.140625" customWidth="1"/>
    <col min="20" max="20" width="5.28515625" customWidth="1"/>
    <col min="21" max="21" width="4.85546875" customWidth="1"/>
    <col min="22" max="25" width="7.28515625" customWidth="1"/>
    <col min="26" max="26" width="20.5703125" customWidth="1"/>
    <col min="27" max="27" width="48.5703125" customWidth="1"/>
    <col min="28" max="28" width="52.4257812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5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5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7" spans="1:50" ht="8.25" customHeight="1"/>
    <row r="8" spans="1:50" ht="36" customHeight="1">
      <c r="A8" s="293" t="s">
        <v>990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991</v>
      </c>
      <c r="AA8" s="333"/>
      <c r="AB8" s="334"/>
    </row>
    <row r="9" spans="1:50" ht="18" customHeight="1">
      <c r="A9" s="307" t="s">
        <v>992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50" ht="14.25" customHeight="1">
      <c r="A10" s="297" t="s">
        <v>993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50" ht="25.5" customHeight="1">
      <c r="A11" s="295" t="s">
        <v>275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50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283</v>
      </c>
      <c r="K12" s="172" t="s">
        <v>284</v>
      </c>
      <c r="L12" s="172" t="s">
        <v>285</v>
      </c>
      <c r="M12" s="176" t="s">
        <v>402</v>
      </c>
      <c r="N12" s="172" t="s">
        <v>738</v>
      </c>
      <c r="O12" s="172" t="s">
        <v>739</v>
      </c>
      <c r="P12" s="172" t="s">
        <v>740</v>
      </c>
      <c r="Q12" s="176" t="s">
        <v>741</v>
      </c>
      <c r="R12" s="175" t="s">
        <v>6</v>
      </c>
      <c r="S12" s="175" t="s">
        <v>291</v>
      </c>
      <c r="T12" s="175" t="s">
        <v>292</v>
      </c>
      <c r="U12" s="175" t="s">
        <v>293</v>
      </c>
      <c r="V12" s="175" t="s">
        <v>294</v>
      </c>
      <c r="W12" s="175" t="s">
        <v>295</v>
      </c>
      <c r="X12" s="175" t="s">
        <v>296</v>
      </c>
      <c r="Y12" s="175" t="s">
        <v>297</v>
      </c>
      <c r="Z12" s="176" t="s">
        <v>298</v>
      </c>
      <c r="AA12" s="177" t="s">
        <v>299</v>
      </c>
      <c r="AB12" s="177" t="s">
        <v>300</v>
      </c>
    </row>
    <row r="13" spans="1:50" ht="21.75" customHeight="1">
      <c r="A13" s="127" t="s">
        <v>301</v>
      </c>
      <c r="B13" s="128" t="s">
        <v>302</v>
      </c>
      <c r="C13" s="305" t="s">
        <v>994</v>
      </c>
      <c r="D13" s="334"/>
      <c r="E13" s="129" t="s">
        <v>995</v>
      </c>
      <c r="F13" s="129" t="s">
        <v>996</v>
      </c>
      <c r="G13" s="129" t="s">
        <v>997</v>
      </c>
      <c r="H13" s="129" t="s">
        <v>998</v>
      </c>
      <c r="I13" s="129" t="s">
        <v>308</v>
      </c>
      <c r="J13" s="129" t="s">
        <v>999</v>
      </c>
      <c r="K13" s="129" t="s">
        <v>1000</v>
      </c>
      <c r="L13" s="129" t="s">
        <v>1001</v>
      </c>
      <c r="M13" s="130">
        <f>'Current Rents'!E20</f>
        <v>964</v>
      </c>
      <c r="N13" s="129" t="s">
        <v>1002</v>
      </c>
      <c r="O13" s="129" t="s">
        <v>1003</v>
      </c>
      <c r="P13" s="129" t="s">
        <v>1004</v>
      </c>
      <c r="Q13" s="130">
        <f>'Current Rents'!G20</f>
        <v>1221</v>
      </c>
      <c r="R13" s="129">
        <v>66</v>
      </c>
      <c r="S13" s="129">
        <v>1997</v>
      </c>
      <c r="T13" s="129" t="s">
        <v>504</v>
      </c>
      <c r="U13" s="133" t="s">
        <v>316</v>
      </c>
      <c r="V13" s="133" t="s">
        <v>316</v>
      </c>
      <c r="W13" s="133" t="s">
        <v>316</v>
      </c>
      <c r="X13" s="133" t="s">
        <v>316</v>
      </c>
      <c r="Y13" s="133" t="s">
        <v>316</v>
      </c>
      <c r="Z13" s="128" t="s">
        <v>302</v>
      </c>
      <c r="AA13" s="134" t="s">
        <v>1005</v>
      </c>
      <c r="AB13" s="135" t="s">
        <v>318</v>
      </c>
    </row>
    <row r="14" spans="1:50" ht="21.75" customHeight="1">
      <c r="A14" s="136" t="s">
        <v>319</v>
      </c>
      <c r="B14" s="178" t="s">
        <v>320</v>
      </c>
      <c r="C14" s="287" t="s">
        <v>47</v>
      </c>
      <c r="D14" s="334"/>
      <c r="E14" s="138" t="s">
        <v>1006</v>
      </c>
      <c r="F14" s="138" t="s">
        <v>996</v>
      </c>
      <c r="G14" s="138" t="s">
        <v>997</v>
      </c>
      <c r="H14" s="138" t="s">
        <v>998</v>
      </c>
      <c r="I14" s="138" t="s">
        <v>348</v>
      </c>
      <c r="J14" s="138" t="s">
        <v>999</v>
      </c>
      <c r="K14" s="138" t="s">
        <v>1000</v>
      </c>
      <c r="L14" s="138" t="s">
        <v>1001</v>
      </c>
      <c r="M14" s="136" t="s">
        <v>326</v>
      </c>
      <c r="N14" s="138" t="s">
        <v>1002</v>
      </c>
      <c r="O14" s="138" t="s">
        <v>1003</v>
      </c>
      <c r="P14" s="138" t="s">
        <v>1004</v>
      </c>
      <c r="Q14" s="136" t="s">
        <v>326</v>
      </c>
      <c r="R14" s="138">
        <v>66</v>
      </c>
      <c r="S14" s="138">
        <v>1997</v>
      </c>
      <c r="T14" s="138">
        <v>0</v>
      </c>
      <c r="U14" s="139" t="s">
        <v>315</v>
      </c>
      <c r="V14" s="140" t="s">
        <v>316</v>
      </c>
      <c r="W14" s="140" t="s">
        <v>316</v>
      </c>
      <c r="X14" s="140" t="s">
        <v>316</v>
      </c>
      <c r="Y14" s="140" t="s">
        <v>316</v>
      </c>
      <c r="Z14" s="190" t="s">
        <v>327</v>
      </c>
      <c r="AA14" s="142" t="s">
        <v>1007</v>
      </c>
      <c r="AB14" s="143" t="s">
        <v>1008</v>
      </c>
    </row>
    <row r="15" spans="1:50" ht="21.75" customHeight="1">
      <c r="A15" s="136" t="s">
        <v>258</v>
      </c>
      <c r="B15" s="178" t="s">
        <v>320</v>
      </c>
      <c r="C15" s="287" t="s">
        <v>52</v>
      </c>
      <c r="D15" s="334"/>
      <c r="E15" s="138" t="s">
        <v>1009</v>
      </c>
      <c r="F15" s="138" t="s">
        <v>1010</v>
      </c>
      <c r="G15" s="138" t="s">
        <v>997</v>
      </c>
      <c r="H15" s="138" t="s">
        <v>1011</v>
      </c>
      <c r="I15" s="138" t="s">
        <v>1012</v>
      </c>
      <c r="J15" s="138" t="s">
        <v>999</v>
      </c>
      <c r="K15" s="138" t="s">
        <v>1000</v>
      </c>
      <c r="L15" s="138" t="s">
        <v>1001</v>
      </c>
      <c r="M15" s="136" t="s">
        <v>326</v>
      </c>
      <c r="N15" s="138" t="s">
        <v>1002</v>
      </c>
      <c r="O15" s="138" t="s">
        <v>1003</v>
      </c>
      <c r="P15" s="138" t="s">
        <v>1004</v>
      </c>
      <c r="Q15" s="179">
        <v>1641</v>
      </c>
      <c r="R15" s="138">
        <v>61</v>
      </c>
      <c r="S15" s="138">
        <v>1997</v>
      </c>
      <c r="T15" s="138">
        <v>0</v>
      </c>
      <c r="U15" s="139" t="s">
        <v>315</v>
      </c>
      <c r="V15" s="140" t="s">
        <v>316</v>
      </c>
      <c r="W15" s="140" t="s">
        <v>316</v>
      </c>
      <c r="X15" s="140" t="s">
        <v>316</v>
      </c>
      <c r="Y15" s="140" t="s">
        <v>316</v>
      </c>
      <c r="Z15" s="190" t="s">
        <v>327</v>
      </c>
      <c r="AA15" s="142" t="s">
        <v>1013</v>
      </c>
      <c r="AB15" s="143" t="s">
        <v>1008</v>
      </c>
    </row>
    <row r="16" spans="1:50" ht="21.75" customHeight="1">
      <c r="A16" s="136" t="s">
        <v>237</v>
      </c>
      <c r="B16" s="178" t="s">
        <v>320</v>
      </c>
      <c r="C16" s="287" t="s">
        <v>1014</v>
      </c>
      <c r="D16" s="334"/>
      <c r="E16" s="138" t="s">
        <v>1015</v>
      </c>
      <c r="F16" s="138" t="s">
        <v>996</v>
      </c>
      <c r="G16" s="138" t="s">
        <v>997</v>
      </c>
      <c r="H16" s="138" t="s">
        <v>998</v>
      </c>
      <c r="I16" s="138" t="s">
        <v>1016</v>
      </c>
      <c r="J16" s="138" t="s">
        <v>999</v>
      </c>
      <c r="K16" s="138" t="s">
        <v>1000</v>
      </c>
      <c r="L16" s="138" t="s">
        <v>1001</v>
      </c>
      <c r="M16" s="179">
        <v>1270</v>
      </c>
      <c r="N16" s="138" t="s">
        <v>1002</v>
      </c>
      <c r="O16" s="138" t="s">
        <v>1003</v>
      </c>
      <c r="P16" s="138" t="s">
        <v>1004</v>
      </c>
      <c r="Q16" s="179">
        <v>1650</v>
      </c>
      <c r="R16" s="138">
        <v>80</v>
      </c>
      <c r="S16" s="138">
        <v>1998</v>
      </c>
      <c r="T16" s="138">
        <v>1</v>
      </c>
      <c r="U16" s="139" t="s">
        <v>315</v>
      </c>
      <c r="V16" s="140" t="s">
        <v>316</v>
      </c>
      <c r="W16" s="140" t="s">
        <v>316</v>
      </c>
      <c r="X16" s="140" t="s">
        <v>316</v>
      </c>
      <c r="Y16" s="140" t="s">
        <v>316</v>
      </c>
      <c r="Z16" s="190" t="s">
        <v>327</v>
      </c>
      <c r="AA16" s="142" t="s">
        <v>1017</v>
      </c>
      <c r="AB16" s="143" t="s">
        <v>1008</v>
      </c>
    </row>
    <row r="17" spans="1:28" ht="21.75" customHeight="1">
      <c r="A17" s="136" t="s">
        <v>363</v>
      </c>
      <c r="B17" s="178" t="s">
        <v>320</v>
      </c>
      <c r="C17" s="287" t="s">
        <v>1018</v>
      </c>
      <c r="D17" s="334"/>
      <c r="E17" s="138" t="s">
        <v>1019</v>
      </c>
      <c r="F17" s="138" t="s">
        <v>1020</v>
      </c>
      <c r="G17" s="138" t="s">
        <v>997</v>
      </c>
      <c r="H17" s="138" t="s">
        <v>1021</v>
      </c>
      <c r="I17" s="138" t="s">
        <v>1022</v>
      </c>
      <c r="J17" s="138" t="s">
        <v>999</v>
      </c>
      <c r="K17" s="138" t="s">
        <v>1000</v>
      </c>
      <c r="L17" s="138" t="s">
        <v>1001</v>
      </c>
      <c r="M17" s="136" t="s">
        <v>326</v>
      </c>
      <c r="N17" s="138" t="s">
        <v>1002</v>
      </c>
      <c r="O17" s="138" t="s">
        <v>1003</v>
      </c>
      <c r="P17" s="138" t="s">
        <v>1004</v>
      </c>
      <c r="Q17" s="136" t="s">
        <v>326</v>
      </c>
      <c r="R17" s="138">
        <v>56</v>
      </c>
      <c r="S17" s="138">
        <v>1997</v>
      </c>
      <c r="T17" s="138">
        <v>0</v>
      </c>
      <c r="U17" s="139" t="s">
        <v>315</v>
      </c>
      <c r="V17" s="140" t="s">
        <v>316</v>
      </c>
      <c r="W17" s="140" t="s">
        <v>316</v>
      </c>
      <c r="X17" s="140" t="s">
        <v>316</v>
      </c>
      <c r="Y17" s="140" t="s">
        <v>316</v>
      </c>
      <c r="Z17" s="211" t="s">
        <v>1023</v>
      </c>
      <c r="AA17" s="142" t="s">
        <v>1024</v>
      </c>
      <c r="AB17" s="143" t="s">
        <v>1008</v>
      </c>
    </row>
    <row r="18" spans="1:28" ht="26.25" customHeight="1">
      <c r="A18" s="145" t="s">
        <v>319</v>
      </c>
      <c r="B18" s="146" t="s">
        <v>343</v>
      </c>
      <c r="C18" s="157" t="s">
        <v>55</v>
      </c>
      <c r="D18" s="303" t="s">
        <v>345</v>
      </c>
      <c r="E18" s="147" t="s">
        <v>1025</v>
      </c>
      <c r="F18" s="147" t="s">
        <v>996</v>
      </c>
      <c r="G18" s="147" t="s">
        <v>997</v>
      </c>
      <c r="H18" s="147" t="s">
        <v>998</v>
      </c>
      <c r="I18" s="147" t="s">
        <v>640</v>
      </c>
      <c r="J18" s="148" t="s">
        <v>64</v>
      </c>
      <c r="K18" s="148" t="s">
        <v>64</v>
      </c>
      <c r="L18" s="148" t="s">
        <v>64</v>
      </c>
      <c r="M18" s="150">
        <v>1430</v>
      </c>
      <c r="N18" s="148" t="s">
        <v>64</v>
      </c>
      <c r="O18" s="148" t="s">
        <v>64</v>
      </c>
      <c r="P18" s="148" t="s">
        <v>64</v>
      </c>
      <c r="Q18" s="158" t="s">
        <v>64</v>
      </c>
      <c r="R18" s="147" t="s">
        <v>64</v>
      </c>
      <c r="S18" s="147">
        <v>2005</v>
      </c>
      <c r="T18" s="147" t="s">
        <v>64</v>
      </c>
      <c r="U18" s="145" t="s">
        <v>64</v>
      </c>
      <c r="V18" s="145" t="s">
        <v>549</v>
      </c>
      <c r="W18" s="145" t="s">
        <v>549</v>
      </c>
      <c r="X18" s="145" t="s">
        <v>549</v>
      </c>
      <c r="Y18" s="145" t="s">
        <v>549</v>
      </c>
      <c r="Z18" s="190" t="s">
        <v>327</v>
      </c>
      <c r="AA18" s="155" t="s">
        <v>1026</v>
      </c>
      <c r="AB18" s="156" t="s">
        <v>1027</v>
      </c>
    </row>
    <row r="19" spans="1:28" ht="26.25" customHeight="1">
      <c r="A19" s="145" t="s">
        <v>258</v>
      </c>
      <c r="B19" s="146" t="s">
        <v>343</v>
      </c>
      <c r="C19" s="157" t="s">
        <v>1028</v>
      </c>
      <c r="D19" s="338"/>
      <c r="E19" s="147" t="s">
        <v>1029</v>
      </c>
      <c r="F19" s="147" t="s">
        <v>996</v>
      </c>
      <c r="G19" s="147" t="s">
        <v>997</v>
      </c>
      <c r="H19" s="147" t="s">
        <v>998</v>
      </c>
      <c r="I19" s="147" t="s">
        <v>348</v>
      </c>
      <c r="J19" s="148" t="s">
        <v>64</v>
      </c>
      <c r="K19" s="148" t="s">
        <v>64</v>
      </c>
      <c r="L19" s="148" t="s">
        <v>64</v>
      </c>
      <c r="M19" s="150">
        <v>1497</v>
      </c>
      <c r="N19" s="148" t="s">
        <v>64</v>
      </c>
      <c r="O19" s="148" t="s">
        <v>64</v>
      </c>
      <c r="P19" s="148" t="s">
        <v>64</v>
      </c>
      <c r="Q19" s="158" t="s">
        <v>64</v>
      </c>
      <c r="R19" s="147" t="s">
        <v>64</v>
      </c>
      <c r="S19" s="147">
        <v>2010</v>
      </c>
      <c r="T19" s="147" t="s">
        <v>64</v>
      </c>
      <c r="U19" s="145" t="s">
        <v>64</v>
      </c>
      <c r="V19" s="145" t="s">
        <v>549</v>
      </c>
      <c r="W19" s="145" t="s">
        <v>549</v>
      </c>
      <c r="X19" s="145" t="s">
        <v>549</v>
      </c>
      <c r="Y19" s="145" t="s">
        <v>549</v>
      </c>
      <c r="Z19" s="190" t="s">
        <v>327</v>
      </c>
      <c r="AA19" s="155" t="s">
        <v>1030</v>
      </c>
      <c r="AB19" s="156" t="s">
        <v>1031</v>
      </c>
    </row>
    <row r="20" spans="1:28" ht="26.25" customHeight="1">
      <c r="A20" s="145" t="s">
        <v>237</v>
      </c>
      <c r="B20" s="146" t="s">
        <v>343</v>
      </c>
      <c r="C20" s="157" t="s">
        <v>1032</v>
      </c>
      <c r="D20" s="338"/>
      <c r="E20" s="147" t="s">
        <v>1033</v>
      </c>
      <c r="F20" s="147" t="s">
        <v>996</v>
      </c>
      <c r="G20" s="147" t="s">
        <v>997</v>
      </c>
      <c r="H20" s="147" t="s">
        <v>998</v>
      </c>
      <c r="I20" s="147" t="s">
        <v>366</v>
      </c>
      <c r="J20" s="148" t="s">
        <v>64</v>
      </c>
      <c r="K20" s="148" t="s">
        <v>64</v>
      </c>
      <c r="L20" s="148" t="s">
        <v>64</v>
      </c>
      <c r="M20" s="150">
        <v>1424</v>
      </c>
      <c r="N20" s="148" t="s">
        <v>64</v>
      </c>
      <c r="O20" s="148" t="s">
        <v>64</v>
      </c>
      <c r="P20" s="148" t="s">
        <v>64</v>
      </c>
      <c r="Q20" s="158" t="s">
        <v>64</v>
      </c>
      <c r="R20" s="147" t="s">
        <v>64</v>
      </c>
      <c r="S20" s="147">
        <v>2008</v>
      </c>
      <c r="T20" s="147" t="s">
        <v>64</v>
      </c>
      <c r="U20" s="145" t="s">
        <v>64</v>
      </c>
      <c r="V20" s="145" t="s">
        <v>549</v>
      </c>
      <c r="W20" s="145" t="s">
        <v>549</v>
      </c>
      <c r="X20" s="145" t="s">
        <v>549</v>
      </c>
      <c r="Y20" s="145" t="s">
        <v>549</v>
      </c>
      <c r="Z20" s="212" t="s">
        <v>341</v>
      </c>
      <c r="AA20" s="155" t="s">
        <v>1034</v>
      </c>
      <c r="AB20" s="156" t="s">
        <v>1035</v>
      </c>
    </row>
    <row r="21" spans="1:28" ht="26.25" customHeight="1">
      <c r="A21" s="145" t="s">
        <v>363</v>
      </c>
      <c r="B21" s="146" t="s">
        <v>343</v>
      </c>
      <c r="C21" s="157" t="s">
        <v>1036</v>
      </c>
      <c r="D21" s="338"/>
      <c r="E21" s="147" t="s">
        <v>1037</v>
      </c>
      <c r="F21" s="147" t="s">
        <v>996</v>
      </c>
      <c r="G21" s="147" t="s">
        <v>997</v>
      </c>
      <c r="H21" s="147" t="s">
        <v>998</v>
      </c>
      <c r="I21" s="147" t="s">
        <v>808</v>
      </c>
      <c r="J21" s="148" t="s">
        <v>64</v>
      </c>
      <c r="K21" s="148" t="s">
        <v>64</v>
      </c>
      <c r="L21" s="148" t="s">
        <v>64</v>
      </c>
      <c r="M21" s="150">
        <v>1559</v>
      </c>
      <c r="N21" s="148" t="s">
        <v>64</v>
      </c>
      <c r="O21" s="148" t="s">
        <v>64</v>
      </c>
      <c r="P21" s="148" t="s">
        <v>64</v>
      </c>
      <c r="Q21" s="158" t="s">
        <v>64</v>
      </c>
      <c r="R21" s="147" t="s">
        <v>64</v>
      </c>
      <c r="S21" s="147">
        <v>2012</v>
      </c>
      <c r="T21" s="147" t="s">
        <v>64</v>
      </c>
      <c r="U21" s="145" t="s">
        <v>64</v>
      </c>
      <c r="V21" s="145" t="s">
        <v>549</v>
      </c>
      <c r="W21" s="145" t="s">
        <v>549</v>
      </c>
      <c r="X21" s="145" t="s">
        <v>549</v>
      </c>
      <c r="Y21" s="145" t="s">
        <v>549</v>
      </c>
      <c r="Z21" s="212" t="s">
        <v>341</v>
      </c>
      <c r="AA21" s="155" t="s">
        <v>1038</v>
      </c>
      <c r="AB21" s="156" t="s">
        <v>1039</v>
      </c>
    </row>
    <row r="22" spans="1:28" ht="26.25" customHeight="1">
      <c r="A22" s="145" t="s">
        <v>369</v>
      </c>
      <c r="B22" s="146" t="s">
        <v>343</v>
      </c>
      <c r="C22" s="157" t="s">
        <v>1040</v>
      </c>
      <c r="D22" s="338"/>
      <c r="E22" s="147" t="s">
        <v>1041</v>
      </c>
      <c r="F22" s="147" t="s">
        <v>996</v>
      </c>
      <c r="G22" s="147" t="s">
        <v>997</v>
      </c>
      <c r="H22" s="147" t="s">
        <v>998</v>
      </c>
      <c r="I22" s="147" t="s">
        <v>634</v>
      </c>
      <c r="J22" s="148" t="s">
        <v>64</v>
      </c>
      <c r="K22" s="148" t="s">
        <v>64</v>
      </c>
      <c r="L22" s="148" t="s">
        <v>64</v>
      </c>
      <c r="M22" s="150">
        <v>1505</v>
      </c>
      <c r="N22" s="148" t="s">
        <v>64</v>
      </c>
      <c r="O22" s="148" t="s">
        <v>64</v>
      </c>
      <c r="P22" s="148" t="s">
        <v>64</v>
      </c>
      <c r="Q22" s="158" t="s">
        <v>64</v>
      </c>
      <c r="R22" s="147" t="s">
        <v>64</v>
      </c>
      <c r="S22" s="147">
        <v>2000</v>
      </c>
      <c r="T22" s="147" t="s">
        <v>64</v>
      </c>
      <c r="U22" s="145" t="s">
        <v>64</v>
      </c>
      <c r="V22" s="145" t="s">
        <v>64</v>
      </c>
      <c r="W22" s="145" t="s">
        <v>64</v>
      </c>
      <c r="X22" s="145" t="s">
        <v>64</v>
      </c>
      <c r="Y22" s="145" t="s">
        <v>64</v>
      </c>
      <c r="Z22" s="190" t="s">
        <v>327</v>
      </c>
      <c r="AA22" s="155" t="s">
        <v>1042</v>
      </c>
      <c r="AB22" s="156" t="s">
        <v>1027</v>
      </c>
    </row>
    <row r="23" spans="1:28" ht="26.25" customHeight="1">
      <c r="A23" s="145" t="s">
        <v>255</v>
      </c>
      <c r="B23" s="146" t="s">
        <v>343</v>
      </c>
      <c r="C23" s="157" t="s">
        <v>1043</v>
      </c>
      <c r="D23" s="339"/>
      <c r="E23" s="147" t="s">
        <v>1044</v>
      </c>
      <c r="F23" s="147" t="s">
        <v>996</v>
      </c>
      <c r="G23" s="147" t="s">
        <v>997</v>
      </c>
      <c r="H23" s="147" t="s">
        <v>998</v>
      </c>
      <c r="I23" s="147" t="s">
        <v>541</v>
      </c>
      <c r="J23" s="148" t="s">
        <v>64</v>
      </c>
      <c r="K23" s="148" t="s">
        <v>64</v>
      </c>
      <c r="L23" s="148" t="s">
        <v>64</v>
      </c>
      <c r="M23" s="150">
        <v>1328</v>
      </c>
      <c r="N23" s="148" t="s">
        <v>64</v>
      </c>
      <c r="O23" s="148" t="s">
        <v>64</v>
      </c>
      <c r="P23" s="148" t="s">
        <v>64</v>
      </c>
      <c r="Q23" s="158" t="s">
        <v>64</v>
      </c>
      <c r="R23" s="147" t="s">
        <v>64</v>
      </c>
      <c r="S23" s="147">
        <v>2003</v>
      </c>
      <c r="T23" s="147" t="s">
        <v>64</v>
      </c>
      <c r="U23" s="145" t="s">
        <v>64</v>
      </c>
      <c r="V23" s="145" t="s">
        <v>64</v>
      </c>
      <c r="W23" s="145" t="s">
        <v>64</v>
      </c>
      <c r="X23" s="145" t="s">
        <v>64</v>
      </c>
      <c r="Y23" s="145" t="s">
        <v>64</v>
      </c>
      <c r="Z23" s="190" t="s">
        <v>327</v>
      </c>
      <c r="AA23" s="155" t="s">
        <v>1045</v>
      </c>
      <c r="AB23" s="156" t="s">
        <v>1027</v>
      </c>
    </row>
    <row r="24" spans="1:28" ht="28.5" customHeight="1">
      <c r="A24" s="159" t="s">
        <v>140</v>
      </c>
      <c r="B24" s="183" t="s">
        <v>382</v>
      </c>
      <c r="C24" s="286" t="s">
        <v>1046</v>
      </c>
      <c r="D24" s="334"/>
      <c r="E24" s="159" t="s">
        <v>64</v>
      </c>
      <c r="F24" s="159" t="s">
        <v>996</v>
      </c>
      <c r="G24" s="159" t="s">
        <v>997</v>
      </c>
      <c r="H24" s="159" t="s">
        <v>64</v>
      </c>
      <c r="I24" s="159" t="s">
        <v>64</v>
      </c>
      <c r="J24" s="159" t="s">
        <v>1001</v>
      </c>
      <c r="K24" s="159" t="s">
        <v>1001</v>
      </c>
      <c r="L24" s="159" t="s">
        <v>1001</v>
      </c>
      <c r="M24" s="159" t="s">
        <v>64</v>
      </c>
      <c r="N24" s="159" t="s">
        <v>1004</v>
      </c>
      <c r="O24" s="159" t="s">
        <v>1004</v>
      </c>
      <c r="P24" s="159" t="s">
        <v>1004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382</v>
      </c>
      <c r="AA24" s="161" t="s">
        <v>1047</v>
      </c>
      <c r="AB24" s="162" t="s">
        <v>385</v>
      </c>
    </row>
    <row r="25" spans="1:28" ht="34.5" customHeight="1">
      <c r="A25" s="163" t="s">
        <v>140</v>
      </c>
      <c r="B25" s="183" t="s">
        <v>382</v>
      </c>
      <c r="C25" s="292" t="s">
        <v>1048</v>
      </c>
      <c r="D25" s="334"/>
      <c r="E25" s="163" t="s">
        <v>64</v>
      </c>
      <c r="F25" s="163" t="s">
        <v>996</v>
      </c>
      <c r="G25" s="163" t="s">
        <v>997</v>
      </c>
      <c r="H25" s="163" t="s">
        <v>64</v>
      </c>
      <c r="I25" s="163" t="s">
        <v>64</v>
      </c>
      <c r="J25" s="163">
        <v>1457</v>
      </c>
      <c r="K25" s="163">
        <v>1457</v>
      </c>
      <c r="L25" s="163">
        <v>1457</v>
      </c>
      <c r="M25" s="164">
        <v>1457</v>
      </c>
      <c r="N25" s="163" t="s">
        <v>64</v>
      </c>
      <c r="O25" s="163" t="s">
        <v>64</v>
      </c>
      <c r="P25" s="163" t="s">
        <v>64</v>
      </c>
      <c r="Q25" s="164" t="s">
        <v>64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382</v>
      </c>
      <c r="AA25" s="165" t="s">
        <v>1049</v>
      </c>
      <c r="AB25" s="166" t="s">
        <v>390</v>
      </c>
    </row>
    <row r="26" spans="1:28"/>
    <row r="27" spans="1:28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28" ht="20.25" customHeight="1">
      <c r="A32" s="167" t="s">
        <v>215</v>
      </c>
      <c r="B32" s="207">
        <f>'Current Rents'!E20</f>
        <v>964</v>
      </c>
      <c r="C32" s="209">
        <v>1457</v>
      </c>
      <c r="D32" s="213"/>
      <c r="E32" s="169">
        <f>'Current Rents'!F16-1457</f>
        <v>-384</v>
      </c>
      <c r="F32" s="215" t="str">
        <f>IF(E32&lt;-75,"LOOK INTO INCREASING THE RENT!","")</f>
        <v>LOOK INTO INCREASING THE RENT!</v>
      </c>
    </row>
    <row r="33" spans="1:6" ht="20.25" customHeight="1">
      <c r="A33" s="167" t="s">
        <v>218</v>
      </c>
      <c r="B33" s="207">
        <f>'Current Rents'!G20</f>
        <v>1221</v>
      </c>
      <c r="C33" s="209" t="s">
        <v>64</v>
      </c>
      <c r="D33" s="213"/>
      <c r="E33" s="184" t="e">
        <f>B33-C33</f>
        <v>#VALUE!</v>
      </c>
      <c r="F33" s="215" t="e">
        <f>IF(E33&lt;-75,"LOOK INTO INCREASING THE RENT!","")</f>
        <v>#VALUE!</v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9:AB9"/>
    <mergeCell ref="A27:AB27"/>
    <mergeCell ref="C31:D31"/>
    <mergeCell ref="C17:D17"/>
    <mergeCell ref="Z8:AB8"/>
    <mergeCell ref="A11:AB11"/>
    <mergeCell ref="C15:D15"/>
    <mergeCell ref="C25:D25"/>
    <mergeCell ref="A10:AB10"/>
    <mergeCell ref="C14:D14"/>
    <mergeCell ref="C12:D12"/>
    <mergeCell ref="D18:D23"/>
    <mergeCell ref="A30:H30"/>
    <mergeCell ref="C24:D24"/>
    <mergeCell ref="C16:D16"/>
    <mergeCell ref="A29:H29"/>
    <mergeCell ref="A8:Y8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1050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1051</v>
      </c>
      <c r="AB1" s="325"/>
    </row>
    <row r="2" spans="1:28" ht="20.100000000000001" customHeight="1">
      <c r="A2" s="324" t="s">
        <v>1052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738</v>
      </c>
      <c r="O5" s="231" t="s">
        <v>739</v>
      </c>
      <c r="P5" s="231" t="s">
        <v>740</v>
      </c>
      <c r="Q5" s="232" t="s">
        <v>741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1055</v>
      </c>
      <c r="D6" s="325"/>
      <c r="E6" s="234" t="s">
        <v>1009</v>
      </c>
      <c r="F6" s="234" t="s">
        <v>1010</v>
      </c>
      <c r="G6" s="234" t="s">
        <v>997</v>
      </c>
      <c r="H6" s="234" t="s">
        <v>1011</v>
      </c>
      <c r="I6" s="234" t="s">
        <v>308</v>
      </c>
      <c r="J6" s="234" t="s">
        <v>999</v>
      </c>
      <c r="K6" s="234" t="s">
        <v>1000</v>
      </c>
      <c r="L6" s="234" t="s">
        <v>1001</v>
      </c>
      <c r="M6" s="235">
        <f>'Current Rents'!E20</f>
        <v>964</v>
      </c>
      <c r="N6" s="234" t="s">
        <v>1002</v>
      </c>
      <c r="O6" s="234" t="s">
        <v>1003</v>
      </c>
      <c r="P6" s="234" t="s">
        <v>1004</v>
      </c>
      <c r="Q6" s="235">
        <f>'Current Rents'!G20</f>
        <v>1221</v>
      </c>
      <c r="R6" s="234" t="s">
        <v>1056</v>
      </c>
      <c r="S6" s="234" t="s">
        <v>1057</v>
      </c>
      <c r="T6" s="234" t="s">
        <v>504</v>
      </c>
      <c r="U6" s="234" t="s">
        <v>316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47</v>
      </c>
      <c r="D7" s="325"/>
      <c r="E7" s="216" t="s">
        <v>1006</v>
      </c>
      <c r="F7" s="216" t="s">
        <v>996</v>
      </c>
      <c r="G7" s="216" t="s">
        <v>997</v>
      </c>
      <c r="H7" s="216" t="s">
        <v>998</v>
      </c>
      <c r="I7" s="216" t="s">
        <v>1058</v>
      </c>
      <c r="J7" s="216" t="s">
        <v>999</v>
      </c>
      <c r="K7" s="216" t="s">
        <v>1000</v>
      </c>
      <c r="L7" s="216" t="s">
        <v>1001</v>
      </c>
      <c r="M7" s="216" t="s">
        <v>326</v>
      </c>
      <c r="N7" s="216" t="s">
        <v>1002</v>
      </c>
      <c r="O7" s="216" t="s">
        <v>1003</v>
      </c>
      <c r="P7" s="216" t="s">
        <v>1004</v>
      </c>
      <c r="Q7" s="216" t="s">
        <v>326</v>
      </c>
      <c r="R7" s="216" t="s">
        <v>1059</v>
      </c>
      <c r="S7" s="216" t="s">
        <v>1057</v>
      </c>
      <c r="T7" s="216" t="s">
        <v>504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1060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1018</v>
      </c>
      <c r="D8" s="325"/>
      <c r="E8" s="216" t="s">
        <v>1019</v>
      </c>
      <c r="F8" s="216" t="s">
        <v>1020</v>
      </c>
      <c r="G8" s="216" t="s">
        <v>997</v>
      </c>
      <c r="H8" s="216" t="s">
        <v>1021</v>
      </c>
      <c r="I8" s="216" t="s">
        <v>1061</v>
      </c>
      <c r="J8" s="216" t="s">
        <v>999</v>
      </c>
      <c r="K8" s="216" t="s">
        <v>1000</v>
      </c>
      <c r="L8" s="216" t="s">
        <v>1001</v>
      </c>
      <c r="M8" s="216" t="s">
        <v>326</v>
      </c>
      <c r="N8" s="216" t="s">
        <v>1002</v>
      </c>
      <c r="O8" s="216" t="s">
        <v>1003</v>
      </c>
      <c r="P8" s="216" t="s">
        <v>1004</v>
      </c>
      <c r="Q8" s="216" t="s">
        <v>326</v>
      </c>
      <c r="R8" s="216" t="s">
        <v>253</v>
      </c>
      <c r="S8" s="216" t="s">
        <v>1057</v>
      </c>
      <c r="T8" s="216" t="s">
        <v>504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8" t="s">
        <v>341</v>
      </c>
      <c r="AA8" s="216" t="s">
        <v>1062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1014</v>
      </c>
      <c r="D9" s="325"/>
      <c r="E9" s="216" t="s">
        <v>1015</v>
      </c>
      <c r="F9" s="216" t="s">
        <v>996</v>
      </c>
      <c r="G9" s="216" t="s">
        <v>997</v>
      </c>
      <c r="H9" s="216" t="s">
        <v>998</v>
      </c>
      <c r="I9" s="216" t="s">
        <v>1063</v>
      </c>
      <c r="J9" s="216" t="s">
        <v>999</v>
      </c>
      <c r="K9" s="216" t="s">
        <v>1000</v>
      </c>
      <c r="L9" s="216" t="s">
        <v>1001</v>
      </c>
      <c r="M9" s="216" t="s">
        <v>1064</v>
      </c>
      <c r="N9" s="216" t="s">
        <v>1002</v>
      </c>
      <c r="O9" s="216" t="s">
        <v>1003</v>
      </c>
      <c r="P9" s="216" t="s">
        <v>1004</v>
      </c>
      <c r="Q9" s="216" t="s">
        <v>1065</v>
      </c>
      <c r="R9" s="216" t="s">
        <v>1066</v>
      </c>
      <c r="S9" s="216" t="s">
        <v>1067</v>
      </c>
      <c r="T9" s="216" t="s">
        <v>319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7" t="s">
        <v>327</v>
      </c>
      <c r="AA9" s="216" t="s">
        <v>1068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1069</v>
      </c>
      <c r="D10" s="325"/>
      <c r="E10" s="216" t="s">
        <v>1070</v>
      </c>
      <c r="F10" s="216" t="s">
        <v>1071</v>
      </c>
      <c r="G10" s="216" t="s">
        <v>997</v>
      </c>
      <c r="H10" s="216" t="s">
        <v>1072</v>
      </c>
      <c r="I10" s="216" t="s">
        <v>1073</v>
      </c>
      <c r="J10" s="216" t="s">
        <v>999</v>
      </c>
      <c r="K10" s="216" t="s">
        <v>1000</v>
      </c>
      <c r="L10" s="216" t="s">
        <v>1001</v>
      </c>
      <c r="M10" s="216" t="s">
        <v>326</v>
      </c>
      <c r="N10" s="216" t="s">
        <v>1002</v>
      </c>
      <c r="O10" s="216" t="s">
        <v>1003</v>
      </c>
      <c r="P10" s="216" t="s">
        <v>1004</v>
      </c>
      <c r="Q10" s="216" t="s">
        <v>326</v>
      </c>
      <c r="R10" s="216" t="s">
        <v>511</v>
      </c>
      <c r="S10" s="216" t="s">
        <v>1074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341</v>
      </c>
      <c r="AA10" s="216" t="s">
        <v>1075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1076</v>
      </c>
      <c r="D12" s="320" t="s">
        <v>345</v>
      </c>
      <c r="E12" s="239" t="s">
        <v>1077</v>
      </c>
      <c r="F12" s="239" t="s">
        <v>1010</v>
      </c>
      <c r="G12" s="239" t="s">
        <v>997</v>
      </c>
      <c r="H12" s="239" t="s">
        <v>1011</v>
      </c>
      <c r="I12" s="239" t="s">
        <v>366</v>
      </c>
      <c r="J12" s="239" t="s">
        <v>64</v>
      </c>
      <c r="K12" s="239" t="s">
        <v>64</v>
      </c>
      <c r="L12" s="239" t="s">
        <v>64</v>
      </c>
      <c r="M12" s="241">
        <v>1247</v>
      </c>
      <c r="N12" s="239" t="s">
        <v>64</v>
      </c>
      <c r="O12" s="239" t="s">
        <v>64</v>
      </c>
      <c r="P12" s="239" t="s">
        <v>64</v>
      </c>
      <c r="Q12" s="242" t="s">
        <v>1078</v>
      </c>
      <c r="R12" s="239" t="s">
        <v>64</v>
      </c>
      <c r="S12" s="239">
        <v>2015</v>
      </c>
      <c r="T12" s="239" t="s">
        <v>64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1079</v>
      </c>
      <c r="AB12" s="239" t="s">
        <v>1080</v>
      </c>
    </row>
    <row r="13" spans="1:28" ht="20.100000000000001" customHeight="1">
      <c r="A13" s="239">
        <v>2</v>
      </c>
      <c r="B13" s="240" t="s">
        <v>343</v>
      </c>
      <c r="C13" s="237" t="s">
        <v>1081</v>
      </c>
      <c r="D13" s="325"/>
      <c r="E13" s="239" t="s">
        <v>1082</v>
      </c>
      <c r="F13" s="239" t="s">
        <v>1010</v>
      </c>
      <c r="G13" s="239" t="s">
        <v>997</v>
      </c>
      <c r="H13" s="239" t="s">
        <v>1011</v>
      </c>
      <c r="I13" s="239" t="s">
        <v>971</v>
      </c>
      <c r="J13" s="239" t="s">
        <v>64</v>
      </c>
      <c r="K13" s="239" t="s">
        <v>64</v>
      </c>
      <c r="L13" s="239" t="s">
        <v>64</v>
      </c>
      <c r="M13" s="241">
        <v>1525</v>
      </c>
      <c r="N13" s="239" t="s">
        <v>64</v>
      </c>
      <c r="O13" s="239" t="s">
        <v>64</v>
      </c>
      <c r="P13" s="239" t="s">
        <v>64</v>
      </c>
      <c r="Q13" s="242" t="s">
        <v>1078</v>
      </c>
      <c r="R13" s="239" t="s">
        <v>64</v>
      </c>
      <c r="S13" s="239">
        <v>2018</v>
      </c>
      <c r="T13" s="239" t="s">
        <v>64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1083</v>
      </c>
      <c r="AB13" s="239" t="s">
        <v>1084</v>
      </c>
    </row>
    <row r="14" spans="1:28" ht="20.100000000000001" customHeight="1">
      <c r="A14" s="239">
        <v>3</v>
      </c>
      <c r="B14" s="240" t="s">
        <v>343</v>
      </c>
      <c r="C14" s="237" t="s">
        <v>1085</v>
      </c>
      <c r="D14" s="325"/>
      <c r="E14" s="239" t="s">
        <v>1086</v>
      </c>
      <c r="F14" s="239" t="s">
        <v>1010</v>
      </c>
      <c r="G14" s="239" t="s">
        <v>997</v>
      </c>
      <c r="H14" s="239" t="s">
        <v>1011</v>
      </c>
      <c r="I14" s="239" t="s">
        <v>541</v>
      </c>
      <c r="J14" s="239" t="s">
        <v>64</v>
      </c>
      <c r="K14" s="239" t="s">
        <v>64</v>
      </c>
      <c r="L14" s="239" t="s">
        <v>64</v>
      </c>
      <c r="M14" s="241">
        <v>1395</v>
      </c>
      <c r="N14" s="239" t="s">
        <v>64</v>
      </c>
      <c r="O14" s="239" t="s">
        <v>64</v>
      </c>
      <c r="P14" s="239" t="s">
        <v>64</v>
      </c>
      <c r="Q14" s="242" t="s">
        <v>1078</v>
      </c>
      <c r="R14" s="239" t="s">
        <v>64</v>
      </c>
      <c r="S14" s="239">
        <v>2016</v>
      </c>
      <c r="T14" s="239" t="s">
        <v>64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1087</v>
      </c>
      <c r="AB14" s="239" t="s">
        <v>1088</v>
      </c>
    </row>
    <row r="15" spans="1:28" ht="20.100000000000001" customHeight="1">
      <c r="A15" s="239">
        <v>4</v>
      </c>
      <c r="B15" s="240" t="s">
        <v>343</v>
      </c>
      <c r="C15" s="237" t="s">
        <v>1089</v>
      </c>
      <c r="D15" s="325"/>
      <c r="E15" s="239" t="s">
        <v>1090</v>
      </c>
      <c r="F15" s="239" t="s">
        <v>1010</v>
      </c>
      <c r="G15" s="239" t="s">
        <v>997</v>
      </c>
      <c r="H15" s="239" t="s">
        <v>1011</v>
      </c>
      <c r="I15" s="239" t="s">
        <v>1091</v>
      </c>
      <c r="J15" s="239" t="s">
        <v>64</v>
      </c>
      <c r="K15" s="239" t="s">
        <v>64</v>
      </c>
      <c r="L15" s="239" t="s">
        <v>64</v>
      </c>
      <c r="M15" s="241">
        <v>1349</v>
      </c>
      <c r="N15" s="239" t="s">
        <v>64</v>
      </c>
      <c r="O15" s="239" t="s">
        <v>64</v>
      </c>
      <c r="P15" s="239" t="s">
        <v>64</v>
      </c>
      <c r="Q15" s="242" t="s">
        <v>1078</v>
      </c>
      <c r="R15" s="239" t="s">
        <v>64</v>
      </c>
      <c r="S15" s="239">
        <v>2012</v>
      </c>
      <c r="T15" s="239" t="s">
        <v>64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1092</v>
      </c>
      <c r="AB15" s="239" t="s">
        <v>1093</v>
      </c>
    </row>
    <row r="16" spans="1:28" ht="20.100000000000001" customHeight="1">
      <c r="A16" s="239">
        <v>5</v>
      </c>
      <c r="B16" s="240" t="s">
        <v>343</v>
      </c>
      <c r="C16" s="237" t="s">
        <v>1094</v>
      </c>
      <c r="D16" s="325"/>
      <c r="E16" s="239" t="s">
        <v>1095</v>
      </c>
      <c r="F16" s="239" t="s">
        <v>1010</v>
      </c>
      <c r="G16" s="239" t="s">
        <v>997</v>
      </c>
      <c r="H16" s="239" t="s">
        <v>1011</v>
      </c>
      <c r="I16" s="239" t="s">
        <v>348</v>
      </c>
      <c r="J16" s="239" t="s">
        <v>64</v>
      </c>
      <c r="K16" s="239" t="s">
        <v>64</v>
      </c>
      <c r="L16" s="239" t="s">
        <v>64</v>
      </c>
      <c r="M16" s="241">
        <v>1599</v>
      </c>
      <c r="N16" s="239" t="s">
        <v>64</v>
      </c>
      <c r="O16" s="239" t="s">
        <v>64</v>
      </c>
      <c r="P16" s="239" t="s">
        <v>64</v>
      </c>
      <c r="Q16" s="242" t="s">
        <v>1078</v>
      </c>
      <c r="R16" s="239" t="s">
        <v>64</v>
      </c>
      <c r="S16" s="239">
        <v>2014</v>
      </c>
      <c r="T16" s="239" t="s">
        <v>64</v>
      </c>
      <c r="U16" s="239" t="s">
        <v>549</v>
      </c>
      <c r="V16" s="239" t="s">
        <v>549</v>
      </c>
      <c r="W16" s="239" t="s">
        <v>64</v>
      </c>
      <c r="X16" s="239" t="s">
        <v>64</v>
      </c>
      <c r="Y16" s="239" t="s">
        <v>64</v>
      </c>
      <c r="Z16" s="239" t="s">
        <v>382</v>
      </c>
      <c r="AA16" s="239" t="s">
        <v>1096</v>
      </c>
      <c r="AB16" s="239" t="s">
        <v>385</v>
      </c>
    </row>
    <row r="17" spans="1:28" ht="20.100000000000001" customHeight="1">
      <c r="A17" s="239">
        <v>6</v>
      </c>
      <c r="B17" s="240" t="s">
        <v>343</v>
      </c>
      <c r="C17" s="237" t="s">
        <v>1097</v>
      </c>
      <c r="D17" s="325"/>
      <c r="E17" s="239" t="s">
        <v>1098</v>
      </c>
      <c r="F17" s="239" t="s">
        <v>1010</v>
      </c>
      <c r="G17" s="239" t="s">
        <v>997</v>
      </c>
      <c r="H17" s="239" t="s">
        <v>1011</v>
      </c>
      <c r="I17" s="239" t="s">
        <v>922</v>
      </c>
      <c r="J17" s="239" t="s">
        <v>64</v>
      </c>
      <c r="K17" s="239" t="s">
        <v>64</v>
      </c>
      <c r="L17" s="239" t="s">
        <v>64</v>
      </c>
      <c r="M17" s="241">
        <v>1289</v>
      </c>
      <c r="N17" s="239" t="s">
        <v>64</v>
      </c>
      <c r="O17" s="239" t="s">
        <v>64</v>
      </c>
      <c r="P17" s="239" t="s">
        <v>64</v>
      </c>
      <c r="Q17" s="242" t="s">
        <v>1078</v>
      </c>
      <c r="R17" s="239" t="s">
        <v>64</v>
      </c>
      <c r="S17" s="239">
        <v>2010</v>
      </c>
      <c r="T17" s="239" t="s">
        <v>64</v>
      </c>
      <c r="U17" s="239" t="s">
        <v>549</v>
      </c>
      <c r="V17" s="239" t="s">
        <v>549</v>
      </c>
      <c r="W17" s="239" t="s">
        <v>64</v>
      </c>
      <c r="X17" s="239" t="s">
        <v>64</v>
      </c>
      <c r="Y17" s="239" t="s">
        <v>64</v>
      </c>
      <c r="Z17" s="239" t="s">
        <v>382</v>
      </c>
      <c r="AA17" s="239" t="s">
        <v>1099</v>
      </c>
      <c r="AB17" s="239" t="s">
        <v>1100</v>
      </c>
    </row>
    <row r="18" spans="1:28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382</v>
      </c>
      <c r="C19" s="323" t="s">
        <v>1101</v>
      </c>
      <c r="D19" s="325"/>
      <c r="E19" s="217" t="s">
        <v>64</v>
      </c>
      <c r="F19" s="217" t="s">
        <v>1010</v>
      </c>
      <c r="G19" s="217" t="s">
        <v>997</v>
      </c>
      <c r="H19" s="217"/>
      <c r="I19" s="217"/>
      <c r="J19" s="217"/>
      <c r="K19" s="217"/>
      <c r="L19" s="217" t="s">
        <v>1001</v>
      </c>
      <c r="M19" s="217"/>
      <c r="N19" s="217"/>
      <c r="O19" s="217"/>
      <c r="P19" s="217" t="s">
        <v>1004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382</v>
      </c>
      <c r="C20" s="315" t="s">
        <v>1102</v>
      </c>
      <c r="D20" s="325"/>
      <c r="E20" s="218" t="s">
        <v>64</v>
      </c>
      <c r="F20" s="218" t="s">
        <v>1010</v>
      </c>
      <c r="G20" s="218" t="s">
        <v>997</v>
      </c>
      <c r="H20" s="218"/>
      <c r="I20" s="218"/>
      <c r="J20" s="218"/>
      <c r="K20" s="218"/>
      <c r="L20" s="218"/>
      <c r="M20" s="245">
        <v>1401</v>
      </c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215</v>
      </c>
      <c r="B27" s="248">
        <f>'Current Rents'!E20</f>
        <v>964</v>
      </c>
      <c r="C27" s="249">
        <v>1401</v>
      </c>
      <c r="D27" s="250"/>
      <c r="E27" s="251">
        <f>B27-C27</f>
        <v>-437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218</v>
      </c>
      <c r="B28" s="248">
        <f>'Current Rents'!G20</f>
        <v>1221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215</v>
      </c>
      <c r="C33" s="254">
        <f>'Current Rents'!E20</f>
        <v>964</v>
      </c>
      <c r="D33" s="254">
        <v>1931</v>
      </c>
    </row>
    <row r="34" spans="1:4">
      <c r="A34" s="253" t="s">
        <v>218</v>
      </c>
      <c r="C34" s="254">
        <f>'Current Rents'!G20</f>
        <v>1221</v>
      </c>
      <c r="D34" s="254">
        <v>2810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1111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1112</v>
      </c>
      <c r="AF1" s="325"/>
    </row>
    <row r="2" spans="1:32" ht="20.100000000000001" customHeight="1">
      <c r="A2" s="324" t="s">
        <v>1113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1114</v>
      </c>
      <c r="D6" s="325"/>
      <c r="E6" s="234" t="s">
        <v>1115</v>
      </c>
      <c r="F6" s="234" t="s">
        <v>996</v>
      </c>
      <c r="G6" s="234" t="s">
        <v>997</v>
      </c>
      <c r="H6" s="234" t="s">
        <v>998</v>
      </c>
      <c r="I6" s="234" t="s">
        <v>308</v>
      </c>
      <c r="J6" s="234" t="s">
        <v>1116</v>
      </c>
      <c r="K6" s="234" t="s">
        <v>1117</v>
      </c>
      <c r="L6" s="234" t="s">
        <v>1118</v>
      </c>
      <c r="M6" s="235" t="str">
        <f>'Current Rents'!D21</f>
        <v>—</v>
      </c>
      <c r="N6" s="234" t="s">
        <v>999</v>
      </c>
      <c r="O6" s="234" t="s">
        <v>1000</v>
      </c>
      <c r="P6" s="234" t="s">
        <v>1001</v>
      </c>
      <c r="Q6" s="235">
        <f>'Current Rents'!E21</f>
        <v>964</v>
      </c>
      <c r="R6" s="234" t="s">
        <v>1119</v>
      </c>
      <c r="S6" s="234" t="s">
        <v>1120</v>
      </c>
      <c r="T6" s="234" t="s">
        <v>1121</v>
      </c>
      <c r="U6" s="235" t="str">
        <f>'Current Rents'!F21</f>
        <v>—</v>
      </c>
      <c r="V6" s="234" t="s">
        <v>677</v>
      </c>
      <c r="W6" s="234" t="s">
        <v>1122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1123</v>
      </c>
      <c r="D7" s="325"/>
      <c r="E7" s="216" t="s">
        <v>1124</v>
      </c>
      <c r="F7" s="216" t="s">
        <v>1125</v>
      </c>
      <c r="G7" s="216" t="s">
        <v>997</v>
      </c>
      <c r="H7" s="216" t="s">
        <v>1126</v>
      </c>
      <c r="I7" s="216" t="s">
        <v>1127</v>
      </c>
      <c r="J7" s="216" t="s">
        <v>1116</v>
      </c>
      <c r="K7" s="216" t="s">
        <v>1117</v>
      </c>
      <c r="L7" s="216" t="s">
        <v>1118</v>
      </c>
      <c r="M7" s="216" t="s">
        <v>326</v>
      </c>
      <c r="N7" s="216" t="s">
        <v>999</v>
      </c>
      <c r="O7" s="216" t="s">
        <v>1000</v>
      </c>
      <c r="P7" s="216" t="s">
        <v>1001</v>
      </c>
      <c r="Q7" s="216" t="s">
        <v>326</v>
      </c>
      <c r="R7" s="216" t="s">
        <v>1119</v>
      </c>
      <c r="S7" s="216" t="s">
        <v>1120</v>
      </c>
      <c r="T7" s="216" t="s">
        <v>1121</v>
      </c>
      <c r="U7" s="216" t="s">
        <v>326</v>
      </c>
      <c r="V7" s="216" t="s">
        <v>1128</v>
      </c>
      <c r="W7" s="216" t="s">
        <v>1122</v>
      </c>
      <c r="X7" s="216" t="s">
        <v>504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8" t="s">
        <v>341</v>
      </c>
      <c r="AE7" s="216" t="s">
        <v>1129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1130</v>
      </c>
      <c r="D8" s="325"/>
      <c r="E8" s="216" t="s">
        <v>1131</v>
      </c>
      <c r="F8" s="216" t="s">
        <v>1132</v>
      </c>
      <c r="G8" s="216" t="s">
        <v>997</v>
      </c>
      <c r="H8" s="216"/>
      <c r="I8" s="216" t="s">
        <v>64</v>
      </c>
      <c r="J8" s="216" t="s">
        <v>1116</v>
      </c>
      <c r="K8" s="216" t="s">
        <v>1117</v>
      </c>
      <c r="L8" s="216" t="s">
        <v>1118</v>
      </c>
      <c r="M8" s="216" t="s">
        <v>1133</v>
      </c>
      <c r="N8" s="216" t="s">
        <v>999</v>
      </c>
      <c r="O8" s="216" t="s">
        <v>1000</v>
      </c>
      <c r="P8" s="216" t="s">
        <v>1001</v>
      </c>
      <c r="Q8" s="216" t="s">
        <v>1134</v>
      </c>
      <c r="R8" s="216" t="s">
        <v>1119</v>
      </c>
      <c r="S8" s="216" t="s">
        <v>1120</v>
      </c>
      <c r="T8" s="216" t="s">
        <v>1121</v>
      </c>
      <c r="U8" s="216" t="s">
        <v>1135</v>
      </c>
      <c r="V8" s="216" t="s">
        <v>677</v>
      </c>
      <c r="W8" s="216" t="s">
        <v>1136</v>
      </c>
      <c r="X8" s="216" t="s">
        <v>319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8" t="s">
        <v>1023</v>
      </c>
      <c r="AE8" s="216" t="s">
        <v>1137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1138</v>
      </c>
      <c r="D9" s="325"/>
      <c r="E9" s="216" t="s">
        <v>1139</v>
      </c>
      <c r="F9" s="216" t="s">
        <v>1140</v>
      </c>
      <c r="G9" s="216" t="s">
        <v>997</v>
      </c>
      <c r="H9" s="216"/>
      <c r="I9" s="216" t="s">
        <v>64</v>
      </c>
      <c r="J9" s="216" t="s">
        <v>1116</v>
      </c>
      <c r="K9" s="216" t="s">
        <v>1117</v>
      </c>
      <c r="L9" s="216" t="s">
        <v>1118</v>
      </c>
      <c r="M9" s="216" t="s">
        <v>326</v>
      </c>
      <c r="N9" s="216" t="s">
        <v>999</v>
      </c>
      <c r="O9" s="216" t="s">
        <v>1000</v>
      </c>
      <c r="P9" s="216" t="s">
        <v>1001</v>
      </c>
      <c r="Q9" s="216" t="s">
        <v>326</v>
      </c>
      <c r="R9" s="216" t="s">
        <v>1119</v>
      </c>
      <c r="S9" s="216" t="s">
        <v>1120</v>
      </c>
      <c r="T9" s="216" t="s">
        <v>1121</v>
      </c>
      <c r="U9" s="216" t="s">
        <v>326</v>
      </c>
      <c r="V9" s="216" t="s">
        <v>1141</v>
      </c>
      <c r="W9" s="216" t="s">
        <v>1122</v>
      </c>
      <c r="X9" s="216" t="s">
        <v>504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1142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1014</v>
      </c>
      <c r="D10" s="325"/>
      <c r="E10" s="216" t="s">
        <v>1015</v>
      </c>
      <c r="F10" s="216" t="s">
        <v>996</v>
      </c>
      <c r="G10" s="216" t="s">
        <v>997</v>
      </c>
      <c r="H10" s="216" t="s">
        <v>998</v>
      </c>
      <c r="I10" s="216" t="s">
        <v>1016</v>
      </c>
      <c r="J10" s="216" t="s">
        <v>1116</v>
      </c>
      <c r="K10" s="216" t="s">
        <v>1117</v>
      </c>
      <c r="L10" s="216" t="s">
        <v>1118</v>
      </c>
      <c r="M10" s="216" t="s">
        <v>1143</v>
      </c>
      <c r="N10" s="216" t="s">
        <v>999</v>
      </c>
      <c r="O10" s="216" t="s">
        <v>1000</v>
      </c>
      <c r="P10" s="216" t="s">
        <v>1001</v>
      </c>
      <c r="Q10" s="216" t="s">
        <v>1064</v>
      </c>
      <c r="R10" s="216" t="s">
        <v>1119</v>
      </c>
      <c r="S10" s="216" t="s">
        <v>1120</v>
      </c>
      <c r="T10" s="216" t="s">
        <v>1121</v>
      </c>
      <c r="U10" s="216" t="s">
        <v>1144</v>
      </c>
      <c r="V10" s="216" t="s">
        <v>1066</v>
      </c>
      <c r="W10" s="216" t="s">
        <v>1067</v>
      </c>
      <c r="X10" s="216" t="s">
        <v>237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1145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1028</v>
      </c>
      <c r="D12" s="320" t="s">
        <v>345</v>
      </c>
      <c r="E12" s="239" t="s">
        <v>1029</v>
      </c>
      <c r="F12" s="239" t="s">
        <v>996</v>
      </c>
      <c r="G12" s="239" t="s">
        <v>997</v>
      </c>
      <c r="H12" s="239" t="s">
        <v>998</v>
      </c>
      <c r="I12" s="239" t="s">
        <v>348</v>
      </c>
      <c r="J12" s="239" t="s">
        <v>64</v>
      </c>
      <c r="K12" s="239" t="s">
        <v>64</v>
      </c>
      <c r="L12" s="239" t="s">
        <v>64</v>
      </c>
      <c r="M12" s="241">
        <v>867</v>
      </c>
      <c r="N12" s="239" t="s">
        <v>64</v>
      </c>
      <c r="O12" s="239" t="s">
        <v>64</v>
      </c>
      <c r="P12" s="239" t="s">
        <v>64</v>
      </c>
      <c r="Q12" s="241">
        <v>1497</v>
      </c>
      <c r="R12" s="239" t="s">
        <v>64</v>
      </c>
      <c r="S12" s="239" t="s">
        <v>64</v>
      </c>
      <c r="T12" s="239" t="s">
        <v>64</v>
      </c>
      <c r="U12" s="241">
        <v>1725</v>
      </c>
      <c r="V12" s="239" t="s">
        <v>593</v>
      </c>
      <c r="W12" s="239" t="s">
        <v>1146</v>
      </c>
      <c r="X12" s="239" t="s">
        <v>258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1147</v>
      </c>
      <c r="AF12" s="239" t="s">
        <v>1148</v>
      </c>
    </row>
    <row r="13" spans="1:32" ht="20.100000000000001" customHeight="1">
      <c r="A13" s="239">
        <v>2</v>
      </c>
      <c r="B13" s="240" t="s">
        <v>343</v>
      </c>
      <c r="C13" s="237" t="s">
        <v>1032</v>
      </c>
      <c r="D13" s="325"/>
      <c r="E13" s="239" t="s">
        <v>1033</v>
      </c>
      <c r="F13" s="239" t="s">
        <v>996</v>
      </c>
      <c r="G13" s="239" t="s">
        <v>997</v>
      </c>
      <c r="H13" s="239" t="s">
        <v>998</v>
      </c>
      <c r="I13" s="239" t="s">
        <v>640</v>
      </c>
      <c r="J13" s="239" t="s">
        <v>64</v>
      </c>
      <c r="K13" s="239" t="s">
        <v>64</v>
      </c>
      <c r="L13" s="239" t="s">
        <v>64</v>
      </c>
      <c r="M13" s="241">
        <v>1074</v>
      </c>
      <c r="N13" s="239" t="s">
        <v>64</v>
      </c>
      <c r="O13" s="239" t="s">
        <v>64</v>
      </c>
      <c r="P13" s="239" t="s">
        <v>64</v>
      </c>
      <c r="Q13" s="241">
        <v>1424</v>
      </c>
      <c r="R13" s="239" t="s">
        <v>64</v>
      </c>
      <c r="S13" s="239" t="s">
        <v>64</v>
      </c>
      <c r="T13" s="239" t="s">
        <v>64</v>
      </c>
      <c r="U13" s="241">
        <v>1375</v>
      </c>
      <c r="V13" s="239" t="s">
        <v>620</v>
      </c>
      <c r="W13" s="239" t="s">
        <v>678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1149</v>
      </c>
      <c r="AF13" s="239" t="s">
        <v>1031</v>
      </c>
    </row>
    <row r="14" spans="1:32" ht="20.100000000000001" customHeight="1">
      <c r="A14" s="239">
        <v>3</v>
      </c>
      <c r="B14" s="240" t="s">
        <v>343</v>
      </c>
      <c r="C14" s="237" t="s">
        <v>1036</v>
      </c>
      <c r="D14" s="325"/>
      <c r="E14" s="239" t="s">
        <v>1037</v>
      </c>
      <c r="F14" s="239" t="s">
        <v>996</v>
      </c>
      <c r="G14" s="239" t="s">
        <v>997</v>
      </c>
      <c r="H14" s="239" t="s">
        <v>998</v>
      </c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1304</v>
      </c>
      <c r="N14" s="239" t="s">
        <v>64</v>
      </c>
      <c r="O14" s="239" t="s">
        <v>64</v>
      </c>
      <c r="P14" s="239" t="s">
        <v>64</v>
      </c>
      <c r="Q14" s="241">
        <v>1559</v>
      </c>
      <c r="R14" s="239" t="s">
        <v>64</v>
      </c>
      <c r="S14" s="239" t="s">
        <v>64</v>
      </c>
      <c r="T14" s="239" t="s">
        <v>64</v>
      </c>
      <c r="U14" s="241">
        <v>1325</v>
      </c>
      <c r="V14" s="239" t="s">
        <v>517</v>
      </c>
      <c r="W14" s="239" t="s">
        <v>671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8" t="s">
        <v>341</v>
      </c>
      <c r="AE14" s="239" t="s">
        <v>1150</v>
      </c>
      <c r="AF14" s="239" t="s">
        <v>1035</v>
      </c>
    </row>
    <row r="15" spans="1:32" ht="20.100000000000001" customHeight="1">
      <c r="A15" s="239">
        <v>4</v>
      </c>
      <c r="B15" s="240" t="s">
        <v>343</v>
      </c>
      <c r="C15" s="237" t="s">
        <v>1040</v>
      </c>
      <c r="D15" s="325"/>
      <c r="E15" s="239" t="s">
        <v>1041</v>
      </c>
      <c r="F15" s="239" t="s">
        <v>996</v>
      </c>
      <c r="G15" s="239" t="s">
        <v>997</v>
      </c>
      <c r="H15" s="239" t="s">
        <v>998</v>
      </c>
      <c r="I15" s="239" t="s">
        <v>808</v>
      </c>
      <c r="J15" s="239" t="s">
        <v>64</v>
      </c>
      <c r="K15" s="239" t="s">
        <v>64</v>
      </c>
      <c r="L15" s="239" t="s">
        <v>64</v>
      </c>
      <c r="M15" s="241">
        <v>1014</v>
      </c>
      <c r="N15" s="239" t="s">
        <v>64</v>
      </c>
      <c r="O15" s="239" t="s">
        <v>64</v>
      </c>
      <c r="P15" s="239" t="s">
        <v>64</v>
      </c>
      <c r="Q15" s="241">
        <v>1505</v>
      </c>
      <c r="R15" s="239" t="s">
        <v>64</v>
      </c>
      <c r="S15" s="239" t="s">
        <v>64</v>
      </c>
      <c r="T15" s="239" t="s">
        <v>64</v>
      </c>
      <c r="U15" s="241">
        <v>1400</v>
      </c>
      <c r="V15" s="239" t="s">
        <v>1066</v>
      </c>
      <c r="W15" s="239" t="s">
        <v>1136</v>
      </c>
      <c r="X15" s="239" t="s">
        <v>319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8" t="s">
        <v>341</v>
      </c>
      <c r="AE15" s="239" t="s">
        <v>1151</v>
      </c>
      <c r="AF15" s="239" t="s">
        <v>1088</v>
      </c>
    </row>
    <row r="16" spans="1:32" ht="20.100000000000001" customHeight="1">
      <c r="A16" s="239">
        <v>5</v>
      </c>
      <c r="B16" s="240" t="s">
        <v>343</v>
      </c>
      <c r="C16" s="237" t="s">
        <v>1043</v>
      </c>
      <c r="D16" s="325"/>
      <c r="E16" s="239" t="s">
        <v>1044</v>
      </c>
      <c r="F16" s="239" t="s">
        <v>996</v>
      </c>
      <c r="G16" s="239" t="s">
        <v>997</v>
      </c>
      <c r="H16" s="239" t="s">
        <v>998</v>
      </c>
      <c r="I16" s="239" t="s">
        <v>634</v>
      </c>
      <c r="J16" s="239" t="s">
        <v>64</v>
      </c>
      <c r="K16" s="239" t="s">
        <v>64</v>
      </c>
      <c r="L16" s="239" t="s">
        <v>64</v>
      </c>
      <c r="M16" s="241">
        <v>1025</v>
      </c>
      <c r="N16" s="239" t="s">
        <v>64</v>
      </c>
      <c r="O16" s="239" t="s">
        <v>64</v>
      </c>
      <c r="P16" s="239" t="s">
        <v>64</v>
      </c>
      <c r="Q16" s="241">
        <v>1150</v>
      </c>
      <c r="R16" s="239" t="s">
        <v>64</v>
      </c>
      <c r="S16" s="239" t="s">
        <v>64</v>
      </c>
      <c r="T16" s="239" t="s">
        <v>64</v>
      </c>
      <c r="U16" s="241">
        <v>1600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1096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1152</v>
      </c>
      <c r="D17" s="325"/>
      <c r="E17" s="239" t="s">
        <v>1153</v>
      </c>
      <c r="F17" s="239" t="s">
        <v>996</v>
      </c>
      <c r="G17" s="239" t="s">
        <v>997</v>
      </c>
      <c r="H17" s="239" t="s">
        <v>998</v>
      </c>
      <c r="I17" s="239" t="s">
        <v>1016</v>
      </c>
      <c r="J17" s="239" t="s">
        <v>64</v>
      </c>
      <c r="K17" s="239" t="s">
        <v>64</v>
      </c>
      <c r="L17" s="239" t="s">
        <v>64</v>
      </c>
      <c r="M17" s="241">
        <v>999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1154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1101</v>
      </c>
      <c r="D19" s="325"/>
      <c r="E19" s="217" t="s">
        <v>64</v>
      </c>
      <c r="F19" s="217" t="s">
        <v>996</v>
      </c>
      <c r="G19" s="217" t="s">
        <v>997</v>
      </c>
      <c r="H19" s="217"/>
      <c r="I19" s="217"/>
      <c r="J19" s="217"/>
      <c r="K19" s="217"/>
      <c r="L19" s="217" t="s">
        <v>1118</v>
      </c>
      <c r="M19" s="217"/>
      <c r="N19" s="217"/>
      <c r="O19" s="217"/>
      <c r="P19" s="217" t="s">
        <v>1001</v>
      </c>
      <c r="Q19" s="217"/>
      <c r="R19" s="217"/>
      <c r="S19" s="217"/>
      <c r="T19" s="217" t="s">
        <v>1121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1155</v>
      </c>
      <c r="D20" s="325"/>
      <c r="E20" s="218" t="s">
        <v>64</v>
      </c>
      <c r="F20" s="218" t="s">
        <v>996</v>
      </c>
      <c r="G20" s="218" t="s">
        <v>997</v>
      </c>
      <c r="H20" s="218"/>
      <c r="I20" s="218"/>
      <c r="J20" s="218"/>
      <c r="K20" s="218"/>
      <c r="L20" s="218"/>
      <c r="M20" s="245">
        <v>1047</v>
      </c>
      <c r="N20" s="218"/>
      <c r="O20" s="218"/>
      <c r="P20" s="218"/>
      <c r="Q20" s="245">
        <v>1427</v>
      </c>
      <c r="R20" s="218"/>
      <c r="S20" s="218"/>
      <c r="T20" s="218"/>
      <c r="U20" s="245">
        <v>1485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221</v>
      </c>
      <c r="B27" s="248" t="str">
        <f>'Current Rents'!D21</f>
        <v>—</v>
      </c>
      <c r="C27" s="249">
        <v>1047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Rents'!E21</f>
        <v>964</v>
      </c>
      <c r="C28" s="249">
        <v>1427</v>
      </c>
      <c r="D28" s="250"/>
      <c r="E28" s="251">
        <f>B28-C28</f>
        <v>-463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216</v>
      </c>
      <c r="B29" s="248" t="str">
        <f>'Current Rents'!F21</f>
        <v>—</v>
      </c>
      <c r="C29" s="249">
        <v>1485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 t="str">
        <f>'Current Rents'!D21</f>
        <v>—</v>
      </c>
      <c r="D34" s="254">
        <v>1411</v>
      </c>
    </row>
    <row r="35" spans="1:6">
      <c r="A35" s="253" t="s">
        <v>215</v>
      </c>
      <c r="C35" s="254">
        <f>'Current Rents'!E21</f>
        <v>964</v>
      </c>
      <c r="D35" s="254">
        <v>1931</v>
      </c>
    </row>
    <row r="36" spans="1:6">
      <c r="A36" s="253" t="s">
        <v>216</v>
      </c>
      <c r="C36" s="254" t="str">
        <f>'Current Rents'!F21</f>
        <v>—</v>
      </c>
      <c r="D36" s="254">
        <v>2431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1156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1157</v>
      </c>
      <c r="AF1" s="325"/>
    </row>
    <row r="2" spans="1:32" ht="20.100000000000001" customHeight="1">
      <c r="A2" s="324" t="s">
        <v>1158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1159</v>
      </c>
      <c r="D6" s="325"/>
      <c r="E6" s="234" t="s">
        <v>1160</v>
      </c>
      <c r="F6" s="234" t="s">
        <v>1010</v>
      </c>
      <c r="G6" s="234" t="s">
        <v>997</v>
      </c>
      <c r="H6" s="234" t="s">
        <v>1011</v>
      </c>
      <c r="I6" s="234" t="s">
        <v>308</v>
      </c>
      <c r="J6" s="234" t="s">
        <v>1116</v>
      </c>
      <c r="K6" s="234" t="s">
        <v>1117</v>
      </c>
      <c r="L6" s="234" t="s">
        <v>1118</v>
      </c>
      <c r="M6" s="235">
        <f>'Current Rents'!D22</f>
        <v>1198</v>
      </c>
      <c r="N6" s="234" t="s">
        <v>999</v>
      </c>
      <c r="O6" s="234" t="s">
        <v>1000</v>
      </c>
      <c r="P6" s="234" t="s">
        <v>1001</v>
      </c>
      <c r="Q6" s="235">
        <f>'Current Rents'!E22</f>
        <v>1430</v>
      </c>
      <c r="R6" s="234" t="s">
        <v>1119</v>
      </c>
      <c r="S6" s="234" t="s">
        <v>1120</v>
      </c>
      <c r="T6" s="234" t="s">
        <v>1121</v>
      </c>
      <c r="U6" s="235">
        <f>'Current Rents'!F22</f>
        <v>1656</v>
      </c>
      <c r="V6" s="234" t="s">
        <v>236</v>
      </c>
      <c r="W6" s="234" t="s">
        <v>1067</v>
      </c>
      <c r="X6" s="234" t="s">
        <v>504</v>
      </c>
      <c r="Y6" s="234" t="s">
        <v>938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52</v>
      </c>
      <c r="D7" s="325"/>
      <c r="E7" s="216" t="s">
        <v>1009</v>
      </c>
      <c r="F7" s="216" t="s">
        <v>1010</v>
      </c>
      <c r="G7" s="216" t="s">
        <v>997</v>
      </c>
      <c r="H7" s="216" t="s">
        <v>1011</v>
      </c>
      <c r="I7" s="216" t="s">
        <v>1161</v>
      </c>
      <c r="J7" s="216" t="s">
        <v>1116</v>
      </c>
      <c r="K7" s="216" t="s">
        <v>1117</v>
      </c>
      <c r="L7" s="216" t="s">
        <v>1118</v>
      </c>
      <c r="M7" s="216" t="s">
        <v>326</v>
      </c>
      <c r="N7" s="216" t="s">
        <v>999</v>
      </c>
      <c r="O7" s="216" t="s">
        <v>1000</v>
      </c>
      <c r="P7" s="216" t="s">
        <v>1001</v>
      </c>
      <c r="Q7" s="216" t="s">
        <v>326</v>
      </c>
      <c r="R7" s="216" t="s">
        <v>1119</v>
      </c>
      <c r="S7" s="216" t="s">
        <v>1120</v>
      </c>
      <c r="T7" s="216" t="s">
        <v>1121</v>
      </c>
      <c r="U7" s="216" t="s">
        <v>326</v>
      </c>
      <c r="V7" s="216" t="s">
        <v>1056</v>
      </c>
      <c r="W7" s="216" t="s">
        <v>1057</v>
      </c>
      <c r="X7" s="216" t="s">
        <v>319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1162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1014</v>
      </c>
      <c r="D8" s="325"/>
      <c r="E8" s="216" t="s">
        <v>1015</v>
      </c>
      <c r="F8" s="216" t="s">
        <v>996</v>
      </c>
      <c r="G8" s="216" t="s">
        <v>997</v>
      </c>
      <c r="H8" s="216" t="s">
        <v>998</v>
      </c>
      <c r="I8" s="216" t="s">
        <v>1063</v>
      </c>
      <c r="J8" s="216" t="s">
        <v>1116</v>
      </c>
      <c r="K8" s="216" t="s">
        <v>1117</v>
      </c>
      <c r="L8" s="216" t="s">
        <v>1118</v>
      </c>
      <c r="M8" s="216" t="s">
        <v>1143</v>
      </c>
      <c r="N8" s="216" t="s">
        <v>999</v>
      </c>
      <c r="O8" s="216" t="s">
        <v>1000</v>
      </c>
      <c r="P8" s="216" t="s">
        <v>1001</v>
      </c>
      <c r="Q8" s="216" t="s">
        <v>1064</v>
      </c>
      <c r="R8" s="216" t="s">
        <v>1119</v>
      </c>
      <c r="S8" s="216" t="s">
        <v>1120</v>
      </c>
      <c r="T8" s="216" t="s">
        <v>1121</v>
      </c>
      <c r="U8" s="216" t="s">
        <v>1144</v>
      </c>
      <c r="V8" s="216" t="s">
        <v>1066</v>
      </c>
      <c r="W8" s="216" t="s">
        <v>1067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1163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47</v>
      </c>
      <c r="D9" s="325"/>
      <c r="E9" s="216" t="s">
        <v>1006</v>
      </c>
      <c r="F9" s="216" t="s">
        <v>996</v>
      </c>
      <c r="G9" s="216" t="s">
        <v>997</v>
      </c>
      <c r="H9" s="216" t="s">
        <v>998</v>
      </c>
      <c r="I9" s="216" t="s">
        <v>1058</v>
      </c>
      <c r="J9" s="216" t="s">
        <v>1116</v>
      </c>
      <c r="K9" s="216" t="s">
        <v>1117</v>
      </c>
      <c r="L9" s="216" t="s">
        <v>1118</v>
      </c>
      <c r="M9" s="216" t="s">
        <v>326</v>
      </c>
      <c r="N9" s="216" t="s">
        <v>999</v>
      </c>
      <c r="O9" s="216" t="s">
        <v>1000</v>
      </c>
      <c r="P9" s="216" t="s">
        <v>1001</v>
      </c>
      <c r="Q9" s="216" t="s">
        <v>326</v>
      </c>
      <c r="R9" s="216" t="s">
        <v>1119</v>
      </c>
      <c r="S9" s="216" t="s">
        <v>1120</v>
      </c>
      <c r="T9" s="216" t="s">
        <v>1121</v>
      </c>
      <c r="U9" s="216" t="s">
        <v>326</v>
      </c>
      <c r="V9" s="216" t="s">
        <v>1059</v>
      </c>
      <c r="W9" s="216" t="s">
        <v>1057</v>
      </c>
      <c r="X9" s="216" t="s">
        <v>319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1164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1165</v>
      </c>
      <c r="D10" s="325"/>
      <c r="E10" s="216" t="s">
        <v>1166</v>
      </c>
      <c r="F10" s="216" t="s">
        <v>1071</v>
      </c>
      <c r="G10" s="216" t="s">
        <v>997</v>
      </c>
      <c r="H10" s="216" t="s">
        <v>1167</v>
      </c>
      <c r="I10" s="216" t="s">
        <v>1168</v>
      </c>
      <c r="J10" s="216" t="s">
        <v>1116</v>
      </c>
      <c r="K10" s="216" t="s">
        <v>1117</v>
      </c>
      <c r="L10" s="216" t="s">
        <v>1118</v>
      </c>
      <c r="M10" s="216" t="s">
        <v>326</v>
      </c>
      <c r="N10" s="216" t="s">
        <v>999</v>
      </c>
      <c r="O10" s="216" t="s">
        <v>1000</v>
      </c>
      <c r="P10" s="216" t="s">
        <v>1001</v>
      </c>
      <c r="Q10" s="216" t="s">
        <v>326</v>
      </c>
      <c r="R10" s="216" t="s">
        <v>1119</v>
      </c>
      <c r="S10" s="216" t="s">
        <v>1120</v>
      </c>
      <c r="T10" s="216" t="s">
        <v>1121</v>
      </c>
      <c r="U10" s="216" t="s">
        <v>326</v>
      </c>
      <c r="V10" s="216" t="s">
        <v>1169</v>
      </c>
      <c r="W10" s="216" t="s">
        <v>1067</v>
      </c>
      <c r="X10" s="216" t="s">
        <v>504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8" t="s">
        <v>341</v>
      </c>
      <c r="AE10" s="216" t="s">
        <v>1170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1171</v>
      </c>
      <c r="D12" s="320" t="s">
        <v>345</v>
      </c>
      <c r="E12" s="239" t="s">
        <v>1172</v>
      </c>
      <c r="F12" s="239" t="s">
        <v>1010</v>
      </c>
      <c r="G12" s="239" t="s">
        <v>997</v>
      </c>
      <c r="H12" s="239" t="s">
        <v>1011</v>
      </c>
      <c r="I12" s="239" t="s">
        <v>922</v>
      </c>
      <c r="J12" s="239" t="s">
        <v>64</v>
      </c>
      <c r="K12" s="239" t="s">
        <v>64</v>
      </c>
      <c r="L12" s="239" t="s">
        <v>64</v>
      </c>
      <c r="M12" s="241">
        <v>1254</v>
      </c>
      <c r="N12" s="239" t="s">
        <v>64</v>
      </c>
      <c r="O12" s="239" t="s">
        <v>64</v>
      </c>
      <c r="P12" s="239" t="s">
        <v>64</v>
      </c>
      <c r="Q12" s="241">
        <v>1998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1067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1173</v>
      </c>
      <c r="AF12" s="239" t="s">
        <v>1174</v>
      </c>
    </row>
    <row r="13" spans="1:32" ht="20.100000000000001" customHeight="1">
      <c r="A13" s="239">
        <v>2</v>
      </c>
      <c r="B13" s="240" t="s">
        <v>343</v>
      </c>
      <c r="C13" s="237" t="s">
        <v>1175</v>
      </c>
      <c r="D13" s="325"/>
      <c r="E13" s="239" t="s">
        <v>1176</v>
      </c>
      <c r="F13" s="239" t="s">
        <v>1010</v>
      </c>
      <c r="G13" s="239" t="s">
        <v>997</v>
      </c>
      <c r="H13" s="239" t="s">
        <v>1011</v>
      </c>
      <c r="I13" s="239" t="s">
        <v>815</v>
      </c>
      <c r="J13" s="239" t="s">
        <v>64</v>
      </c>
      <c r="K13" s="239" t="s">
        <v>64</v>
      </c>
      <c r="L13" s="239" t="s">
        <v>64</v>
      </c>
      <c r="M13" s="241">
        <v>1447</v>
      </c>
      <c r="N13" s="239" t="s">
        <v>64</v>
      </c>
      <c r="O13" s="239" t="s">
        <v>64</v>
      </c>
      <c r="P13" s="239" t="s">
        <v>64</v>
      </c>
      <c r="Q13" s="241">
        <v>1970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1066</v>
      </c>
      <c r="W13" s="239" t="s">
        <v>1057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1177</v>
      </c>
      <c r="AF13" s="239" t="s">
        <v>1084</v>
      </c>
    </row>
    <row r="14" spans="1:32" ht="20.100000000000001" customHeight="1">
      <c r="A14" s="239">
        <v>3</v>
      </c>
      <c r="B14" s="240" t="s">
        <v>343</v>
      </c>
      <c r="C14" s="237" t="s">
        <v>1076</v>
      </c>
      <c r="D14" s="325"/>
      <c r="E14" s="239" t="s">
        <v>1077</v>
      </c>
      <c r="F14" s="239" t="s">
        <v>1010</v>
      </c>
      <c r="G14" s="239" t="s">
        <v>997</v>
      </c>
      <c r="H14" s="239" t="s">
        <v>1011</v>
      </c>
      <c r="I14" s="239" t="s">
        <v>808</v>
      </c>
      <c r="J14" s="239" t="s">
        <v>64</v>
      </c>
      <c r="K14" s="239" t="s">
        <v>64</v>
      </c>
      <c r="L14" s="239" t="s">
        <v>64</v>
      </c>
      <c r="M14" s="241">
        <v>1136</v>
      </c>
      <c r="N14" s="239" t="s">
        <v>64</v>
      </c>
      <c r="O14" s="239" t="s">
        <v>64</v>
      </c>
      <c r="P14" s="239" t="s">
        <v>64</v>
      </c>
      <c r="Q14" s="241">
        <v>1247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517</v>
      </c>
      <c r="W14" s="239" t="s">
        <v>678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1178</v>
      </c>
      <c r="AF14" s="239" t="s">
        <v>1088</v>
      </c>
    </row>
    <row r="15" spans="1:32" ht="20.100000000000001" customHeight="1">
      <c r="A15" s="239">
        <v>4</v>
      </c>
      <c r="B15" s="240" t="s">
        <v>343</v>
      </c>
      <c r="C15" s="237" t="s">
        <v>1179</v>
      </c>
      <c r="D15" s="325"/>
      <c r="E15" s="239" t="s">
        <v>1180</v>
      </c>
      <c r="F15" s="239" t="s">
        <v>1010</v>
      </c>
      <c r="G15" s="239" t="s">
        <v>997</v>
      </c>
      <c r="H15" s="239" t="s">
        <v>1011</v>
      </c>
      <c r="I15" s="239" t="s">
        <v>541</v>
      </c>
      <c r="J15" s="239" t="s">
        <v>64</v>
      </c>
      <c r="K15" s="239" t="s">
        <v>64</v>
      </c>
      <c r="L15" s="239" t="s">
        <v>64</v>
      </c>
      <c r="M15" s="241">
        <v>1215</v>
      </c>
      <c r="N15" s="239" t="s">
        <v>64</v>
      </c>
      <c r="O15" s="239" t="s">
        <v>64</v>
      </c>
      <c r="P15" s="239" t="s">
        <v>64</v>
      </c>
      <c r="Q15" s="241">
        <v>2105</v>
      </c>
      <c r="R15" s="239" t="s">
        <v>64</v>
      </c>
      <c r="S15" s="239" t="s">
        <v>64</v>
      </c>
      <c r="T15" s="239" t="s">
        <v>64</v>
      </c>
      <c r="U15" s="241">
        <v>1475</v>
      </c>
      <c r="V15" s="239" t="s">
        <v>511</v>
      </c>
      <c r="W15" s="239" t="s">
        <v>1057</v>
      </c>
      <c r="X15" s="239" t="s">
        <v>319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1181</v>
      </c>
      <c r="AF15" s="239" t="s">
        <v>1088</v>
      </c>
    </row>
    <row r="16" spans="1:32" ht="20.100000000000001" customHeight="1">
      <c r="A16" s="239">
        <v>5</v>
      </c>
      <c r="B16" s="240" t="s">
        <v>343</v>
      </c>
      <c r="C16" s="237" t="s">
        <v>1081</v>
      </c>
      <c r="D16" s="325"/>
      <c r="E16" s="239" t="s">
        <v>1082</v>
      </c>
      <c r="F16" s="239" t="s">
        <v>1010</v>
      </c>
      <c r="G16" s="239" t="s">
        <v>997</v>
      </c>
      <c r="H16" s="239" t="s">
        <v>1011</v>
      </c>
      <c r="I16" s="239" t="s">
        <v>366</v>
      </c>
      <c r="J16" s="239" t="s">
        <v>64</v>
      </c>
      <c r="K16" s="239" t="s">
        <v>64</v>
      </c>
      <c r="L16" s="239" t="s">
        <v>64</v>
      </c>
      <c r="M16" s="241">
        <v>1199</v>
      </c>
      <c r="N16" s="239" t="s">
        <v>64</v>
      </c>
      <c r="O16" s="239" t="s">
        <v>64</v>
      </c>
      <c r="P16" s="239" t="s">
        <v>64</v>
      </c>
      <c r="Q16" s="241">
        <v>1525</v>
      </c>
      <c r="R16" s="239" t="s">
        <v>64</v>
      </c>
      <c r="S16" s="239" t="s">
        <v>64</v>
      </c>
      <c r="T16" s="239" t="s">
        <v>64</v>
      </c>
      <c r="U16" s="241">
        <v>2250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1096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1182</v>
      </c>
      <c r="D17" s="325"/>
      <c r="E17" s="239" t="s">
        <v>1183</v>
      </c>
      <c r="F17" s="239" t="s">
        <v>1010</v>
      </c>
      <c r="G17" s="239" t="s">
        <v>997</v>
      </c>
      <c r="H17" s="239" t="s">
        <v>1011</v>
      </c>
      <c r="I17" s="239" t="s">
        <v>348</v>
      </c>
      <c r="J17" s="239" t="s">
        <v>64</v>
      </c>
      <c r="K17" s="239" t="s">
        <v>64</v>
      </c>
      <c r="L17" s="239" t="s">
        <v>64</v>
      </c>
      <c r="M17" s="241">
        <v>1285</v>
      </c>
      <c r="N17" s="239" t="s">
        <v>64</v>
      </c>
      <c r="O17" s="239" t="s">
        <v>64</v>
      </c>
      <c r="P17" s="239" t="s">
        <v>64</v>
      </c>
      <c r="Q17" s="241">
        <v>1659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1099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1101</v>
      </c>
      <c r="D19" s="325"/>
      <c r="E19" s="217" t="s">
        <v>64</v>
      </c>
      <c r="F19" s="217" t="s">
        <v>1010</v>
      </c>
      <c r="G19" s="217" t="s">
        <v>997</v>
      </c>
      <c r="H19" s="217"/>
      <c r="I19" s="217"/>
      <c r="J19" s="217"/>
      <c r="K19" s="217"/>
      <c r="L19" s="217" t="s">
        <v>1118</v>
      </c>
      <c r="M19" s="217"/>
      <c r="N19" s="217"/>
      <c r="O19" s="217"/>
      <c r="P19" s="217" t="s">
        <v>1001</v>
      </c>
      <c r="Q19" s="217"/>
      <c r="R19" s="217"/>
      <c r="S19" s="217"/>
      <c r="T19" s="217" t="s">
        <v>1121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1102</v>
      </c>
      <c r="D20" s="325"/>
      <c r="E20" s="218" t="s">
        <v>64</v>
      </c>
      <c r="F20" s="218" t="s">
        <v>1010</v>
      </c>
      <c r="G20" s="218" t="s">
        <v>997</v>
      </c>
      <c r="H20" s="218"/>
      <c r="I20" s="218"/>
      <c r="J20" s="218"/>
      <c r="K20" s="218"/>
      <c r="L20" s="218"/>
      <c r="M20" s="245">
        <v>1256</v>
      </c>
      <c r="N20" s="218"/>
      <c r="O20" s="218"/>
      <c r="P20" s="218"/>
      <c r="Q20" s="245">
        <v>1751</v>
      </c>
      <c r="R20" s="218"/>
      <c r="S20" s="218"/>
      <c r="T20" s="218"/>
      <c r="U20" s="245">
        <v>1610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221</v>
      </c>
      <c r="B27" s="248">
        <f>'Current Rents'!D22</f>
        <v>1198</v>
      </c>
      <c r="C27" s="249">
        <v>1256</v>
      </c>
      <c r="D27" s="250"/>
      <c r="E27" s="251">
        <f>B27-C27</f>
        <v>-58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Rents'!E22</f>
        <v>1430</v>
      </c>
      <c r="C28" s="249">
        <v>1751</v>
      </c>
      <c r="D28" s="250"/>
      <c r="E28" s="251">
        <f>B28-C28</f>
        <v>-321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216</v>
      </c>
      <c r="B29" s="248">
        <f>'Current Rents'!F22</f>
        <v>1656</v>
      </c>
      <c r="C29" s="249">
        <v>1610</v>
      </c>
      <c r="D29" s="250"/>
      <c r="E29" s="251">
        <f>B29-C29</f>
        <v>46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>
        <f>'Current Rents'!D22</f>
        <v>1198</v>
      </c>
      <c r="D34" s="254">
        <v>1411</v>
      </c>
    </row>
    <row r="35" spans="1:6">
      <c r="A35" s="253" t="s">
        <v>215</v>
      </c>
      <c r="C35" s="254">
        <f>'Current Rents'!E22</f>
        <v>1430</v>
      </c>
      <c r="D35" s="254">
        <v>1931</v>
      </c>
    </row>
    <row r="36" spans="1:6">
      <c r="A36" s="253" t="s">
        <v>216</v>
      </c>
      <c r="C36" s="254">
        <f>'Current Rents'!F22</f>
        <v>1656</v>
      </c>
      <c r="D36" s="254">
        <v>2431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1184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1185</v>
      </c>
      <c r="AB1" s="325"/>
    </row>
    <row r="2" spans="1:28" ht="20.100000000000001" customHeight="1">
      <c r="A2" s="324" t="s">
        <v>1186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1187</v>
      </c>
      <c r="D6" s="325"/>
      <c r="E6" s="234" t="s">
        <v>1188</v>
      </c>
      <c r="F6" s="234" t="s">
        <v>1188</v>
      </c>
      <c r="G6" s="234" t="s">
        <v>997</v>
      </c>
      <c r="H6" s="234" t="s">
        <v>1189</v>
      </c>
      <c r="I6" s="234" t="s">
        <v>308</v>
      </c>
      <c r="J6" s="234" t="s">
        <v>587</v>
      </c>
      <c r="K6" s="234" t="s">
        <v>588</v>
      </c>
      <c r="L6" s="234" t="s">
        <v>1190</v>
      </c>
      <c r="M6" s="235">
        <f>'Current Rents'!E23</f>
        <v>1450</v>
      </c>
      <c r="N6" s="234" t="s">
        <v>590</v>
      </c>
      <c r="O6" s="234" t="s">
        <v>591</v>
      </c>
      <c r="P6" s="234" t="s">
        <v>1191</v>
      </c>
      <c r="Q6" s="235">
        <f>'Current Rents'!F23</f>
        <v>1700</v>
      </c>
      <c r="R6" s="234" t="s">
        <v>1192</v>
      </c>
      <c r="S6" s="234" t="s">
        <v>442</v>
      </c>
      <c r="T6" s="234" t="s">
        <v>504</v>
      </c>
      <c r="U6" s="234" t="s">
        <v>315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1193</v>
      </c>
      <c r="D7" s="325"/>
      <c r="E7" s="216"/>
      <c r="F7" s="216" t="s">
        <v>1194</v>
      </c>
      <c r="G7" s="216" t="s">
        <v>997</v>
      </c>
      <c r="H7" s="216"/>
      <c r="I7" s="216" t="s">
        <v>64</v>
      </c>
      <c r="J7" s="216" t="s">
        <v>587</v>
      </c>
      <c r="K7" s="216" t="s">
        <v>588</v>
      </c>
      <c r="L7" s="216" t="s">
        <v>1190</v>
      </c>
      <c r="M7" s="216" t="s">
        <v>326</v>
      </c>
      <c r="N7" s="216" t="s">
        <v>590</v>
      </c>
      <c r="O7" s="216" t="s">
        <v>591</v>
      </c>
      <c r="P7" s="216" t="s">
        <v>1191</v>
      </c>
      <c r="Q7" s="216" t="s">
        <v>326</v>
      </c>
      <c r="R7" s="216" t="s">
        <v>690</v>
      </c>
      <c r="S7" s="216" t="s">
        <v>1195</v>
      </c>
      <c r="T7" s="216" t="s">
        <v>1196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8" t="s">
        <v>1023</v>
      </c>
      <c r="AA7" s="216" t="s">
        <v>1197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1198</v>
      </c>
      <c r="D8" s="325"/>
      <c r="E8" s="216" t="s">
        <v>1199</v>
      </c>
      <c r="F8" s="216" t="s">
        <v>1200</v>
      </c>
      <c r="G8" s="216" t="s">
        <v>997</v>
      </c>
      <c r="H8" s="216" t="s">
        <v>1201</v>
      </c>
      <c r="I8" s="216" t="s">
        <v>64</v>
      </c>
      <c r="J8" s="216" t="s">
        <v>587</v>
      </c>
      <c r="K8" s="216" t="s">
        <v>588</v>
      </c>
      <c r="L8" s="216" t="s">
        <v>1190</v>
      </c>
      <c r="M8" s="216" t="s">
        <v>326</v>
      </c>
      <c r="N8" s="216" t="s">
        <v>590</v>
      </c>
      <c r="O8" s="216" t="s">
        <v>591</v>
      </c>
      <c r="P8" s="216" t="s">
        <v>1191</v>
      </c>
      <c r="Q8" s="216" t="s">
        <v>326</v>
      </c>
      <c r="R8" s="216" t="s">
        <v>264</v>
      </c>
      <c r="S8" s="216" t="s">
        <v>1202</v>
      </c>
      <c r="T8" s="216" t="s">
        <v>810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8" t="s">
        <v>1023</v>
      </c>
      <c r="AA8" s="216" t="s">
        <v>1203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1204</v>
      </c>
      <c r="D9" s="325"/>
      <c r="E9" s="216" t="s">
        <v>1205</v>
      </c>
      <c r="F9" s="216" t="s">
        <v>1206</v>
      </c>
      <c r="G9" s="216" t="s">
        <v>997</v>
      </c>
      <c r="H9" s="216"/>
      <c r="I9" s="216" t="s">
        <v>64</v>
      </c>
      <c r="J9" s="216" t="s">
        <v>587</v>
      </c>
      <c r="K9" s="216" t="s">
        <v>588</v>
      </c>
      <c r="L9" s="216" t="s">
        <v>1190</v>
      </c>
      <c r="M9" s="216" t="s">
        <v>326</v>
      </c>
      <c r="N9" s="216" t="s">
        <v>590</v>
      </c>
      <c r="O9" s="216" t="s">
        <v>591</v>
      </c>
      <c r="P9" s="216" t="s">
        <v>1191</v>
      </c>
      <c r="Q9" s="216" t="s">
        <v>326</v>
      </c>
      <c r="R9" s="216" t="s">
        <v>319</v>
      </c>
      <c r="S9" s="216" t="s">
        <v>1202</v>
      </c>
      <c r="T9" s="216" t="s">
        <v>810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1023</v>
      </c>
      <c r="AA9" s="216" t="s">
        <v>1207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1208</v>
      </c>
      <c r="D10" s="325"/>
      <c r="E10" s="216" t="s">
        <v>1209</v>
      </c>
      <c r="F10" s="216" t="s">
        <v>1210</v>
      </c>
      <c r="G10" s="216" t="s">
        <v>997</v>
      </c>
      <c r="H10" s="216" t="s">
        <v>1211</v>
      </c>
      <c r="I10" s="216" t="s">
        <v>1212</v>
      </c>
      <c r="J10" s="216" t="s">
        <v>587</v>
      </c>
      <c r="K10" s="216" t="s">
        <v>588</v>
      </c>
      <c r="L10" s="216" t="s">
        <v>1190</v>
      </c>
      <c r="M10" s="216" t="s">
        <v>326</v>
      </c>
      <c r="N10" s="216" t="s">
        <v>590</v>
      </c>
      <c r="O10" s="216" t="s">
        <v>591</v>
      </c>
      <c r="P10" s="216" t="s">
        <v>1191</v>
      </c>
      <c r="Q10" s="216" t="s">
        <v>326</v>
      </c>
      <c r="R10" s="216" t="s">
        <v>1213</v>
      </c>
      <c r="S10" s="216" t="s">
        <v>1202</v>
      </c>
      <c r="T10" s="216" t="s">
        <v>810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16" t="s">
        <v>1214</v>
      </c>
      <c r="AA10" s="216" t="s">
        <v>1215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1216</v>
      </c>
      <c r="D12" s="320" t="s">
        <v>345</v>
      </c>
      <c r="E12" s="239" t="s">
        <v>1217</v>
      </c>
      <c r="F12" s="239" t="s">
        <v>1188</v>
      </c>
      <c r="G12" s="239" t="s">
        <v>997</v>
      </c>
      <c r="H12" s="239" t="s">
        <v>1189</v>
      </c>
      <c r="I12" s="239" t="s">
        <v>373</v>
      </c>
      <c r="J12" s="239" t="s">
        <v>64</v>
      </c>
      <c r="K12" s="239" t="s">
        <v>64</v>
      </c>
      <c r="L12" s="239" t="s">
        <v>64</v>
      </c>
      <c r="M12" s="241">
        <v>1220</v>
      </c>
      <c r="N12" s="239" t="s">
        <v>64</v>
      </c>
      <c r="O12" s="239" t="s">
        <v>64</v>
      </c>
      <c r="P12" s="239" t="s">
        <v>64</v>
      </c>
      <c r="Q12" s="241">
        <v>1600</v>
      </c>
      <c r="R12" s="239" t="s">
        <v>64</v>
      </c>
      <c r="S12" s="239" t="s">
        <v>442</v>
      </c>
      <c r="T12" s="239" t="s">
        <v>504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1218</v>
      </c>
      <c r="AB12" s="239" t="s">
        <v>1219</v>
      </c>
    </row>
    <row r="13" spans="1:28" ht="20.100000000000001" customHeight="1">
      <c r="A13" s="239">
        <v>2</v>
      </c>
      <c r="B13" s="240" t="s">
        <v>343</v>
      </c>
      <c r="C13" s="237" t="s">
        <v>1220</v>
      </c>
      <c r="D13" s="325"/>
      <c r="E13" s="239" t="s">
        <v>1221</v>
      </c>
      <c r="F13" s="239" t="s">
        <v>1188</v>
      </c>
      <c r="G13" s="239" t="s">
        <v>997</v>
      </c>
      <c r="H13" s="239" t="s">
        <v>1189</v>
      </c>
      <c r="I13" s="239" t="s">
        <v>1222</v>
      </c>
      <c r="J13" s="239" t="s">
        <v>64</v>
      </c>
      <c r="K13" s="239" t="s">
        <v>64</v>
      </c>
      <c r="L13" s="239" t="s">
        <v>64</v>
      </c>
      <c r="M13" s="241">
        <v>1205</v>
      </c>
      <c r="N13" s="239" t="s">
        <v>64</v>
      </c>
      <c r="O13" s="239" t="s">
        <v>64</v>
      </c>
      <c r="P13" s="239" t="s">
        <v>64</v>
      </c>
      <c r="Q13" s="241">
        <v>1545</v>
      </c>
      <c r="R13" s="239" t="s">
        <v>64</v>
      </c>
      <c r="S13" s="239" t="s">
        <v>432</v>
      </c>
      <c r="T13" s="239" t="s">
        <v>237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1223</v>
      </c>
      <c r="AB13" s="239" t="s">
        <v>1224</v>
      </c>
    </row>
    <row r="14" spans="1:28" ht="20.100000000000001" customHeight="1">
      <c r="A14" s="239">
        <v>3</v>
      </c>
      <c r="B14" s="240" t="s">
        <v>343</v>
      </c>
      <c r="C14" s="237" t="s">
        <v>1225</v>
      </c>
      <c r="D14" s="325"/>
      <c r="E14" s="239" t="s">
        <v>1226</v>
      </c>
      <c r="F14" s="239" t="s">
        <v>1188</v>
      </c>
      <c r="G14" s="239" t="s">
        <v>997</v>
      </c>
      <c r="H14" s="239" t="s">
        <v>1189</v>
      </c>
      <c r="I14" s="239" t="s">
        <v>541</v>
      </c>
      <c r="J14" s="239" t="s">
        <v>64</v>
      </c>
      <c r="K14" s="239" t="s">
        <v>64</v>
      </c>
      <c r="L14" s="239" t="s">
        <v>64</v>
      </c>
      <c r="M14" s="241">
        <v>1045</v>
      </c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801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1227</v>
      </c>
      <c r="AB14" s="239" t="s">
        <v>1224</v>
      </c>
    </row>
    <row r="15" spans="1:28" ht="20.100000000000001" customHeight="1">
      <c r="A15" s="239">
        <v>4</v>
      </c>
      <c r="B15" s="240" t="s">
        <v>343</v>
      </c>
      <c r="C15" s="237" t="s">
        <v>1228</v>
      </c>
      <c r="D15" s="325"/>
      <c r="E15" s="239" t="s">
        <v>1229</v>
      </c>
      <c r="F15" s="239" t="s">
        <v>1188</v>
      </c>
      <c r="G15" s="239" t="s">
        <v>997</v>
      </c>
      <c r="H15" s="239" t="s">
        <v>1189</v>
      </c>
      <c r="I15" s="239" t="s">
        <v>348</v>
      </c>
      <c r="J15" s="239" t="s">
        <v>64</v>
      </c>
      <c r="K15" s="239" t="s">
        <v>64</v>
      </c>
      <c r="L15" s="239" t="s">
        <v>64</v>
      </c>
      <c r="M15" s="241">
        <v>1395</v>
      </c>
      <c r="N15" s="239" t="s">
        <v>64</v>
      </c>
      <c r="O15" s="239" t="s">
        <v>64</v>
      </c>
      <c r="P15" s="239" t="s">
        <v>64</v>
      </c>
      <c r="Q15" s="241">
        <v>1350</v>
      </c>
      <c r="R15" s="239" t="s">
        <v>64</v>
      </c>
      <c r="S15" s="239" t="s">
        <v>801</v>
      </c>
      <c r="T15" s="239" t="s">
        <v>258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1230</v>
      </c>
      <c r="AB15" s="239" t="s">
        <v>1224</v>
      </c>
    </row>
    <row r="16" spans="1:28" ht="20.100000000000001" customHeight="1">
      <c r="A16" s="239">
        <v>5</v>
      </c>
      <c r="B16" s="240" t="s">
        <v>343</v>
      </c>
      <c r="C16" s="237" t="s">
        <v>1231</v>
      </c>
      <c r="D16" s="325"/>
      <c r="E16" s="239" t="s">
        <v>1232</v>
      </c>
      <c r="F16" s="239" t="s">
        <v>1188</v>
      </c>
      <c r="G16" s="239" t="s">
        <v>997</v>
      </c>
      <c r="H16" s="239" t="s">
        <v>1189</v>
      </c>
      <c r="I16" s="239" t="s">
        <v>971</v>
      </c>
      <c r="J16" s="239" t="s">
        <v>64</v>
      </c>
      <c r="K16" s="239" t="s">
        <v>64</v>
      </c>
      <c r="L16" s="239" t="s">
        <v>64</v>
      </c>
      <c r="M16" s="241">
        <v>1325</v>
      </c>
      <c r="N16" s="239" t="s">
        <v>64</v>
      </c>
      <c r="O16" s="239" t="s">
        <v>64</v>
      </c>
      <c r="P16" s="239" t="s">
        <v>64</v>
      </c>
      <c r="Q16" s="241">
        <v>1625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382</v>
      </c>
      <c r="AA16" s="239" t="s">
        <v>1233</v>
      </c>
      <c r="AB16" s="239" t="s">
        <v>385</v>
      </c>
    </row>
    <row r="17" spans="1:28" ht="20.100000000000001" customHeight="1">
      <c r="A17" s="239">
        <v>6</v>
      </c>
      <c r="B17" s="240" t="s">
        <v>343</v>
      </c>
      <c r="C17" s="237" t="s">
        <v>1234</v>
      </c>
      <c r="D17" s="325"/>
      <c r="E17" s="239" t="s">
        <v>1235</v>
      </c>
      <c r="F17" s="239" t="s">
        <v>1188</v>
      </c>
      <c r="G17" s="239" t="s">
        <v>997</v>
      </c>
      <c r="H17" s="239" t="s">
        <v>1189</v>
      </c>
      <c r="I17" s="239" t="s">
        <v>1236</v>
      </c>
      <c r="J17" s="239" t="s">
        <v>64</v>
      </c>
      <c r="K17" s="239" t="s">
        <v>64</v>
      </c>
      <c r="L17" s="239" t="s">
        <v>64</v>
      </c>
      <c r="M17" s="241">
        <v>1570</v>
      </c>
      <c r="N17" s="239" t="s">
        <v>64</v>
      </c>
      <c r="O17" s="239" t="s">
        <v>64</v>
      </c>
      <c r="P17" s="239" t="s">
        <v>64</v>
      </c>
      <c r="Q17" s="241">
        <v>1770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382</v>
      </c>
      <c r="AA17" s="239" t="s">
        <v>1237</v>
      </c>
      <c r="AB17" s="239" t="s">
        <v>1100</v>
      </c>
    </row>
    <row r="18" spans="1:28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382</v>
      </c>
      <c r="C19" s="323" t="s">
        <v>1238</v>
      </c>
      <c r="D19" s="325"/>
      <c r="E19" s="217" t="s">
        <v>64</v>
      </c>
      <c r="F19" s="217" t="s">
        <v>1188</v>
      </c>
      <c r="G19" s="217" t="s">
        <v>997</v>
      </c>
      <c r="H19" s="217"/>
      <c r="I19" s="217"/>
      <c r="J19" s="217"/>
      <c r="K19" s="217"/>
      <c r="L19" s="217" t="s">
        <v>1190</v>
      </c>
      <c r="M19" s="217"/>
      <c r="N19" s="217"/>
      <c r="O19" s="217"/>
      <c r="P19" s="217" t="s">
        <v>1191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382</v>
      </c>
      <c r="C20" s="315" t="s">
        <v>1239</v>
      </c>
      <c r="D20" s="325"/>
      <c r="E20" s="218" t="s">
        <v>64</v>
      </c>
      <c r="F20" s="218" t="s">
        <v>1188</v>
      </c>
      <c r="G20" s="218" t="s">
        <v>997</v>
      </c>
      <c r="H20" s="218"/>
      <c r="I20" s="218"/>
      <c r="J20" s="218"/>
      <c r="K20" s="218"/>
      <c r="L20" s="218"/>
      <c r="M20" s="245">
        <v>1293</v>
      </c>
      <c r="N20" s="218"/>
      <c r="O20" s="218"/>
      <c r="P20" s="218"/>
      <c r="Q20" s="245">
        <v>1573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20.2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>
      <c r="A25" s="344" t="s">
        <v>1104</v>
      </c>
      <c r="B25" s="325"/>
      <c r="C25" s="325"/>
      <c r="D25" s="325"/>
      <c r="E25" s="325"/>
      <c r="F25" s="325"/>
      <c r="G25" s="325"/>
      <c r="H25" s="325"/>
      <c r="I25" s="230"/>
      <c r="T25" s="230"/>
      <c r="U25" s="230"/>
      <c r="V25" s="230"/>
      <c r="W25" s="230"/>
      <c r="X25" s="230"/>
      <c r="Y25" s="230"/>
    </row>
    <row r="26" spans="1:28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215</v>
      </c>
      <c r="B27" s="248">
        <f>'Current Rents'!E23</f>
        <v>1450</v>
      </c>
      <c r="C27" s="249">
        <v>1293</v>
      </c>
      <c r="D27" s="250"/>
      <c r="E27" s="251">
        <f>B27-C27</f>
        <v>157</v>
      </c>
      <c r="F27" s="252" t="str">
        <f>IF(E27&lt;-75,"LOOK INTO INCREASING THE RENT!","")</f>
        <v/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216</v>
      </c>
      <c r="B28" s="248">
        <f>'Current Rents'!F23</f>
        <v>1700</v>
      </c>
      <c r="C28" s="249">
        <v>1573</v>
      </c>
      <c r="D28" s="250"/>
      <c r="E28" s="251">
        <f>B28-C28</f>
        <v>127</v>
      </c>
      <c r="F28" s="252" t="str">
        <f>IF(E28&lt;-75,"LOOK INTO INCREASING THE RENT!","")</f>
        <v/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215</v>
      </c>
      <c r="C33" s="254">
        <f>'Current Rents'!E23</f>
        <v>1450</v>
      </c>
      <c r="D33" s="254">
        <v>1254</v>
      </c>
    </row>
    <row r="34" spans="1:4">
      <c r="A34" s="253" t="s">
        <v>216</v>
      </c>
      <c r="C34" s="254">
        <f>'Current Rents'!F23</f>
        <v>1700</v>
      </c>
      <c r="D34" s="254">
        <v>1573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7:D7"/>
    <mergeCell ref="C10:D10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1240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1241</v>
      </c>
      <c r="AJ1" s="325"/>
    </row>
    <row r="2" spans="1:36" ht="20.100000000000001" customHeight="1">
      <c r="A2" s="324" t="s">
        <v>1242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1243</v>
      </c>
      <c r="D6" s="325"/>
      <c r="E6" s="234" t="s">
        <v>1244</v>
      </c>
      <c r="F6" s="234" t="s">
        <v>1245</v>
      </c>
      <c r="G6" s="234" t="s">
        <v>1246</v>
      </c>
      <c r="H6" s="234" t="s">
        <v>1247</v>
      </c>
      <c r="I6" s="234" t="s">
        <v>308</v>
      </c>
      <c r="J6" s="234" t="s">
        <v>1248</v>
      </c>
      <c r="K6" s="234" t="s">
        <v>1249</v>
      </c>
      <c r="L6" s="234" t="s">
        <v>495</v>
      </c>
      <c r="M6" s="235" t="str">
        <f>'Current Rents'!D24</f>
        <v>—</v>
      </c>
      <c r="N6" s="234" t="s">
        <v>1250</v>
      </c>
      <c r="O6" s="234" t="s">
        <v>1251</v>
      </c>
      <c r="P6" s="234" t="s">
        <v>498</v>
      </c>
      <c r="Q6" s="235">
        <f>'Current Rents'!E24</f>
        <v>1402</v>
      </c>
      <c r="R6" s="234" t="s">
        <v>1252</v>
      </c>
      <c r="S6" s="234" t="s">
        <v>1253</v>
      </c>
      <c r="T6" s="234" t="s">
        <v>501</v>
      </c>
      <c r="U6" s="235">
        <f>'Current Rents'!F24</f>
        <v>1679</v>
      </c>
      <c r="V6" s="234" t="s">
        <v>1254</v>
      </c>
      <c r="W6" s="234" t="s">
        <v>1255</v>
      </c>
      <c r="X6" s="234" t="s">
        <v>1256</v>
      </c>
      <c r="Y6" s="235" t="str">
        <f>'Current Rents'!G24</f>
        <v>—</v>
      </c>
      <c r="Z6" s="234" t="s">
        <v>64</v>
      </c>
      <c r="AA6" s="234" t="s">
        <v>1257</v>
      </c>
      <c r="AB6" s="234" t="s">
        <v>504</v>
      </c>
      <c r="AC6" s="234" t="s">
        <v>315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1258</v>
      </c>
      <c r="D7" s="325"/>
      <c r="E7" s="216" t="s">
        <v>1259</v>
      </c>
      <c r="F7" s="216" t="s">
        <v>1245</v>
      </c>
      <c r="G7" s="216" t="s">
        <v>1246</v>
      </c>
      <c r="H7" s="216" t="s">
        <v>1260</v>
      </c>
      <c r="I7" s="216" t="s">
        <v>348</v>
      </c>
      <c r="J7" s="216" t="s">
        <v>1248</v>
      </c>
      <c r="K7" s="216" t="s">
        <v>1249</v>
      </c>
      <c r="L7" s="216" t="s">
        <v>495</v>
      </c>
      <c r="M7" s="216" t="s">
        <v>326</v>
      </c>
      <c r="N7" s="216" t="s">
        <v>1250</v>
      </c>
      <c r="O7" s="216" t="s">
        <v>1251</v>
      </c>
      <c r="P7" s="216" t="s">
        <v>498</v>
      </c>
      <c r="Q7" s="216" t="s">
        <v>326</v>
      </c>
      <c r="R7" s="216" t="s">
        <v>1252</v>
      </c>
      <c r="S7" s="216" t="s">
        <v>1253</v>
      </c>
      <c r="T7" s="216" t="s">
        <v>501</v>
      </c>
      <c r="U7" s="216" t="s">
        <v>326</v>
      </c>
      <c r="V7" s="216" t="s">
        <v>1254</v>
      </c>
      <c r="W7" s="216" t="s">
        <v>1255</v>
      </c>
      <c r="X7" s="216" t="s">
        <v>1256</v>
      </c>
      <c r="Y7" s="216" t="s">
        <v>326</v>
      </c>
      <c r="Z7" s="216" t="s">
        <v>236</v>
      </c>
      <c r="AA7" s="216" t="s">
        <v>425</v>
      </c>
      <c r="AB7" s="216" t="s">
        <v>319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1261</v>
      </c>
      <c r="AJ7" s="216" t="s">
        <v>329</v>
      </c>
    </row>
    <row r="8" spans="1:36" ht="20.100000000000001" customHeight="1">
      <c r="A8" s="216">
        <v>2</v>
      </c>
      <c r="B8" s="236" t="s">
        <v>320</v>
      </c>
      <c r="C8" s="317" t="s">
        <v>1262</v>
      </c>
      <c r="D8" s="325"/>
      <c r="E8" s="216" t="s">
        <v>1263</v>
      </c>
      <c r="F8" s="216" t="s">
        <v>1245</v>
      </c>
      <c r="G8" s="216" t="s">
        <v>1246</v>
      </c>
      <c r="H8" s="216" t="s">
        <v>1247</v>
      </c>
      <c r="I8" s="216" t="s">
        <v>567</v>
      </c>
      <c r="J8" s="216" t="s">
        <v>1248</v>
      </c>
      <c r="K8" s="216" t="s">
        <v>1249</v>
      </c>
      <c r="L8" s="216" t="s">
        <v>495</v>
      </c>
      <c r="M8" s="216" t="s">
        <v>326</v>
      </c>
      <c r="N8" s="216" t="s">
        <v>1250</v>
      </c>
      <c r="O8" s="216" t="s">
        <v>1251</v>
      </c>
      <c r="P8" s="216" t="s">
        <v>498</v>
      </c>
      <c r="Q8" s="216" t="s">
        <v>326</v>
      </c>
      <c r="R8" s="216" t="s">
        <v>1252</v>
      </c>
      <c r="S8" s="216" t="s">
        <v>1253</v>
      </c>
      <c r="T8" s="216" t="s">
        <v>501</v>
      </c>
      <c r="U8" s="216" t="s">
        <v>326</v>
      </c>
      <c r="V8" s="216" t="s">
        <v>1254</v>
      </c>
      <c r="W8" s="216" t="s">
        <v>1255</v>
      </c>
      <c r="X8" s="216" t="s">
        <v>1256</v>
      </c>
      <c r="Y8" s="216" t="s">
        <v>326</v>
      </c>
      <c r="Z8" s="216" t="s">
        <v>517</v>
      </c>
      <c r="AA8" s="216" t="s">
        <v>419</v>
      </c>
      <c r="AB8" s="216" t="s">
        <v>319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1264</v>
      </c>
      <c r="AJ8" s="216" t="s">
        <v>329</v>
      </c>
    </row>
    <row r="9" spans="1:36" ht="20.100000000000001" customHeight="1">
      <c r="A9" s="216">
        <v>3</v>
      </c>
      <c r="B9" s="236" t="s">
        <v>320</v>
      </c>
      <c r="C9" s="317" t="s">
        <v>1265</v>
      </c>
      <c r="D9" s="325"/>
      <c r="E9" s="216" t="s">
        <v>1266</v>
      </c>
      <c r="F9" s="216" t="s">
        <v>1267</v>
      </c>
      <c r="G9" s="216" t="s">
        <v>1246</v>
      </c>
      <c r="H9" s="216" t="s">
        <v>1268</v>
      </c>
      <c r="I9" s="216" t="s">
        <v>706</v>
      </c>
      <c r="J9" s="216" t="s">
        <v>1248</v>
      </c>
      <c r="K9" s="216" t="s">
        <v>1249</v>
      </c>
      <c r="L9" s="216" t="s">
        <v>495</v>
      </c>
      <c r="M9" s="216" t="s">
        <v>326</v>
      </c>
      <c r="N9" s="216" t="s">
        <v>1250</v>
      </c>
      <c r="O9" s="216" t="s">
        <v>1251</v>
      </c>
      <c r="P9" s="216" t="s">
        <v>498</v>
      </c>
      <c r="Q9" s="216" t="s">
        <v>326</v>
      </c>
      <c r="R9" s="216" t="s">
        <v>1252</v>
      </c>
      <c r="S9" s="216" t="s">
        <v>1253</v>
      </c>
      <c r="T9" s="216" t="s">
        <v>501</v>
      </c>
      <c r="U9" s="216" t="s">
        <v>326</v>
      </c>
      <c r="V9" s="216" t="s">
        <v>1254</v>
      </c>
      <c r="W9" s="216" t="s">
        <v>1255</v>
      </c>
      <c r="X9" s="216" t="s">
        <v>1256</v>
      </c>
      <c r="Y9" s="216" t="s">
        <v>326</v>
      </c>
      <c r="Z9" s="216" t="s">
        <v>531</v>
      </c>
      <c r="AA9" s="216" t="s">
        <v>432</v>
      </c>
      <c r="AB9" s="216" t="s">
        <v>258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1269</v>
      </c>
      <c r="AJ9" s="216" t="s">
        <v>329</v>
      </c>
    </row>
    <row r="10" spans="1:36" ht="20.100000000000001" customHeight="1">
      <c r="A10" s="216">
        <v>4</v>
      </c>
      <c r="B10" s="236" t="s">
        <v>320</v>
      </c>
      <c r="C10" s="317" t="s">
        <v>1270</v>
      </c>
      <c r="D10" s="325"/>
      <c r="E10" s="216" t="s">
        <v>1271</v>
      </c>
      <c r="F10" s="216" t="s">
        <v>1245</v>
      </c>
      <c r="G10" s="216" t="s">
        <v>1246</v>
      </c>
      <c r="H10" s="216" t="s">
        <v>1247</v>
      </c>
      <c r="I10" s="216" t="s">
        <v>541</v>
      </c>
      <c r="J10" s="216" t="s">
        <v>1248</v>
      </c>
      <c r="K10" s="216" t="s">
        <v>1249</v>
      </c>
      <c r="L10" s="216" t="s">
        <v>495</v>
      </c>
      <c r="M10" s="216" t="s">
        <v>326</v>
      </c>
      <c r="N10" s="216" t="s">
        <v>1250</v>
      </c>
      <c r="O10" s="216" t="s">
        <v>1251</v>
      </c>
      <c r="P10" s="216" t="s">
        <v>498</v>
      </c>
      <c r="Q10" s="216" t="s">
        <v>326</v>
      </c>
      <c r="R10" s="216" t="s">
        <v>1252</v>
      </c>
      <c r="S10" s="216" t="s">
        <v>1253</v>
      </c>
      <c r="T10" s="216" t="s">
        <v>501</v>
      </c>
      <c r="U10" s="216" t="s">
        <v>326</v>
      </c>
      <c r="V10" s="216" t="s">
        <v>1254</v>
      </c>
      <c r="W10" s="216" t="s">
        <v>1255</v>
      </c>
      <c r="X10" s="216" t="s">
        <v>1256</v>
      </c>
      <c r="Y10" s="216" t="s">
        <v>326</v>
      </c>
      <c r="Z10" s="216" t="s">
        <v>511</v>
      </c>
      <c r="AA10" s="216" t="s">
        <v>1257</v>
      </c>
      <c r="AB10" s="216" t="s">
        <v>504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1272</v>
      </c>
      <c r="AJ10" s="216" t="s">
        <v>1273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1274</v>
      </c>
      <c r="D12" s="320" t="s">
        <v>345</v>
      </c>
      <c r="E12" s="239" t="s">
        <v>1275</v>
      </c>
      <c r="F12" s="239" t="s">
        <v>1245</v>
      </c>
      <c r="G12" s="239" t="s">
        <v>1246</v>
      </c>
      <c r="H12" s="239" t="s">
        <v>1247</v>
      </c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1704</v>
      </c>
      <c r="N12" s="239" t="s">
        <v>64</v>
      </c>
      <c r="O12" s="239" t="s">
        <v>64</v>
      </c>
      <c r="P12" s="239" t="s">
        <v>64</v>
      </c>
      <c r="Q12" s="241">
        <v>2044</v>
      </c>
      <c r="R12" s="239" t="s">
        <v>64</v>
      </c>
      <c r="S12" s="239" t="s">
        <v>64</v>
      </c>
      <c r="T12" s="239" t="s">
        <v>64</v>
      </c>
      <c r="U12" s="241">
        <v>2363</v>
      </c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236</v>
      </c>
      <c r="AA12" s="239" t="s">
        <v>432</v>
      </c>
      <c r="AB12" s="239" t="s">
        <v>258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1276</v>
      </c>
      <c r="AJ12" s="239" t="s">
        <v>1277</v>
      </c>
    </row>
    <row r="13" spans="1:36" ht="20.100000000000001" customHeight="1">
      <c r="A13" s="239">
        <v>2</v>
      </c>
      <c r="B13" s="240" t="s">
        <v>343</v>
      </c>
      <c r="C13" s="237" t="s">
        <v>1278</v>
      </c>
      <c r="D13" s="325"/>
      <c r="E13" s="239" t="s">
        <v>1278</v>
      </c>
      <c r="F13" s="239" t="s">
        <v>1245</v>
      </c>
      <c r="G13" s="239" t="s">
        <v>1246</v>
      </c>
      <c r="H13" s="239" t="s">
        <v>1260</v>
      </c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1650</v>
      </c>
      <c r="N13" s="239" t="s">
        <v>64</v>
      </c>
      <c r="O13" s="239" t="s">
        <v>64</v>
      </c>
      <c r="P13" s="239" t="s">
        <v>64</v>
      </c>
      <c r="Q13" s="241">
        <v>1850</v>
      </c>
      <c r="R13" s="239" t="s">
        <v>64</v>
      </c>
      <c r="S13" s="239" t="s">
        <v>64</v>
      </c>
      <c r="T13" s="239" t="s">
        <v>64</v>
      </c>
      <c r="U13" s="241">
        <v>2250</v>
      </c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224</v>
      </c>
      <c r="AA13" s="239" t="s">
        <v>449</v>
      </c>
      <c r="AB13" s="239" t="s">
        <v>237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1279</v>
      </c>
      <c r="AJ13" s="239" t="s">
        <v>1280</v>
      </c>
    </row>
    <row r="14" spans="1:36" ht="20.100000000000001" customHeight="1">
      <c r="A14" s="239">
        <v>3</v>
      </c>
      <c r="B14" s="240" t="s">
        <v>343</v>
      </c>
      <c r="C14" s="237" t="s">
        <v>1281</v>
      </c>
      <c r="D14" s="325"/>
      <c r="E14" s="239" t="s">
        <v>1282</v>
      </c>
      <c r="F14" s="239" t="s">
        <v>1283</v>
      </c>
      <c r="G14" s="239" t="s">
        <v>1246</v>
      </c>
      <c r="H14" s="239" t="s">
        <v>1284</v>
      </c>
      <c r="I14" s="239" t="s">
        <v>373</v>
      </c>
      <c r="J14" s="239" t="s">
        <v>64</v>
      </c>
      <c r="K14" s="239" t="s">
        <v>64</v>
      </c>
      <c r="L14" s="239" t="s">
        <v>64</v>
      </c>
      <c r="M14" s="241">
        <v>1795</v>
      </c>
      <c r="N14" s="239" t="s">
        <v>64</v>
      </c>
      <c r="O14" s="239" t="s">
        <v>64</v>
      </c>
      <c r="P14" s="239" t="s">
        <v>64</v>
      </c>
      <c r="Q14" s="241">
        <v>2095</v>
      </c>
      <c r="R14" s="239" t="s">
        <v>64</v>
      </c>
      <c r="S14" s="239" t="s">
        <v>64</v>
      </c>
      <c r="T14" s="239" t="s">
        <v>64</v>
      </c>
      <c r="U14" s="241">
        <v>2500</v>
      </c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517</v>
      </c>
      <c r="AA14" s="239" t="s">
        <v>419</v>
      </c>
      <c r="AB14" s="239" t="s">
        <v>319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1285</v>
      </c>
      <c r="AJ14" s="239" t="s">
        <v>1286</v>
      </c>
    </row>
    <row r="15" spans="1:36" ht="20.100000000000001" customHeight="1">
      <c r="A15" s="239">
        <v>4</v>
      </c>
      <c r="B15" s="240" t="s">
        <v>343</v>
      </c>
      <c r="C15" s="237" t="s">
        <v>1287</v>
      </c>
      <c r="D15" s="325"/>
      <c r="E15" s="239" t="s">
        <v>1288</v>
      </c>
      <c r="F15" s="239" t="s">
        <v>1283</v>
      </c>
      <c r="G15" s="239" t="s">
        <v>1246</v>
      </c>
      <c r="H15" s="239" t="s">
        <v>1284</v>
      </c>
      <c r="I15" s="239" t="s">
        <v>1289</v>
      </c>
      <c r="J15" s="239" t="s">
        <v>64</v>
      </c>
      <c r="K15" s="239" t="s">
        <v>64</v>
      </c>
      <c r="L15" s="239" t="s">
        <v>64</v>
      </c>
      <c r="M15" s="242" t="s">
        <v>326</v>
      </c>
      <c r="N15" s="239" t="s">
        <v>64</v>
      </c>
      <c r="O15" s="239" t="s">
        <v>64</v>
      </c>
      <c r="P15" s="239" t="s">
        <v>64</v>
      </c>
      <c r="Q15" s="241">
        <v>2295</v>
      </c>
      <c r="R15" s="239" t="s">
        <v>64</v>
      </c>
      <c r="S15" s="239" t="s">
        <v>64</v>
      </c>
      <c r="T15" s="239" t="s">
        <v>64</v>
      </c>
      <c r="U15" s="241">
        <v>2600</v>
      </c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562</v>
      </c>
      <c r="AA15" s="239" t="s">
        <v>414</v>
      </c>
      <c r="AB15" s="239" t="s">
        <v>258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1290</v>
      </c>
      <c r="AJ15" s="239" t="s">
        <v>1291</v>
      </c>
    </row>
    <row r="16" spans="1:36" ht="20.100000000000001" customHeight="1">
      <c r="A16" s="239">
        <v>5</v>
      </c>
      <c r="B16" s="240" t="s">
        <v>343</v>
      </c>
      <c r="C16" s="237" t="s">
        <v>1292</v>
      </c>
      <c r="D16" s="325"/>
      <c r="E16" s="239" t="s">
        <v>1293</v>
      </c>
      <c r="F16" s="239" t="s">
        <v>1294</v>
      </c>
      <c r="G16" s="239" t="s">
        <v>1246</v>
      </c>
      <c r="H16" s="239" t="s">
        <v>1295</v>
      </c>
      <c r="I16" s="239" t="s">
        <v>1296</v>
      </c>
      <c r="J16" s="239" t="s">
        <v>64</v>
      </c>
      <c r="K16" s="239" t="s">
        <v>64</v>
      </c>
      <c r="L16" s="239" t="s">
        <v>64</v>
      </c>
      <c r="M16" s="241">
        <v>2113</v>
      </c>
      <c r="N16" s="239" t="s">
        <v>64</v>
      </c>
      <c r="O16" s="239" t="s">
        <v>64</v>
      </c>
      <c r="P16" s="239" t="s">
        <v>64</v>
      </c>
      <c r="Q16" s="241">
        <v>2403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42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64</v>
      </c>
      <c r="AE16" s="239" t="s">
        <v>64</v>
      </c>
      <c r="AF16" s="239" t="s">
        <v>64</v>
      </c>
      <c r="AG16" s="239" t="s">
        <v>64</v>
      </c>
      <c r="AH16" s="239" t="s">
        <v>382</v>
      </c>
      <c r="AI16" s="239" t="s">
        <v>1297</v>
      </c>
      <c r="AJ16" s="239" t="s">
        <v>385</v>
      </c>
    </row>
    <row r="17" spans="1:36" ht="20.100000000000001" customHeight="1">
      <c r="A17" s="239">
        <v>6</v>
      </c>
      <c r="B17" s="240" t="s">
        <v>343</v>
      </c>
      <c r="C17" s="237" t="s">
        <v>1298</v>
      </c>
      <c r="D17" s="325"/>
      <c r="E17" s="239" t="s">
        <v>1299</v>
      </c>
      <c r="F17" s="239" t="s">
        <v>1245</v>
      </c>
      <c r="G17" s="239" t="s">
        <v>1246</v>
      </c>
      <c r="H17" s="239" t="s">
        <v>1300</v>
      </c>
      <c r="I17" s="239" t="s">
        <v>640</v>
      </c>
      <c r="J17" s="239" t="s">
        <v>64</v>
      </c>
      <c r="K17" s="239" t="s">
        <v>64</v>
      </c>
      <c r="L17" s="239" t="s">
        <v>64</v>
      </c>
      <c r="M17" s="241">
        <v>1695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42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64</v>
      </c>
      <c r="AE17" s="239" t="s">
        <v>64</v>
      </c>
      <c r="AF17" s="239" t="s">
        <v>64</v>
      </c>
      <c r="AG17" s="239" t="s">
        <v>64</v>
      </c>
      <c r="AH17" s="239" t="s">
        <v>382</v>
      </c>
      <c r="AI17" s="239" t="s">
        <v>1301</v>
      </c>
      <c r="AJ17" s="239" t="s">
        <v>1100</v>
      </c>
    </row>
    <row r="18" spans="1:36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 t="s">
        <v>64</v>
      </c>
      <c r="W18" s="239" t="s">
        <v>64</v>
      </c>
      <c r="X18" s="239" t="s">
        <v>64</v>
      </c>
      <c r="Y18" s="242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</row>
    <row r="19" spans="1:36" ht="20.100000000000001" customHeight="1">
      <c r="A19" s="217" t="s">
        <v>140</v>
      </c>
      <c r="B19" s="243" t="s">
        <v>382</v>
      </c>
      <c r="C19" s="323" t="s">
        <v>1302</v>
      </c>
      <c r="D19" s="325"/>
      <c r="E19" s="217" t="s">
        <v>64</v>
      </c>
      <c r="F19" s="217" t="s">
        <v>1245</v>
      </c>
      <c r="G19" s="217" t="s">
        <v>1246</v>
      </c>
      <c r="H19" s="217"/>
      <c r="I19" s="217"/>
      <c r="J19" s="217"/>
      <c r="K19" s="217"/>
      <c r="L19" s="217" t="s">
        <v>495</v>
      </c>
      <c r="M19" s="217"/>
      <c r="N19" s="217"/>
      <c r="O19" s="217"/>
      <c r="P19" s="217" t="s">
        <v>498</v>
      </c>
      <c r="Q19" s="217"/>
      <c r="R19" s="217"/>
      <c r="S19" s="217"/>
      <c r="T19" s="217" t="s">
        <v>501</v>
      </c>
      <c r="U19" s="217"/>
      <c r="V19" s="217"/>
      <c r="W19" s="217"/>
      <c r="X19" s="217" t="s">
        <v>1256</v>
      </c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</row>
    <row r="20" spans="1:36" ht="20.100000000000001" customHeight="1">
      <c r="A20" s="218" t="s">
        <v>140</v>
      </c>
      <c r="B20" s="244" t="s">
        <v>382</v>
      </c>
      <c r="C20" s="315" t="s">
        <v>1303</v>
      </c>
      <c r="D20" s="325"/>
      <c r="E20" s="218" t="s">
        <v>64</v>
      </c>
      <c r="F20" s="218" t="s">
        <v>1245</v>
      </c>
      <c r="G20" s="218" t="s">
        <v>1246</v>
      </c>
      <c r="H20" s="218"/>
      <c r="I20" s="218"/>
      <c r="J20" s="218"/>
      <c r="K20" s="218"/>
      <c r="L20" s="218"/>
      <c r="M20" s="245">
        <v>1791</v>
      </c>
      <c r="N20" s="218"/>
      <c r="O20" s="218"/>
      <c r="P20" s="218"/>
      <c r="Q20" s="245">
        <v>2137</v>
      </c>
      <c r="R20" s="218"/>
      <c r="S20" s="218"/>
      <c r="T20" s="218"/>
      <c r="U20" s="245">
        <v>2428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325"/>
      <c r="AH22" s="325"/>
      <c r="AI22" s="325"/>
      <c r="AJ22" s="325"/>
    </row>
    <row r="23" spans="1:36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221</v>
      </c>
      <c r="B27" s="248" t="str">
        <f>'Current Rents'!D24</f>
        <v>—</v>
      </c>
      <c r="C27" s="249">
        <v>1791</v>
      </c>
      <c r="D27" s="255"/>
      <c r="E27" s="251" t="e">
        <f>B27-C27</f>
        <v>#VALUE!</v>
      </c>
      <c r="F27" s="252" t="e">
        <f>IF(E27&lt;-75,"LOOK INTO INCREASING THE RENT!","")</f>
        <v>#VALUE!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215</v>
      </c>
      <c r="B28" s="248">
        <f>'Current Rents'!E24</f>
        <v>1402</v>
      </c>
      <c r="C28" s="249">
        <v>2137</v>
      </c>
      <c r="D28" s="250"/>
      <c r="E28" s="251">
        <f>B28-C28</f>
        <v>-735</v>
      </c>
      <c r="F28" s="252" t="str">
        <f>IF(E28&lt;-75,"LOOK INTO INCREASING THE RENT!","")</f>
        <v>LOOK INTO INCREASING THE RENT!</v>
      </c>
      <c r="I28" s="230"/>
      <c r="AB28" s="230"/>
      <c r="AC28" s="230"/>
      <c r="AD28" s="230"/>
      <c r="AE28" s="230"/>
      <c r="AF28" s="230"/>
      <c r="AG28" s="230"/>
    </row>
    <row r="29" spans="1:36">
      <c r="A29" s="247" t="s">
        <v>216</v>
      </c>
      <c r="B29" s="248">
        <f>'Current Rents'!F24</f>
        <v>1679</v>
      </c>
      <c r="C29" s="249">
        <v>2428</v>
      </c>
      <c r="D29" s="250"/>
      <c r="E29" s="251">
        <f>B29-C29</f>
        <v>-749</v>
      </c>
      <c r="F29" s="252" t="str">
        <f>IF(E29&lt;-75,"LOOK INTO INCREASING THE RENT!","")</f>
        <v>LOOK INTO INCREASING THE RENT!</v>
      </c>
      <c r="I29" s="230"/>
      <c r="AB29" s="230"/>
      <c r="AC29" s="230"/>
      <c r="AD29" s="230"/>
      <c r="AE29" s="230"/>
      <c r="AF29" s="230"/>
      <c r="AG29" s="230"/>
    </row>
    <row r="30" spans="1:36">
      <c r="A30" s="247" t="s">
        <v>218</v>
      </c>
      <c r="B30" s="248" t="str">
        <f>'Current Rents'!G24</f>
        <v>—</v>
      </c>
      <c r="C30" s="249" t="s">
        <v>64</v>
      </c>
      <c r="D30" s="250"/>
      <c r="E30" s="251" t="e">
        <f>B30-C30</f>
        <v>#VALUE!</v>
      </c>
      <c r="F30" s="252" t="e">
        <f>IF(E30&lt;-75,"LOOK INTO INCREASING THE RENT!","")</f>
        <v>#VALUE!</v>
      </c>
      <c r="I30" s="230"/>
      <c r="AB30" s="230"/>
      <c r="AC30" s="230"/>
      <c r="AD30" s="230"/>
      <c r="AE30" s="230"/>
      <c r="AF30" s="230"/>
      <c r="AG30" s="230"/>
    </row>
    <row r="31" spans="1:36">
      <c r="I31" s="230"/>
      <c r="AB31" s="230"/>
      <c r="AC31" s="230"/>
      <c r="AD31" s="230"/>
      <c r="AE31" s="230"/>
      <c r="AF31" s="230"/>
      <c r="AG31" s="230"/>
    </row>
    <row r="32" spans="1:36">
      <c r="I32" s="230"/>
      <c r="AB32" s="230"/>
      <c r="AC32" s="230"/>
      <c r="AD32" s="230"/>
      <c r="AE32" s="230"/>
      <c r="AF32" s="230"/>
      <c r="AG32" s="230"/>
    </row>
    <row r="33" spans="1:8">
      <c r="A33" s="345" t="s">
        <v>1105</v>
      </c>
      <c r="B33" s="325"/>
      <c r="C33" s="325"/>
      <c r="D33" s="325"/>
      <c r="E33" s="325"/>
      <c r="F33" s="325"/>
      <c r="G33" s="325"/>
      <c r="H33" s="325"/>
    </row>
    <row r="34" spans="1:8">
      <c r="A34" s="247"/>
      <c r="B34" s="247" t="s">
        <v>1106</v>
      </c>
      <c r="C34" s="247" t="s">
        <v>1107</v>
      </c>
      <c r="D34" s="247" t="s">
        <v>1108</v>
      </c>
      <c r="E34" s="247" t="s">
        <v>1109</v>
      </c>
      <c r="F34" s="247" t="s">
        <v>1110</v>
      </c>
    </row>
    <row r="35" spans="1:8">
      <c r="A35" s="253" t="s">
        <v>221</v>
      </c>
      <c r="C35" s="254" t="str">
        <f>'Current Rents'!D24</f>
        <v>—</v>
      </c>
      <c r="D35" s="254">
        <v>1736</v>
      </c>
    </row>
    <row r="36" spans="1:8">
      <c r="A36" s="253" t="s">
        <v>215</v>
      </c>
      <c r="C36" s="254">
        <f>'Current Rents'!E24</f>
        <v>1402</v>
      </c>
      <c r="D36" s="254">
        <v>2376</v>
      </c>
    </row>
    <row r="37" spans="1:8">
      <c r="A37" s="253" t="s">
        <v>216</v>
      </c>
      <c r="C37" s="254">
        <f>'Current Rents'!F24</f>
        <v>1679</v>
      </c>
      <c r="D37" s="254">
        <v>3044</v>
      </c>
    </row>
    <row r="38" spans="1:8">
      <c r="A38" s="253" t="s">
        <v>218</v>
      </c>
      <c r="C38" s="254" t="str">
        <f>'Current Rents'!G24</f>
        <v>—</v>
      </c>
      <c r="D38" s="254">
        <v>3520</v>
      </c>
    </row>
  </sheetData>
  <mergeCells count="18">
    <mergeCell ref="A2:AJ2"/>
    <mergeCell ref="A1:AH1"/>
    <mergeCell ref="D12:D18"/>
    <mergeCell ref="C9:D9"/>
    <mergeCell ref="C8:D8"/>
    <mergeCell ref="A3:AJ3"/>
    <mergeCell ref="C11:D11"/>
    <mergeCell ref="AI1:AJ1"/>
    <mergeCell ref="A4:AJ4"/>
    <mergeCell ref="C6:D6"/>
    <mergeCell ref="C7:D7"/>
    <mergeCell ref="C10:D10"/>
    <mergeCell ref="A22:AJ22"/>
    <mergeCell ref="A33:H33"/>
    <mergeCell ref="A25:H25"/>
    <mergeCell ref="A24:H24"/>
    <mergeCell ref="C19:D19"/>
    <mergeCell ref="C20:D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1304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1305</v>
      </c>
      <c r="AF1" s="325"/>
    </row>
    <row r="2" spans="1:32" ht="20.100000000000001" customHeight="1">
      <c r="A2" s="324" t="s">
        <v>1306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1307</v>
      </c>
      <c r="D6" s="325"/>
      <c r="E6" s="234" t="s">
        <v>1308</v>
      </c>
      <c r="F6" s="234" t="s">
        <v>1309</v>
      </c>
      <c r="G6" s="234" t="s">
        <v>1310</v>
      </c>
      <c r="H6" s="234" t="s">
        <v>1311</v>
      </c>
      <c r="I6" s="234" t="s">
        <v>308</v>
      </c>
      <c r="J6" s="234" t="s">
        <v>1312</v>
      </c>
      <c r="K6" s="234" t="s">
        <v>1313</v>
      </c>
      <c r="L6" s="234" t="s">
        <v>1314</v>
      </c>
      <c r="M6" s="235">
        <f>'Current Rents'!D25</f>
        <v>1221</v>
      </c>
      <c r="N6" s="234" t="s">
        <v>1313</v>
      </c>
      <c r="O6" s="234" t="s">
        <v>1315</v>
      </c>
      <c r="P6" s="234" t="s">
        <v>1190</v>
      </c>
      <c r="Q6" s="235">
        <f>'Current Rents'!E25</f>
        <v>1563</v>
      </c>
      <c r="R6" s="234" t="s">
        <v>1316</v>
      </c>
      <c r="S6" s="234" t="s">
        <v>1317</v>
      </c>
      <c r="T6" s="234" t="s">
        <v>1191</v>
      </c>
      <c r="U6" s="235">
        <f>'Current Rents'!F25</f>
        <v>1820</v>
      </c>
      <c r="V6" s="234" t="s">
        <v>1318</v>
      </c>
      <c r="W6" s="234" t="s">
        <v>503</v>
      </c>
      <c r="X6" s="234" t="s">
        <v>504</v>
      </c>
      <c r="Y6" s="234" t="s">
        <v>315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1319</v>
      </c>
      <c r="D7" s="325"/>
      <c r="E7" s="216" t="s">
        <v>1320</v>
      </c>
      <c r="F7" s="216" t="s">
        <v>1309</v>
      </c>
      <c r="G7" s="216" t="s">
        <v>1310</v>
      </c>
      <c r="H7" s="216" t="s">
        <v>1311</v>
      </c>
      <c r="I7" s="216" t="s">
        <v>436</v>
      </c>
      <c r="J7" s="216" t="s">
        <v>1312</v>
      </c>
      <c r="K7" s="216" t="s">
        <v>1313</v>
      </c>
      <c r="L7" s="216" t="s">
        <v>1314</v>
      </c>
      <c r="M7" s="216" t="s">
        <v>1321</v>
      </c>
      <c r="N7" s="216" t="s">
        <v>1313</v>
      </c>
      <c r="O7" s="216" t="s">
        <v>1315</v>
      </c>
      <c r="P7" s="216" t="s">
        <v>1190</v>
      </c>
      <c r="Q7" s="216" t="s">
        <v>1322</v>
      </c>
      <c r="R7" s="216" t="s">
        <v>1316</v>
      </c>
      <c r="S7" s="216" t="s">
        <v>1317</v>
      </c>
      <c r="T7" s="216" t="s">
        <v>1191</v>
      </c>
      <c r="U7" s="216" t="s">
        <v>326</v>
      </c>
      <c r="V7" s="216" t="s">
        <v>1323</v>
      </c>
      <c r="W7" s="216" t="s">
        <v>449</v>
      </c>
      <c r="X7" s="216" t="s">
        <v>258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1324</v>
      </c>
      <c r="AF7" s="216" t="s">
        <v>1325</v>
      </c>
    </row>
    <row r="8" spans="1:32" ht="20.100000000000001" customHeight="1">
      <c r="A8" s="216">
        <v>2</v>
      </c>
      <c r="B8" s="236" t="s">
        <v>320</v>
      </c>
      <c r="C8" s="317" t="s">
        <v>1326</v>
      </c>
      <c r="D8" s="325"/>
      <c r="E8" s="216" t="s">
        <v>1327</v>
      </c>
      <c r="F8" s="216" t="s">
        <v>1309</v>
      </c>
      <c r="G8" s="216" t="s">
        <v>1310</v>
      </c>
      <c r="H8" s="216" t="s">
        <v>1311</v>
      </c>
      <c r="I8" s="216" t="s">
        <v>348</v>
      </c>
      <c r="J8" s="216" t="s">
        <v>1312</v>
      </c>
      <c r="K8" s="216" t="s">
        <v>1313</v>
      </c>
      <c r="L8" s="216" t="s">
        <v>1314</v>
      </c>
      <c r="M8" s="216" t="s">
        <v>1328</v>
      </c>
      <c r="N8" s="216" t="s">
        <v>1313</v>
      </c>
      <c r="O8" s="216" t="s">
        <v>1315</v>
      </c>
      <c r="P8" s="216" t="s">
        <v>1190</v>
      </c>
      <c r="Q8" s="216" t="s">
        <v>1328</v>
      </c>
      <c r="R8" s="216" t="s">
        <v>1316</v>
      </c>
      <c r="S8" s="216" t="s">
        <v>1317</v>
      </c>
      <c r="T8" s="216" t="s">
        <v>1191</v>
      </c>
      <c r="U8" s="216" t="s">
        <v>1328</v>
      </c>
      <c r="V8" s="216" t="s">
        <v>1329</v>
      </c>
      <c r="W8" s="216" t="s">
        <v>503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1330</v>
      </c>
      <c r="AF8" s="216" t="s">
        <v>1325</v>
      </c>
    </row>
    <row r="9" spans="1:32" ht="20.100000000000001" customHeight="1">
      <c r="A9" s="216">
        <v>3</v>
      </c>
      <c r="B9" s="236" t="s">
        <v>320</v>
      </c>
      <c r="C9" s="317" t="s">
        <v>1331</v>
      </c>
      <c r="D9" s="325"/>
      <c r="E9" s="216" t="s">
        <v>1332</v>
      </c>
      <c r="F9" s="216" t="s">
        <v>1333</v>
      </c>
      <c r="G9" s="216" t="s">
        <v>1310</v>
      </c>
      <c r="H9" s="216" t="s">
        <v>1334</v>
      </c>
      <c r="I9" s="216" t="s">
        <v>1222</v>
      </c>
      <c r="J9" s="216" t="s">
        <v>1312</v>
      </c>
      <c r="K9" s="216" t="s">
        <v>1313</v>
      </c>
      <c r="L9" s="216" t="s">
        <v>1314</v>
      </c>
      <c r="M9" s="216" t="s">
        <v>326</v>
      </c>
      <c r="N9" s="216" t="s">
        <v>1313</v>
      </c>
      <c r="O9" s="216" t="s">
        <v>1315</v>
      </c>
      <c r="P9" s="216" t="s">
        <v>1190</v>
      </c>
      <c r="Q9" s="216" t="s">
        <v>326</v>
      </c>
      <c r="R9" s="216" t="s">
        <v>1316</v>
      </c>
      <c r="S9" s="216" t="s">
        <v>1317</v>
      </c>
      <c r="T9" s="216" t="s">
        <v>1191</v>
      </c>
      <c r="U9" s="216" t="s">
        <v>326</v>
      </c>
      <c r="V9" s="216" t="s">
        <v>1335</v>
      </c>
      <c r="W9" s="216" t="s">
        <v>419</v>
      </c>
      <c r="X9" s="216" t="s">
        <v>363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1336</v>
      </c>
      <c r="AF9" s="216" t="s">
        <v>329</v>
      </c>
    </row>
    <row r="10" spans="1:32" ht="20.100000000000001" customHeight="1">
      <c r="A10" s="216">
        <v>4</v>
      </c>
      <c r="B10" s="236" t="s">
        <v>320</v>
      </c>
      <c r="C10" s="317" t="s">
        <v>1337</v>
      </c>
      <c r="D10" s="325"/>
      <c r="E10" s="216" t="s">
        <v>1338</v>
      </c>
      <c r="F10" s="216" t="s">
        <v>1309</v>
      </c>
      <c r="G10" s="216" t="s">
        <v>1310</v>
      </c>
      <c r="H10" s="216" t="s">
        <v>1311</v>
      </c>
      <c r="I10" s="216" t="s">
        <v>373</v>
      </c>
      <c r="J10" s="216" t="s">
        <v>1312</v>
      </c>
      <c r="K10" s="216" t="s">
        <v>1313</v>
      </c>
      <c r="L10" s="216" t="s">
        <v>1314</v>
      </c>
      <c r="M10" s="216" t="s">
        <v>326</v>
      </c>
      <c r="N10" s="216" t="s">
        <v>1313</v>
      </c>
      <c r="O10" s="216" t="s">
        <v>1315</v>
      </c>
      <c r="P10" s="216" t="s">
        <v>1190</v>
      </c>
      <c r="Q10" s="216" t="s">
        <v>326</v>
      </c>
      <c r="R10" s="216" t="s">
        <v>1316</v>
      </c>
      <c r="S10" s="216" t="s">
        <v>1317</v>
      </c>
      <c r="T10" s="216" t="s">
        <v>1191</v>
      </c>
      <c r="U10" s="216" t="s">
        <v>326</v>
      </c>
      <c r="V10" s="216" t="s">
        <v>1339</v>
      </c>
      <c r="W10" s="216" t="s">
        <v>532</v>
      </c>
      <c r="X10" s="216" t="s">
        <v>319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1340</v>
      </c>
      <c r="AF10" s="216" t="s">
        <v>1341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1342</v>
      </c>
      <c r="D12" s="320" t="s">
        <v>345</v>
      </c>
      <c r="E12" s="239" t="s">
        <v>1343</v>
      </c>
      <c r="F12" s="239" t="s">
        <v>1309</v>
      </c>
      <c r="G12" s="239" t="s">
        <v>1310</v>
      </c>
      <c r="H12" s="239" t="s">
        <v>1311</v>
      </c>
      <c r="I12" s="239" t="s">
        <v>448</v>
      </c>
      <c r="J12" s="239" t="s">
        <v>64</v>
      </c>
      <c r="K12" s="239" t="s">
        <v>64</v>
      </c>
      <c r="L12" s="239" t="s">
        <v>64</v>
      </c>
      <c r="M12" s="241">
        <v>1495</v>
      </c>
      <c r="N12" s="239" t="s">
        <v>64</v>
      </c>
      <c r="O12" s="239" t="s">
        <v>64</v>
      </c>
      <c r="P12" s="239" t="s">
        <v>64</v>
      </c>
      <c r="Q12" s="241">
        <v>1875</v>
      </c>
      <c r="R12" s="239" t="s">
        <v>64</v>
      </c>
      <c r="S12" s="239" t="s">
        <v>64</v>
      </c>
      <c r="T12" s="239" t="s">
        <v>64</v>
      </c>
      <c r="U12" s="241">
        <v>2100</v>
      </c>
      <c r="V12" s="239" t="s">
        <v>64</v>
      </c>
      <c r="W12" s="239" t="s">
        <v>503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1344</v>
      </c>
      <c r="AF12" s="239" t="s">
        <v>1345</v>
      </c>
    </row>
    <row r="13" spans="1:32" ht="20.100000000000001" customHeight="1">
      <c r="A13" s="239">
        <v>2</v>
      </c>
      <c r="B13" s="240" t="s">
        <v>343</v>
      </c>
      <c r="C13" s="237" t="s">
        <v>1346</v>
      </c>
      <c r="D13" s="325"/>
      <c r="E13" s="239" t="s">
        <v>1347</v>
      </c>
      <c r="F13" s="239" t="s">
        <v>1309</v>
      </c>
      <c r="G13" s="239" t="s">
        <v>1310</v>
      </c>
      <c r="H13" s="239" t="s">
        <v>1311</v>
      </c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1190</v>
      </c>
      <c r="N13" s="239" t="s">
        <v>64</v>
      </c>
      <c r="O13" s="239" t="s">
        <v>64</v>
      </c>
      <c r="P13" s="239" t="s">
        <v>64</v>
      </c>
      <c r="Q13" s="241">
        <v>1354</v>
      </c>
      <c r="R13" s="239" t="s">
        <v>64</v>
      </c>
      <c r="S13" s="239" t="s">
        <v>64</v>
      </c>
      <c r="T13" s="239" t="s">
        <v>64</v>
      </c>
      <c r="U13" s="241">
        <v>1550</v>
      </c>
      <c r="V13" s="239" t="s">
        <v>64</v>
      </c>
      <c r="W13" s="239" t="s">
        <v>449</v>
      </c>
      <c r="X13" s="239" t="s">
        <v>258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1348</v>
      </c>
      <c r="AF13" s="239" t="s">
        <v>1349</v>
      </c>
    </row>
    <row r="14" spans="1:32" ht="20.100000000000001" customHeight="1">
      <c r="A14" s="239">
        <v>3</v>
      </c>
      <c r="B14" s="240" t="s">
        <v>343</v>
      </c>
      <c r="C14" s="237" t="s">
        <v>1350</v>
      </c>
      <c r="D14" s="325"/>
      <c r="E14" s="239" t="s">
        <v>1351</v>
      </c>
      <c r="F14" s="239" t="s">
        <v>1309</v>
      </c>
      <c r="G14" s="239" t="s">
        <v>1310</v>
      </c>
      <c r="H14" s="239" t="s">
        <v>1311</v>
      </c>
      <c r="I14" s="239" t="s">
        <v>1352</v>
      </c>
      <c r="J14" s="239" t="s">
        <v>64</v>
      </c>
      <c r="K14" s="239" t="s">
        <v>64</v>
      </c>
      <c r="L14" s="239" t="s">
        <v>64</v>
      </c>
      <c r="M14" s="241">
        <v>1128</v>
      </c>
      <c r="N14" s="239" t="s">
        <v>64</v>
      </c>
      <c r="O14" s="239" t="s">
        <v>64</v>
      </c>
      <c r="P14" s="239" t="s">
        <v>64</v>
      </c>
      <c r="Q14" s="241">
        <v>1388</v>
      </c>
      <c r="R14" s="239" t="s">
        <v>64</v>
      </c>
      <c r="S14" s="239" t="s">
        <v>64</v>
      </c>
      <c r="T14" s="239" t="s">
        <v>64</v>
      </c>
      <c r="U14" s="241">
        <v>1550</v>
      </c>
      <c r="V14" s="239" t="s">
        <v>64</v>
      </c>
      <c r="W14" s="239" t="s">
        <v>816</v>
      </c>
      <c r="X14" s="239" t="s">
        <v>237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1353</v>
      </c>
      <c r="AF14" s="239" t="s">
        <v>1349</v>
      </c>
    </row>
    <row r="15" spans="1:32" ht="20.100000000000001" customHeight="1">
      <c r="A15" s="239">
        <v>4</v>
      </c>
      <c r="B15" s="240" t="s">
        <v>343</v>
      </c>
      <c r="C15" s="237" t="s">
        <v>1319</v>
      </c>
      <c r="D15" s="325"/>
      <c r="E15" s="239" t="s">
        <v>1320</v>
      </c>
      <c r="F15" s="239" t="s">
        <v>1309</v>
      </c>
      <c r="G15" s="239" t="s">
        <v>1310</v>
      </c>
      <c r="H15" s="239" t="s">
        <v>1311</v>
      </c>
      <c r="I15" s="239" t="s">
        <v>955</v>
      </c>
      <c r="J15" s="239" t="s">
        <v>64</v>
      </c>
      <c r="K15" s="239" t="s">
        <v>64</v>
      </c>
      <c r="L15" s="239" t="s">
        <v>64</v>
      </c>
      <c r="M15" s="241">
        <v>887</v>
      </c>
      <c r="N15" s="239" t="s">
        <v>64</v>
      </c>
      <c r="O15" s="239" t="s">
        <v>64</v>
      </c>
      <c r="P15" s="239" t="s">
        <v>64</v>
      </c>
      <c r="Q15" s="241">
        <v>1083</v>
      </c>
      <c r="R15" s="239" t="s">
        <v>64</v>
      </c>
      <c r="S15" s="239" t="s">
        <v>64</v>
      </c>
      <c r="T15" s="239" t="s">
        <v>64</v>
      </c>
      <c r="U15" s="241">
        <v>1550</v>
      </c>
      <c r="V15" s="239" t="s">
        <v>64</v>
      </c>
      <c r="W15" s="239" t="s">
        <v>449</v>
      </c>
      <c r="X15" s="239" t="s">
        <v>258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1354</v>
      </c>
      <c r="AF15" s="239" t="s">
        <v>1349</v>
      </c>
    </row>
    <row r="16" spans="1:32" ht="20.100000000000001" customHeight="1">
      <c r="A16" s="239">
        <v>5</v>
      </c>
      <c r="B16" s="240" t="s">
        <v>343</v>
      </c>
      <c r="C16" s="237" t="s">
        <v>1355</v>
      </c>
      <c r="D16" s="325"/>
      <c r="E16" s="239" t="s">
        <v>1356</v>
      </c>
      <c r="F16" s="239" t="s">
        <v>1333</v>
      </c>
      <c r="G16" s="239" t="s">
        <v>1310</v>
      </c>
      <c r="H16" s="239" t="s">
        <v>1334</v>
      </c>
      <c r="I16" s="239" t="s">
        <v>971</v>
      </c>
      <c r="J16" s="239" t="s">
        <v>64</v>
      </c>
      <c r="K16" s="239" t="s">
        <v>64</v>
      </c>
      <c r="L16" s="239" t="s">
        <v>64</v>
      </c>
      <c r="M16" s="241">
        <v>995</v>
      </c>
      <c r="N16" s="239" t="s">
        <v>64</v>
      </c>
      <c r="O16" s="239" t="s">
        <v>64</v>
      </c>
      <c r="P16" s="239" t="s">
        <v>64</v>
      </c>
      <c r="Q16" s="241">
        <v>1025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1357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1358</v>
      </c>
      <c r="D17" s="325"/>
      <c r="E17" s="239" t="s">
        <v>1359</v>
      </c>
      <c r="F17" s="239" t="s">
        <v>1309</v>
      </c>
      <c r="G17" s="239" t="s">
        <v>1310</v>
      </c>
      <c r="H17" s="239" t="s">
        <v>1311</v>
      </c>
      <c r="I17" s="239" t="s">
        <v>634</v>
      </c>
      <c r="J17" s="239" t="s">
        <v>64</v>
      </c>
      <c r="K17" s="239" t="s">
        <v>64</v>
      </c>
      <c r="L17" s="239" t="s">
        <v>64</v>
      </c>
      <c r="M17" s="241">
        <v>815</v>
      </c>
      <c r="N17" s="239" t="s">
        <v>64</v>
      </c>
      <c r="O17" s="239" t="s">
        <v>64</v>
      </c>
      <c r="P17" s="239" t="s">
        <v>64</v>
      </c>
      <c r="Q17" s="241">
        <v>872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1360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1361</v>
      </c>
      <c r="D19" s="325"/>
      <c r="E19" s="217" t="s">
        <v>64</v>
      </c>
      <c r="F19" s="217" t="s">
        <v>1309</v>
      </c>
      <c r="G19" s="217" t="s">
        <v>1310</v>
      </c>
      <c r="H19" s="217"/>
      <c r="I19" s="217"/>
      <c r="J19" s="217"/>
      <c r="K19" s="217"/>
      <c r="L19" s="217" t="s">
        <v>1314</v>
      </c>
      <c r="M19" s="217"/>
      <c r="N19" s="217"/>
      <c r="O19" s="217"/>
      <c r="P19" s="217" t="s">
        <v>1190</v>
      </c>
      <c r="Q19" s="217"/>
      <c r="R19" s="217"/>
      <c r="S19" s="217"/>
      <c r="T19" s="217" t="s">
        <v>1191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1362</v>
      </c>
      <c r="D20" s="325"/>
      <c r="E20" s="218" t="s">
        <v>64</v>
      </c>
      <c r="F20" s="218" t="s">
        <v>1309</v>
      </c>
      <c r="G20" s="218" t="s">
        <v>1310</v>
      </c>
      <c r="H20" s="218"/>
      <c r="I20" s="218"/>
      <c r="J20" s="218"/>
      <c r="K20" s="218"/>
      <c r="L20" s="218"/>
      <c r="M20" s="245">
        <v>1085</v>
      </c>
      <c r="N20" s="218"/>
      <c r="O20" s="218"/>
      <c r="P20" s="218"/>
      <c r="Q20" s="245">
        <v>1266</v>
      </c>
      <c r="R20" s="218"/>
      <c r="S20" s="218"/>
      <c r="T20" s="218"/>
      <c r="U20" s="245">
        <v>1688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221</v>
      </c>
      <c r="B27" s="248">
        <f>'Current Rents'!D25</f>
        <v>1221</v>
      </c>
      <c r="C27" s="249">
        <v>1085</v>
      </c>
      <c r="D27" s="250"/>
      <c r="E27" s="251">
        <f>B27-C27</f>
        <v>136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Rents'!E25</f>
        <v>1563</v>
      </c>
      <c r="C28" s="249">
        <v>1266</v>
      </c>
      <c r="D28" s="250"/>
      <c r="E28" s="251">
        <f>B28-C28</f>
        <v>297</v>
      </c>
      <c r="F28" s="252" t="str">
        <f>IF(E28&lt;-75,"LOOK INTO INCREASING THE RENT!","")</f>
        <v/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216</v>
      </c>
      <c r="B29" s="248">
        <f>'Current Rents'!F25</f>
        <v>1820</v>
      </c>
      <c r="C29" s="249">
        <v>1688</v>
      </c>
      <c r="D29" s="250"/>
      <c r="E29" s="251">
        <f>B29-C29</f>
        <v>132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>
        <f>'Current Rents'!D25</f>
        <v>1221</v>
      </c>
      <c r="D34" s="254">
        <v>916</v>
      </c>
    </row>
    <row r="35" spans="1:6">
      <c r="A35" s="253" t="s">
        <v>215</v>
      </c>
      <c r="C35" s="254">
        <f>'Current Rents'!E25</f>
        <v>1563</v>
      </c>
      <c r="D35" s="254">
        <v>1254</v>
      </c>
    </row>
    <row r="36" spans="1:6">
      <c r="A36" s="253" t="s">
        <v>216</v>
      </c>
      <c r="C36" s="254">
        <f>'Current Rents'!F25</f>
        <v>1820</v>
      </c>
      <c r="D36" s="254">
        <v>1573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1363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1364</v>
      </c>
      <c r="AB1" s="325"/>
    </row>
    <row r="2" spans="1:28" ht="20.100000000000001" customHeight="1">
      <c r="A2" s="324" t="s">
        <v>1365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287</v>
      </c>
      <c r="K5" s="231" t="s">
        <v>288</v>
      </c>
      <c r="L5" s="231" t="s">
        <v>289</v>
      </c>
      <c r="M5" s="232" t="s">
        <v>403</v>
      </c>
      <c r="N5" s="231" t="s">
        <v>738</v>
      </c>
      <c r="O5" s="231" t="s">
        <v>739</v>
      </c>
      <c r="P5" s="231" t="s">
        <v>740</v>
      </c>
      <c r="Q5" s="232" t="s">
        <v>741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1366</v>
      </c>
      <c r="D6" s="325"/>
      <c r="E6" s="234" t="s">
        <v>166</v>
      </c>
      <c r="F6" s="234" t="s">
        <v>166</v>
      </c>
      <c r="G6" s="234" t="s">
        <v>1310</v>
      </c>
      <c r="H6" s="234" t="s">
        <v>1367</v>
      </c>
      <c r="I6" s="234" t="s">
        <v>308</v>
      </c>
      <c r="J6" s="234" t="s">
        <v>1316</v>
      </c>
      <c r="K6" s="234" t="s">
        <v>1317</v>
      </c>
      <c r="L6" s="234" t="s">
        <v>1191</v>
      </c>
      <c r="M6" s="235">
        <f>'Current Rents'!F26</f>
        <v>1300</v>
      </c>
      <c r="N6" s="234" t="s">
        <v>1368</v>
      </c>
      <c r="O6" s="234" t="s">
        <v>1369</v>
      </c>
      <c r="P6" s="234" t="s">
        <v>592</v>
      </c>
      <c r="Q6" s="235" t="str">
        <f>'Current Rents'!G26</f>
        <v>—</v>
      </c>
      <c r="R6" s="234" t="s">
        <v>1370</v>
      </c>
      <c r="S6" s="234" t="s">
        <v>678</v>
      </c>
      <c r="T6" s="234" t="s">
        <v>504</v>
      </c>
      <c r="U6" s="234" t="s">
        <v>316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1371</v>
      </c>
      <c r="D7" s="325"/>
      <c r="E7" s="216" t="s">
        <v>1372</v>
      </c>
      <c r="F7" s="216" t="s">
        <v>1373</v>
      </c>
      <c r="G7" s="216" t="s">
        <v>1310</v>
      </c>
      <c r="H7" s="216" t="s">
        <v>1374</v>
      </c>
      <c r="I7" s="216" t="s">
        <v>1375</v>
      </c>
      <c r="J7" s="216" t="s">
        <v>1316</v>
      </c>
      <c r="K7" s="216" t="s">
        <v>1317</v>
      </c>
      <c r="L7" s="216" t="s">
        <v>1191</v>
      </c>
      <c r="M7" s="216" t="s">
        <v>326</v>
      </c>
      <c r="N7" s="216" t="s">
        <v>1368</v>
      </c>
      <c r="O7" s="216" t="s">
        <v>1369</v>
      </c>
      <c r="P7" s="216" t="s">
        <v>592</v>
      </c>
      <c r="Q7" s="216" t="s">
        <v>326</v>
      </c>
      <c r="R7" s="216" t="s">
        <v>1376</v>
      </c>
      <c r="S7" s="216" t="s">
        <v>671</v>
      </c>
      <c r="T7" s="216" t="s">
        <v>319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1377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1378</v>
      </c>
      <c r="D8" s="325"/>
      <c r="E8" s="216" t="s">
        <v>1379</v>
      </c>
      <c r="F8" s="216" t="s">
        <v>1373</v>
      </c>
      <c r="G8" s="216" t="s">
        <v>1310</v>
      </c>
      <c r="H8" s="216" t="s">
        <v>1380</v>
      </c>
      <c r="I8" s="216" t="s">
        <v>1381</v>
      </c>
      <c r="J8" s="216" t="s">
        <v>1316</v>
      </c>
      <c r="K8" s="216" t="s">
        <v>1317</v>
      </c>
      <c r="L8" s="216" t="s">
        <v>1191</v>
      </c>
      <c r="M8" s="216" t="s">
        <v>326</v>
      </c>
      <c r="N8" s="216" t="s">
        <v>1368</v>
      </c>
      <c r="O8" s="216" t="s">
        <v>1369</v>
      </c>
      <c r="P8" s="216" t="s">
        <v>592</v>
      </c>
      <c r="Q8" s="216" t="s">
        <v>326</v>
      </c>
      <c r="R8" s="216" t="s">
        <v>1169</v>
      </c>
      <c r="S8" s="216" t="s">
        <v>1136</v>
      </c>
      <c r="T8" s="216" t="s">
        <v>258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1382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1383</v>
      </c>
      <c r="D9" s="325"/>
      <c r="E9" s="216" t="s">
        <v>1384</v>
      </c>
      <c r="F9" s="216" t="s">
        <v>1385</v>
      </c>
      <c r="G9" s="216" t="s">
        <v>1310</v>
      </c>
      <c r="H9" s="216" t="s">
        <v>1386</v>
      </c>
      <c r="I9" s="216" t="s">
        <v>64</v>
      </c>
      <c r="J9" s="216" t="s">
        <v>1316</v>
      </c>
      <c r="K9" s="216" t="s">
        <v>1317</v>
      </c>
      <c r="L9" s="216" t="s">
        <v>1191</v>
      </c>
      <c r="M9" s="216" t="s">
        <v>1387</v>
      </c>
      <c r="N9" s="216" t="s">
        <v>1368</v>
      </c>
      <c r="O9" s="216" t="s">
        <v>1369</v>
      </c>
      <c r="P9" s="216" t="s">
        <v>592</v>
      </c>
      <c r="Q9" s="216" t="s">
        <v>1388</v>
      </c>
      <c r="R9" s="216" t="s">
        <v>1370</v>
      </c>
      <c r="S9" s="216" t="s">
        <v>678</v>
      </c>
      <c r="T9" s="216" t="s">
        <v>504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1023</v>
      </c>
      <c r="AA9" s="216" t="s">
        <v>1389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1390</v>
      </c>
      <c r="D10" s="325"/>
      <c r="E10" s="216" t="s">
        <v>1391</v>
      </c>
      <c r="F10" s="216" t="s">
        <v>1373</v>
      </c>
      <c r="G10" s="216" t="s">
        <v>1310</v>
      </c>
      <c r="H10" s="216" t="s">
        <v>1392</v>
      </c>
      <c r="I10" s="216" t="s">
        <v>1393</v>
      </c>
      <c r="J10" s="216" t="s">
        <v>1316</v>
      </c>
      <c r="K10" s="216" t="s">
        <v>1317</v>
      </c>
      <c r="L10" s="216" t="s">
        <v>1191</v>
      </c>
      <c r="M10" s="216" t="s">
        <v>326</v>
      </c>
      <c r="N10" s="216" t="s">
        <v>1368</v>
      </c>
      <c r="O10" s="216" t="s">
        <v>1369</v>
      </c>
      <c r="P10" s="216" t="s">
        <v>592</v>
      </c>
      <c r="Q10" s="216" t="s">
        <v>326</v>
      </c>
      <c r="R10" s="216" t="s">
        <v>233</v>
      </c>
      <c r="S10" s="216" t="s">
        <v>671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7" t="s">
        <v>327</v>
      </c>
      <c r="AA10" s="216" t="s">
        <v>1394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1395</v>
      </c>
      <c r="D12" s="320" t="s">
        <v>345</v>
      </c>
      <c r="E12" s="239" t="s">
        <v>1396</v>
      </c>
      <c r="F12" s="239" t="s">
        <v>166</v>
      </c>
      <c r="G12" s="239" t="s">
        <v>1310</v>
      </c>
      <c r="H12" s="239" t="s">
        <v>1367</v>
      </c>
      <c r="I12" s="239" t="s">
        <v>640</v>
      </c>
      <c r="J12" s="239" t="s">
        <v>64</v>
      </c>
      <c r="K12" s="239" t="s">
        <v>64</v>
      </c>
      <c r="L12" s="239" t="s">
        <v>64</v>
      </c>
      <c r="M12" s="241">
        <v>1995</v>
      </c>
      <c r="N12" s="239" t="s">
        <v>64</v>
      </c>
      <c r="O12" s="239" t="s">
        <v>64</v>
      </c>
      <c r="P12" s="239" t="s">
        <v>64</v>
      </c>
      <c r="Q12" s="242" t="s">
        <v>326</v>
      </c>
      <c r="R12" s="239" t="s">
        <v>789</v>
      </c>
      <c r="S12" s="239" t="s">
        <v>1122</v>
      </c>
      <c r="T12" s="239" t="s">
        <v>319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1397</v>
      </c>
      <c r="AB12" s="239" t="s">
        <v>1398</v>
      </c>
    </row>
    <row r="13" spans="1:28" ht="20.100000000000001" customHeight="1">
      <c r="A13" s="239">
        <v>2</v>
      </c>
      <c r="B13" s="240" t="s">
        <v>343</v>
      </c>
      <c r="C13" s="237" t="s">
        <v>1399</v>
      </c>
      <c r="D13" s="325"/>
      <c r="E13" s="239" t="s">
        <v>1399</v>
      </c>
      <c r="F13" s="239" t="s">
        <v>166</v>
      </c>
      <c r="G13" s="239" t="s">
        <v>1310</v>
      </c>
      <c r="H13" s="239" t="s">
        <v>1367</v>
      </c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2150</v>
      </c>
      <c r="N13" s="239" t="s">
        <v>64</v>
      </c>
      <c r="O13" s="239" t="s">
        <v>64</v>
      </c>
      <c r="P13" s="239" t="s">
        <v>64</v>
      </c>
      <c r="Q13" s="242" t="s">
        <v>326</v>
      </c>
      <c r="R13" s="239" t="s">
        <v>605</v>
      </c>
      <c r="S13" s="239" t="s">
        <v>671</v>
      </c>
      <c r="T13" s="239" t="s">
        <v>319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1400</v>
      </c>
      <c r="AB13" s="239" t="s">
        <v>1401</v>
      </c>
    </row>
    <row r="14" spans="1:28" ht="20.100000000000001" customHeight="1">
      <c r="A14" s="239">
        <v>3</v>
      </c>
      <c r="B14" s="240" t="s">
        <v>343</v>
      </c>
      <c r="C14" s="237" t="s">
        <v>1402</v>
      </c>
      <c r="D14" s="325"/>
      <c r="E14" s="239" t="s">
        <v>1402</v>
      </c>
      <c r="F14" s="239" t="s">
        <v>166</v>
      </c>
      <c r="G14" s="239" t="s">
        <v>1310</v>
      </c>
      <c r="H14" s="239" t="s">
        <v>1367</v>
      </c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1700</v>
      </c>
      <c r="N14" s="239" t="s">
        <v>64</v>
      </c>
      <c r="O14" s="239" t="s">
        <v>64</v>
      </c>
      <c r="P14" s="239" t="s">
        <v>64</v>
      </c>
      <c r="Q14" s="242" t="s">
        <v>326</v>
      </c>
      <c r="R14" s="239" t="s">
        <v>1066</v>
      </c>
      <c r="S14" s="239" t="s">
        <v>1136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1403</v>
      </c>
      <c r="AB14" s="239" t="s">
        <v>1404</v>
      </c>
    </row>
    <row r="15" spans="1:28" ht="20.100000000000001" customHeight="1">
      <c r="A15" s="239">
        <v>4</v>
      </c>
      <c r="B15" s="240" t="s">
        <v>343</v>
      </c>
      <c r="C15" s="237" t="s">
        <v>1405</v>
      </c>
      <c r="D15" s="325"/>
      <c r="E15" s="239" t="s">
        <v>1405</v>
      </c>
      <c r="F15" s="239" t="s">
        <v>166</v>
      </c>
      <c r="G15" s="239" t="s">
        <v>1310</v>
      </c>
      <c r="H15" s="239" t="s">
        <v>1367</v>
      </c>
      <c r="I15" s="239" t="s">
        <v>808</v>
      </c>
      <c r="J15" s="239" t="s">
        <v>64</v>
      </c>
      <c r="K15" s="239" t="s">
        <v>64</v>
      </c>
      <c r="L15" s="239" t="s">
        <v>64</v>
      </c>
      <c r="M15" s="241">
        <v>1850</v>
      </c>
      <c r="N15" s="239" t="s">
        <v>64</v>
      </c>
      <c r="O15" s="239" t="s">
        <v>64</v>
      </c>
      <c r="P15" s="239" t="s">
        <v>64</v>
      </c>
      <c r="Q15" s="242" t="s">
        <v>326</v>
      </c>
      <c r="R15" s="239" t="s">
        <v>511</v>
      </c>
      <c r="S15" s="239" t="s">
        <v>678</v>
      </c>
      <c r="T15" s="239" t="s">
        <v>504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1406</v>
      </c>
      <c r="AB15" s="239" t="s">
        <v>1404</v>
      </c>
    </row>
    <row r="16" spans="1:28" ht="20.100000000000001" customHeight="1">
      <c r="A16" s="239">
        <v>5</v>
      </c>
      <c r="B16" s="240" t="s">
        <v>343</v>
      </c>
      <c r="C16" s="237" t="s">
        <v>1407</v>
      </c>
      <c r="D16" s="325"/>
      <c r="E16" s="239" t="s">
        <v>1407</v>
      </c>
      <c r="F16" s="239" t="s">
        <v>166</v>
      </c>
      <c r="G16" s="239" t="s">
        <v>1310</v>
      </c>
      <c r="H16" s="239" t="s">
        <v>1367</v>
      </c>
      <c r="I16" s="239" t="s">
        <v>634</v>
      </c>
      <c r="J16" s="239" t="s">
        <v>64</v>
      </c>
      <c r="K16" s="239" t="s">
        <v>64</v>
      </c>
      <c r="L16" s="239" t="s">
        <v>64</v>
      </c>
      <c r="M16" s="241">
        <v>1600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382</v>
      </c>
      <c r="AA16" s="239" t="s">
        <v>1357</v>
      </c>
      <c r="AB16" s="239" t="s">
        <v>385</v>
      </c>
    </row>
    <row r="17" spans="1:28" ht="20.100000000000001" customHeight="1">
      <c r="A17" s="239">
        <v>6</v>
      </c>
      <c r="B17" s="240" t="s">
        <v>343</v>
      </c>
      <c r="C17" s="237" t="s">
        <v>1408</v>
      </c>
      <c r="D17" s="325"/>
      <c r="E17" s="239" t="s">
        <v>1408</v>
      </c>
      <c r="F17" s="239" t="s">
        <v>166</v>
      </c>
      <c r="G17" s="239" t="s">
        <v>1310</v>
      </c>
      <c r="H17" s="239" t="s">
        <v>1367</v>
      </c>
      <c r="I17" s="239" t="s">
        <v>1016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2800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382</v>
      </c>
      <c r="AA17" s="239" t="s">
        <v>1409</v>
      </c>
      <c r="AB17" s="239" t="s">
        <v>1100</v>
      </c>
    </row>
    <row r="18" spans="1:28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382</v>
      </c>
      <c r="C19" s="323" t="s">
        <v>1361</v>
      </c>
      <c r="D19" s="325"/>
      <c r="E19" s="217" t="s">
        <v>64</v>
      </c>
      <c r="F19" s="217" t="s">
        <v>166</v>
      </c>
      <c r="G19" s="217" t="s">
        <v>1310</v>
      </c>
      <c r="H19" s="217"/>
      <c r="I19" s="217"/>
      <c r="J19" s="217"/>
      <c r="K19" s="217"/>
      <c r="L19" s="217" t="s">
        <v>1191</v>
      </c>
      <c r="M19" s="217"/>
      <c r="N19" s="217"/>
      <c r="O19" s="217"/>
      <c r="P19" s="217" t="s">
        <v>592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382</v>
      </c>
      <c r="C20" s="315" t="s">
        <v>1410</v>
      </c>
      <c r="D20" s="325"/>
      <c r="E20" s="218" t="s">
        <v>64</v>
      </c>
      <c r="F20" s="218" t="s">
        <v>166</v>
      </c>
      <c r="G20" s="218" t="s">
        <v>1310</v>
      </c>
      <c r="H20" s="218"/>
      <c r="I20" s="218"/>
      <c r="J20" s="218"/>
      <c r="K20" s="218"/>
      <c r="L20" s="218"/>
      <c r="M20" s="245">
        <v>1859</v>
      </c>
      <c r="N20" s="218"/>
      <c r="O20" s="218"/>
      <c r="P20" s="218"/>
      <c r="Q20" s="245">
        <v>2800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216</v>
      </c>
      <c r="B27" s="248">
        <f>'Current Rents'!F26</f>
        <v>1300</v>
      </c>
      <c r="C27" s="249">
        <v>1859</v>
      </c>
      <c r="D27" s="250"/>
      <c r="E27" s="251">
        <f>B27-C27</f>
        <v>-559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218</v>
      </c>
      <c r="B28" s="248" t="str">
        <f>'Current Rents'!G26</f>
        <v>—</v>
      </c>
      <c r="C28" s="249">
        <v>2800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216</v>
      </c>
      <c r="C33" s="254">
        <f>'Current Rents'!F26</f>
        <v>1300</v>
      </c>
      <c r="D33" s="254">
        <v>1573</v>
      </c>
    </row>
    <row r="34" spans="1:4">
      <c r="A34" s="253" t="s">
        <v>218</v>
      </c>
      <c r="C34" s="254" t="str">
        <f>'Current Rents'!G26</f>
        <v>—</v>
      </c>
      <c r="D34" s="254">
        <v>1818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1411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1412</v>
      </c>
      <c r="AF1" s="325"/>
    </row>
    <row r="2" spans="1:32" ht="20.100000000000001" customHeight="1">
      <c r="A2" s="324" t="s">
        <v>1413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1414</v>
      </c>
      <c r="D6" s="325"/>
      <c r="E6" s="234" t="s">
        <v>1415</v>
      </c>
      <c r="F6" s="234" t="s">
        <v>166</v>
      </c>
      <c r="G6" s="234" t="s">
        <v>1310</v>
      </c>
      <c r="H6" s="234" t="s">
        <v>1367</v>
      </c>
      <c r="I6" s="234" t="s">
        <v>308</v>
      </c>
      <c r="J6" s="234" t="s">
        <v>1313</v>
      </c>
      <c r="K6" s="234" t="s">
        <v>1315</v>
      </c>
      <c r="L6" s="234" t="s">
        <v>1190</v>
      </c>
      <c r="M6" s="235">
        <f>'Current Rents'!E27</f>
        <v>0</v>
      </c>
      <c r="N6" s="234" t="s">
        <v>1316</v>
      </c>
      <c r="O6" s="234" t="s">
        <v>1317</v>
      </c>
      <c r="P6" s="234" t="s">
        <v>1191</v>
      </c>
      <c r="Q6" s="235">
        <f>'Current Rents'!F27</f>
        <v>1223</v>
      </c>
      <c r="R6" s="234" t="s">
        <v>1368</v>
      </c>
      <c r="S6" s="234" t="s">
        <v>1369</v>
      </c>
      <c r="T6" s="234" t="s">
        <v>592</v>
      </c>
      <c r="U6" s="235">
        <f>'Current Rents'!G27</f>
        <v>870</v>
      </c>
      <c r="V6" s="234" t="s">
        <v>224</v>
      </c>
      <c r="W6" s="234" t="s">
        <v>678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1416</v>
      </c>
      <c r="D7" s="325"/>
      <c r="E7" s="216" t="s">
        <v>1417</v>
      </c>
      <c r="F7" s="216" t="s">
        <v>166</v>
      </c>
      <c r="G7" s="216" t="s">
        <v>1310</v>
      </c>
      <c r="H7" s="216" t="s">
        <v>1367</v>
      </c>
      <c r="I7" s="216" t="s">
        <v>1091</v>
      </c>
      <c r="J7" s="216" t="s">
        <v>1313</v>
      </c>
      <c r="K7" s="216" t="s">
        <v>1315</v>
      </c>
      <c r="L7" s="216" t="s">
        <v>1190</v>
      </c>
      <c r="M7" s="216" t="s">
        <v>326</v>
      </c>
      <c r="N7" s="216" t="s">
        <v>1316</v>
      </c>
      <c r="O7" s="216" t="s">
        <v>1317</v>
      </c>
      <c r="P7" s="216" t="s">
        <v>1191</v>
      </c>
      <c r="Q7" s="216" t="s">
        <v>326</v>
      </c>
      <c r="R7" s="216" t="s">
        <v>1368</v>
      </c>
      <c r="S7" s="216" t="s">
        <v>1369</v>
      </c>
      <c r="T7" s="216" t="s">
        <v>592</v>
      </c>
      <c r="U7" s="216" t="s">
        <v>326</v>
      </c>
      <c r="V7" s="216" t="s">
        <v>224</v>
      </c>
      <c r="W7" s="216" t="s">
        <v>1067</v>
      </c>
      <c r="X7" s="216" t="s">
        <v>258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1418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73</v>
      </c>
      <c r="D8" s="325"/>
      <c r="E8" s="216" t="s">
        <v>1419</v>
      </c>
      <c r="F8" s="216" t="s">
        <v>166</v>
      </c>
      <c r="G8" s="216" t="s">
        <v>1310</v>
      </c>
      <c r="H8" s="216" t="s">
        <v>1420</v>
      </c>
      <c r="I8" s="216" t="s">
        <v>1091</v>
      </c>
      <c r="J8" s="216" t="s">
        <v>1313</v>
      </c>
      <c r="K8" s="216" t="s">
        <v>1315</v>
      </c>
      <c r="L8" s="216" t="s">
        <v>1190</v>
      </c>
      <c r="M8" s="216" t="s">
        <v>326</v>
      </c>
      <c r="N8" s="216" t="s">
        <v>1316</v>
      </c>
      <c r="O8" s="216" t="s">
        <v>1317</v>
      </c>
      <c r="P8" s="216" t="s">
        <v>1191</v>
      </c>
      <c r="Q8" s="216" t="s">
        <v>326</v>
      </c>
      <c r="R8" s="216" t="s">
        <v>1368</v>
      </c>
      <c r="S8" s="216" t="s">
        <v>1369</v>
      </c>
      <c r="T8" s="216" t="s">
        <v>592</v>
      </c>
      <c r="U8" s="216" t="s">
        <v>326</v>
      </c>
      <c r="V8" s="216" t="s">
        <v>224</v>
      </c>
      <c r="W8" s="216" t="s">
        <v>1067</v>
      </c>
      <c r="X8" s="216" t="s">
        <v>258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1421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1422</v>
      </c>
      <c r="D9" s="325"/>
      <c r="E9" s="216" t="s">
        <v>1423</v>
      </c>
      <c r="F9" s="216" t="s">
        <v>166</v>
      </c>
      <c r="G9" s="216" t="s">
        <v>1310</v>
      </c>
      <c r="H9" s="216" t="s">
        <v>1420</v>
      </c>
      <c r="I9" s="216" t="s">
        <v>448</v>
      </c>
      <c r="J9" s="216" t="s">
        <v>1313</v>
      </c>
      <c r="K9" s="216" t="s">
        <v>1315</v>
      </c>
      <c r="L9" s="216" t="s">
        <v>1190</v>
      </c>
      <c r="M9" s="216" t="s">
        <v>326</v>
      </c>
      <c r="N9" s="216" t="s">
        <v>1316</v>
      </c>
      <c r="O9" s="216" t="s">
        <v>1317</v>
      </c>
      <c r="P9" s="216" t="s">
        <v>1191</v>
      </c>
      <c r="Q9" s="216" t="s">
        <v>326</v>
      </c>
      <c r="R9" s="216" t="s">
        <v>1368</v>
      </c>
      <c r="S9" s="216" t="s">
        <v>1369</v>
      </c>
      <c r="T9" s="216" t="s">
        <v>592</v>
      </c>
      <c r="U9" s="216" t="s">
        <v>326</v>
      </c>
      <c r="V9" s="216" t="s">
        <v>224</v>
      </c>
      <c r="W9" s="216" t="s">
        <v>1136</v>
      </c>
      <c r="X9" s="216" t="s">
        <v>258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1424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1390</v>
      </c>
      <c r="D10" s="325"/>
      <c r="E10" s="216" t="s">
        <v>1391</v>
      </c>
      <c r="F10" s="216" t="s">
        <v>1373</v>
      </c>
      <c r="G10" s="216" t="s">
        <v>1310</v>
      </c>
      <c r="H10" s="216" t="s">
        <v>1392</v>
      </c>
      <c r="I10" s="216" t="s">
        <v>1393</v>
      </c>
      <c r="J10" s="216" t="s">
        <v>1313</v>
      </c>
      <c r="K10" s="216" t="s">
        <v>1315</v>
      </c>
      <c r="L10" s="216" t="s">
        <v>1190</v>
      </c>
      <c r="M10" s="216" t="s">
        <v>326</v>
      </c>
      <c r="N10" s="216" t="s">
        <v>1316</v>
      </c>
      <c r="O10" s="216" t="s">
        <v>1317</v>
      </c>
      <c r="P10" s="216" t="s">
        <v>1191</v>
      </c>
      <c r="Q10" s="216" t="s">
        <v>326</v>
      </c>
      <c r="R10" s="216" t="s">
        <v>1368</v>
      </c>
      <c r="S10" s="216" t="s">
        <v>1369</v>
      </c>
      <c r="T10" s="216" t="s">
        <v>592</v>
      </c>
      <c r="U10" s="216" t="s">
        <v>326</v>
      </c>
      <c r="V10" s="216" t="s">
        <v>233</v>
      </c>
      <c r="W10" s="216" t="s">
        <v>671</v>
      </c>
      <c r="X10" s="216" t="s">
        <v>319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1394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1395</v>
      </c>
      <c r="D12" s="320" t="s">
        <v>345</v>
      </c>
      <c r="E12" s="239" t="s">
        <v>1396</v>
      </c>
      <c r="F12" s="239" t="s">
        <v>166</v>
      </c>
      <c r="G12" s="239" t="s">
        <v>1310</v>
      </c>
      <c r="H12" s="239" t="s">
        <v>1367</v>
      </c>
      <c r="I12" s="239" t="s">
        <v>640</v>
      </c>
      <c r="J12" s="239" t="s">
        <v>64</v>
      </c>
      <c r="K12" s="239" t="s">
        <v>64</v>
      </c>
      <c r="L12" s="239" t="s">
        <v>64</v>
      </c>
      <c r="M12" s="241">
        <v>1673</v>
      </c>
      <c r="N12" s="239" t="s">
        <v>64</v>
      </c>
      <c r="O12" s="239" t="s">
        <v>64</v>
      </c>
      <c r="P12" s="239" t="s">
        <v>64</v>
      </c>
      <c r="Q12" s="241">
        <v>1995</v>
      </c>
      <c r="R12" s="239" t="s">
        <v>64</v>
      </c>
      <c r="S12" s="239" t="s">
        <v>64</v>
      </c>
      <c r="T12" s="239" t="s">
        <v>64</v>
      </c>
      <c r="U12" s="242" t="s">
        <v>326</v>
      </c>
      <c r="V12" s="239" t="s">
        <v>789</v>
      </c>
      <c r="W12" s="239" t="s">
        <v>1122</v>
      </c>
      <c r="X12" s="239" t="s">
        <v>319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1425</v>
      </c>
      <c r="AF12" s="239" t="s">
        <v>1398</v>
      </c>
    </row>
    <row r="13" spans="1:32" ht="20.100000000000001" customHeight="1">
      <c r="A13" s="239">
        <v>2</v>
      </c>
      <c r="B13" s="240" t="s">
        <v>343</v>
      </c>
      <c r="C13" s="237" t="s">
        <v>1399</v>
      </c>
      <c r="D13" s="325"/>
      <c r="E13" s="239" t="s">
        <v>1399</v>
      </c>
      <c r="F13" s="239" t="s">
        <v>166</v>
      </c>
      <c r="G13" s="239" t="s">
        <v>1310</v>
      </c>
      <c r="H13" s="239" t="s">
        <v>1367</v>
      </c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1250</v>
      </c>
      <c r="N13" s="239" t="s">
        <v>64</v>
      </c>
      <c r="O13" s="239" t="s">
        <v>64</v>
      </c>
      <c r="P13" s="239" t="s">
        <v>64</v>
      </c>
      <c r="Q13" s="241">
        <v>2150</v>
      </c>
      <c r="R13" s="239" t="s">
        <v>64</v>
      </c>
      <c r="S13" s="239" t="s">
        <v>64</v>
      </c>
      <c r="T13" s="239" t="s">
        <v>64</v>
      </c>
      <c r="U13" s="242" t="s">
        <v>326</v>
      </c>
      <c r="V13" s="239" t="s">
        <v>605</v>
      </c>
      <c r="W13" s="239" t="s">
        <v>671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1426</v>
      </c>
      <c r="AF13" s="239" t="s">
        <v>1401</v>
      </c>
    </row>
    <row r="14" spans="1:32" ht="20.100000000000001" customHeight="1">
      <c r="A14" s="239">
        <v>3</v>
      </c>
      <c r="B14" s="240" t="s">
        <v>343</v>
      </c>
      <c r="C14" s="237" t="s">
        <v>1402</v>
      </c>
      <c r="D14" s="325"/>
      <c r="E14" s="239" t="s">
        <v>1402</v>
      </c>
      <c r="F14" s="239" t="s">
        <v>166</v>
      </c>
      <c r="G14" s="239" t="s">
        <v>1310</v>
      </c>
      <c r="H14" s="239" t="s">
        <v>1367</v>
      </c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1300</v>
      </c>
      <c r="N14" s="239" t="s">
        <v>64</v>
      </c>
      <c r="O14" s="239" t="s">
        <v>64</v>
      </c>
      <c r="P14" s="239" t="s">
        <v>64</v>
      </c>
      <c r="Q14" s="241">
        <v>1700</v>
      </c>
      <c r="R14" s="239" t="s">
        <v>64</v>
      </c>
      <c r="S14" s="239" t="s">
        <v>64</v>
      </c>
      <c r="T14" s="239" t="s">
        <v>64</v>
      </c>
      <c r="U14" s="242" t="s">
        <v>326</v>
      </c>
      <c r="V14" s="239" t="s">
        <v>1066</v>
      </c>
      <c r="W14" s="239" t="s">
        <v>1136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1427</v>
      </c>
      <c r="AF14" s="239" t="s">
        <v>1404</v>
      </c>
    </row>
    <row r="15" spans="1:32" ht="20.100000000000001" customHeight="1">
      <c r="A15" s="239">
        <v>4</v>
      </c>
      <c r="B15" s="240" t="s">
        <v>343</v>
      </c>
      <c r="C15" s="237" t="s">
        <v>1428</v>
      </c>
      <c r="D15" s="325"/>
      <c r="E15" s="239" t="s">
        <v>1428</v>
      </c>
      <c r="F15" s="239" t="s">
        <v>166</v>
      </c>
      <c r="G15" s="239" t="s">
        <v>1310</v>
      </c>
      <c r="H15" s="239" t="s">
        <v>1367</v>
      </c>
      <c r="I15" s="239" t="s">
        <v>1352</v>
      </c>
      <c r="J15" s="239" t="s">
        <v>64</v>
      </c>
      <c r="K15" s="239" t="s">
        <v>64</v>
      </c>
      <c r="L15" s="239" t="s">
        <v>64</v>
      </c>
      <c r="M15" s="241">
        <v>1050</v>
      </c>
      <c r="N15" s="239" t="s">
        <v>64</v>
      </c>
      <c r="O15" s="239" t="s">
        <v>64</v>
      </c>
      <c r="P15" s="239" t="s">
        <v>64</v>
      </c>
      <c r="Q15" s="241">
        <v>1625</v>
      </c>
      <c r="R15" s="239" t="s">
        <v>64</v>
      </c>
      <c r="S15" s="239" t="s">
        <v>64</v>
      </c>
      <c r="T15" s="239" t="s">
        <v>64</v>
      </c>
      <c r="U15" s="242" t="s">
        <v>326</v>
      </c>
      <c r="V15" s="239" t="s">
        <v>511</v>
      </c>
      <c r="W15" s="239" t="s">
        <v>678</v>
      </c>
      <c r="X15" s="239" t="s">
        <v>504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1429</v>
      </c>
      <c r="AF15" s="239" t="s">
        <v>1404</v>
      </c>
    </row>
    <row r="16" spans="1:32" ht="20.100000000000001" customHeight="1">
      <c r="A16" s="239">
        <v>5</v>
      </c>
      <c r="B16" s="240" t="s">
        <v>343</v>
      </c>
      <c r="C16" s="237" t="s">
        <v>1405</v>
      </c>
      <c r="D16" s="325"/>
      <c r="E16" s="239" t="s">
        <v>1405</v>
      </c>
      <c r="F16" s="239" t="s">
        <v>166</v>
      </c>
      <c r="G16" s="239" t="s">
        <v>1310</v>
      </c>
      <c r="H16" s="239" t="s">
        <v>1367</v>
      </c>
      <c r="I16" s="239" t="s">
        <v>808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1">
        <v>1850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1357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1408</v>
      </c>
      <c r="D17" s="325"/>
      <c r="E17" s="239" t="s">
        <v>1408</v>
      </c>
      <c r="F17" s="239" t="s">
        <v>166</v>
      </c>
      <c r="G17" s="239" t="s">
        <v>1310</v>
      </c>
      <c r="H17" s="239" t="s">
        <v>1367</v>
      </c>
      <c r="I17" s="239" t="s">
        <v>1016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1">
        <v>2800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1409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1361</v>
      </c>
      <c r="D19" s="325"/>
      <c r="E19" s="217" t="s">
        <v>64</v>
      </c>
      <c r="F19" s="217" t="s">
        <v>166</v>
      </c>
      <c r="G19" s="217" t="s">
        <v>1310</v>
      </c>
      <c r="H19" s="217"/>
      <c r="I19" s="217"/>
      <c r="J19" s="217"/>
      <c r="K19" s="217"/>
      <c r="L19" s="217" t="s">
        <v>1190</v>
      </c>
      <c r="M19" s="217"/>
      <c r="N19" s="217"/>
      <c r="O19" s="217"/>
      <c r="P19" s="217" t="s">
        <v>1191</v>
      </c>
      <c r="Q19" s="217"/>
      <c r="R19" s="217"/>
      <c r="S19" s="217"/>
      <c r="T19" s="217" t="s">
        <v>592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1410</v>
      </c>
      <c r="D20" s="325"/>
      <c r="E20" s="218" t="s">
        <v>64</v>
      </c>
      <c r="F20" s="218" t="s">
        <v>166</v>
      </c>
      <c r="G20" s="218" t="s">
        <v>1310</v>
      </c>
      <c r="H20" s="218"/>
      <c r="I20" s="218"/>
      <c r="J20" s="218"/>
      <c r="K20" s="218"/>
      <c r="L20" s="218"/>
      <c r="M20" s="245">
        <v>1318</v>
      </c>
      <c r="N20" s="218"/>
      <c r="O20" s="218"/>
      <c r="P20" s="218"/>
      <c r="Q20" s="245">
        <v>1864</v>
      </c>
      <c r="R20" s="218"/>
      <c r="S20" s="218"/>
      <c r="T20" s="218"/>
      <c r="U20" s="245">
        <v>2800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215</v>
      </c>
      <c r="B27" s="248">
        <f>'Current Rents'!E27</f>
        <v>0</v>
      </c>
      <c r="C27" s="249">
        <v>1318</v>
      </c>
      <c r="D27" s="250"/>
      <c r="E27" s="251">
        <f>B27-C27</f>
        <v>-1318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216</v>
      </c>
      <c r="B28" s="248">
        <f>'Current Rents'!F27</f>
        <v>1223</v>
      </c>
      <c r="C28" s="249">
        <v>1864</v>
      </c>
      <c r="D28" s="250"/>
      <c r="E28" s="251">
        <f>B28-C28</f>
        <v>-641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218</v>
      </c>
      <c r="B29" s="248">
        <f>'Current Rents'!G27</f>
        <v>870</v>
      </c>
      <c r="C29" s="249">
        <v>2800</v>
      </c>
      <c r="D29" s="250"/>
      <c r="E29" s="251">
        <f>B29-C29</f>
        <v>-1930</v>
      </c>
      <c r="F29" s="252" t="str">
        <f>IF(E29&lt;-75,"LOOK INTO INCREASING THE RENT!","")</f>
        <v>LOOK INTO INCREASING THE RENT!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215</v>
      </c>
      <c r="C34" s="254">
        <f>'Current Rents'!E27</f>
        <v>0</v>
      </c>
      <c r="D34" s="254">
        <v>1254</v>
      </c>
    </row>
    <row r="35" spans="1:6">
      <c r="A35" s="253" t="s">
        <v>216</v>
      </c>
      <c r="C35" s="254">
        <f>'Current Rents'!F27</f>
        <v>1223</v>
      </c>
      <c r="D35" s="254">
        <v>1573</v>
      </c>
    </row>
    <row r="36" spans="1:6">
      <c r="A36" s="253" t="s">
        <v>218</v>
      </c>
      <c r="C36" s="254">
        <f>'Current Rents'!G27</f>
        <v>870</v>
      </c>
      <c r="D36" s="254">
        <v>1818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1430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1431</v>
      </c>
      <c r="AF1" s="325"/>
    </row>
    <row r="2" spans="1:32" ht="20.100000000000001" customHeight="1">
      <c r="A2" s="324" t="s">
        <v>1432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1433</v>
      </c>
      <c r="D6" s="325"/>
      <c r="E6" s="234" t="s">
        <v>1434</v>
      </c>
      <c r="F6" s="234" t="s">
        <v>1435</v>
      </c>
      <c r="G6" s="234" t="s">
        <v>1310</v>
      </c>
      <c r="H6" s="234" t="s">
        <v>1436</v>
      </c>
      <c r="I6" s="234" t="s">
        <v>308</v>
      </c>
      <c r="J6" s="234" t="s">
        <v>1437</v>
      </c>
      <c r="K6" s="234" t="s">
        <v>1438</v>
      </c>
      <c r="L6" s="234" t="s">
        <v>1439</v>
      </c>
      <c r="M6" s="235" t="str">
        <f>'Current Rents'!D28</f>
        <v>—</v>
      </c>
      <c r="N6" s="234" t="s">
        <v>1440</v>
      </c>
      <c r="O6" s="234" t="s">
        <v>1441</v>
      </c>
      <c r="P6" s="234" t="s">
        <v>1442</v>
      </c>
      <c r="Q6" s="235">
        <f>'Current Rents'!E28</f>
        <v>894</v>
      </c>
      <c r="R6" s="234" t="s">
        <v>1443</v>
      </c>
      <c r="S6" s="234" t="s">
        <v>1444</v>
      </c>
      <c r="T6" s="234" t="s">
        <v>1445</v>
      </c>
      <c r="U6" s="235">
        <f>'Current Rents'!F28</f>
        <v>982</v>
      </c>
      <c r="V6" s="234" t="s">
        <v>1446</v>
      </c>
      <c r="W6" s="234" t="s">
        <v>432</v>
      </c>
      <c r="X6" s="234" t="s">
        <v>504</v>
      </c>
      <c r="Y6" s="234" t="s">
        <v>315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1447</v>
      </c>
      <c r="D7" s="325"/>
      <c r="E7" s="216" t="s">
        <v>1448</v>
      </c>
      <c r="F7" s="216" t="s">
        <v>1435</v>
      </c>
      <c r="G7" s="216" t="s">
        <v>1310</v>
      </c>
      <c r="H7" s="216" t="s">
        <v>1436</v>
      </c>
      <c r="I7" s="216" t="s">
        <v>366</v>
      </c>
      <c r="J7" s="216" t="s">
        <v>1437</v>
      </c>
      <c r="K7" s="216" t="s">
        <v>1438</v>
      </c>
      <c r="L7" s="216" t="s">
        <v>1439</v>
      </c>
      <c r="M7" s="216" t="s">
        <v>326</v>
      </c>
      <c r="N7" s="216" t="s">
        <v>1440</v>
      </c>
      <c r="O7" s="216" t="s">
        <v>1441</v>
      </c>
      <c r="P7" s="216" t="s">
        <v>1442</v>
      </c>
      <c r="Q7" s="216" t="s">
        <v>326</v>
      </c>
      <c r="R7" s="216" t="s">
        <v>1443</v>
      </c>
      <c r="S7" s="216" t="s">
        <v>1444</v>
      </c>
      <c r="T7" s="216" t="s">
        <v>1445</v>
      </c>
      <c r="U7" s="216" t="s">
        <v>326</v>
      </c>
      <c r="V7" s="216" t="s">
        <v>593</v>
      </c>
      <c r="W7" s="216" t="s">
        <v>1449</v>
      </c>
      <c r="X7" s="216" t="s">
        <v>319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1450</v>
      </c>
      <c r="AF7" s="216" t="s">
        <v>329</v>
      </c>
    </row>
    <row r="8" spans="1:32" ht="20.100000000000001" customHeight="1">
      <c r="A8" s="216">
        <v>2</v>
      </c>
      <c r="B8" s="236" t="s">
        <v>320</v>
      </c>
      <c r="C8" s="317" t="s">
        <v>1451</v>
      </c>
      <c r="D8" s="325"/>
      <c r="E8" s="216" t="s">
        <v>1452</v>
      </c>
      <c r="F8" s="216" t="s">
        <v>1453</v>
      </c>
      <c r="G8" s="216" t="s">
        <v>1310</v>
      </c>
      <c r="H8" s="216" t="s">
        <v>1454</v>
      </c>
      <c r="I8" s="216" t="s">
        <v>1455</v>
      </c>
      <c r="J8" s="216" t="s">
        <v>1437</v>
      </c>
      <c r="K8" s="216" t="s">
        <v>1438</v>
      </c>
      <c r="L8" s="216" t="s">
        <v>1439</v>
      </c>
      <c r="M8" s="216" t="s">
        <v>326</v>
      </c>
      <c r="N8" s="216" t="s">
        <v>1440</v>
      </c>
      <c r="O8" s="216" t="s">
        <v>1441</v>
      </c>
      <c r="P8" s="216" t="s">
        <v>1442</v>
      </c>
      <c r="Q8" s="216" t="s">
        <v>326</v>
      </c>
      <c r="R8" s="216" t="s">
        <v>1443</v>
      </c>
      <c r="S8" s="216" t="s">
        <v>1444</v>
      </c>
      <c r="T8" s="216" t="s">
        <v>1445</v>
      </c>
      <c r="U8" s="216" t="s">
        <v>326</v>
      </c>
      <c r="V8" s="216" t="s">
        <v>789</v>
      </c>
      <c r="W8" s="216" t="s">
        <v>432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8" t="s">
        <v>341</v>
      </c>
      <c r="AE8" s="216" t="s">
        <v>1456</v>
      </c>
      <c r="AF8" s="216" t="s">
        <v>329</v>
      </c>
    </row>
    <row r="9" spans="1:32" ht="20.100000000000001" customHeight="1">
      <c r="A9" s="216">
        <v>3</v>
      </c>
      <c r="B9" s="236" t="s">
        <v>320</v>
      </c>
      <c r="C9" s="317" t="s">
        <v>1457</v>
      </c>
      <c r="D9" s="325"/>
      <c r="E9" s="216" t="s">
        <v>1458</v>
      </c>
      <c r="F9" s="216" t="s">
        <v>1459</v>
      </c>
      <c r="G9" s="216" t="s">
        <v>1310</v>
      </c>
      <c r="H9" s="216" t="s">
        <v>1460</v>
      </c>
      <c r="I9" s="216" t="s">
        <v>1461</v>
      </c>
      <c r="J9" s="216" t="s">
        <v>1437</v>
      </c>
      <c r="K9" s="216" t="s">
        <v>1438</v>
      </c>
      <c r="L9" s="216" t="s">
        <v>1439</v>
      </c>
      <c r="M9" s="216" t="s">
        <v>1462</v>
      </c>
      <c r="N9" s="216" t="s">
        <v>1440</v>
      </c>
      <c r="O9" s="216" t="s">
        <v>1441</v>
      </c>
      <c r="P9" s="216" t="s">
        <v>1442</v>
      </c>
      <c r="Q9" s="216" t="s">
        <v>1463</v>
      </c>
      <c r="R9" s="216" t="s">
        <v>1443</v>
      </c>
      <c r="S9" s="216" t="s">
        <v>1444</v>
      </c>
      <c r="T9" s="216" t="s">
        <v>1445</v>
      </c>
      <c r="U9" s="216" t="s">
        <v>326</v>
      </c>
      <c r="V9" s="216" t="s">
        <v>605</v>
      </c>
      <c r="W9" s="216" t="s">
        <v>1464</v>
      </c>
      <c r="X9" s="216" t="s">
        <v>258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1465</v>
      </c>
      <c r="AF9" s="216" t="s">
        <v>329</v>
      </c>
    </row>
    <row r="10" spans="1:32" ht="20.100000000000001" customHeight="1">
      <c r="A10" s="216">
        <v>4</v>
      </c>
      <c r="B10" s="236" t="s">
        <v>320</v>
      </c>
      <c r="C10" s="317" t="s">
        <v>1466</v>
      </c>
      <c r="D10" s="325"/>
      <c r="E10" s="216" t="s">
        <v>1467</v>
      </c>
      <c r="F10" s="216" t="s">
        <v>1468</v>
      </c>
      <c r="G10" s="216" t="s">
        <v>1310</v>
      </c>
      <c r="H10" s="216" t="s">
        <v>1469</v>
      </c>
      <c r="I10" s="216" t="s">
        <v>1012</v>
      </c>
      <c r="J10" s="216" t="s">
        <v>1437</v>
      </c>
      <c r="K10" s="216" t="s">
        <v>1438</v>
      </c>
      <c r="L10" s="216" t="s">
        <v>1439</v>
      </c>
      <c r="M10" s="216" t="s">
        <v>326</v>
      </c>
      <c r="N10" s="216" t="s">
        <v>1440</v>
      </c>
      <c r="O10" s="216" t="s">
        <v>1441</v>
      </c>
      <c r="P10" s="216" t="s">
        <v>1442</v>
      </c>
      <c r="Q10" s="216" t="s">
        <v>326</v>
      </c>
      <c r="R10" s="216" t="s">
        <v>1443</v>
      </c>
      <c r="S10" s="216" t="s">
        <v>1444</v>
      </c>
      <c r="T10" s="216" t="s">
        <v>1445</v>
      </c>
      <c r="U10" s="216" t="s">
        <v>326</v>
      </c>
      <c r="V10" s="216" t="s">
        <v>620</v>
      </c>
      <c r="W10" s="216" t="s">
        <v>1449</v>
      </c>
      <c r="X10" s="216" t="s">
        <v>319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1470</v>
      </c>
      <c r="AF10" s="216" t="s">
        <v>1471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1472</v>
      </c>
      <c r="D12" s="320" t="s">
        <v>345</v>
      </c>
      <c r="E12" s="239" t="s">
        <v>1473</v>
      </c>
      <c r="F12" s="239" t="s">
        <v>1435</v>
      </c>
      <c r="G12" s="239" t="s">
        <v>1310</v>
      </c>
      <c r="H12" s="239" t="s">
        <v>1436</v>
      </c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850</v>
      </c>
      <c r="N12" s="239" t="s">
        <v>64</v>
      </c>
      <c r="O12" s="239" t="s">
        <v>64</v>
      </c>
      <c r="P12" s="239" t="s">
        <v>64</v>
      </c>
      <c r="Q12" s="241">
        <v>1050</v>
      </c>
      <c r="R12" s="239" t="s">
        <v>64</v>
      </c>
      <c r="S12" s="239" t="s">
        <v>64</v>
      </c>
      <c r="T12" s="239" t="s">
        <v>64</v>
      </c>
      <c r="U12" s="241">
        <v>1295</v>
      </c>
      <c r="V12" s="239" t="s">
        <v>64</v>
      </c>
      <c r="W12" s="239" t="s">
        <v>432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1474</v>
      </c>
      <c r="AF12" s="239" t="s">
        <v>1475</v>
      </c>
    </row>
    <row r="13" spans="1:32" ht="20.100000000000001" customHeight="1">
      <c r="A13" s="239">
        <v>2</v>
      </c>
      <c r="B13" s="240" t="s">
        <v>343</v>
      </c>
      <c r="C13" s="237" t="s">
        <v>1476</v>
      </c>
      <c r="D13" s="325"/>
      <c r="E13" s="239" t="s">
        <v>1477</v>
      </c>
      <c r="F13" s="239" t="s">
        <v>1435</v>
      </c>
      <c r="G13" s="239" t="s">
        <v>1310</v>
      </c>
      <c r="H13" s="239" t="s">
        <v>1436</v>
      </c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939</v>
      </c>
      <c r="N13" s="239" t="s">
        <v>64</v>
      </c>
      <c r="O13" s="239" t="s">
        <v>64</v>
      </c>
      <c r="P13" s="239" t="s">
        <v>64</v>
      </c>
      <c r="Q13" s="241">
        <v>1089</v>
      </c>
      <c r="R13" s="239" t="s">
        <v>64</v>
      </c>
      <c r="S13" s="239" t="s">
        <v>64</v>
      </c>
      <c r="T13" s="239" t="s">
        <v>64</v>
      </c>
      <c r="U13" s="241">
        <v>1325</v>
      </c>
      <c r="V13" s="239" t="s">
        <v>64</v>
      </c>
      <c r="W13" s="239" t="s">
        <v>442</v>
      </c>
      <c r="X13" s="239" t="s">
        <v>237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8" t="s">
        <v>341</v>
      </c>
      <c r="AE13" s="239" t="s">
        <v>1478</v>
      </c>
      <c r="AF13" s="239" t="s">
        <v>1479</v>
      </c>
    </row>
    <row r="14" spans="1:32" ht="20.100000000000001" customHeight="1">
      <c r="A14" s="239">
        <v>3</v>
      </c>
      <c r="B14" s="240" t="s">
        <v>343</v>
      </c>
      <c r="C14" s="237" t="s">
        <v>1480</v>
      </c>
      <c r="D14" s="325"/>
      <c r="E14" s="239" t="s">
        <v>1434</v>
      </c>
      <c r="F14" s="239" t="s">
        <v>1435</v>
      </c>
      <c r="G14" s="239" t="s">
        <v>1310</v>
      </c>
      <c r="H14" s="239" t="s">
        <v>1436</v>
      </c>
      <c r="I14" s="239" t="s">
        <v>640</v>
      </c>
      <c r="J14" s="239" t="s">
        <v>64</v>
      </c>
      <c r="K14" s="239" t="s">
        <v>64</v>
      </c>
      <c r="L14" s="239" t="s">
        <v>64</v>
      </c>
      <c r="M14" s="241">
        <v>800</v>
      </c>
      <c r="N14" s="239" t="s">
        <v>64</v>
      </c>
      <c r="O14" s="239" t="s">
        <v>64</v>
      </c>
      <c r="P14" s="239" t="s">
        <v>64</v>
      </c>
      <c r="Q14" s="241">
        <v>900</v>
      </c>
      <c r="R14" s="239" t="s">
        <v>64</v>
      </c>
      <c r="S14" s="239" t="s">
        <v>64</v>
      </c>
      <c r="T14" s="239" t="s">
        <v>64</v>
      </c>
      <c r="U14" s="241">
        <v>1000</v>
      </c>
      <c r="V14" s="239" t="s">
        <v>64</v>
      </c>
      <c r="W14" s="239" t="s">
        <v>419</v>
      </c>
      <c r="X14" s="239" t="s">
        <v>237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8" t="s">
        <v>341</v>
      </c>
      <c r="AE14" s="239" t="s">
        <v>1481</v>
      </c>
      <c r="AF14" s="239" t="s">
        <v>1479</v>
      </c>
    </row>
    <row r="15" spans="1:32" ht="20.100000000000001" customHeight="1">
      <c r="A15" s="239">
        <v>4</v>
      </c>
      <c r="B15" s="240" t="s">
        <v>343</v>
      </c>
      <c r="C15" s="237" t="s">
        <v>1482</v>
      </c>
      <c r="D15" s="325"/>
      <c r="E15" s="239" t="s">
        <v>1483</v>
      </c>
      <c r="F15" s="239" t="s">
        <v>1435</v>
      </c>
      <c r="G15" s="239" t="s">
        <v>1310</v>
      </c>
      <c r="H15" s="239" t="s">
        <v>1436</v>
      </c>
      <c r="I15" s="239" t="s">
        <v>366</v>
      </c>
      <c r="J15" s="239" t="s">
        <v>64</v>
      </c>
      <c r="K15" s="239" t="s">
        <v>64</v>
      </c>
      <c r="L15" s="239" t="s">
        <v>64</v>
      </c>
      <c r="M15" s="241">
        <v>850</v>
      </c>
      <c r="N15" s="239" t="s">
        <v>64</v>
      </c>
      <c r="O15" s="239" t="s">
        <v>64</v>
      </c>
      <c r="P15" s="239" t="s">
        <v>64</v>
      </c>
      <c r="Q15" s="241">
        <v>1275</v>
      </c>
      <c r="R15" s="239" t="s">
        <v>64</v>
      </c>
      <c r="S15" s="239" t="s">
        <v>64</v>
      </c>
      <c r="T15" s="239" t="s">
        <v>64</v>
      </c>
      <c r="U15" s="241">
        <v>1300</v>
      </c>
      <c r="V15" s="239" t="s">
        <v>64</v>
      </c>
      <c r="W15" s="239" t="s">
        <v>442</v>
      </c>
      <c r="X15" s="239" t="s">
        <v>237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1484</v>
      </c>
      <c r="AF15" s="239" t="s">
        <v>1485</v>
      </c>
    </row>
    <row r="16" spans="1:32" ht="20.100000000000001" customHeight="1">
      <c r="A16" s="239">
        <v>5</v>
      </c>
      <c r="B16" s="240" t="s">
        <v>343</v>
      </c>
      <c r="C16" s="237" t="s">
        <v>1486</v>
      </c>
      <c r="D16" s="325"/>
      <c r="E16" s="239" t="s">
        <v>1487</v>
      </c>
      <c r="F16" s="239" t="s">
        <v>1435</v>
      </c>
      <c r="G16" s="239" t="s">
        <v>1310</v>
      </c>
      <c r="H16" s="239" t="s">
        <v>1436</v>
      </c>
      <c r="I16" s="239" t="s">
        <v>634</v>
      </c>
      <c r="J16" s="239" t="s">
        <v>64</v>
      </c>
      <c r="K16" s="239" t="s">
        <v>64</v>
      </c>
      <c r="L16" s="239" t="s">
        <v>64</v>
      </c>
      <c r="M16" s="241">
        <v>1325</v>
      </c>
      <c r="N16" s="239" t="s">
        <v>64</v>
      </c>
      <c r="O16" s="239" t="s">
        <v>64</v>
      </c>
      <c r="P16" s="239" t="s">
        <v>64</v>
      </c>
      <c r="Q16" s="241">
        <v>1575</v>
      </c>
      <c r="R16" s="239" t="s">
        <v>64</v>
      </c>
      <c r="S16" s="239" t="s">
        <v>64</v>
      </c>
      <c r="T16" s="239" t="s">
        <v>64</v>
      </c>
      <c r="U16" s="241">
        <v>1735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1488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1489</v>
      </c>
      <c r="D17" s="325"/>
      <c r="E17" s="239" t="s">
        <v>1489</v>
      </c>
      <c r="F17" s="239" t="s">
        <v>1435</v>
      </c>
      <c r="G17" s="239" t="s">
        <v>1310</v>
      </c>
      <c r="H17" s="239" t="s">
        <v>1436</v>
      </c>
      <c r="I17" s="239" t="s">
        <v>971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1250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1490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1491</v>
      </c>
      <c r="D19" s="325"/>
      <c r="E19" s="217" t="s">
        <v>64</v>
      </c>
      <c r="F19" s="217" t="s">
        <v>1435</v>
      </c>
      <c r="G19" s="217" t="s">
        <v>1310</v>
      </c>
      <c r="H19" s="217"/>
      <c r="I19" s="217"/>
      <c r="J19" s="217"/>
      <c r="K19" s="217"/>
      <c r="L19" s="217" t="s">
        <v>1439</v>
      </c>
      <c r="M19" s="217"/>
      <c r="N19" s="217"/>
      <c r="O19" s="217"/>
      <c r="P19" s="217" t="s">
        <v>1442</v>
      </c>
      <c r="Q19" s="217"/>
      <c r="R19" s="217"/>
      <c r="S19" s="217"/>
      <c r="T19" s="217" t="s">
        <v>1445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1492</v>
      </c>
      <c r="D20" s="325"/>
      <c r="E20" s="218" t="s">
        <v>64</v>
      </c>
      <c r="F20" s="218" t="s">
        <v>1435</v>
      </c>
      <c r="G20" s="218" t="s">
        <v>1310</v>
      </c>
      <c r="H20" s="218"/>
      <c r="I20" s="218"/>
      <c r="J20" s="218"/>
      <c r="K20" s="218"/>
      <c r="L20" s="218"/>
      <c r="M20" s="245">
        <v>953</v>
      </c>
      <c r="N20" s="218"/>
      <c r="O20" s="218"/>
      <c r="P20" s="218"/>
      <c r="Q20" s="245">
        <v>1190</v>
      </c>
      <c r="R20" s="218"/>
      <c r="S20" s="218"/>
      <c r="T20" s="218"/>
      <c r="U20" s="245">
        <v>1331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4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>
      <c r="A22" s="342" t="s">
        <v>1103</v>
      </c>
      <c r="B22" s="325"/>
      <c r="C22" s="325"/>
      <c r="D22" s="325"/>
      <c r="E22" s="325"/>
      <c r="F22" s="325"/>
      <c r="G22" s="325"/>
      <c r="H22" s="325"/>
      <c r="I22" s="341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41"/>
      <c r="Y22" s="341"/>
      <c r="Z22" s="341"/>
      <c r="AA22" s="341"/>
      <c r="AB22" s="341"/>
      <c r="AC22" s="341"/>
      <c r="AD22" s="325"/>
      <c r="AE22" s="325"/>
      <c r="AF22" s="325"/>
    </row>
    <row r="23" spans="1:32" ht="18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15.7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15.7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 ht="20.25" customHeight="1">
      <c r="A27" s="247" t="s">
        <v>221</v>
      </c>
      <c r="B27" s="248" t="str">
        <f>'Current Rents'!D28</f>
        <v>—</v>
      </c>
      <c r="C27" s="249">
        <v>953</v>
      </c>
      <c r="D27" s="255"/>
      <c r="E27" s="251" t="e">
        <f>B27-C27</f>
        <v>#VALUE!</v>
      </c>
      <c r="F27" s="252" t="e">
        <f>IF(E27&lt;-75,"LOOK INTO INCREASING THE RENT!","")</f>
        <v>#VALUE!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</row>
    <row r="28" spans="1:32" ht="20.25" customHeight="1">
      <c r="A28" s="247" t="s">
        <v>215</v>
      </c>
      <c r="B28" s="248">
        <f>'Current Rents'!E28</f>
        <v>894</v>
      </c>
      <c r="C28" s="249">
        <v>1190</v>
      </c>
      <c r="D28" s="255"/>
      <c r="E28" s="251">
        <f>B28-C28</f>
        <v>-296</v>
      </c>
      <c r="F28" s="252" t="str">
        <f>IF(E28&lt;-75,"LOOK INTO INCREASING THE RENT!","")</f>
        <v>LOOK INTO INCREASING THE RENT!</v>
      </c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</row>
    <row r="29" spans="1:32">
      <c r="A29" s="247" t="s">
        <v>216</v>
      </c>
      <c r="B29" s="248">
        <f>'Current Rents'!F28</f>
        <v>982</v>
      </c>
      <c r="C29" s="249">
        <v>1331</v>
      </c>
      <c r="D29" s="250"/>
      <c r="E29" s="251">
        <f>B29-C29</f>
        <v>-349</v>
      </c>
      <c r="F29" s="252" t="str">
        <f>IF(E29&lt;-75,"LOOK INTO INCREASING THE RENT!","")</f>
        <v>LOOK INTO INCREASING THE RENT!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 t="str">
        <f>'Current Rents'!D28</f>
        <v>—</v>
      </c>
      <c r="D34" s="254">
        <v>739</v>
      </c>
    </row>
    <row r="35" spans="1:6">
      <c r="A35" s="253" t="s">
        <v>215</v>
      </c>
      <c r="C35" s="254">
        <f>'Current Rents'!E28</f>
        <v>894</v>
      </c>
      <c r="D35" s="254">
        <v>1012</v>
      </c>
    </row>
    <row r="36" spans="1:6">
      <c r="A36" s="253" t="s">
        <v>216</v>
      </c>
      <c r="C36" s="254">
        <f>'Current Rents'!F28</f>
        <v>982</v>
      </c>
      <c r="D36" s="254">
        <v>1264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1493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1494</v>
      </c>
      <c r="AB1" s="325"/>
    </row>
    <row r="2" spans="1:28" ht="20.100000000000001" customHeight="1">
      <c r="A2" s="324" t="s">
        <v>1495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287</v>
      </c>
      <c r="K5" s="231" t="s">
        <v>288</v>
      </c>
      <c r="L5" s="231" t="s">
        <v>289</v>
      </c>
      <c r="M5" s="232" t="s">
        <v>403</v>
      </c>
      <c r="N5" s="231" t="s">
        <v>738</v>
      </c>
      <c r="O5" s="231" t="s">
        <v>739</v>
      </c>
      <c r="P5" s="231" t="s">
        <v>740</v>
      </c>
      <c r="Q5" s="232" t="s">
        <v>741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1496</v>
      </c>
      <c r="D6" s="325"/>
      <c r="E6" s="234" t="s">
        <v>1308</v>
      </c>
      <c r="F6" s="234" t="s">
        <v>1309</v>
      </c>
      <c r="G6" s="234" t="s">
        <v>1310</v>
      </c>
      <c r="H6" s="234" t="s">
        <v>1311</v>
      </c>
      <c r="I6" s="234" t="s">
        <v>308</v>
      </c>
      <c r="J6" s="234" t="s">
        <v>1316</v>
      </c>
      <c r="K6" s="234" t="s">
        <v>1317</v>
      </c>
      <c r="L6" s="234" t="s">
        <v>1191</v>
      </c>
      <c r="M6" s="235">
        <f>'Current Rents'!F29</f>
        <v>0</v>
      </c>
      <c r="N6" s="234" t="s">
        <v>1368</v>
      </c>
      <c r="O6" s="234" t="s">
        <v>1369</v>
      </c>
      <c r="P6" s="234" t="s">
        <v>592</v>
      </c>
      <c r="Q6" s="235">
        <f>'Current Rents'!G29</f>
        <v>0</v>
      </c>
      <c r="R6" s="234" t="s">
        <v>1497</v>
      </c>
      <c r="S6" s="234" t="s">
        <v>503</v>
      </c>
      <c r="T6" s="234" t="s">
        <v>504</v>
      </c>
      <c r="U6" s="234" t="s">
        <v>315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1319</v>
      </c>
      <c r="D7" s="325"/>
      <c r="E7" s="216" t="s">
        <v>1320</v>
      </c>
      <c r="F7" s="216" t="s">
        <v>1309</v>
      </c>
      <c r="G7" s="216" t="s">
        <v>1310</v>
      </c>
      <c r="H7" s="216" t="s">
        <v>1311</v>
      </c>
      <c r="I7" s="216" t="s">
        <v>436</v>
      </c>
      <c r="J7" s="216" t="s">
        <v>1316</v>
      </c>
      <c r="K7" s="216" t="s">
        <v>1317</v>
      </c>
      <c r="L7" s="216" t="s">
        <v>1191</v>
      </c>
      <c r="M7" s="216" t="s">
        <v>326</v>
      </c>
      <c r="N7" s="216" t="s">
        <v>1368</v>
      </c>
      <c r="O7" s="216" t="s">
        <v>1369</v>
      </c>
      <c r="P7" s="216" t="s">
        <v>592</v>
      </c>
      <c r="Q7" s="216" t="s">
        <v>326</v>
      </c>
      <c r="R7" s="216" t="s">
        <v>1329</v>
      </c>
      <c r="S7" s="216" t="s">
        <v>449</v>
      </c>
      <c r="T7" s="216" t="s">
        <v>258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1498</v>
      </c>
      <c r="AB7" s="216" t="s">
        <v>1325</v>
      </c>
    </row>
    <row r="8" spans="1:28" ht="20.100000000000001" customHeight="1">
      <c r="A8" s="216">
        <v>2</v>
      </c>
      <c r="B8" s="236" t="s">
        <v>320</v>
      </c>
      <c r="C8" s="317" t="s">
        <v>1331</v>
      </c>
      <c r="D8" s="325"/>
      <c r="E8" s="216" t="s">
        <v>1332</v>
      </c>
      <c r="F8" s="216" t="s">
        <v>1333</v>
      </c>
      <c r="G8" s="216" t="s">
        <v>1310</v>
      </c>
      <c r="H8" s="216" t="s">
        <v>1334</v>
      </c>
      <c r="I8" s="216" t="s">
        <v>1222</v>
      </c>
      <c r="J8" s="216" t="s">
        <v>1316</v>
      </c>
      <c r="K8" s="216" t="s">
        <v>1317</v>
      </c>
      <c r="L8" s="216" t="s">
        <v>1191</v>
      </c>
      <c r="M8" s="216" t="s">
        <v>326</v>
      </c>
      <c r="N8" s="216" t="s">
        <v>1368</v>
      </c>
      <c r="O8" s="216" t="s">
        <v>1369</v>
      </c>
      <c r="P8" s="216" t="s">
        <v>592</v>
      </c>
      <c r="Q8" s="216" t="s">
        <v>326</v>
      </c>
      <c r="R8" s="216" t="s">
        <v>1499</v>
      </c>
      <c r="S8" s="216" t="s">
        <v>419</v>
      </c>
      <c r="T8" s="216" t="s">
        <v>363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1500</v>
      </c>
      <c r="AB8" s="216" t="s">
        <v>329</v>
      </c>
    </row>
    <row r="9" spans="1:28" ht="20.100000000000001" customHeight="1">
      <c r="A9" s="216">
        <v>3</v>
      </c>
      <c r="B9" s="236" t="s">
        <v>320</v>
      </c>
      <c r="C9" s="317" t="s">
        <v>1501</v>
      </c>
      <c r="D9" s="325"/>
      <c r="E9" s="216" t="s">
        <v>1502</v>
      </c>
      <c r="F9" s="216" t="s">
        <v>1373</v>
      </c>
      <c r="G9" s="216" t="s">
        <v>1310</v>
      </c>
      <c r="H9" s="216" t="s">
        <v>1503</v>
      </c>
      <c r="I9" s="216" t="s">
        <v>1012</v>
      </c>
      <c r="J9" s="216" t="s">
        <v>1316</v>
      </c>
      <c r="K9" s="216" t="s">
        <v>1317</v>
      </c>
      <c r="L9" s="216" t="s">
        <v>1191</v>
      </c>
      <c r="M9" s="216" t="s">
        <v>326</v>
      </c>
      <c r="N9" s="216" t="s">
        <v>1368</v>
      </c>
      <c r="O9" s="216" t="s">
        <v>1369</v>
      </c>
      <c r="P9" s="216" t="s">
        <v>592</v>
      </c>
      <c r="Q9" s="216" t="s">
        <v>326</v>
      </c>
      <c r="R9" s="216" t="s">
        <v>1504</v>
      </c>
      <c r="S9" s="216" t="s">
        <v>449</v>
      </c>
      <c r="T9" s="216" t="s">
        <v>258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7" t="s">
        <v>327</v>
      </c>
      <c r="AA9" s="216" t="s">
        <v>1505</v>
      </c>
      <c r="AB9" s="216" t="s">
        <v>329</v>
      </c>
    </row>
    <row r="10" spans="1:28" ht="20.100000000000001" customHeight="1">
      <c r="A10" s="216">
        <v>4</v>
      </c>
      <c r="B10" s="236" t="s">
        <v>320</v>
      </c>
      <c r="C10" s="317" t="s">
        <v>1337</v>
      </c>
      <c r="D10" s="325"/>
      <c r="E10" s="216" t="s">
        <v>1338</v>
      </c>
      <c r="F10" s="216" t="s">
        <v>1309</v>
      </c>
      <c r="G10" s="216" t="s">
        <v>1310</v>
      </c>
      <c r="H10" s="216" t="s">
        <v>1311</v>
      </c>
      <c r="I10" s="216" t="s">
        <v>373</v>
      </c>
      <c r="J10" s="216" t="s">
        <v>1316</v>
      </c>
      <c r="K10" s="216" t="s">
        <v>1317</v>
      </c>
      <c r="L10" s="216" t="s">
        <v>1191</v>
      </c>
      <c r="M10" s="216" t="s">
        <v>326</v>
      </c>
      <c r="N10" s="216" t="s">
        <v>1368</v>
      </c>
      <c r="O10" s="216" t="s">
        <v>1369</v>
      </c>
      <c r="P10" s="216" t="s">
        <v>592</v>
      </c>
      <c r="Q10" s="216" t="s">
        <v>326</v>
      </c>
      <c r="R10" s="216" t="s">
        <v>1499</v>
      </c>
      <c r="S10" s="216" t="s">
        <v>532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7" t="s">
        <v>327</v>
      </c>
      <c r="AA10" s="216" t="s">
        <v>1506</v>
      </c>
      <c r="AB10" s="216" t="s">
        <v>1341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1342</v>
      </c>
      <c r="D12" s="320" t="s">
        <v>345</v>
      </c>
      <c r="E12" s="239" t="s">
        <v>1343</v>
      </c>
      <c r="F12" s="239" t="s">
        <v>1309</v>
      </c>
      <c r="G12" s="239" t="s">
        <v>1310</v>
      </c>
      <c r="H12" s="239" t="s">
        <v>1311</v>
      </c>
      <c r="I12" s="239" t="s">
        <v>448</v>
      </c>
      <c r="J12" s="239" t="s">
        <v>64</v>
      </c>
      <c r="K12" s="239" t="s">
        <v>64</v>
      </c>
      <c r="L12" s="239" t="s">
        <v>64</v>
      </c>
      <c r="M12" s="241">
        <v>2100</v>
      </c>
      <c r="N12" s="239" t="s">
        <v>64</v>
      </c>
      <c r="O12" s="239" t="s">
        <v>64</v>
      </c>
      <c r="P12" s="239" t="s">
        <v>64</v>
      </c>
      <c r="Q12" s="242" t="s">
        <v>326</v>
      </c>
      <c r="R12" s="239" t="s">
        <v>64</v>
      </c>
      <c r="S12" s="239" t="s">
        <v>503</v>
      </c>
      <c r="T12" s="239" t="s">
        <v>504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1344</v>
      </c>
      <c r="AB12" s="239" t="s">
        <v>1345</v>
      </c>
    </row>
    <row r="13" spans="1:28" ht="20.100000000000001" customHeight="1">
      <c r="A13" s="239">
        <v>2</v>
      </c>
      <c r="B13" s="240" t="s">
        <v>343</v>
      </c>
      <c r="C13" s="237" t="s">
        <v>1507</v>
      </c>
      <c r="D13" s="325"/>
      <c r="E13" s="239" t="s">
        <v>1507</v>
      </c>
      <c r="F13" s="239" t="s">
        <v>1309</v>
      </c>
      <c r="G13" s="239" t="s">
        <v>1310</v>
      </c>
      <c r="H13" s="239" t="s">
        <v>1311</v>
      </c>
      <c r="I13" s="239" t="s">
        <v>922</v>
      </c>
      <c r="J13" s="239" t="s">
        <v>64</v>
      </c>
      <c r="K13" s="239" t="s">
        <v>64</v>
      </c>
      <c r="L13" s="239" t="s">
        <v>64</v>
      </c>
      <c r="M13" s="241">
        <v>2000</v>
      </c>
      <c r="N13" s="239" t="s">
        <v>64</v>
      </c>
      <c r="O13" s="239" t="s">
        <v>64</v>
      </c>
      <c r="P13" s="239" t="s">
        <v>64</v>
      </c>
      <c r="Q13" s="242" t="s">
        <v>326</v>
      </c>
      <c r="R13" s="239" t="s">
        <v>64</v>
      </c>
      <c r="S13" s="239" t="s">
        <v>816</v>
      </c>
      <c r="T13" s="239" t="s">
        <v>237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1508</v>
      </c>
      <c r="AB13" s="239" t="s">
        <v>1349</v>
      </c>
    </row>
    <row r="14" spans="1:28" ht="20.100000000000001" customHeight="1">
      <c r="A14" s="239">
        <v>3</v>
      </c>
      <c r="B14" s="240" t="s">
        <v>343</v>
      </c>
      <c r="C14" s="237" t="s">
        <v>1509</v>
      </c>
      <c r="D14" s="325"/>
      <c r="E14" s="239" t="s">
        <v>1509</v>
      </c>
      <c r="F14" s="239" t="s">
        <v>1309</v>
      </c>
      <c r="G14" s="239" t="s">
        <v>1310</v>
      </c>
      <c r="H14" s="239" t="s">
        <v>1311</v>
      </c>
      <c r="I14" s="239" t="s">
        <v>348</v>
      </c>
      <c r="J14" s="239" t="s">
        <v>64</v>
      </c>
      <c r="K14" s="239" t="s">
        <v>64</v>
      </c>
      <c r="L14" s="239" t="s">
        <v>64</v>
      </c>
      <c r="M14" s="241">
        <v>1800</v>
      </c>
      <c r="N14" s="239" t="s">
        <v>64</v>
      </c>
      <c r="O14" s="239" t="s">
        <v>64</v>
      </c>
      <c r="P14" s="239" t="s">
        <v>64</v>
      </c>
      <c r="Q14" s="242" t="s">
        <v>326</v>
      </c>
      <c r="R14" s="239" t="s">
        <v>64</v>
      </c>
      <c r="S14" s="239" t="s">
        <v>449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1510</v>
      </c>
      <c r="AB14" s="239" t="s">
        <v>1349</v>
      </c>
    </row>
    <row r="15" spans="1:28" ht="20.100000000000001" customHeight="1">
      <c r="A15" s="239">
        <v>4</v>
      </c>
      <c r="B15" s="240" t="s">
        <v>343</v>
      </c>
      <c r="C15" s="237" t="s">
        <v>1511</v>
      </c>
      <c r="D15" s="325"/>
      <c r="E15" s="239" t="s">
        <v>1511</v>
      </c>
      <c r="F15" s="239" t="s">
        <v>1309</v>
      </c>
      <c r="G15" s="239" t="s">
        <v>1310</v>
      </c>
      <c r="H15" s="239" t="s">
        <v>1311</v>
      </c>
      <c r="I15" s="239" t="s">
        <v>640</v>
      </c>
      <c r="J15" s="239" t="s">
        <v>64</v>
      </c>
      <c r="K15" s="239" t="s">
        <v>64</v>
      </c>
      <c r="L15" s="239" t="s">
        <v>64</v>
      </c>
      <c r="M15" s="241">
        <v>1550</v>
      </c>
      <c r="N15" s="239" t="s">
        <v>64</v>
      </c>
      <c r="O15" s="239" t="s">
        <v>64</v>
      </c>
      <c r="P15" s="239" t="s">
        <v>64</v>
      </c>
      <c r="Q15" s="241">
        <v>1900</v>
      </c>
      <c r="R15" s="239" t="s">
        <v>64</v>
      </c>
      <c r="S15" s="239" t="s">
        <v>1512</v>
      </c>
      <c r="T15" s="239" t="s">
        <v>258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1513</v>
      </c>
      <c r="AB15" s="239" t="s">
        <v>1349</v>
      </c>
    </row>
    <row r="16" spans="1:28" ht="20.100000000000001" customHeight="1">
      <c r="A16" s="239">
        <v>5</v>
      </c>
      <c r="B16" s="240" t="s">
        <v>343</v>
      </c>
      <c r="C16" s="237" t="s">
        <v>1514</v>
      </c>
      <c r="D16" s="325"/>
      <c r="E16" s="239" t="s">
        <v>1514</v>
      </c>
      <c r="F16" s="239" t="s">
        <v>1309</v>
      </c>
      <c r="G16" s="239" t="s">
        <v>1310</v>
      </c>
      <c r="H16" s="239" t="s">
        <v>1311</v>
      </c>
      <c r="I16" s="239" t="s">
        <v>1352</v>
      </c>
      <c r="J16" s="239" t="s">
        <v>64</v>
      </c>
      <c r="K16" s="239" t="s">
        <v>64</v>
      </c>
      <c r="L16" s="239" t="s">
        <v>64</v>
      </c>
      <c r="M16" s="241">
        <v>1700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382</v>
      </c>
      <c r="AA16" s="239" t="s">
        <v>1357</v>
      </c>
      <c r="AB16" s="239" t="s">
        <v>385</v>
      </c>
    </row>
    <row r="17" spans="1:28" ht="20.100000000000001" customHeight="1">
      <c r="A17" s="239">
        <v>6</v>
      </c>
      <c r="B17" s="240" t="s">
        <v>343</v>
      </c>
      <c r="C17" s="237" t="s">
        <v>1515</v>
      </c>
      <c r="D17" s="325"/>
      <c r="E17" s="239" t="s">
        <v>1515</v>
      </c>
      <c r="F17" s="239" t="s">
        <v>1309</v>
      </c>
      <c r="G17" s="239" t="s">
        <v>1310</v>
      </c>
      <c r="H17" s="239" t="s">
        <v>1311</v>
      </c>
      <c r="I17" s="239" t="s">
        <v>366</v>
      </c>
      <c r="J17" s="239" t="s">
        <v>64</v>
      </c>
      <c r="K17" s="239" t="s">
        <v>64</v>
      </c>
      <c r="L17" s="239" t="s">
        <v>64</v>
      </c>
      <c r="M17" s="241">
        <v>1650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382</v>
      </c>
      <c r="AA17" s="239" t="s">
        <v>1360</v>
      </c>
      <c r="AB17" s="239" t="s">
        <v>1100</v>
      </c>
    </row>
    <row r="18" spans="1:28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382</v>
      </c>
      <c r="C19" s="323" t="s">
        <v>1361</v>
      </c>
      <c r="D19" s="325"/>
      <c r="E19" s="217" t="s">
        <v>64</v>
      </c>
      <c r="F19" s="217" t="s">
        <v>1309</v>
      </c>
      <c r="G19" s="217" t="s">
        <v>1310</v>
      </c>
      <c r="H19" s="217"/>
      <c r="I19" s="217"/>
      <c r="J19" s="217"/>
      <c r="K19" s="217"/>
      <c r="L19" s="217" t="s">
        <v>1191</v>
      </c>
      <c r="M19" s="217"/>
      <c r="N19" s="217"/>
      <c r="O19" s="217"/>
      <c r="P19" s="217" t="s">
        <v>592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382</v>
      </c>
      <c r="C20" s="315" t="s">
        <v>1362</v>
      </c>
      <c r="D20" s="325"/>
      <c r="E20" s="218" t="s">
        <v>64</v>
      </c>
      <c r="F20" s="218" t="s">
        <v>1309</v>
      </c>
      <c r="G20" s="218" t="s">
        <v>1310</v>
      </c>
      <c r="H20" s="218"/>
      <c r="I20" s="218"/>
      <c r="J20" s="218"/>
      <c r="K20" s="218"/>
      <c r="L20" s="218"/>
      <c r="M20" s="245">
        <v>1800</v>
      </c>
      <c r="N20" s="218"/>
      <c r="O20" s="218"/>
      <c r="P20" s="218"/>
      <c r="Q20" s="245">
        <v>1900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216</v>
      </c>
      <c r="B27" s="248">
        <f>'Current Rents'!F29</f>
        <v>0</v>
      </c>
      <c r="C27" s="249">
        <v>1800</v>
      </c>
      <c r="D27" s="250"/>
      <c r="E27" s="251">
        <f>B27-C27</f>
        <v>-1800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218</v>
      </c>
      <c r="B28" s="248">
        <f>'Current Rents'!G29</f>
        <v>0</v>
      </c>
      <c r="C28" s="249">
        <v>1900</v>
      </c>
      <c r="D28" s="250"/>
      <c r="E28" s="251">
        <f>B28-C28</f>
        <v>-1900</v>
      </c>
      <c r="F28" s="252" t="str">
        <f>IF(E28&lt;-75,"LOOK INTO INCREASING THE RENT!","")</f>
        <v>LOOK INTO INCREASING THE RENT!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216</v>
      </c>
      <c r="C33" s="254">
        <f>'Current Rents'!F29</f>
        <v>0</v>
      </c>
      <c r="D33" s="254">
        <v>1573</v>
      </c>
    </row>
    <row r="34" spans="1:4">
      <c r="A34" s="253" t="s">
        <v>218</v>
      </c>
      <c r="C34" s="254">
        <f>'Current Rents'!G29</f>
        <v>0</v>
      </c>
      <c r="D34" s="254">
        <v>1818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1516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1517</v>
      </c>
      <c r="AF1" s="325"/>
    </row>
    <row r="2" spans="1:32" ht="20.100000000000001" customHeight="1">
      <c r="A2" s="324" t="s">
        <v>1518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1519</v>
      </c>
      <c r="D6" s="325"/>
      <c r="E6" s="234" t="s">
        <v>1520</v>
      </c>
      <c r="F6" s="234" t="s">
        <v>1521</v>
      </c>
      <c r="G6" s="234" t="s">
        <v>306</v>
      </c>
      <c r="H6" s="234" t="s">
        <v>1522</v>
      </c>
      <c r="I6" s="234" t="s">
        <v>308</v>
      </c>
      <c r="J6" s="234" t="s">
        <v>1523</v>
      </c>
      <c r="K6" s="234" t="s">
        <v>1524</v>
      </c>
      <c r="L6" s="234" t="s">
        <v>1525</v>
      </c>
      <c r="M6" s="235" t="str">
        <f>'Current Rents'!D30</f>
        <v>—</v>
      </c>
      <c r="N6" s="234" t="s">
        <v>1526</v>
      </c>
      <c r="O6" s="234" t="s">
        <v>1527</v>
      </c>
      <c r="P6" s="234" t="s">
        <v>1528</v>
      </c>
      <c r="Q6" s="235">
        <f>'Current Rents'!E30</f>
        <v>0</v>
      </c>
      <c r="R6" s="234" t="s">
        <v>1529</v>
      </c>
      <c r="S6" s="234" t="s">
        <v>1530</v>
      </c>
      <c r="T6" s="234" t="s">
        <v>1531</v>
      </c>
      <c r="U6" s="235">
        <f>'Current Rents'!F30</f>
        <v>1401</v>
      </c>
      <c r="V6" s="234" t="s">
        <v>789</v>
      </c>
      <c r="W6" s="234" t="s">
        <v>1532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315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1533</v>
      </c>
      <c r="D7" s="325"/>
      <c r="E7" s="216" t="s">
        <v>1534</v>
      </c>
      <c r="F7" s="216" t="s">
        <v>454</v>
      </c>
      <c r="G7" s="216" t="s">
        <v>306</v>
      </c>
      <c r="H7" s="216" t="s">
        <v>1535</v>
      </c>
      <c r="I7" s="216" t="s">
        <v>1536</v>
      </c>
      <c r="J7" s="216" t="s">
        <v>1523</v>
      </c>
      <c r="K7" s="216" t="s">
        <v>1524</v>
      </c>
      <c r="L7" s="216" t="s">
        <v>1525</v>
      </c>
      <c r="M7" s="216" t="s">
        <v>326</v>
      </c>
      <c r="N7" s="216" t="s">
        <v>1526</v>
      </c>
      <c r="O7" s="216" t="s">
        <v>1527</v>
      </c>
      <c r="P7" s="216" t="s">
        <v>1528</v>
      </c>
      <c r="Q7" s="216" t="s">
        <v>326</v>
      </c>
      <c r="R7" s="216" t="s">
        <v>1529</v>
      </c>
      <c r="S7" s="216" t="s">
        <v>1530</v>
      </c>
      <c r="T7" s="216" t="s">
        <v>1531</v>
      </c>
      <c r="U7" s="216" t="s">
        <v>1537</v>
      </c>
      <c r="V7" s="216" t="s">
        <v>1538</v>
      </c>
      <c r="W7" s="216" t="s">
        <v>1532</v>
      </c>
      <c r="X7" s="216" t="s">
        <v>504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8" t="s">
        <v>341</v>
      </c>
      <c r="AE7" s="216" t="s">
        <v>1539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1540</v>
      </c>
      <c r="D8" s="325"/>
      <c r="E8" s="216" t="s">
        <v>1541</v>
      </c>
      <c r="F8" s="216" t="s">
        <v>454</v>
      </c>
      <c r="G8" s="216" t="s">
        <v>306</v>
      </c>
      <c r="H8" s="216" t="s">
        <v>1542</v>
      </c>
      <c r="I8" s="216" t="s">
        <v>1543</v>
      </c>
      <c r="J8" s="216" t="s">
        <v>1523</v>
      </c>
      <c r="K8" s="216" t="s">
        <v>1524</v>
      </c>
      <c r="L8" s="216" t="s">
        <v>1525</v>
      </c>
      <c r="M8" s="216" t="s">
        <v>326</v>
      </c>
      <c r="N8" s="216" t="s">
        <v>1526</v>
      </c>
      <c r="O8" s="216" t="s">
        <v>1527</v>
      </c>
      <c r="P8" s="216" t="s">
        <v>1528</v>
      </c>
      <c r="Q8" s="216" t="s">
        <v>326</v>
      </c>
      <c r="R8" s="216" t="s">
        <v>1529</v>
      </c>
      <c r="S8" s="216" t="s">
        <v>1530</v>
      </c>
      <c r="T8" s="216" t="s">
        <v>1531</v>
      </c>
      <c r="U8" s="216" t="s">
        <v>326</v>
      </c>
      <c r="V8" s="216" t="s">
        <v>1504</v>
      </c>
      <c r="W8" s="216" t="s">
        <v>1532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8" t="s">
        <v>341</v>
      </c>
      <c r="AE8" s="216" t="s">
        <v>1544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1545</v>
      </c>
      <c r="D9" s="325"/>
      <c r="E9" s="216"/>
      <c r="F9" s="216" t="s">
        <v>1546</v>
      </c>
      <c r="G9" s="216" t="s">
        <v>306</v>
      </c>
      <c r="H9" s="216"/>
      <c r="I9" s="216" t="s">
        <v>64</v>
      </c>
      <c r="J9" s="216" t="s">
        <v>1523</v>
      </c>
      <c r="K9" s="216" t="s">
        <v>1524</v>
      </c>
      <c r="L9" s="216" t="s">
        <v>1525</v>
      </c>
      <c r="M9" s="216" t="s">
        <v>326</v>
      </c>
      <c r="N9" s="216" t="s">
        <v>1526</v>
      </c>
      <c r="O9" s="216" t="s">
        <v>1527</v>
      </c>
      <c r="P9" s="216" t="s">
        <v>1528</v>
      </c>
      <c r="Q9" s="216" t="s">
        <v>326</v>
      </c>
      <c r="R9" s="216" t="s">
        <v>1529</v>
      </c>
      <c r="S9" s="216" t="s">
        <v>1530</v>
      </c>
      <c r="T9" s="216" t="s">
        <v>1531</v>
      </c>
      <c r="U9" s="216" t="s">
        <v>326</v>
      </c>
      <c r="V9" s="216" t="s">
        <v>1547</v>
      </c>
      <c r="W9" s="216" t="s">
        <v>1548</v>
      </c>
      <c r="X9" s="216" t="s">
        <v>319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1549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1550</v>
      </c>
      <c r="D10" s="325"/>
      <c r="E10" s="216" t="s">
        <v>1551</v>
      </c>
      <c r="F10" s="216" t="s">
        <v>454</v>
      </c>
      <c r="G10" s="216" t="s">
        <v>306</v>
      </c>
      <c r="H10" s="216" t="s">
        <v>1542</v>
      </c>
      <c r="I10" s="216" t="s">
        <v>1552</v>
      </c>
      <c r="J10" s="216" t="s">
        <v>1523</v>
      </c>
      <c r="K10" s="216" t="s">
        <v>1524</v>
      </c>
      <c r="L10" s="216" t="s">
        <v>1525</v>
      </c>
      <c r="M10" s="216" t="s">
        <v>326</v>
      </c>
      <c r="N10" s="216" t="s">
        <v>1526</v>
      </c>
      <c r="O10" s="216" t="s">
        <v>1527</v>
      </c>
      <c r="P10" s="216" t="s">
        <v>1528</v>
      </c>
      <c r="Q10" s="216" t="s">
        <v>326</v>
      </c>
      <c r="R10" s="216" t="s">
        <v>1529</v>
      </c>
      <c r="S10" s="216" t="s">
        <v>1530</v>
      </c>
      <c r="T10" s="216" t="s">
        <v>1531</v>
      </c>
      <c r="U10" s="216" t="s">
        <v>326</v>
      </c>
      <c r="V10" s="216" t="s">
        <v>1553</v>
      </c>
      <c r="W10" s="216" t="s">
        <v>645</v>
      </c>
      <c r="X10" s="216" t="s">
        <v>258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8" t="s">
        <v>341</v>
      </c>
      <c r="AE10" s="216" t="s">
        <v>1554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1555</v>
      </c>
      <c r="D12" s="320" t="s">
        <v>345</v>
      </c>
      <c r="E12" s="239" t="s">
        <v>1556</v>
      </c>
      <c r="F12" s="239" t="s">
        <v>1521</v>
      </c>
      <c r="G12" s="239" t="s">
        <v>306</v>
      </c>
      <c r="H12" s="239" t="s">
        <v>1522</v>
      </c>
      <c r="I12" s="239" t="s">
        <v>366</v>
      </c>
      <c r="J12" s="239" t="s">
        <v>64</v>
      </c>
      <c r="K12" s="239" t="s">
        <v>64</v>
      </c>
      <c r="L12" s="239" t="s">
        <v>64</v>
      </c>
      <c r="M12" s="241">
        <v>880</v>
      </c>
      <c r="N12" s="239" t="s">
        <v>64</v>
      </c>
      <c r="O12" s="239" t="s">
        <v>64</v>
      </c>
      <c r="P12" s="239" t="s">
        <v>64</v>
      </c>
      <c r="Q12" s="241">
        <v>1295</v>
      </c>
      <c r="R12" s="239" t="s">
        <v>64</v>
      </c>
      <c r="S12" s="239" t="s">
        <v>64</v>
      </c>
      <c r="T12" s="239" t="s">
        <v>64</v>
      </c>
      <c r="U12" s="241">
        <v>1625</v>
      </c>
      <c r="V12" s="239" t="s">
        <v>64</v>
      </c>
      <c r="W12" s="239" t="s">
        <v>1532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1557</v>
      </c>
      <c r="AF12" s="239" t="s">
        <v>1558</v>
      </c>
    </row>
    <row r="13" spans="1:32" ht="20.100000000000001" customHeight="1">
      <c r="A13" s="239">
        <v>2</v>
      </c>
      <c r="B13" s="240" t="s">
        <v>343</v>
      </c>
      <c r="C13" s="237" t="s">
        <v>1559</v>
      </c>
      <c r="D13" s="325"/>
      <c r="E13" s="239" t="s">
        <v>1560</v>
      </c>
      <c r="F13" s="239" t="s">
        <v>1561</v>
      </c>
      <c r="G13" s="239" t="s">
        <v>306</v>
      </c>
      <c r="H13" s="239" t="s">
        <v>1562</v>
      </c>
      <c r="I13" s="239" t="s">
        <v>1563</v>
      </c>
      <c r="J13" s="239" t="s">
        <v>64</v>
      </c>
      <c r="K13" s="239" t="s">
        <v>64</v>
      </c>
      <c r="L13" s="239" t="s">
        <v>64</v>
      </c>
      <c r="M13" s="241">
        <v>850</v>
      </c>
      <c r="N13" s="239" t="s">
        <v>64</v>
      </c>
      <c r="O13" s="239" t="s">
        <v>64</v>
      </c>
      <c r="P13" s="239" t="s">
        <v>64</v>
      </c>
      <c r="Q13" s="241">
        <v>970</v>
      </c>
      <c r="R13" s="239" t="s">
        <v>64</v>
      </c>
      <c r="S13" s="239" t="s">
        <v>64</v>
      </c>
      <c r="T13" s="239" t="s">
        <v>64</v>
      </c>
      <c r="U13" s="241">
        <v>1150</v>
      </c>
      <c r="V13" s="239" t="s">
        <v>64</v>
      </c>
      <c r="W13" s="239" t="s">
        <v>1067</v>
      </c>
      <c r="X13" s="239" t="s">
        <v>237</v>
      </c>
      <c r="Y13" s="239" t="s">
        <v>316</v>
      </c>
      <c r="Z13" s="239" t="s">
        <v>315</v>
      </c>
      <c r="AA13" s="239" t="s">
        <v>315</v>
      </c>
      <c r="AB13" s="239" t="s">
        <v>315</v>
      </c>
      <c r="AC13" s="239" t="s">
        <v>315</v>
      </c>
      <c r="AD13" s="237" t="s">
        <v>327</v>
      </c>
      <c r="AE13" s="239" t="s">
        <v>1564</v>
      </c>
      <c r="AF13" s="239" t="s">
        <v>1565</v>
      </c>
    </row>
    <row r="14" spans="1:32" ht="20.100000000000001" customHeight="1">
      <c r="A14" s="239">
        <v>3</v>
      </c>
      <c r="B14" s="240" t="s">
        <v>343</v>
      </c>
      <c r="C14" s="237" t="s">
        <v>1566</v>
      </c>
      <c r="D14" s="325"/>
      <c r="E14" s="239" t="s">
        <v>1566</v>
      </c>
      <c r="F14" s="239" t="s">
        <v>1521</v>
      </c>
      <c r="G14" s="239" t="s">
        <v>306</v>
      </c>
      <c r="H14" s="239" t="s">
        <v>1522</v>
      </c>
      <c r="I14" s="239" t="s">
        <v>640</v>
      </c>
      <c r="J14" s="239" t="s">
        <v>64</v>
      </c>
      <c r="K14" s="239" t="s">
        <v>64</v>
      </c>
      <c r="L14" s="239" t="s">
        <v>64</v>
      </c>
      <c r="M14" s="241">
        <v>559</v>
      </c>
      <c r="N14" s="239" t="s">
        <v>64</v>
      </c>
      <c r="O14" s="239" t="s">
        <v>64</v>
      </c>
      <c r="P14" s="239" t="s">
        <v>64</v>
      </c>
      <c r="Q14" s="241">
        <v>1095</v>
      </c>
      <c r="R14" s="239" t="s">
        <v>64</v>
      </c>
      <c r="S14" s="239" t="s">
        <v>64</v>
      </c>
      <c r="T14" s="239" t="s">
        <v>64</v>
      </c>
      <c r="U14" s="242" t="s">
        <v>326</v>
      </c>
      <c r="V14" s="239" t="s">
        <v>224</v>
      </c>
      <c r="W14" s="239" t="s">
        <v>1057</v>
      </c>
      <c r="X14" s="239" t="s">
        <v>258</v>
      </c>
      <c r="Y14" s="239" t="s">
        <v>316</v>
      </c>
      <c r="Z14" s="239" t="s">
        <v>315</v>
      </c>
      <c r="AA14" s="239" t="s">
        <v>315</v>
      </c>
      <c r="AB14" s="239" t="s">
        <v>316</v>
      </c>
      <c r="AC14" s="239" t="s">
        <v>315</v>
      </c>
      <c r="AD14" s="237" t="s">
        <v>327</v>
      </c>
      <c r="AE14" s="239" t="s">
        <v>1567</v>
      </c>
      <c r="AF14" s="239" t="s">
        <v>1568</v>
      </c>
    </row>
    <row r="15" spans="1:32" ht="20.100000000000001" customHeight="1">
      <c r="A15" s="239">
        <v>4</v>
      </c>
      <c r="B15" s="240" t="s">
        <v>343</v>
      </c>
      <c r="C15" s="237" t="s">
        <v>1569</v>
      </c>
      <c r="D15" s="325"/>
      <c r="E15" s="239" t="s">
        <v>1569</v>
      </c>
      <c r="F15" s="239" t="s">
        <v>1521</v>
      </c>
      <c r="G15" s="239" t="s">
        <v>306</v>
      </c>
      <c r="H15" s="239" t="s">
        <v>1522</v>
      </c>
      <c r="I15" s="239" t="s">
        <v>1352</v>
      </c>
      <c r="J15" s="239" t="s">
        <v>64</v>
      </c>
      <c r="K15" s="239" t="s">
        <v>64</v>
      </c>
      <c r="L15" s="239" t="s">
        <v>64</v>
      </c>
      <c r="M15" s="241">
        <v>475</v>
      </c>
      <c r="N15" s="239" t="s">
        <v>64</v>
      </c>
      <c r="O15" s="239" t="s">
        <v>64</v>
      </c>
      <c r="P15" s="239" t="s">
        <v>64</v>
      </c>
      <c r="Q15" s="241">
        <v>1175</v>
      </c>
      <c r="R15" s="239" t="s">
        <v>64</v>
      </c>
      <c r="S15" s="239" t="s">
        <v>64</v>
      </c>
      <c r="T15" s="239" t="s">
        <v>64</v>
      </c>
      <c r="U15" s="242" t="s">
        <v>326</v>
      </c>
      <c r="V15" s="239" t="s">
        <v>1141</v>
      </c>
      <c r="W15" s="239" t="s">
        <v>645</v>
      </c>
      <c r="X15" s="239" t="s">
        <v>258</v>
      </c>
      <c r="Y15" s="239" t="s">
        <v>316</v>
      </c>
      <c r="Z15" s="239" t="s">
        <v>315</v>
      </c>
      <c r="AA15" s="239" t="s">
        <v>315</v>
      </c>
      <c r="AB15" s="239" t="s">
        <v>316</v>
      </c>
      <c r="AC15" s="239" t="s">
        <v>315</v>
      </c>
      <c r="AD15" s="237" t="s">
        <v>327</v>
      </c>
      <c r="AE15" s="239" t="s">
        <v>1570</v>
      </c>
      <c r="AF15" s="239" t="s">
        <v>1571</v>
      </c>
    </row>
    <row r="16" spans="1:32" ht="20.100000000000001" customHeight="1">
      <c r="A16" s="239">
        <v>5</v>
      </c>
      <c r="B16" s="240" t="s">
        <v>343</v>
      </c>
      <c r="C16" s="237" t="s">
        <v>1572</v>
      </c>
      <c r="D16" s="325"/>
      <c r="E16" s="239" t="s">
        <v>1572</v>
      </c>
      <c r="F16" s="239" t="s">
        <v>1521</v>
      </c>
      <c r="G16" s="239" t="s">
        <v>306</v>
      </c>
      <c r="H16" s="239" t="s">
        <v>1522</v>
      </c>
      <c r="I16" s="239" t="s">
        <v>418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41">
        <v>1500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1573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1574</v>
      </c>
      <c r="D17" s="325"/>
      <c r="E17" s="239" t="s">
        <v>1575</v>
      </c>
      <c r="F17" s="239" t="s">
        <v>1521</v>
      </c>
      <c r="G17" s="239" t="s">
        <v>306</v>
      </c>
      <c r="H17" s="239" t="s">
        <v>1522</v>
      </c>
      <c r="I17" s="239" t="s">
        <v>955</v>
      </c>
      <c r="J17" s="239" t="s">
        <v>64</v>
      </c>
      <c r="K17" s="239" t="s">
        <v>64</v>
      </c>
      <c r="L17" s="239" t="s">
        <v>64</v>
      </c>
      <c r="M17" s="241">
        <v>920</v>
      </c>
      <c r="N17" s="239" t="s">
        <v>64</v>
      </c>
      <c r="O17" s="239" t="s">
        <v>64</v>
      </c>
      <c r="P17" s="239" t="s">
        <v>64</v>
      </c>
      <c r="Q17" s="241">
        <v>1098</v>
      </c>
      <c r="R17" s="239" t="s">
        <v>64</v>
      </c>
      <c r="S17" s="239" t="s">
        <v>64</v>
      </c>
      <c r="T17" s="239" t="s">
        <v>64</v>
      </c>
      <c r="U17" s="241">
        <v>1260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1576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1577</v>
      </c>
      <c r="D19" s="325"/>
      <c r="E19" s="217" t="s">
        <v>64</v>
      </c>
      <c r="F19" s="217" t="s">
        <v>1521</v>
      </c>
      <c r="G19" s="217" t="s">
        <v>306</v>
      </c>
      <c r="H19" s="217"/>
      <c r="I19" s="217"/>
      <c r="J19" s="217"/>
      <c r="K19" s="217"/>
      <c r="L19" s="217" t="s">
        <v>1525</v>
      </c>
      <c r="M19" s="217"/>
      <c r="N19" s="217"/>
      <c r="O19" s="217"/>
      <c r="P19" s="217" t="s">
        <v>1528</v>
      </c>
      <c r="Q19" s="217"/>
      <c r="R19" s="217"/>
      <c r="S19" s="217"/>
      <c r="T19" s="217" t="s">
        <v>1531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1578</v>
      </c>
      <c r="D20" s="325"/>
      <c r="E20" s="218" t="s">
        <v>64</v>
      </c>
      <c r="F20" s="218" t="s">
        <v>1521</v>
      </c>
      <c r="G20" s="218" t="s">
        <v>306</v>
      </c>
      <c r="H20" s="218"/>
      <c r="I20" s="218"/>
      <c r="J20" s="218"/>
      <c r="K20" s="218"/>
      <c r="L20" s="218"/>
      <c r="M20" s="245">
        <v>737</v>
      </c>
      <c r="N20" s="218"/>
      <c r="O20" s="218"/>
      <c r="P20" s="218"/>
      <c r="Q20" s="245">
        <v>1127</v>
      </c>
      <c r="R20" s="218"/>
      <c r="S20" s="218"/>
      <c r="T20" s="218"/>
      <c r="U20" s="245">
        <v>1384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20.2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X26" s="230"/>
      <c r="Y26" s="230"/>
      <c r="Z26" s="230"/>
      <c r="AA26" s="230"/>
      <c r="AB26" s="230"/>
      <c r="AC26" s="230"/>
    </row>
    <row r="27" spans="1:32">
      <c r="A27" s="247" t="s">
        <v>221</v>
      </c>
      <c r="B27" s="248" t="str">
        <f>'Current Rents'!D30</f>
        <v>—</v>
      </c>
      <c r="C27" s="249">
        <v>737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Rents'!E30</f>
        <v>0</v>
      </c>
      <c r="C28" s="249">
        <v>1127</v>
      </c>
      <c r="D28" s="250"/>
      <c r="E28" s="251">
        <f>B28-C28</f>
        <v>-1127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216</v>
      </c>
      <c r="B29" s="248">
        <f>'Current Rents'!F30</f>
        <v>1401</v>
      </c>
      <c r="C29" s="249">
        <v>1384</v>
      </c>
      <c r="D29" s="250"/>
      <c r="E29" s="251">
        <f>B29-C29</f>
        <v>17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 t="str">
        <f>'Current Rents'!D30</f>
        <v>—</v>
      </c>
      <c r="D34" s="254">
        <v>800</v>
      </c>
    </row>
    <row r="35" spans="1:6">
      <c r="A35" s="253" t="s">
        <v>215</v>
      </c>
      <c r="C35" s="254">
        <f>'Current Rents'!E30</f>
        <v>0</v>
      </c>
      <c r="D35" s="254">
        <v>1095</v>
      </c>
    </row>
    <row r="36" spans="1:6">
      <c r="A36" s="253" t="s">
        <v>216</v>
      </c>
      <c r="C36" s="254">
        <f>'Current Rents'!F30</f>
        <v>1401</v>
      </c>
      <c r="D36" s="254">
        <v>1372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1579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1580</v>
      </c>
      <c r="AF1" s="325"/>
    </row>
    <row r="2" spans="1:32" ht="20.100000000000001" customHeight="1">
      <c r="A2" s="324" t="s">
        <v>1581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1582</v>
      </c>
      <c r="D6" s="325"/>
      <c r="E6" s="234" t="s">
        <v>1583</v>
      </c>
      <c r="F6" s="234" t="s">
        <v>1584</v>
      </c>
      <c r="G6" s="234" t="s">
        <v>1310</v>
      </c>
      <c r="H6" s="234" t="s">
        <v>1585</v>
      </c>
      <c r="I6" s="234" t="s">
        <v>308</v>
      </c>
      <c r="J6" s="234" t="s">
        <v>1586</v>
      </c>
      <c r="K6" s="234" t="s">
        <v>1587</v>
      </c>
      <c r="L6" s="234" t="s">
        <v>1588</v>
      </c>
      <c r="M6" s="235">
        <f>'Current Rents'!D31</f>
        <v>914</v>
      </c>
      <c r="N6" s="234" t="s">
        <v>1589</v>
      </c>
      <c r="O6" s="234" t="s">
        <v>1590</v>
      </c>
      <c r="P6" s="234" t="s">
        <v>1591</v>
      </c>
      <c r="Q6" s="235">
        <f>'Current Rents'!E31</f>
        <v>1058</v>
      </c>
      <c r="R6" s="234" t="s">
        <v>1592</v>
      </c>
      <c r="S6" s="234" t="s">
        <v>1593</v>
      </c>
      <c r="T6" s="234" t="s">
        <v>1594</v>
      </c>
      <c r="U6" s="235" t="str">
        <f>'Current Rents'!G31</f>
        <v>—</v>
      </c>
      <c r="V6" s="234" t="s">
        <v>1595</v>
      </c>
      <c r="W6" s="234" t="s">
        <v>1067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315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1596</v>
      </c>
      <c r="D7" s="325"/>
      <c r="E7" s="216" t="s">
        <v>1597</v>
      </c>
      <c r="F7" s="216" t="s">
        <v>1584</v>
      </c>
      <c r="G7" s="216" t="s">
        <v>1310</v>
      </c>
      <c r="H7" s="216" t="s">
        <v>1598</v>
      </c>
      <c r="I7" s="216" t="s">
        <v>1599</v>
      </c>
      <c r="J7" s="216" t="s">
        <v>1586</v>
      </c>
      <c r="K7" s="216" t="s">
        <v>1587</v>
      </c>
      <c r="L7" s="216" t="s">
        <v>1588</v>
      </c>
      <c r="M7" s="216" t="s">
        <v>326</v>
      </c>
      <c r="N7" s="216" t="s">
        <v>1589</v>
      </c>
      <c r="O7" s="216" t="s">
        <v>1590</v>
      </c>
      <c r="P7" s="216" t="s">
        <v>1591</v>
      </c>
      <c r="Q7" s="216" t="s">
        <v>326</v>
      </c>
      <c r="R7" s="216" t="s">
        <v>1592</v>
      </c>
      <c r="S7" s="216" t="s">
        <v>1593</v>
      </c>
      <c r="T7" s="216" t="s">
        <v>1594</v>
      </c>
      <c r="U7" s="216" t="s">
        <v>326</v>
      </c>
      <c r="V7" s="216" t="s">
        <v>605</v>
      </c>
      <c r="W7" s="216" t="s">
        <v>1067</v>
      </c>
      <c r="X7" s="216" t="s">
        <v>504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1600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1601</v>
      </c>
      <c r="D8" s="325"/>
      <c r="E8" s="216" t="s">
        <v>1602</v>
      </c>
      <c r="F8" s="216" t="s">
        <v>1584</v>
      </c>
      <c r="G8" s="216" t="s">
        <v>1310</v>
      </c>
      <c r="H8" s="216" t="s">
        <v>1603</v>
      </c>
      <c r="I8" s="216" t="s">
        <v>1604</v>
      </c>
      <c r="J8" s="216" t="s">
        <v>1586</v>
      </c>
      <c r="K8" s="216" t="s">
        <v>1587</v>
      </c>
      <c r="L8" s="216" t="s">
        <v>1588</v>
      </c>
      <c r="M8" s="216" t="s">
        <v>326</v>
      </c>
      <c r="N8" s="216" t="s">
        <v>1589</v>
      </c>
      <c r="O8" s="216" t="s">
        <v>1590</v>
      </c>
      <c r="P8" s="216" t="s">
        <v>1591</v>
      </c>
      <c r="Q8" s="216" t="s">
        <v>1605</v>
      </c>
      <c r="R8" s="216" t="s">
        <v>1592</v>
      </c>
      <c r="S8" s="216" t="s">
        <v>1593</v>
      </c>
      <c r="T8" s="216" t="s">
        <v>1594</v>
      </c>
      <c r="U8" s="216" t="s">
        <v>326</v>
      </c>
      <c r="V8" s="216" t="s">
        <v>1606</v>
      </c>
      <c r="W8" s="216" t="s">
        <v>1067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1607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1608</v>
      </c>
      <c r="D9" s="325"/>
      <c r="E9" s="216" t="s">
        <v>1609</v>
      </c>
      <c r="F9" s="216" t="s">
        <v>1584</v>
      </c>
      <c r="G9" s="216" t="s">
        <v>1310</v>
      </c>
      <c r="H9" s="216" t="s">
        <v>1610</v>
      </c>
      <c r="I9" s="216" t="s">
        <v>1611</v>
      </c>
      <c r="J9" s="216" t="s">
        <v>1586</v>
      </c>
      <c r="K9" s="216" t="s">
        <v>1587</v>
      </c>
      <c r="L9" s="216" t="s">
        <v>1588</v>
      </c>
      <c r="M9" s="216" t="s">
        <v>326</v>
      </c>
      <c r="N9" s="216" t="s">
        <v>1589</v>
      </c>
      <c r="O9" s="216" t="s">
        <v>1590</v>
      </c>
      <c r="P9" s="216" t="s">
        <v>1591</v>
      </c>
      <c r="Q9" s="216" t="s">
        <v>326</v>
      </c>
      <c r="R9" s="216" t="s">
        <v>1592</v>
      </c>
      <c r="S9" s="216" t="s">
        <v>1593</v>
      </c>
      <c r="T9" s="216" t="s">
        <v>1594</v>
      </c>
      <c r="U9" s="216" t="s">
        <v>326</v>
      </c>
      <c r="V9" s="216" t="s">
        <v>593</v>
      </c>
      <c r="W9" s="216" t="s">
        <v>1057</v>
      </c>
      <c r="X9" s="216" t="s">
        <v>319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1612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1613</v>
      </c>
      <c r="D10" s="325"/>
      <c r="E10" s="216" t="s">
        <v>1614</v>
      </c>
      <c r="F10" s="216" t="s">
        <v>1584</v>
      </c>
      <c r="G10" s="216" t="s">
        <v>1310</v>
      </c>
      <c r="H10" s="216" t="s">
        <v>1615</v>
      </c>
      <c r="I10" s="216" t="s">
        <v>650</v>
      </c>
      <c r="J10" s="216" t="s">
        <v>1586</v>
      </c>
      <c r="K10" s="216" t="s">
        <v>1587</v>
      </c>
      <c r="L10" s="216" t="s">
        <v>1588</v>
      </c>
      <c r="M10" s="216" t="s">
        <v>326</v>
      </c>
      <c r="N10" s="216" t="s">
        <v>1589</v>
      </c>
      <c r="O10" s="216" t="s">
        <v>1590</v>
      </c>
      <c r="P10" s="216" t="s">
        <v>1591</v>
      </c>
      <c r="Q10" s="216" t="s">
        <v>326</v>
      </c>
      <c r="R10" s="216" t="s">
        <v>1592</v>
      </c>
      <c r="S10" s="216" t="s">
        <v>1593</v>
      </c>
      <c r="T10" s="216" t="s">
        <v>1594</v>
      </c>
      <c r="U10" s="216" t="s">
        <v>326</v>
      </c>
      <c r="V10" s="216" t="s">
        <v>1616</v>
      </c>
      <c r="W10" s="216" t="s">
        <v>1067</v>
      </c>
      <c r="X10" s="216" t="s">
        <v>504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1617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1618</v>
      </c>
      <c r="D12" s="320" t="s">
        <v>345</v>
      </c>
      <c r="E12" s="239" t="s">
        <v>1619</v>
      </c>
      <c r="F12" s="239" t="s">
        <v>1584</v>
      </c>
      <c r="G12" s="239" t="s">
        <v>1310</v>
      </c>
      <c r="H12" s="239" t="s">
        <v>1585</v>
      </c>
      <c r="I12" s="239" t="s">
        <v>922</v>
      </c>
      <c r="J12" s="239" t="s">
        <v>64</v>
      </c>
      <c r="K12" s="239" t="s">
        <v>64</v>
      </c>
      <c r="L12" s="239" t="s">
        <v>64</v>
      </c>
      <c r="M12" s="241">
        <v>1180</v>
      </c>
      <c r="N12" s="239" t="s">
        <v>64</v>
      </c>
      <c r="O12" s="239" t="s">
        <v>64</v>
      </c>
      <c r="P12" s="239" t="s">
        <v>64</v>
      </c>
      <c r="Q12" s="241">
        <v>1050</v>
      </c>
      <c r="R12" s="239" t="s">
        <v>64</v>
      </c>
      <c r="S12" s="239" t="s">
        <v>64</v>
      </c>
      <c r="T12" s="239" t="s">
        <v>64</v>
      </c>
      <c r="U12" s="242" t="s">
        <v>326</v>
      </c>
      <c r="V12" s="239" t="s">
        <v>1329</v>
      </c>
      <c r="W12" s="239" t="s">
        <v>671</v>
      </c>
      <c r="X12" s="239" t="s">
        <v>319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1620</v>
      </c>
      <c r="AF12" s="239" t="s">
        <v>1621</v>
      </c>
    </row>
    <row r="13" spans="1:32" ht="20.100000000000001" customHeight="1">
      <c r="A13" s="239">
        <v>2</v>
      </c>
      <c r="B13" s="240" t="s">
        <v>343</v>
      </c>
      <c r="C13" s="237" t="s">
        <v>1622</v>
      </c>
      <c r="D13" s="325"/>
      <c r="E13" s="239" t="s">
        <v>1623</v>
      </c>
      <c r="F13" s="239" t="s">
        <v>1584</v>
      </c>
      <c r="G13" s="239" t="s">
        <v>1310</v>
      </c>
      <c r="H13" s="239" t="s">
        <v>1585</v>
      </c>
      <c r="I13" s="239" t="s">
        <v>366</v>
      </c>
      <c r="J13" s="239" t="s">
        <v>64</v>
      </c>
      <c r="K13" s="239" t="s">
        <v>64</v>
      </c>
      <c r="L13" s="239" t="s">
        <v>64</v>
      </c>
      <c r="M13" s="242" t="s">
        <v>326</v>
      </c>
      <c r="N13" s="239" t="s">
        <v>64</v>
      </c>
      <c r="O13" s="239" t="s">
        <v>64</v>
      </c>
      <c r="P13" s="239" t="s">
        <v>64</v>
      </c>
      <c r="Q13" s="241">
        <v>795</v>
      </c>
      <c r="R13" s="239" t="s">
        <v>64</v>
      </c>
      <c r="S13" s="239" t="s">
        <v>64</v>
      </c>
      <c r="T13" s="239" t="s">
        <v>64</v>
      </c>
      <c r="U13" s="242" t="s">
        <v>326</v>
      </c>
      <c r="V13" s="239" t="s">
        <v>1504</v>
      </c>
      <c r="W13" s="239" t="s">
        <v>678</v>
      </c>
      <c r="X13" s="239" t="s">
        <v>258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1624</v>
      </c>
      <c r="AF13" s="239" t="s">
        <v>1625</v>
      </c>
    </row>
    <row r="14" spans="1:32" ht="20.100000000000001" customHeight="1">
      <c r="A14" s="239">
        <v>3</v>
      </c>
      <c r="B14" s="240" t="s">
        <v>343</v>
      </c>
      <c r="C14" s="237" t="s">
        <v>1626</v>
      </c>
      <c r="D14" s="325"/>
      <c r="E14" s="239" t="s">
        <v>1627</v>
      </c>
      <c r="F14" s="239" t="s">
        <v>1584</v>
      </c>
      <c r="G14" s="239" t="s">
        <v>1310</v>
      </c>
      <c r="H14" s="239" t="s">
        <v>1585</v>
      </c>
      <c r="I14" s="239" t="s">
        <v>436</v>
      </c>
      <c r="J14" s="239" t="s">
        <v>64</v>
      </c>
      <c r="K14" s="239" t="s">
        <v>64</v>
      </c>
      <c r="L14" s="239" t="s">
        <v>64</v>
      </c>
      <c r="M14" s="241">
        <v>702</v>
      </c>
      <c r="N14" s="239" t="s">
        <v>64</v>
      </c>
      <c r="O14" s="239" t="s">
        <v>64</v>
      </c>
      <c r="P14" s="239" t="s">
        <v>64</v>
      </c>
      <c r="Q14" s="241">
        <v>834</v>
      </c>
      <c r="R14" s="239" t="s">
        <v>64</v>
      </c>
      <c r="S14" s="239" t="s">
        <v>64</v>
      </c>
      <c r="T14" s="239" t="s">
        <v>64</v>
      </c>
      <c r="U14" s="241">
        <v>1054</v>
      </c>
      <c r="V14" s="239" t="s">
        <v>789</v>
      </c>
      <c r="W14" s="239" t="s">
        <v>1057</v>
      </c>
      <c r="X14" s="239" t="s">
        <v>319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1628</v>
      </c>
      <c r="AF14" s="239" t="s">
        <v>1629</v>
      </c>
    </row>
    <row r="15" spans="1:32" ht="20.100000000000001" customHeight="1">
      <c r="A15" s="239">
        <v>4</v>
      </c>
      <c r="B15" s="240" t="s">
        <v>343</v>
      </c>
      <c r="C15" s="237" t="s">
        <v>1630</v>
      </c>
      <c r="D15" s="325"/>
      <c r="E15" s="239" t="s">
        <v>1630</v>
      </c>
      <c r="F15" s="239" t="s">
        <v>1584</v>
      </c>
      <c r="G15" s="239" t="s">
        <v>1310</v>
      </c>
      <c r="H15" s="239" t="s">
        <v>1585</v>
      </c>
      <c r="I15" s="239" t="s">
        <v>640</v>
      </c>
      <c r="J15" s="239" t="s">
        <v>64</v>
      </c>
      <c r="K15" s="239" t="s">
        <v>64</v>
      </c>
      <c r="L15" s="239" t="s">
        <v>64</v>
      </c>
      <c r="M15" s="242" t="s">
        <v>326</v>
      </c>
      <c r="N15" s="239" t="s">
        <v>64</v>
      </c>
      <c r="O15" s="239" t="s">
        <v>64</v>
      </c>
      <c r="P15" s="239" t="s">
        <v>64</v>
      </c>
      <c r="Q15" s="241">
        <v>1100</v>
      </c>
      <c r="R15" s="239" t="s">
        <v>64</v>
      </c>
      <c r="S15" s="239" t="s">
        <v>64</v>
      </c>
      <c r="T15" s="239" t="s">
        <v>64</v>
      </c>
      <c r="U15" s="242" t="s">
        <v>326</v>
      </c>
      <c r="V15" s="239" t="s">
        <v>605</v>
      </c>
      <c r="W15" s="239" t="s">
        <v>1057</v>
      </c>
      <c r="X15" s="239" t="s">
        <v>319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1631</v>
      </c>
      <c r="AF15" s="239" t="s">
        <v>1625</v>
      </c>
    </row>
    <row r="16" spans="1:32" ht="20.100000000000001" customHeight="1">
      <c r="A16" s="239">
        <v>5</v>
      </c>
      <c r="B16" s="240" t="s">
        <v>343</v>
      </c>
      <c r="C16" s="237" t="s">
        <v>1632</v>
      </c>
      <c r="D16" s="325"/>
      <c r="E16" s="239" t="s">
        <v>1632</v>
      </c>
      <c r="F16" s="239" t="s">
        <v>1584</v>
      </c>
      <c r="G16" s="239" t="s">
        <v>1310</v>
      </c>
      <c r="H16" s="239" t="s">
        <v>1585</v>
      </c>
      <c r="I16" s="239" t="s">
        <v>348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41">
        <v>2000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1633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1634</v>
      </c>
      <c r="D17" s="325"/>
      <c r="E17" s="239" t="s">
        <v>1634</v>
      </c>
      <c r="F17" s="239" t="s">
        <v>1584</v>
      </c>
      <c r="G17" s="239" t="s">
        <v>1310</v>
      </c>
      <c r="H17" s="239" t="s">
        <v>1585</v>
      </c>
      <c r="I17" s="239" t="s">
        <v>808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1225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1635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1636</v>
      </c>
      <c r="D19" s="325"/>
      <c r="E19" s="217" t="s">
        <v>64</v>
      </c>
      <c r="F19" s="217" t="s">
        <v>1584</v>
      </c>
      <c r="G19" s="217" t="s">
        <v>1310</v>
      </c>
      <c r="H19" s="217"/>
      <c r="I19" s="217"/>
      <c r="J19" s="217"/>
      <c r="K19" s="217"/>
      <c r="L19" s="217" t="s">
        <v>1588</v>
      </c>
      <c r="M19" s="217"/>
      <c r="N19" s="217"/>
      <c r="O19" s="217"/>
      <c r="P19" s="217" t="s">
        <v>1591</v>
      </c>
      <c r="Q19" s="217"/>
      <c r="R19" s="217"/>
      <c r="S19" s="217"/>
      <c r="T19" s="217" t="s">
        <v>1594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1637</v>
      </c>
      <c r="D20" s="325"/>
      <c r="E20" s="218" t="s">
        <v>64</v>
      </c>
      <c r="F20" s="218" t="s">
        <v>1584</v>
      </c>
      <c r="G20" s="218" t="s">
        <v>1310</v>
      </c>
      <c r="H20" s="218"/>
      <c r="I20" s="218"/>
      <c r="J20" s="218"/>
      <c r="K20" s="218"/>
      <c r="L20" s="218"/>
      <c r="M20" s="245">
        <v>941</v>
      </c>
      <c r="N20" s="218"/>
      <c r="O20" s="218"/>
      <c r="P20" s="218"/>
      <c r="Q20" s="245">
        <v>1001</v>
      </c>
      <c r="R20" s="218"/>
      <c r="S20" s="218"/>
      <c r="T20" s="218"/>
      <c r="U20" s="245">
        <v>1527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221</v>
      </c>
      <c r="B27" s="248">
        <f>'Current Rents'!D31</f>
        <v>914</v>
      </c>
      <c r="C27" s="249">
        <v>941</v>
      </c>
      <c r="D27" s="250"/>
      <c r="E27" s="251">
        <f>B27-C27</f>
        <v>-27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Rents'!E31</f>
        <v>1058</v>
      </c>
      <c r="C28" s="249">
        <v>1001</v>
      </c>
      <c r="D28" s="250"/>
      <c r="E28" s="251">
        <f>B28-C28</f>
        <v>57</v>
      </c>
      <c r="F28" s="252" t="str">
        <f>IF(E28&lt;-75,"LOOK INTO INCREASING THE RENT!","")</f>
        <v/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218</v>
      </c>
      <c r="B29" s="248" t="str">
        <f>'Current Rents'!G31</f>
        <v>—</v>
      </c>
      <c r="C29" s="249">
        <v>1527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>
        <f>'Current Rents'!D31</f>
        <v>914</v>
      </c>
      <c r="D34" s="254">
        <v>736</v>
      </c>
    </row>
    <row r="35" spans="1:6">
      <c r="A35" s="253" t="s">
        <v>215</v>
      </c>
      <c r="C35" s="254">
        <f>'Current Rents'!E31</f>
        <v>1058</v>
      </c>
      <c r="D35" s="254">
        <v>1008</v>
      </c>
    </row>
    <row r="36" spans="1:6">
      <c r="A36" s="253" t="s">
        <v>218</v>
      </c>
      <c r="C36" s="254" t="str">
        <f>'Current Rents'!G31</f>
        <v>—</v>
      </c>
      <c r="D36" s="254">
        <v>1457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1638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1639</v>
      </c>
      <c r="AF1" s="325"/>
    </row>
    <row r="2" spans="1:32" ht="20.100000000000001" customHeight="1">
      <c r="A2" s="324" t="s">
        <v>1640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1641</v>
      </c>
      <c r="D6" s="325"/>
      <c r="E6" s="234" t="s">
        <v>1642</v>
      </c>
      <c r="F6" s="234" t="s">
        <v>1642</v>
      </c>
      <c r="G6" s="234" t="s">
        <v>1310</v>
      </c>
      <c r="H6" s="234" t="s">
        <v>1643</v>
      </c>
      <c r="I6" s="234" t="s">
        <v>308</v>
      </c>
      <c r="J6" s="234" t="s">
        <v>1589</v>
      </c>
      <c r="K6" s="234" t="s">
        <v>1590</v>
      </c>
      <c r="L6" s="234" t="s">
        <v>1591</v>
      </c>
      <c r="M6" s="235">
        <f>'Current Rents'!E32</f>
        <v>885</v>
      </c>
      <c r="N6" s="234" t="s">
        <v>1644</v>
      </c>
      <c r="O6" s="234" t="s">
        <v>1645</v>
      </c>
      <c r="P6" s="234" t="s">
        <v>1646</v>
      </c>
      <c r="Q6" s="235" t="str">
        <f>'Current Rents'!F32</f>
        <v>—</v>
      </c>
      <c r="R6" s="234" t="s">
        <v>1592</v>
      </c>
      <c r="S6" s="234" t="s">
        <v>1593</v>
      </c>
      <c r="T6" s="234" t="s">
        <v>1594</v>
      </c>
      <c r="U6" s="235">
        <f>'Current Rents'!G32</f>
        <v>1140</v>
      </c>
      <c r="V6" s="234" t="s">
        <v>1647</v>
      </c>
      <c r="W6" s="234" t="s">
        <v>678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1648</v>
      </c>
      <c r="D7" s="325"/>
      <c r="E7" s="216" t="s">
        <v>1649</v>
      </c>
      <c r="F7" s="216" t="s">
        <v>1584</v>
      </c>
      <c r="G7" s="216" t="s">
        <v>1310</v>
      </c>
      <c r="H7" s="216" t="s">
        <v>1650</v>
      </c>
      <c r="I7" s="216" t="s">
        <v>354</v>
      </c>
      <c r="J7" s="216" t="s">
        <v>1589</v>
      </c>
      <c r="K7" s="216" t="s">
        <v>1590</v>
      </c>
      <c r="L7" s="216" t="s">
        <v>1591</v>
      </c>
      <c r="M7" s="216" t="s">
        <v>1651</v>
      </c>
      <c r="N7" s="216" t="s">
        <v>1644</v>
      </c>
      <c r="O7" s="216" t="s">
        <v>1645</v>
      </c>
      <c r="P7" s="216" t="s">
        <v>1646</v>
      </c>
      <c r="Q7" s="216" t="s">
        <v>1652</v>
      </c>
      <c r="R7" s="216" t="s">
        <v>1592</v>
      </c>
      <c r="S7" s="216" t="s">
        <v>1593</v>
      </c>
      <c r="T7" s="216" t="s">
        <v>1594</v>
      </c>
      <c r="U7" s="216" t="s">
        <v>326</v>
      </c>
      <c r="V7" s="216" t="s">
        <v>224</v>
      </c>
      <c r="W7" s="216" t="s">
        <v>678</v>
      </c>
      <c r="X7" s="216" t="s">
        <v>504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1653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1654</v>
      </c>
      <c r="D8" s="325"/>
      <c r="E8" s="216" t="s">
        <v>1655</v>
      </c>
      <c r="F8" s="216" t="s">
        <v>1642</v>
      </c>
      <c r="G8" s="216" t="s">
        <v>1310</v>
      </c>
      <c r="H8" s="216" t="s">
        <v>1656</v>
      </c>
      <c r="I8" s="216" t="s">
        <v>1657</v>
      </c>
      <c r="J8" s="216" t="s">
        <v>1589</v>
      </c>
      <c r="K8" s="216" t="s">
        <v>1590</v>
      </c>
      <c r="L8" s="216" t="s">
        <v>1591</v>
      </c>
      <c r="M8" s="216" t="s">
        <v>1658</v>
      </c>
      <c r="N8" s="216" t="s">
        <v>1644</v>
      </c>
      <c r="O8" s="216" t="s">
        <v>1645</v>
      </c>
      <c r="P8" s="216" t="s">
        <v>1646</v>
      </c>
      <c r="Q8" s="216" t="s">
        <v>1659</v>
      </c>
      <c r="R8" s="216" t="s">
        <v>1592</v>
      </c>
      <c r="S8" s="216" t="s">
        <v>1593</v>
      </c>
      <c r="T8" s="216" t="s">
        <v>1594</v>
      </c>
      <c r="U8" s="216" t="s">
        <v>1660</v>
      </c>
      <c r="V8" s="216" t="s">
        <v>253</v>
      </c>
      <c r="W8" s="216" t="s">
        <v>678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1661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1662</v>
      </c>
      <c r="D9" s="325"/>
      <c r="E9" s="216" t="s">
        <v>1663</v>
      </c>
      <c r="F9" s="216" t="s">
        <v>1584</v>
      </c>
      <c r="G9" s="216" t="s">
        <v>1310</v>
      </c>
      <c r="H9" s="216" t="s">
        <v>1664</v>
      </c>
      <c r="I9" s="216" t="s">
        <v>1665</v>
      </c>
      <c r="J9" s="216" t="s">
        <v>1589</v>
      </c>
      <c r="K9" s="216" t="s">
        <v>1590</v>
      </c>
      <c r="L9" s="216" t="s">
        <v>1591</v>
      </c>
      <c r="M9" s="216" t="s">
        <v>326</v>
      </c>
      <c r="N9" s="216" t="s">
        <v>1644</v>
      </c>
      <c r="O9" s="216" t="s">
        <v>1645</v>
      </c>
      <c r="P9" s="216" t="s">
        <v>1646</v>
      </c>
      <c r="Q9" s="216" t="s">
        <v>326</v>
      </c>
      <c r="R9" s="216" t="s">
        <v>1592</v>
      </c>
      <c r="S9" s="216" t="s">
        <v>1593</v>
      </c>
      <c r="T9" s="216" t="s">
        <v>1594</v>
      </c>
      <c r="U9" s="216" t="s">
        <v>326</v>
      </c>
      <c r="V9" s="216" t="s">
        <v>245</v>
      </c>
      <c r="W9" s="216" t="s">
        <v>678</v>
      </c>
      <c r="X9" s="216" t="s">
        <v>504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1666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1667</v>
      </c>
      <c r="D10" s="325"/>
      <c r="E10" s="216" t="s">
        <v>1668</v>
      </c>
      <c r="F10" s="216" t="s">
        <v>1642</v>
      </c>
      <c r="G10" s="216" t="s">
        <v>1310</v>
      </c>
      <c r="H10" s="216" t="s">
        <v>1669</v>
      </c>
      <c r="I10" s="216" t="s">
        <v>1670</v>
      </c>
      <c r="J10" s="216" t="s">
        <v>1589</v>
      </c>
      <c r="K10" s="216" t="s">
        <v>1590</v>
      </c>
      <c r="L10" s="216" t="s">
        <v>1591</v>
      </c>
      <c r="M10" s="216" t="s">
        <v>326</v>
      </c>
      <c r="N10" s="216" t="s">
        <v>1644</v>
      </c>
      <c r="O10" s="216" t="s">
        <v>1645</v>
      </c>
      <c r="P10" s="216" t="s">
        <v>1646</v>
      </c>
      <c r="Q10" s="216" t="s">
        <v>326</v>
      </c>
      <c r="R10" s="216" t="s">
        <v>1592</v>
      </c>
      <c r="S10" s="216" t="s">
        <v>1593</v>
      </c>
      <c r="T10" s="216" t="s">
        <v>1594</v>
      </c>
      <c r="U10" s="216" t="s">
        <v>326</v>
      </c>
      <c r="V10" s="216" t="s">
        <v>536</v>
      </c>
      <c r="W10" s="216" t="s">
        <v>1122</v>
      </c>
      <c r="X10" s="216" t="s">
        <v>319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1671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1672</v>
      </c>
      <c r="D12" s="320" t="s">
        <v>345</v>
      </c>
      <c r="E12" s="239" t="s">
        <v>1673</v>
      </c>
      <c r="F12" s="239" t="s">
        <v>1642</v>
      </c>
      <c r="G12" s="239" t="s">
        <v>1310</v>
      </c>
      <c r="H12" s="239" t="s">
        <v>1643</v>
      </c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1300</v>
      </c>
      <c r="R12" s="239" t="s">
        <v>64</v>
      </c>
      <c r="S12" s="239" t="s">
        <v>64</v>
      </c>
      <c r="T12" s="239" t="s">
        <v>64</v>
      </c>
      <c r="U12" s="242" t="s">
        <v>326</v>
      </c>
      <c r="V12" s="239" t="s">
        <v>1329</v>
      </c>
      <c r="W12" s="239" t="s">
        <v>671</v>
      </c>
      <c r="X12" s="239" t="s">
        <v>319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1674</v>
      </c>
      <c r="AF12" s="239" t="s">
        <v>1621</v>
      </c>
    </row>
    <row r="13" spans="1:32" ht="20.100000000000001" customHeight="1">
      <c r="A13" s="239">
        <v>2</v>
      </c>
      <c r="B13" s="240" t="s">
        <v>343</v>
      </c>
      <c r="C13" s="237" t="s">
        <v>1675</v>
      </c>
      <c r="D13" s="325"/>
      <c r="E13" s="239" t="s">
        <v>1676</v>
      </c>
      <c r="F13" s="239" t="s">
        <v>1642</v>
      </c>
      <c r="G13" s="239" t="s">
        <v>1310</v>
      </c>
      <c r="H13" s="239" t="s">
        <v>1643</v>
      </c>
      <c r="I13" s="239" t="s">
        <v>971</v>
      </c>
      <c r="J13" s="239" t="s">
        <v>64</v>
      </c>
      <c r="K13" s="239" t="s">
        <v>64</v>
      </c>
      <c r="L13" s="239" t="s">
        <v>64</v>
      </c>
      <c r="M13" s="241">
        <v>1349</v>
      </c>
      <c r="N13" s="239" t="s">
        <v>64</v>
      </c>
      <c r="O13" s="239" t="s">
        <v>64</v>
      </c>
      <c r="P13" s="239" t="s">
        <v>64</v>
      </c>
      <c r="Q13" s="241">
        <v>1610</v>
      </c>
      <c r="R13" s="239" t="s">
        <v>64</v>
      </c>
      <c r="S13" s="239" t="s">
        <v>64</v>
      </c>
      <c r="T13" s="239" t="s">
        <v>64</v>
      </c>
      <c r="U13" s="242" t="s">
        <v>326</v>
      </c>
      <c r="V13" s="239" t="s">
        <v>1504</v>
      </c>
      <c r="W13" s="239" t="s">
        <v>678</v>
      </c>
      <c r="X13" s="239" t="s">
        <v>504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1677</v>
      </c>
      <c r="AF13" s="239" t="s">
        <v>1625</v>
      </c>
    </row>
    <row r="14" spans="1:32" ht="20.100000000000001" customHeight="1">
      <c r="A14" s="239">
        <v>3</v>
      </c>
      <c r="B14" s="240" t="s">
        <v>343</v>
      </c>
      <c r="C14" s="237" t="s">
        <v>1678</v>
      </c>
      <c r="D14" s="325"/>
      <c r="E14" s="239" t="s">
        <v>1679</v>
      </c>
      <c r="F14" s="239" t="s">
        <v>1642</v>
      </c>
      <c r="G14" s="239" t="s">
        <v>1310</v>
      </c>
      <c r="H14" s="239" t="s">
        <v>1643</v>
      </c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1875</v>
      </c>
      <c r="N14" s="239" t="s">
        <v>64</v>
      </c>
      <c r="O14" s="239" t="s">
        <v>64</v>
      </c>
      <c r="P14" s="239" t="s">
        <v>64</v>
      </c>
      <c r="Q14" s="241">
        <v>1995</v>
      </c>
      <c r="R14" s="239" t="s">
        <v>64</v>
      </c>
      <c r="S14" s="239" t="s">
        <v>64</v>
      </c>
      <c r="T14" s="239" t="s">
        <v>64</v>
      </c>
      <c r="U14" s="242" t="s">
        <v>326</v>
      </c>
      <c r="V14" s="239" t="s">
        <v>605</v>
      </c>
      <c r="W14" s="239" t="s">
        <v>1122</v>
      </c>
      <c r="X14" s="239" t="s">
        <v>319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1680</v>
      </c>
      <c r="AF14" s="239" t="s">
        <v>1629</v>
      </c>
    </row>
    <row r="15" spans="1:32" ht="20.100000000000001" customHeight="1">
      <c r="A15" s="239">
        <v>4</v>
      </c>
      <c r="B15" s="240" t="s">
        <v>343</v>
      </c>
      <c r="C15" s="237" t="s">
        <v>1681</v>
      </c>
      <c r="D15" s="325"/>
      <c r="E15" s="239" t="s">
        <v>1682</v>
      </c>
      <c r="F15" s="239" t="s">
        <v>1642</v>
      </c>
      <c r="G15" s="239" t="s">
        <v>1310</v>
      </c>
      <c r="H15" s="239" t="s">
        <v>1643</v>
      </c>
      <c r="I15" s="239" t="s">
        <v>1296</v>
      </c>
      <c r="J15" s="239" t="s">
        <v>64</v>
      </c>
      <c r="K15" s="239" t="s">
        <v>64</v>
      </c>
      <c r="L15" s="239" t="s">
        <v>64</v>
      </c>
      <c r="M15" s="241">
        <v>1349</v>
      </c>
      <c r="N15" s="239" t="s">
        <v>64</v>
      </c>
      <c r="O15" s="239" t="s">
        <v>64</v>
      </c>
      <c r="P15" s="239" t="s">
        <v>64</v>
      </c>
      <c r="Q15" s="241">
        <v>1585</v>
      </c>
      <c r="R15" s="239" t="s">
        <v>64</v>
      </c>
      <c r="S15" s="239" t="s">
        <v>64</v>
      </c>
      <c r="T15" s="239" t="s">
        <v>64</v>
      </c>
      <c r="U15" s="242" t="s">
        <v>326</v>
      </c>
      <c r="V15" s="239" t="s">
        <v>1066</v>
      </c>
      <c r="W15" s="239" t="s">
        <v>671</v>
      </c>
      <c r="X15" s="239" t="s">
        <v>319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1683</v>
      </c>
      <c r="AF15" s="239" t="s">
        <v>1629</v>
      </c>
    </row>
    <row r="16" spans="1:32" ht="20.100000000000001" customHeight="1">
      <c r="A16" s="239">
        <v>5</v>
      </c>
      <c r="B16" s="240" t="s">
        <v>343</v>
      </c>
      <c r="C16" s="237" t="s">
        <v>1684</v>
      </c>
      <c r="D16" s="325"/>
      <c r="E16" s="239" t="s">
        <v>1685</v>
      </c>
      <c r="F16" s="239" t="s">
        <v>1642</v>
      </c>
      <c r="G16" s="239" t="s">
        <v>1310</v>
      </c>
      <c r="H16" s="239" t="s">
        <v>1643</v>
      </c>
      <c r="I16" s="239" t="s">
        <v>567</v>
      </c>
      <c r="J16" s="239" t="s">
        <v>64</v>
      </c>
      <c r="K16" s="239" t="s">
        <v>64</v>
      </c>
      <c r="L16" s="239" t="s">
        <v>64</v>
      </c>
      <c r="M16" s="241">
        <v>1545</v>
      </c>
      <c r="N16" s="239" t="s">
        <v>64</v>
      </c>
      <c r="O16" s="239" t="s">
        <v>64</v>
      </c>
      <c r="P16" s="239" t="s">
        <v>64</v>
      </c>
      <c r="Q16" s="241">
        <v>1785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1633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1686</v>
      </c>
      <c r="D17" s="325"/>
      <c r="E17" s="239" t="s">
        <v>1687</v>
      </c>
      <c r="F17" s="239" t="s">
        <v>1642</v>
      </c>
      <c r="G17" s="239" t="s">
        <v>1310</v>
      </c>
      <c r="H17" s="239" t="s">
        <v>1643</v>
      </c>
      <c r="I17" s="239" t="s">
        <v>541</v>
      </c>
      <c r="J17" s="239" t="s">
        <v>64</v>
      </c>
      <c r="K17" s="239" t="s">
        <v>64</v>
      </c>
      <c r="L17" s="239" t="s">
        <v>64</v>
      </c>
      <c r="M17" s="241">
        <v>1400</v>
      </c>
      <c r="N17" s="239" t="s">
        <v>64</v>
      </c>
      <c r="O17" s="239" t="s">
        <v>64</v>
      </c>
      <c r="P17" s="239" t="s">
        <v>64</v>
      </c>
      <c r="Q17" s="241">
        <v>1500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1688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1636</v>
      </c>
      <c r="D19" s="325"/>
      <c r="E19" s="217" t="s">
        <v>64</v>
      </c>
      <c r="F19" s="217" t="s">
        <v>1642</v>
      </c>
      <c r="G19" s="217" t="s">
        <v>1310</v>
      </c>
      <c r="H19" s="217"/>
      <c r="I19" s="217"/>
      <c r="J19" s="217"/>
      <c r="K19" s="217"/>
      <c r="L19" s="217" t="s">
        <v>1591</v>
      </c>
      <c r="M19" s="217"/>
      <c r="N19" s="217"/>
      <c r="O19" s="217"/>
      <c r="P19" s="217" t="s">
        <v>1646</v>
      </c>
      <c r="Q19" s="217"/>
      <c r="R19" s="217"/>
      <c r="S19" s="217"/>
      <c r="T19" s="217" t="s">
        <v>1594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1689</v>
      </c>
      <c r="D20" s="325"/>
      <c r="E20" s="218" t="s">
        <v>64</v>
      </c>
      <c r="F20" s="218" t="s">
        <v>1642</v>
      </c>
      <c r="G20" s="218" t="s">
        <v>1310</v>
      </c>
      <c r="H20" s="218"/>
      <c r="I20" s="218"/>
      <c r="J20" s="218"/>
      <c r="K20" s="218"/>
      <c r="L20" s="218"/>
      <c r="M20" s="245">
        <v>1407</v>
      </c>
      <c r="N20" s="218"/>
      <c r="O20" s="218"/>
      <c r="P20" s="218"/>
      <c r="Q20" s="245">
        <v>1629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215</v>
      </c>
      <c r="B27" s="248">
        <f>'Current Rents'!E32</f>
        <v>885</v>
      </c>
      <c r="C27" s="249">
        <v>1407</v>
      </c>
      <c r="D27" s="250"/>
      <c r="E27" s="251">
        <f>B27-C27</f>
        <v>-522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216</v>
      </c>
      <c r="B28" s="248" t="str">
        <f>'Current Rents'!F32</f>
        <v>—</v>
      </c>
      <c r="C28" s="249">
        <v>1629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218</v>
      </c>
      <c r="B29" s="248">
        <f>'Current Rents'!G32</f>
        <v>1140</v>
      </c>
      <c r="C29" s="249" t="s">
        <v>64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215</v>
      </c>
      <c r="C34" s="254">
        <f>'Current Rents'!E32</f>
        <v>885</v>
      </c>
      <c r="D34" s="254">
        <v>1008</v>
      </c>
    </row>
    <row r="35" spans="1:6">
      <c r="A35" s="253" t="s">
        <v>216</v>
      </c>
      <c r="C35" s="254" t="str">
        <f>'Current Rents'!F32</f>
        <v>—</v>
      </c>
      <c r="D35" s="254">
        <v>1261</v>
      </c>
    </row>
    <row r="36" spans="1:6">
      <c r="A36" s="253" t="s">
        <v>218</v>
      </c>
      <c r="C36" s="254">
        <f>'Current Rents'!G32</f>
        <v>1140</v>
      </c>
      <c r="D36" s="254">
        <v>1457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1690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1691</v>
      </c>
      <c r="AB1" s="325"/>
    </row>
    <row r="2" spans="1:28" ht="20.100000000000001" customHeight="1">
      <c r="A2" s="324" t="s">
        <v>1692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287</v>
      </c>
      <c r="K5" s="231" t="s">
        <v>288</v>
      </c>
      <c r="L5" s="231" t="s">
        <v>289</v>
      </c>
      <c r="M5" s="232" t="s">
        <v>403</v>
      </c>
      <c r="N5" s="231" t="s">
        <v>738</v>
      </c>
      <c r="O5" s="231" t="s">
        <v>739</v>
      </c>
      <c r="P5" s="231" t="s">
        <v>740</v>
      </c>
      <c r="Q5" s="232" t="s">
        <v>741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1693</v>
      </c>
      <c r="D6" s="325"/>
      <c r="E6" s="234" t="s">
        <v>1694</v>
      </c>
      <c r="F6" s="234" t="s">
        <v>1694</v>
      </c>
      <c r="G6" s="234" t="s">
        <v>1310</v>
      </c>
      <c r="H6" s="234" t="s">
        <v>1695</v>
      </c>
      <c r="I6" s="234" t="s">
        <v>308</v>
      </c>
      <c r="J6" s="234" t="s">
        <v>1696</v>
      </c>
      <c r="K6" s="234" t="s">
        <v>1697</v>
      </c>
      <c r="L6" s="234" t="s">
        <v>1191</v>
      </c>
      <c r="M6" s="235">
        <f>'Current Rents'!F33</f>
        <v>655</v>
      </c>
      <c r="N6" s="234" t="s">
        <v>1698</v>
      </c>
      <c r="O6" s="234" t="s">
        <v>1699</v>
      </c>
      <c r="P6" s="234" t="s">
        <v>592</v>
      </c>
      <c r="Q6" s="235">
        <f>'Current Rents'!G33</f>
        <v>695</v>
      </c>
      <c r="R6" s="234" t="s">
        <v>236</v>
      </c>
      <c r="S6" s="234" t="s">
        <v>678</v>
      </c>
      <c r="T6" s="234" t="s">
        <v>504</v>
      </c>
      <c r="U6" s="234" t="s">
        <v>316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1700</v>
      </c>
      <c r="D7" s="325"/>
      <c r="E7" s="216" t="s">
        <v>1701</v>
      </c>
      <c r="F7" s="216" t="s">
        <v>1694</v>
      </c>
      <c r="G7" s="216" t="s">
        <v>1310</v>
      </c>
      <c r="H7" s="216" t="s">
        <v>1702</v>
      </c>
      <c r="I7" s="216" t="s">
        <v>523</v>
      </c>
      <c r="J7" s="216" t="s">
        <v>1696</v>
      </c>
      <c r="K7" s="216" t="s">
        <v>1697</v>
      </c>
      <c r="L7" s="216" t="s">
        <v>1191</v>
      </c>
      <c r="M7" s="216" t="s">
        <v>1703</v>
      </c>
      <c r="N7" s="216" t="s">
        <v>1698</v>
      </c>
      <c r="O7" s="216" t="s">
        <v>1699</v>
      </c>
      <c r="P7" s="216" t="s">
        <v>592</v>
      </c>
      <c r="Q7" s="216" t="s">
        <v>1704</v>
      </c>
      <c r="R7" s="216" t="s">
        <v>562</v>
      </c>
      <c r="S7" s="216" t="s">
        <v>678</v>
      </c>
      <c r="T7" s="216" t="s">
        <v>504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1705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1706</v>
      </c>
      <c r="D8" s="325"/>
      <c r="E8" s="216" t="s">
        <v>1707</v>
      </c>
      <c r="F8" s="216" t="s">
        <v>1694</v>
      </c>
      <c r="G8" s="216" t="s">
        <v>1310</v>
      </c>
      <c r="H8" s="216" t="s">
        <v>1708</v>
      </c>
      <c r="I8" s="216" t="s">
        <v>1665</v>
      </c>
      <c r="J8" s="216" t="s">
        <v>1696</v>
      </c>
      <c r="K8" s="216" t="s">
        <v>1697</v>
      </c>
      <c r="L8" s="216" t="s">
        <v>1191</v>
      </c>
      <c r="M8" s="216" t="s">
        <v>326</v>
      </c>
      <c r="N8" s="216" t="s">
        <v>1698</v>
      </c>
      <c r="O8" s="216" t="s">
        <v>1699</v>
      </c>
      <c r="P8" s="216" t="s">
        <v>592</v>
      </c>
      <c r="Q8" s="216" t="s">
        <v>326</v>
      </c>
      <c r="R8" s="216" t="s">
        <v>1709</v>
      </c>
      <c r="S8" s="216" t="s">
        <v>678</v>
      </c>
      <c r="T8" s="216" t="s">
        <v>504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1710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1711</v>
      </c>
      <c r="D9" s="325"/>
      <c r="E9" s="216" t="s">
        <v>1712</v>
      </c>
      <c r="F9" s="216" t="s">
        <v>1713</v>
      </c>
      <c r="G9" s="216" t="s">
        <v>1310</v>
      </c>
      <c r="H9" s="216" t="s">
        <v>1714</v>
      </c>
      <c r="I9" s="216" t="s">
        <v>1715</v>
      </c>
      <c r="J9" s="216" t="s">
        <v>1696</v>
      </c>
      <c r="K9" s="216" t="s">
        <v>1697</v>
      </c>
      <c r="L9" s="216" t="s">
        <v>1191</v>
      </c>
      <c r="M9" s="216" t="s">
        <v>326</v>
      </c>
      <c r="N9" s="216" t="s">
        <v>1698</v>
      </c>
      <c r="O9" s="216" t="s">
        <v>1699</v>
      </c>
      <c r="P9" s="216" t="s">
        <v>592</v>
      </c>
      <c r="Q9" s="216" t="s">
        <v>326</v>
      </c>
      <c r="R9" s="216" t="s">
        <v>224</v>
      </c>
      <c r="S9" s="216" t="s">
        <v>671</v>
      </c>
      <c r="T9" s="216" t="s">
        <v>319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7" t="s">
        <v>327</v>
      </c>
      <c r="AA9" s="216" t="s">
        <v>1716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1717</v>
      </c>
      <c r="D10" s="325"/>
      <c r="E10" s="216" t="s">
        <v>1718</v>
      </c>
      <c r="F10" s="216" t="s">
        <v>1719</v>
      </c>
      <c r="G10" s="216" t="s">
        <v>1310</v>
      </c>
      <c r="H10" s="216" t="s">
        <v>1720</v>
      </c>
      <c r="I10" s="216" t="s">
        <v>1721</v>
      </c>
      <c r="J10" s="216" t="s">
        <v>1696</v>
      </c>
      <c r="K10" s="216" t="s">
        <v>1697</v>
      </c>
      <c r="L10" s="216" t="s">
        <v>1191</v>
      </c>
      <c r="M10" s="216" t="s">
        <v>326</v>
      </c>
      <c r="N10" s="216" t="s">
        <v>1698</v>
      </c>
      <c r="O10" s="216" t="s">
        <v>1699</v>
      </c>
      <c r="P10" s="216" t="s">
        <v>592</v>
      </c>
      <c r="Q10" s="216" t="s">
        <v>326</v>
      </c>
      <c r="R10" s="216" t="s">
        <v>224</v>
      </c>
      <c r="S10" s="216" t="s">
        <v>678</v>
      </c>
      <c r="T10" s="216" t="s">
        <v>504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341</v>
      </c>
      <c r="AA10" s="216" t="s">
        <v>1722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1723</v>
      </c>
      <c r="D12" s="320" t="s">
        <v>345</v>
      </c>
      <c r="E12" s="239" t="s">
        <v>1724</v>
      </c>
      <c r="F12" s="239" t="s">
        <v>1694</v>
      </c>
      <c r="G12" s="239" t="s">
        <v>1310</v>
      </c>
      <c r="H12" s="239"/>
      <c r="I12" s="239" t="s">
        <v>1657</v>
      </c>
      <c r="J12" s="239" t="s">
        <v>64</v>
      </c>
      <c r="K12" s="239" t="s">
        <v>64</v>
      </c>
      <c r="L12" s="239" t="s">
        <v>64</v>
      </c>
      <c r="M12" s="241">
        <v>1450</v>
      </c>
      <c r="N12" s="239" t="s">
        <v>64</v>
      </c>
      <c r="O12" s="239" t="s">
        <v>64</v>
      </c>
      <c r="P12" s="239" t="s">
        <v>64</v>
      </c>
      <c r="Q12" s="242"/>
      <c r="R12" s="239" t="s">
        <v>1339</v>
      </c>
      <c r="S12" s="239" t="s">
        <v>1122</v>
      </c>
      <c r="T12" s="239" t="s">
        <v>319</v>
      </c>
      <c r="U12" s="239"/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1725</v>
      </c>
      <c r="AB12" s="239" t="s">
        <v>1726</v>
      </c>
    </row>
    <row r="13" spans="1:28" ht="20.100000000000001" customHeight="1">
      <c r="A13" s="239">
        <v>2</v>
      </c>
      <c r="B13" s="240" t="s">
        <v>343</v>
      </c>
      <c r="C13" s="237" t="s">
        <v>1727</v>
      </c>
      <c r="D13" s="325"/>
      <c r="E13" s="239" t="s">
        <v>1728</v>
      </c>
      <c r="F13" s="239" t="s">
        <v>1694</v>
      </c>
      <c r="G13" s="239" t="s">
        <v>1310</v>
      </c>
      <c r="H13" s="239"/>
      <c r="I13" s="239" t="s">
        <v>530</v>
      </c>
      <c r="J13" s="239" t="s">
        <v>64</v>
      </c>
      <c r="K13" s="239" t="s">
        <v>64</v>
      </c>
      <c r="L13" s="239" t="s">
        <v>64</v>
      </c>
      <c r="M13" s="241">
        <v>1400</v>
      </c>
      <c r="N13" s="239" t="s">
        <v>64</v>
      </c>
      <c r="O13" s="239" t="s">
        <v>64</v>
      </c>
      <c r="P13" s="239" t="s">
        <v>64</v>
      </c>
      <c r="Q13" s="242"/>
      <c r="R13" s="239" t="s">
        <v>1499</v>
      </c>
      <c r="S13" s="239" t="s">
        <v>671</v>
      </c>
      <c r="T13" s="239" t="s">
        <v>319</v>
      </c>
      <c r="U13" s="239"/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1729</v>
      </c>
      <c r="AB13" s="239" t="s">
        <v>1730</v>
      </c>
    </row>
    <row r="14" spans="1:28" ht="20.100000000000001" customHeight="1">
      <c r="A14" s="239">
        <v>3</v>
      </c>
      <c r="B14" s="240" t="s">
        <v>343</v>
      </c>
      <c r="C14" s="237" t="s">
        <v>1731</v>
      </c>
      <c r="D14" s="325"/>
      <c r="E14" s="239" t="s">
        <v>1732</v>
      </c>
      <c r="F14" s="239" t="s">
        <v>1694</v>
      </c>
      <c r="G14" s="239" t="s">
        <v>1310</v>
      </c>
      <c r="H14" s="239"/>
      <c r="I14" s="239" t="s">
        <v>510</v>
      </c>
      <c r="J14" s="239" t="s">
        <v>64</v>
      </c>
      <c r="K14" s="239" t="s">
        <v>64</v>
      </c>
      <c r="L14" s="239" t="s">
        <v>64</v>
      </c>
      <c r="M14" s="241">
        <v>1475</v>
      </c>
      <c r="N14" s="239" t="s">
        <v>64</v>
      </c>
      <c r="O14" s="239" t="s">
        <v>64</v>
      </c>
      <c r="P14" s="239" t="s">
        <v>64</v>
      </c>
      <c r="Q14" s="242"/>
      <c r="R14" s="239" t="s">
        <v>1329</v>
      </c>
      <c r="S14" s="239" t="s">
        <v>1136</v>
      </c>
      <c r="T14" s="239" t="s">
        <v>258</v>
      </c>
      <c r="U14" s="239"/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1733</v>
      </c>
      <c r="AB14" s="239" t="s">
        <v>1734</v>
      </c>
    </row>
    <row r="15" spans="1:28" ht="20.100000000000001" customHeight="1">
      <c r="A15" s="239">
        <v>4</v>
      </c>
      <c r="B15" s="240" t="s">
        <v>343</v>
      </c>
      <c r="C15" s="237" t="s">
        <v>1735</v>
      </c>
      <c r="D15" s="325"/>
      <c r="E15" s="239" t="s">
        <v>1736</v>
      </c>
      <c r="F15" s="239" t="s">
        <v>1694</v>
      </c>
      <c r="G15" s="239" t="s">
        <v>1310</v>
      </c>
      <c r="H15" s="239"/>
      <c r="I15" s="239" t="s">
        <v>1737</v>
      </c>
      <c r="J15" s="239" t="s">
        <v>64</v>
      </c>
      <c r="K15" s="239" t="s">
        <v>64</v>
      </c>
      <c r="L15" s="239" t="s">
        <v>64</v>
      </c>
      <c r="M15" s="241">
        <v>1425</v>
      </c>
      <c r="N15" s="239" t="s">
        <v>64</v>
      </c>
      <c r="O15" s="239" t="s">
        <v>64</v>
      </c>
      <c r="P15" s="239" t="s">
        <v>64</v>
      </c>
      <c r="Q15" s="242"/>
      <c r="R15" s="239" t="s">
        <v>1504</v>
      </c>
      <c r="S15" s="239" t="s">
        <v>678</v>
      </c>
      <c r="T15" s="239" t="s">
        <v>504</v>
      </c>
      <c r="U15" s="239"/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1738</v>
      </c>
      <c r="AB15" s="239" t="s">
        <v>1739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1740</v>
      </c>
      <c r="D17" s="325"/>
      <c r="E17" s="217" t="s">
        <v>64</v>
      </c>
      <c r="F17" s="217" t="s">
        <v>1694</v>
      </c>
      <c r="G17" s="217" t="s">
        <v>1310</v>
      </c>
      <c r="H17" s="217"/>
      <c r="I17" s="217"/>
      <c r="J17" s="217"/>
      <c r="K17" s="217"/>
      <c r="L17" s="217" t="s">
        <v>1191</v>
      </c>
      <c r="M17" s="217"/>
      <c r="N17" s="217"/>
      <c r="O17" s="217"/>
      <c r="P17" s="217" t="s">
        <v>592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1741</v>
      </c>
      <c r="D18" s="325"/>
      <c r="E18" s="218" t="s">
        <v>64</v>
      </c>
      <c r="F18" s="218" t="s">
        <v>1694</v>
      </c>
      <c r="G18" s="218" t="s">
        <v>1310</v>
      </c>
      <c r="H18" s="218"/>
      <c r="I18" s="218"/>
      <c r="J18" s="218"/>
      <c r="K18" s="218"/>
      <c r="L18" s="218"/>
      <c r="M18" s="245">
        <v>1438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216</v>
      </c>
      <c r="B25" s="248">
        <f>'Current Rents'!F33</f>
        <v>655</v>
      </c>
      <c r="C25" s="249">
        <v>1438</v>
      </c>
      <c r="D25" s="255"/>
      <c r="E25" s="251">
        <f>B25-C25</f>
        <v>-783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218</v>
      </c>
      <c r="B26" s="248">
        <f>'Current Rents'!G33</f>
        <v>695</v>
      </c>
      <c r="C26" s="249" t="s">
        <v>64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216</v>
      </c>
      <c r="C31" s="254">
        <f>'Current Rents'!F33</f>
        <v>655</v>
      </c>
      <c r="D31" s="254">
        <v>1573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218</v>
      </c>
      <c r="C32" s="254">
        <f>'Current Rents'!G33</f>
        <v>695</v>
      </c>
      <c r="D32" s="254">
        <v>1818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1742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1743</v>
      </c>
      <c r="AB1" s="325"/>
    </row>
    <row r="2" spans="1:28" ht="20.100000000000001" customHeight="1">
      <c r="A2" s="324" t="s">
        <v>1744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1745</v>
      </c>
      <c r="D6" s="325"/>
      <c r="E6" s="234" t="s">
        <v>1746</v>
      </c>
      <c r="F6" s="234" t="s">
        <v>1747</v>
      </c>
      <c r="G6" s="234" t="s">
        <v>1310</v>
      </c>
      <c r="H6" s="234" t="s">
        <v>1748</v>
      </c>
      <c r="I6" s="234" t="s">
        <v>308</v>
      </c>
      <c r="J6" s="234" t="s">
        <v>1749</v>
      </c>
      <c r="K6" s="234" t="s">
        <v>1750</v>
      </c>
      <c r="L6" s="234" t="s">
        <v>1442</v>
      </c>
      <c r="M6" s="235" t="str">
        <f>'Current Rents'!E34</f>
        <v>—</v>
      </c>
      <c r="N6" s="234" t="s">
        <v>1751</v>
      </c>
      <c r="O6" s="234" t="s">
        <v>1752</v>
      </c>
      <c r="P6" s="234" t="s">
        <v>1445</v>
      </c>
      <c r="Q6" s="235">
        <f>'Current Rents'!F34</f>
        <v>1053</v>
      </c>
      <c r="R6" s="234" t="s">
        <v>1753</v>
      </c>
      <c r="S6" s="234">
        <v>2023</v>
      </c>
      <c r="T6" s="234" t="s">
        <v>504</v>
      </c>
      <c r="U6" s="234" t="s">
        <v>938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1754</v>
      </c>
      <c r="D7" s="325"/>
      <c r="E7" s="216" t="s">
        <v>1755</v>
      </c>
      <c r="F7" s="216" t="s">
        <v>1747</v>
      </c>
      <c r="G7" s="216" t="s">
        <v>1310</v>
      </c>
      <c r="H7" s="216" t="s">
        <v>1756</v>
      </c>
      <c r="I7" s="216" t="s">
        <v>1236</v>
      </c>
      <c r="J7" s="216" t="s">
        <v>1749</v>
      </c>
      <c r="K7" s="216" t="s">
        <v>1750</v>
      </c>
      <c r="L7" s="216" t="s">
        <v>1442</v>
      </c>
      <c r="M7" s="216" t="s">
        <v>1757</v>
      </c>
      <c r="N7" s="216" t="s">
        <v>1751</v>
      </c>
      <c r="O7" s="216" t="s">
        <v>1752</v>
      </c>
      <c r="P7" s="216" t="s">
        <v>1445</v>
      </c>
      <c r="Q7" s="216" t="s">
        <v>1758</v>
      </c>
      <c r="R7" s="216" t="s">
        <v>593</v>
      </c>
      <c r="S7" s="216" t="s">
        <v>1067</v>
      </c>
      <c r="T7" s="216" t="s">
        <v>237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1759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1760</v>
      </c>
      <c r="D8" s="325"/>
      <c r="E8" s="216" t="s">
        <v>1761</v>
      </c>
      <c r="F8" s="216" t="s">
        <v>1747</v>
      </c>
      <c r="G8" s="216" t="s">
        <v>1310</v>
      </c>
      <c r="H8" s="216" t="s">
        <v>1762</v>
      </c>
      <c r="I8" s="216" t="s">
        <v>541</v>
      </c>
      <c r="J8" s="216" t="s">
        <v>1749</v>
      </c>
      <c r="K8" s="216" t="s">
        <v>1750</v>
      </c>
      <c r="L8" s="216" t="s">
        <v>1442</v>
      </c>
      <c r="M8" s="216" t="s">
        <v>1763</v>
      </c>
      <c r="N8" s="216" t="s">
        <v>1751</v>
      </c>
      <c r="O8" s="216" t="s">
        <v>1752</v>
      </c>
      <c r="P8" s="216" t="s">
        <v>1445</v>
      </c>
      <c r="Q8" s="216" t="s">
        <v>326</v>
      </c>
      <c r="R8" s="216" t="s">
        <v>1753</v>
      </c>
      <c r="S8" s="216" t="s">
        <v>678</v>
      </c>
      <c r="T8" s="216" t="s">
        <v>369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1764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1765</v>
      </c>
      <c r="D9" s="325"/>
      <c r="E9" s="216" t="s">
        <v>1766</v>
      </c>
      <c r="F9" s="216" t="s">
        <v>1584</v>
      </c>
      <c r="G9" s="216" t="s">
        <v>1310</v>
      </c>
      <c r="H9" s="216"/>
      <c r="I9" s="216" t="s">
        <v>64</v>
      </c>
      <c r="J9" s="216" t="s">
        <v>1749</v>
      </c>
      <c r="K9" s="216" t="s">
        <v>1750</v>
      </c>
      <c r="L9" s="216" t="s">
        <v>1442</v>
      </c>
      <c r="M9" s="216" t="s">
        <v>326</v>
      </c>
      <c r="N9" s="216" t="s">
        <v>1751</v>
      </c>
      <c r="O9" s="216" t="s">
        <v>1752</v>
      </c>
      <c r="P9" s="216" t="s">
        <v>1445</v>
      </c>
      <c r="Q9" s="216" t="s">
        <v>326</v>
      </c>
      <c r="R9" s="216" t="s">
        <v>1606</v>
      </c>
      <c r="S9" s="216" t="s">
        <v>1548</v>
      </c>
      <c r="T9" s="216" t="s">
        <v>319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1023</v>
      </c>
      <c r="AA9" s="216" t="s">
        <v>1767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1768</v>
      </c>
      <c r="D10" s="325"/>
      <c r="E10" s="216" t="s">
        <v>1769</v>
      </c>
      <c r="F10" s="216" t="s">
        <v>1747</v>
      </c>
      <c r="G10" s="216" t="s">
        <v>1310</v>
      </c>
      <c r="H10" s="216" t="s">
        <v>1770</v>
      </c>
      <c r="I10" s="216" t="s">
        <v>1222</v>
      </c>
      <c r="J10" s="216" t="s">
        <v>1749</v>
      </c>
      <c r="K10" s="216" t="s">
        <v>1750</v>
      </c>
      <c r="L10" s="216" t="s">
        <v>1442</v>
      </c>
      <c r="M10" s="216" t="s">
        <v>326</v>
      </c>
      <c r="N10" s="216" t="s">
        <v>1751</v>
      </c>
      <c r="O10" s="216" t="s">
        <v>1752</v>
      </c>
      <c r="P10" s="216" t="s">
        <v>1445</v>
      </c>
      <c r="Q10" s="216" t="s">
        <v>326</v>
      </c>
      <c r="R10" s="216" t="s">
        <v>1066</v>
      </c>
      <c r="S10" s="216" t="s">
        <v>671</v>
      </c>
      <c r="T10" s="216" t="s">
        <v>363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7" t="s">
        <v>327</v>
      </c>
      <c r="AA10" s="216" t="s">
        <v>1771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1772</v>
      </c>
      <c r="D12" s="320" t="s">
        <v>345</v>
      </c>
      <c r="E12" s="239" t="s">
        <v>1773</v>
      </c>
      <c r="F12" s="239" t="s">
        <v>1747</v>
      </c>
      <c r="G12" s="239" t="s">
        <v>1310</v>
      </c>
      <c r="H12" s="239"/>
      <c r="I12" s="239" t="s">
        <v>1222</v>
      </c>
      <c r="J12" s="239" t="s">
        <v>64</v>
      </c>
      <c r="K12" s="239" t="s">
        <v>64</v>
      </c>
      <c r="L12" s="239" t="s">
        <v>64</v>
      </c>
      <c r="M12" s="241">
        <v>875</v>
      </c>
      <c r="N12" s="239" t="s">
        <v>64</v>
      </c>
      <c r="O12" s="239" t="s">
        <v>64</v>
      </c>
      <c r="P12" s="239" t="s">
        <v>64</v>
      </c>
      <c r="Q12" s="241">
        <v>995</v>
      </c>
      <c r="R12" s="239" t="s">
        <v>1774</v>
      </c>
      <c r="S12" s="239" t="s">
        <v>1057</v>
      </c>
      <c r="T12" s="239" t="s">
        <v>258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1775</v>
      </c>
      <c r="AB12" s="239" t="s">
        <v>1776</v>
      </c>
    </row>
    <row r="13" spans="1:28" ht="20.100000000000001" customHeight="1">
      <c r="A13" s="239">
        <v>2</v>
      </c>
      <c r="B13" s="240" t="s">
        <v>343</v>
      </c>
      <c r="C13" s="237" t="s">
        <v>1777</v>
      </c>
      <c r="D13" s="325"/>
      <c r="E13" s="239" t="s">
        <v>1778</v>
      </c>
      <c r="F13" s="239" t="s">
        <v>1747</v>
      </c>
      <c r="G13" s="239" t="s">
        <v>1310</v>
      </c>
      <c r="H13" s="239"/>
      <c r="I13" s="239" t="s">
        <v>706</v>
      </c>
      <c r="J13" s="239" t="s">
        <v>64</v>
      </c>
      <c r="K13" s="239" t="s">
        <v>64</v>
      </c>
      <c r="L13" s="239" t="s">
        <v>64</v>
      </c>
      <c r="M13" s="241">
        <v>850</v>
      </c>
      <c r="N13" s="239" t="s">
        <v>64</v>
      </c>
      <c r="O13" s="239" t="s">
        <v>64</v>
      </c>
      <c r="P13" s="239" t="s">
        <v>64</v>
      </c>
      <c r="Q13" s="241">
        <v>975</v>
      </c>
      <c r="R13" s="239" t="s">
        <v>789</v>
      </c>
      <c r="S13" s="239" t="s">
        <v>645</v>
      </c>
      <c r="T13" s="239" t="s">
        <v>258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1779</v>
      </c>
      <c r="AB13" s="239" t="s">
        <v>1780</v>
      </c>
    </row>
    <row r="14" spans="1:28" ht="20.100000000000001" customHeight="1">
      <c r="A14" s="239">
        <v>3</v>
      </c>
      <c r="B14" s="240" t="s">
        <v>343</v>
      </c>
      <c r="C14" s="237" t="s">
        <v>1781</v>
      </c>
      <c r="D14" s="325"/>
      <c r="E14" s="239" t="s">
        <v>1782</v>
      </c>
      <c r="F14" s="239" t="s">
        <v>1747</v>
      </c>
      <c r="G14" s="239" t="s">
        <v>1310</v>
      </c>
      <c r="H14" s="239"/>
      <c r="I14" s="239" t="s">
        <v>1783</v>
      </c>
      <c r="J14" s="239" t="s">
        <v>64</v>
      </c>
      <c r="K14" s="239" t="s">
        <v>64</v>
      </c>
      <c r="L14" s="239" t="s">
        <v>64</v>
      </c>
      <c r="M14" s="241">
        <v>900</v>
      </c>
      <c r="N14" s="239" t="s">
        <v>64</v>
      </c>
      <c r="O14" s="239" t="s">
        <v>64</v>
      </c>
      <c r="P14" s="239" t="s">
        <v>64</v>
      </c>
      <c r="Q14" s="241">
        <v>1025</v>
      </c>
      <c r="R14" s="239" t="s">
        <v>605</v>
      </c>
      <c r="S14" s="239" t="s">
        <v>1067</v>
      </c>
      <c r="T14" s="239" t="s">
        <v>237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1784</v>
      </c>
      <c r="AB14" s="239" t="s">
        <v>1780</v>
      </c>
    </row>
    <row r="15" spans="1:28" ht="20.100000000000001" customHeight="1">
      <c r="A15" s="239">
        <v>4</v>
      </c>
      <c r="B15" s="240" t="s">
        <v>343</v>
      </c>
      <c r="C15" s="237" t="s">
        <v>1785</v>
      </c>
      <c r="D15" s="325"/>
      <c r="E15" s="239" t="s">
        <v>1747</v>
      </c>
      <c r="F15" s="239" t="s">
        <v>1786</v>
      </c>
      <c r="G15" s="239" t="s">
        <v>1310</v>
      </c>
      <c r="H15" s="239"/>
      <c r="I15" s="239" t="s">
        <v>424</v>
      </c>
      <c r="J15" s="239" t="s">
        <v>64</v>
      </c>
      <c r="K15" s="239" t="s">
        <v>64</v>
      </c>
      <c r="L15" s="239" t="s">
        <v>64</v>
      </c>
      <c r="M15" s="241">
        <v>875</v>
      </c>
      <c r="N15" s="239" t="s">
        <v>64</v>
      </c>
      <c r="O15" s="239" t="s">
        <v>64</v>
      </c>
      <c r="P15" s="239" t="s">
        <v>64</v>
      </c>
      <c r="Q15" s="241">
        <v>1000</v>
      </c>
      <c r="R15" s="239" t="s">
        <v>517</v>
      </c>
      <c r="S15" s="239" t="s">
        <v>645</v>
      </c>
      <c r="T15" s="239" t="s">
        <v>258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1787</v>
      </c>
      <c r="AB15" s="239" t="s">
        <v>1780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1788</v>
      </c>
      <c r="D17" s="325"/>
      <c r="E17" s="217" t="s">
        <v>64</v>
      </c>
      <c r="F17" s="217" t="s">
        <v>1747</v>
      </c>
      <c r="G17" s="217" t="s">
        <v>1310</v>
      </c>
      <c r="H17" s="217"/>
      <c r="I17" s="217"/>
      <c r="J17" s="217"/>
      <c r="K17" s="217"/>
      <c r="L17" s="217" t="s">
        <v>1442</v>
      </c>
      <c r="M17" s="217"/>
      <c r="N17" s="217"/>
      <c r="O17" s="217"/>
      <c r="P17" s="217" t="s">
        <v>1445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1789</v>
      </c>
      <c r="D18" s="325"/>
      <c r="E18" s="218" t="s">
        <v>64</v>
      </c>
      <c r="F18" s="218" t="s">
        <v>1747</v>
      </c>
      <c r="G18" s="218" t="s">
        <v>1310</v>
      </c>
      <c r="H18" s="218"/>
      <c r="I18" s="218"/>
      <c r="J18" s="218"/>
      <c r="K18" s="218"/>
      <c r="L18" s="218"/>
      <c r="M18" s="245">
        <v>875</v>
      </c>
      <c r="N18" s="218"/>
      <c r="O18" s="218"/>
      <c r="P18" s="218"/>
      <c r="Q18" s="245">
        <v>999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215</v>
      </c>
      <c r="B25" s="248" t="str">
        <f>'Current Rents'!E34</f>
        <v>—</v>
      </c>
      <c r="C25" s="249">
        <v>875</v>
      </c>
      <c r="D25" s="255"/>
      <c r="E25" s="251" t="e">
        <f>B25-C25</f>
        <v>#VALUE!</v>
      </c>
      <c r="F25" s="252" t="e">
        <f>IF(E25&lt;-75,"LOOK INTO INCREASING THE RENT!","")</f>
        <v>#VALUE!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216</v>
      </c>
      <c r="B26" s="248">
        <f>'Current Rents'!F34</f>
        <v>1053</v>
      </c>
      <c r="C26" s="249">
        <v>999</v>
      </c>
      <c r="D26" s="250"/>
      <c r="E26" s="251">
        <f>B26-C26</f>
        <v>54</v>
      </c>
      <c r="F26" s="252" t="str">
        <f>IF(E26&lt;-75,"LOOK INTO INCREASING THE RENT!","")</f>
        <v/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215</v>
      </c>
      <c r="C31" s="254" t="str">
        <f>'Current Rents'!E34</f>
        <v>—</v>
      </c>
      <c r="D31" s="254">
        <v>1012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216</v>
      </c>
      <c r="C32" s="254">
        <f>'Current Rents'!F34</f>
        <v>1053</v>
      </c>
      <c r="D32" s="254">
        <v>1264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1790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1791</v>
      </c>
      <c r="AJ1" s="325"/>
    </row>
    <row r="2" spans="1:36" ht="20.100000000000001" customHeight="1">
      <c r="A2" s="324" t="s">
        <v>1792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1793</v>
      </c>
      <c r="D6" s="325"/>
      <c r="E6" s="234" t="s">
        <v>1794</v>
      </c>
      <c r="F6" s="234" t="s">
        <v>1694</v>
      </c>
      <c r="G6" s="234" t="s">
        <v>1310</v>
      </c>
      <c r="H6" s="234" t="s">
        <v>1695</v>
      </c>
      <c r="I6" s="234" t="s">
        <v>308</v>
      </c>
      <c r="J6" s="234" t="s">
        <v>1795</v>
      </c>
      <c r="K6" s="234" t="s">
        <v>1796</v>
      </c>
      <c r="L6" s="234" t="s">
        <v>1314</v>
      </c>
      <c r="M6" s="235" t="str">
        <f>'Current Rents'!D35</f>
        <v>—</v>
      </c>
      <c r="N6" s="234" t="s">
        <v>1797</v>
      </c>
      <c r="O6" s="234" t="s">
        <v>1798</v>
      </c>
      <c r="P6" s="234" t="s">
        <v>1190</v>
      </c>
      <c r="Q6" s="235">
        <f>'Current Rents'!E35</f>
        <v>1154</v>
      </c>
      <c r="R6" s="234" t="s">
        <v>1696</v>
      </c>
      <c r="S6" s="234" t="s">
        <v>1697</v>
      </c>
      <c r="T6" s="234" t="s">
        <v>1191</v>
      </c>
      <c r="U6" s="235">
        <f>'Current Rents'!F35</f>
        <v>1484</v>
      </c>
      <c r="V6" s="234" t="s">
        <v>1698</v>
      </c>
      <c r="W6" s="234" t="s">
        <v>1699</v>
      </c>
      <c r="X6" s="234" t="s">
        <v>592</v>
      </c>
      <c r="Y6" s="235" t="str">
        <f>'Current Rents'!G35</f>
        <v>—</v>
      </c>
      <c r="Z6" s="234" t="s">
        <v>1799</v>
      </c>
      <c r="AA6" s="234" t="s">
        <v>1122</v>
      </c>
      <c r="AB6" s="234" t="s">
        <v>504</v>
      </c>
      <c r="AC6" s="234" t="s">
        <v>938</v>
      </c>
      <c r="AD6" s="234" t="s">
        <v>316</v>
      </c>
      <c r="AE6" s="234" t="s">
        <v>316</v>
      </c>
      <c r="AF6" s="234" t="s">
        <v>315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1800</v>
      </c>
      <c r="D7" s="325"/>
      <c r="E7" s="216" t="s">
        <v>1801</v>
      </c>
      <c r="F7" s="216" t="s">
        <v>1694</v>
      </c>
      <c r="G7" s="216" t="s">
        <v>1310</v>
      </c>
      <c r="H7" s="216" t="s">
        <v>1695</v>
      </c>
      <c r="I7" s="216" t="s">
        <v>716</v>
      </c>
      <c r="J7" s="216" t="s">
        <v>1795</v>
      </c>
      <c r="K7" s="216" t="s">
        <v>1796</v>
      </c>
      <c r="L7" s="216" t="s">
        <v>1314</v>
      </c>
      <c r="M7" s="216" t="s">
        <v>326</v>
      </c>
      <c r="N7" s="216" t="s">
        <v>1797</v>
      </c>
      <c r="O7" s="216" t="s">
        <v>1798</v>
      </c>
      <c r="P7" s="216" t="s">
        <v>1190</v>
      </c>
      <c r="Q7" s="216" t="s">
        <v>1802</v>
      </c>
      <c r="R7" s="216" t="s">
        <v>1696</v>
      </c>
      <c r="S7" s="216" t="s">
        <v>1697</v>
      </c>
      <c r="T7" s="216" t="s">
        <v>1191</v>
      </c>
      <c r="U7" s="216" t="s">
        <v>1803</v>
      </c>
      <c r="V7" s="216" t="s">
        <v>1698</v>
      </c>
      <c r="W7" s="216" t="s">
        <v>1699</v>
      </c>
      <c r="X7" s="216" t="s">
        <v>592</v>
      </c>
      <c r="Y7" s="216" t="s">
        <v>1144</v>
      </c>
      <c r="Z7" s="216" t="s">
        <v>1804</v>
      </c>
      <c r="AA7" s="216" t="s">
        <v>1146</v>
      </c>
      <c r="AB7" s="216" t="s">
        <v>258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1805</v>
      </c>
      <c r="AJ7" s="216" t="s">
        <v>1008</v>
      </c>
    </row>
    <row r="8" spans="1:36" ht="20.100000000000001" customHeight="1">
      <c r="A8" s="216">
        <v>2</v>
      </c>
      <c r="B8" s="236" t="s">
        <v>320</v>
      </c>
      <c r="C8" s="317" t="s">
        <v>1706</v>
      </c>
      <c r="D8" s="325"/>
      <c r="E8" s="216" t="s">
        <v>1707</v>
      </c>
      <c r="F8" s="216" t="s">
        <v>1694</v>
      </c>
      <c r="G8" s="216" t="s">
        <v>1310</v>
      </c>
      <c r="H8" s="216" t="s">
        <v>1708</v>
      </c>
      <c r="I8" s="216" t="s">
        <v>1665</v>
      </c>
      <c r="J8" s="216" t="s">
        <v>1795</v>
      </c>
      <c r="K8" s="216" t="s">
        <v>1796</v>
      </c>
      <c r="L8" s="216" t="s">
        <v>1314</v>
      </c>
      <c r="M8" s="216" t="s">
        <v>326</v>
      </c>
      <c r="N8" s="216" t="s">
        <v>1797</v>
      </c>
      <c r="O8" s="216" t="s">
        <v>1798</v>
      </c>
      <c r="P8" s="216" t="s">
        <v>1190</v>
      </c>
      <c r="Q8" s="216" t="s">
        <v>326</v>
      </c>
      <c r="R8" s="216" t="s">
        <v>1696</v>
      </c>
      <c r="S8" s="216" t="s">
        <v>1697</v>
      </c>
      <c r="T8" s="216" t="s">
        <v>1191</v>
      </c>
      <c r="U8" s="216" t="s">
        <v>326</v>
      </c>
      <c r="V8" s="216" t="s">
        <v>1698</v>
      </c>
      <c r="W8" s="216" t="s">
        <v>1699</v>
      </c>
      <c r="X8" s="216" t="s">
        <v>592</v>
      </c>
      <c r="Y8" s="216" t="s">
        <v>326</v>
      </c>
      <c r="Z8" s="216" t="s">
        <v>1709</v>
      </c>
      <c r="AA8" s="216" t="s">
        <v>678</v>
      </c>
      <c r="AB8" s="216" t="s">
        <v>319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1806</v>
      </c>
      <c r="AJ8" s="216" t="s">
        <v>1008</v>
      </c>
    </row>
    <row r="9" spans="1:36" ht="20.100000000000001" customHeight="1">
      <c r="A9" s="216">
        <v>3</v>
      </c>
      <c r="B9" s="236" t="s">
        <v>320</v>
      </c>
      <c r="C9" s="317" t="s">
        <v>1807</v>
      </c>
      <c r="D9" s="325"/>
      <c r="E9" s="216" t="s">
        <v>1808</v>
      </c>
      <c r="F9" s="216" t="s">
        <v>1694</v>
      </c>
      <c r="G9" s="216" t="s">
        <v>1310</v>
      </c>
      <c r="H9" s="216" t="s">
        <v>1809</v>
      </c>
      <c r="I9" s="216" t="s">
        <v>815</v>
      </c>
      <c r="J9" s="216" t="s">
        <v>1795</v>
      </c>
      <c r="K9" s="216" t="s">
        <v>1796</v>
      </c>
      <c r="L9" s="216" t="s">
        <v>1314</v>
      </c>
      <c r="M9" s="216" t="s">
        <v>326</v>
      </c>
      <c r="N9" s="216" t="s">
        <v>1797</v>
      </c>
      <c r="O9" s="216" t="s">
        <v>1798</v>
      </c>
      <c r="P9" s="216" t="s">
        <v>1190</v>
      </c>
      <c r="Q9" s="216" t="s">
        <v>326</v>
      </c>
      <c r="R9" s="216" t="s">
        <v>1696</v>
      </c>
      <c r="S9" s="216" t="s">
        <v>1697</v>
      </c>
      <c r="T9" s="216" t="s">
        <v>1191</v>
      </c>
      <c r="U9" s="216" t="s">
        <v>326</v>
      </c>
      <c r="V9" s="216" t="s">
        <v>1698</v>
      </c>
      <c r="W9" s="216" t="s">
        <v>1699</v>
      </c>
      <c r="X9" s="216" t="s">
        <v>592</v>
      </c>
      <c r="Y9" s="216" t="s">
        <v>326</v>
      </c>
      <c r="Z9" s="216" t="s">
        <v>257</v>
      </c>
      <c r="AA9" s="216" t="s">
        <v>1122</v>
      </c>
      <c r="AB9" s="216" t="s">
        <v>504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1810</v>
      </c>
      <c r="AJ9" s="216" t="s">
        <v>1008</v>
      </c>
    </row>
    <row r="10" spans="1:36" ht="20.100000000000001" customHeight="1">
      <c r="A10" s="216">
        <v>4</v>
      </c>
      <c r="B10" s="236" t="s">
        <v>320</v>
      </c>
      <c r="C10" s="317" t="s">
        <v>99</v>
      </c>
      <c r="D10" s="325"/>
      <c r="E10" s="216" t="s">
        <v>1811</v>
      </c>
      <c r="F10" s="216" t="s">
        <v>1694</v>
      </c>
      <c r="G10" s="216" t="s">
        <v>1310</v>
      </c>
      <c r="H10" s="216" t="s">
        <v>1812</v>
      </c>
      <c r="I10" s="216" t="s">
        <v>1563</v>
      </c>
      <c r="J10" s="216" t="s">
        <v>1795</v>
      </c>
      <c r="K10" s="216" t="s">
        <v>1796</v>
      </c>
      <c r="L10" s="216" t="s">
        <v>1314</v>
      </c>
      <c r="M10" s="216" t="s">
        <v>326</v>
      </c>
      <c r="N10" s="216" t="s">
        <v>1797</v>
      </c>
      <c r="O10" s="216" t="s">
        <v>1798</v>
      </c>
      <c r="P10" s="216" t="s">
        <v>1190</v>
      </c>
      <c r="Q10" s="216" t="s">
        <v>326</v>
      </c>
      <c r="R10" s="216" t="s">
        <v>1696</v>
      </c>
      <c r="S10" s="216" t="s">
        <v>1697</v>
      </c>
      <c r="T10" s="216" t="s">
        <v>1191</v>
      </c>
      <c r="U10" s="216" t="s">
        <v>326</v>
      </c>
      <c r="V10" s="216" t="s">
        <v>1698</v>
      </c>
      <c r="W10" s="216" t="s">
        <v>1699</v>
      </c>
      <c r="X10" s="216" t="s">
        <v>592</v>
      </c>
      <c r="Y10" s="216" t="s">
        <v>326</v>
      </c>
      <c r="Z10" s="216" t="s">
        <v>224</v>
      </c>
      <c r="AA10" s="216" t="s">
        <v>1136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1813</v>
      </c>
      <c r="AJ10" s="216" t="s">
        <v>1008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1723</v>
      </c>
      <c r="D12" s="320" t="s">
        <v>345</v>
      </c>
      <c r="E12" s="239" t="s">
        <v>1724</v>
      </c>
      <c r="F12" s="239" t="s">
        <v>1694</v>
      </c>
      <c r="G12" s="239" t="s">
        <v>1310</v>
      </c>
      <c r="H12" s="239"/>
      <c r="I12" s="239" t="s">
        <v>1814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1339</v>
      </c>
      <c r="AA12" s="239" t="s">
        <v>1122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1815</v>
      </c>
      <c r="AJ12" s="239" t="s">
        <v>1726</v>
      </c>
    </row>
    <row r="13" spans="1:36" ht="20.100000000000001" customHeight="1">
      <c r="A13" s="239">
        <v>2</v>
      </c>
      <c r="B13" s="240" t="s">
        <v>343</v>
      </c>
      <c r="C13" s="237" t="s">
        <v>1727</v>
      </c>
      <c r="D13" s="325"/>
      <c r="E13" s="239" t="s">
        <v>1728</v>
      </c>
      <c r="F13" s="239" t="s">
        <v>1694</v>
      </c>
      <c r="G13" s="239" t="s">
        <v>1310</v>
      </c>
      <c r="H13" s="239"/>
      <c r="I13" s="239" t="s">
        <v>1783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1499</v>
      </c>
      <c r="AA13" s="239" t="s">
        <v>671</v>
      </c>
      <c r="AB13" s="239" t="s">
        <v>258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1816</v>
      </c>
      <c r="AJ13" s="239" t="s">
        <v>1730</v>
      </c>
    </row>
    <row r="14" spans="1:36" ht="20.100000000000001" customHeight="1">
      <c r="A14" s="239">
        <v>3</v>
      </c>
      <c r="B14" s="240" t="s">
        <v>343</v>
      </c>
      <c r="C14" s="237" t="s">
        <v>1731</v>
      </c>
      <c r="D14" s="325"/>
      <c r="E14" s="239" t="s">
        <v>1732</v>
      </c>
      <c r="F14" s="239" t="s">
        <v>1694</v>
      </c>
      <c r="G14" s="239" t="s">
        <v>1310</v>
      </c>
      <c r="H14" s="239"/>
      <c r="I14" s="239" t="s">
        <v>1817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1329</v>
      </c>
      <c r="AA14" s="239" t="s">
        <v>1136</v>
      </c>
      <c r="AB14" s="239" t="s">
        <v>319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1818</v>
      </c>
      <c r="AJ14" s="239" t="s">
        <v>1734</v>
      </c>
    </row>
    <row r="15" spans="1:36" ht="20.100000000000001" customHeight="1">
      <c r="A15" s="239">
        <v>4</v>
      </c>
      <c r="B15" s="240" t="s">
        <v>343</v>
      </c>
      <c r="C15" s="237" t="s">
        <v>1735</v>
      </c>
      <c r="D15" s="325"/>
      <c r="E15" s="239" t="s">
        <v>1736</v>
      </c>
      <c r="F15" s="239" t="s">
        <v>1694</v>
      </c>
      <c r="G15" s="239" t="s">
        <v>1310</v>
      </c>
      <c r="H15" s="239"/>
      <c r="I15" s="239" t="s">
        <v>1819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1504</v>
      </c>
      <c r="AA15" s="239" t="s">
        <v>678</v>
      </c>
      <c r="AB15" s="239" t="s">
        <v>319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1820</v>
      </c>
      <c r="AJ15" s="239" t="s">
        <v>1739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1740</v>
      </c>
      <c r="D17" s="325"/>
      <c r="E17" s="217" t="s">
        <v>64</v>
      </c>
      <c r="F17" s="217" t="s">
        <v>1694</v>
      </c>
      <c r="G17" s="217" t="s">
        <v>1310</v>
      </c>
      <c r="H17" s="217"/>
      <c r="I17" s="217"/>
      <c r="J17" s="217"/>
      <c r="K17" s="217"/>
      <c r="L17" s="217" t="s">
        <v>1314</v>
      </c>
      <c r="M17" s="217"/>
      <c r="N17" s="217"/>
      <c r="O17" s="217"/>
      <c r="P17" s="217" t="s">
        <v>1190</v>
      </c>
      <c r="Q17" s="217"/>
      <c r="R17" s="217"/>
      <c r="S17" s="217"/>
      <c r="T17" s="217" t="s">
        <v>1191</v>
      </c>
      <c r="U17" s="217"/>
      <c r="V17" s="217"/>
      <c r="W17" s="217"/>
      <c r="X17" s="217" t="s">
        <v>592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1741</v>
      </c>
      <c r="D18" s="325"/>
      <c r="E18" s="218" t="s">
        <v>64</v>
      </c>
      <c r="F18" s="218" t="s">
        <v>1694</v>
      </c>
      <c r="G18" s="218" t="s">
        <v>1310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221</v>
      </c>
      <c r="B25" s="248" t="str">
        <f>'Current Rents'!D35</f>
        <v>—</v>
      </c>
      <c r="C25" s="249">
        <v>924</v>
      </c>
      <c r="D25" s="255"/>
      <c r="E25" s="251" t="e">
        <f>B25-C25</f>
        <v>#VALUE!</v>
      </c>
      <c r="F25" s="252" t="e">
        <f>IF(E25&lt;-75,"LOOK INTO INCREASING THE RENT!","")</f>
        <v>#VALUE!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215</v>
      </c>
      <c r="B26" s="248">
        <f>'Current Rents'!E35</f>
        <v>1154</v>
      </c>
      <c r="C26" s="249">
        <v>1162</v>
      </c>
      <c r="D26" s="255"/>
      <c r="E26" s="251">
        <f>B26-C26</f>
        <v>-8</v>
      </c>
      <c r="F26" s="252" t="str">
        <f>IF(E26&lt;-75,"LOOK INTO INCREASING THE RENT!","")</f>
        <v/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216</v>
      </c>
      <c r="B27" s="248">
        <f>'Current Rents'!F35</f>
        <v>1484</v>
      </c>
      <c r="C27" s="249">
        <v>1438</v>
      </c>
      <c r="D27" s="255"/>
      <c r="E27" s="251">
        <f>B27-C27</f>
        <v>46</v>
      </c>
      <c r="F27" s="252" t="str">
        <f>IF(E27&lt;-75,"LOOK INTO INCREASING THE RENT!","")</f>
        <v/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218</v>
      </c>
      <c r="B28" s="248" t="str">
        <f>'Current Rents'!G35</f>
        <v>—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 t="str">
        <f>'Current Rents'!D35</f>
        <v>—</v>
      </c>
      <c r="D33" s="254">
        <v>916</v>
      </c>
    </row>
    <row r="34" spans="1:4">
      <c r="A34" s="253" t="s">
        <v>215</v>
      </c>
      <c r="C34" s="254">
        <f>'Current Rents'!E35</f>
        <v>1154</v>
      </c>
      <c r="D34" s="254">
        <v>1254</v>
      </c>
    </row>
    <row r="35" spans="1:4">
      <c r="A35" s="253" t="s">
        <v>216</v>
      </c>
      <c r="C35" s="254">
        <f>'Current Rents'!F35</f>
        <v>1484</v>
      </c>
      <c r="D35" s="254">
        <v>1573</v>
      </c>
    </row>
    <row r="36" spans="1:4">
      <c r="A36" s="253" t="s">
        <v>218</v>
      </c>
      <c r="C36" s="254" t="str">
        <f>'Current Rents'!G35</f>
        <v>—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1821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1822</v>
      </c>
      <c r="AJ1" s="325"/>
    </row>
    <row r="2" spans="1:36" ht="20.100000000000001" customHeight="1">
      <c r="A2" s="324" t="s">
        <v>1823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1824</v>
      </c>
      <c r="D6" s="325"/>
      <c r="E6" s="234" t="s">
        <v>1825</v>
      </c>
      <c r="F6" s="234" t="s">
        <v>1694</v>
      </c>
      <c r="G6" s="234" t="s">
        <v>1310</v>
      </c>
      <c r="H6" s="234" t="s">
        <v>1826</v>
      </c>
      <c r="I6" s="234" t="s">
        <v>308</v>
      </c>
      <c r="J6" s="234" t="s">
        <v>1795</v>
      </c>
      <c r="K6" s="234" t="s">
        <v>1796</v>
      </c>
      <c r="L6" s="234" t="s">
        <v>1314</v>
      </c>
      <c r="M6" s="235">
        <f>'Current Rents'!D36</f>
        <v>874</v>
      </c>
      <c r="N6" s="234" t="s">
        <v>1797</v>
      </c>
      <c r="O6" s="234" t="s">
        <v>1798</v>
      </c>
      <c r="P6" s="234" t="s">
        <v>1190</v>
      </c>
      <c r="Q6" s="235">
        <f>'Current Rents'!E36</f>
        <v>1039</v>
      </c>
      <c r="R6" s="234" t="s">
        <v>1696</v>
      </c>
      <c r="S6" s="234" t="s">
        <v>1697</v>
      </c>
      <c r="T6" s="234" t="s">
        <v>1191</v>
      </c>
      <c r="U6" s="235">
        <f>'Current Rents'!F36</f>
        <v>1194</v>
      </c>
      <c r="V6" s="234" t="s">
        <v>1698</v>
      </c>
      <c r="W6" s="234" t="s">
        <v>1699</v>
      </c>
      <c r="X6" s="234" t="s">
        <v>592</v>
      </c>
      <c r="Y6" s="235">
        <f>'Current Rents'!G36</f>
        <v>1321</v>
      </c>
      <c r="Z6" s="234" t="s">
        <v>224</v>
      </c>
      <c r="AA6" s="234" t="s">
        <v>1122</v>
      </c>
      <c r="AB6" s="234" t="s">
        <v>504</v>
      </c>
      <c r="AC6" s="234" t="s">
        <v>938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1827</v>
      </c>
      <c r="D7" s="325"/>
      <c r="E7" s="216" t="s">
        <v>1701</v>
      </c>
      <c r="F7" s="216" t="s">
        <v>1694</v>
      </c>
      <c r="G7" s="216" t="s">
        <v>1310</v>
      </c>
      <c r="H7" s="216" t="s">
        <v>1702</v>
      </c>
      <c r="I7" s="216" t="s">
        <v>523</v>
      </c>
      <c r="J7" s="216" t="s">
        <v>1795</v>
      </c>
      <c r="K7" s="216" t="s">
        <v>1796</v>
      </c>
      <c r="L7" s="216" t="s">
        <v>1314</v>
      </c>
      <c r="M7" s="216" t="s">
        <v>326</v>
      </c>
      <c r="N7" s="216" t="s">
        <v>1797</v>
      </c>
      <c r="O7" s="216" t="s">
        <v>1798</v>
      </c>
      <c r="P7" s="216" t="s">
        <v>1190</v>
      </c>
      <c r="Q7" s="216" t="s">
        <v>326</v>
      </c>
      <c r="R7" s="216" t="s">
        <v>1696</v>
      </c>
      <c r="S7" s="216" t="s">
        <v>1697</v>
      </c>
      <c r="T7" s="216" t="s">
        <v>1191</v>
      </c>
      <c r="U7" s="216" t="s">
        <v>326</v>
      </c>
      <c r="V7" s="216" t="s">
        <v>1698</v>
      </c>
      <c r="W7" s="216" t="s">
        <v>1699</v>
      </c>
      <c r="X7" s="216" t="s">
        <v>592</v>
      </c>
      <c r="Y7" s="216" t="s">
        <v>326</v>
      </c>
      <c r="Z7" s="216" t="s">
        <v>224</v>
      </c>
      <c r="AA7" s="216" t="s">
        <v>1122</v>
      </c>
      <c r="AB7" s="216" t="s">
        <v>504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1828</v>
      </c>
      <c r="AJ7" s="216" t="s">
        <v>1008</v>
      </c>
    </row>
    <row r="8" spans="1:36" ht="20.100000000000001" customHeight="1">
      <c r="A8" s="216">
        <v>2</v>
      </c>
      <c r="B8" s="236" t="s">
        <v>320</v>
      </c>
      <c r="C8" s="317" t="s">
        <v>1807</v>
      </c>
      <c r="D8" s="325"/>
      <c r="E8" s="216" t="s">
        <v>1808</v>
      </c>
      <c r="F8" s="216" t="s">
        <v>1694</v>
      </c>
      <c r="G8" s="216" t="s">
        <v>1310</v>
      </c>
      <c r="H8" s="216" t="s">
        <v>1809</v>
      </c>
      <c r="I8" s="216" t="s">
        <v>815</v>
      </c>
      <c r="J8" s="216" t="s">
        <v>1795</v>
      </c>
      <c r="K8" s="216" t="s">
        <v>1796</v>
      </c>
      <c r="L8" s="216" t="s">
        <v>1314</v>
      </c>
      <c r="M8" s="216" t="s">
        <v>326</v>
      </c>
      <c r="N8" s="216" t="s">
        <v>1797</v>
      </c>
      <c r="O8" s="216" t="s">
        <v>1798</v>
      </c>
      <c r="P8" s="216" t="s">
        <v>1190</v>
      </c>
      <c r="Q8" s="216" t="s">
        <v>326</v>
      </c>
      <c r="R8" s="216" t="s">
        <v>1696</v>
      </c>
      <c r="S8" s="216" t="s">
        <v>1697</v>
      </c>
      <c r="T8" s="216" t="s">
        <v>1191</v>
      </c>
      <c r="U8" s="216" t="s">
        <v>326</v>
      </c>
      <c r="V8" s="216" t="s">
        <v>1698</v>
      </c>
      <c r="W8" s="216" t="s">
        <v>1699</v>
      </c>
      <c r="X8" s="216" t="s">
        <v>592</v>
      </c>
      <c r="Y8" s="216" t="s">
        <v>326</v>
      </c>
      <c r="Z8" s="216" t="s">
        <v>257</v>
      </c>
      <c r="AA8" s="216" t="s">
        <v>1122</v>
      </c>
      <c r="AB8" s="216" t="s">
        <v>504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1829</v>
      </c>
      <c r="AJ8" s="216" t="s">
        <v>1008</v>
      </c>
    </row>
    <row r="9" spans="1:36" ht="20.100000000000001" customHeight="1">
      <c r="A9" s="216">
        <v>3</v>
      </c>
      <c r="B9" s="236" t="s">
        <v>320</v>
      </c>
      <c r="C9" s="317" t="s">
        <v>1830</v>
      </c>
      <c r="D9" s="325"/>
      <c r="E9" s="216" t="s">
        <v>1831</v>
      </c>
      <c r="F9" s="216" t="s">
        <v>1694</v>
      </c>
      <c r="G9" s="216" t="s">
        <v>1310</v>
      </c>
      <c r="H9" s="216" t="s">
        <v>1702</v>
      </c>
      <c r="I9" s="216" t="s">
        <v>541</v>
      </c>
      <c r="J9" s="216" t="s">
        <v>1795</v>
      </c>
      <c r="K9" s="216" t="s">
        <v>1796</v>
      </c>
      <c r="L9" s="216" t="s">
        <v>1314</v>
      </c>
      <c r="M9" s="216" t="s">
        <v>326</v>
      </c>
      <c r="N9" s="216" t="s">
        <v>1797</v>
      </c>
      <c r="O9" s="216" t="s">
        <v>1798</v>
      </c>
      <c r="P9" s="216" t="s">
        <v>1190</v>
      </c>
      <c r="Q9" s="216" t="s">
        <v>326</v>
      </c>
      <c r="R9" s="216" t="s">
        <v>1696</v>
      </c>
      <c r="S9" s="216" t="s">
        <v>1697</v>
      </c>
      <c r="T9" s="216" t="s">
        <v>1191</v>
      </c>
      <c r="U9" s="216" t="s">
        <v>326</v>
      </c>
      <c r="V9" s="216" t="s">
        <v>1698</v>
      </c>
      <c r="W9" s="216" t="s">
        <v>1699</v>
      </c>
      <c r="X9" s="216" t="s">
        <v>592</v>
      </c>
      <c r="Y9" s="216" t="s">
        <v>326</v>
      </c>
      <c r="Z9" s="216" t="s">
        <v>266</v>
      </c>
      <c r="AA9" s="216" t="s">
        <v>1136</v>
      </c>
      <c r="AB9" s="216" t="s">
        <v>319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1832</v>
      </c>
      <c r="AJ9" s="216" t="s">
        <v>1008</v>
      </c>
    </row>
    <row r="10" spans="1:36" ht="20.100000000000001" customHeight="1">
      <c r="A10" s="216">
        <v>4</v>
      </c>
      <c r="B10" s="236" t="s">
        <v>320</v>
      </c>
      <c r="C10" s="317" t="s">
        <v>1833</v>
      </c>
      <c r="D10" s="325"/>
      <c r="E10" s="216" t="s">
        <v>1834</v>
      </c>
      <c r="F10" s="216" t="s">
        <v>1694</v>
      </c>
      <c r="G10" s="216" t="s">
        <v>1310</v>
      </c>
      <c r="H10" s="216" t="s">
        <v>1809</v>
      </c>
      <c r="I10" s="216" t="s">
        <v>360</v>
      </c>
      <c r="J10" s="216" t="s">
        <v>1795</v>
      </c>
      <c r="K10" s="216" t="s">
        <v>1796</v>
      </c>
      <c r="L10" s="216" t="s">
        <v>1314</v>
      </c>
      <c r="M10" s="216" t="s">
        <v>326</v>
      </c>
      <c r="N10" s="216" t="s">
        <v>1797</v>
      </c>
      <c r="O10" s="216" t="s">
        <v>1798</v>
      </c>
      <c r="P10" s="216" t="s">
        <v>1190</v>
      </c>
      <c r="Q10" s="216" t="s">
        <v>326</v>
      </c>
      <c r="R10" s="216" t="s">
        <v>1696</v>
      </c>
      <c r="S10" s="216" t="s">
        <v>1697</v>
      </c>
      <c r="T10" s="216" t="s">
        <v>1191</v>
      </c>
      <c r="U10" s="216" t="s">
        <v>326</v>
      </c>
      <c r="V10" s="216" t="s">
        <v>1698</v>
      </c>
      <c r="W10" s="216" t="s">
        <v>1699</v>
      </c>
      <c r="X10" s="216" t="s">
        <v>592</v>
      </c>
      <c r="Y10" s="216" t="s">
        <v>326</v>
      </c>
      <c r="Z10" s="216" t="s">
        <v>536</v>
      </c>
      <c r="AA10" s="216" t="s">
        <v>1136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1835</v>
      </c>
      <c r="AJ10" s="216" t="s">
        <v>1008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1723</v>
      </c>
      <c r="D12" s="320" t="s">
        <v>345</v>
      </c>
      <c r="E12" s="239" t="s">
        <v>1724</v>
      </c>
      <c r="F12" s="239" t="s">
        <v>1694</v>
      </c>
      <c r="G12" s="239" t="s">
        <v>1310</v>
      </c>
      <c r="H12" s="239"/>
      <c r="I12" s="239" t="s">
        <v>706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1339</v>
      </c>
      <c r="AA12" s="239" t="s">
        <v>1122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1836</v>
      </c>
      <c r="AJ12" s="239" t="s">
        <v>1726</v>
      </c>
    </row>
    <row r="13" spans="1:36" ht="20.100000000000001" customHeight="1">
      <c r="A13" s="239">
        <v>2</v>
      </c>
      <c r="B13" s="240" t="s">
        <v>343</v>
      </c>
      <c r="C13" s="237" t="s">
        <v>1727</v>
      </c>
      <c r="D13" s="325"/>
      <c r="E13" s="239" t="s">
        <v>1728</v>
      </c>
      <c r="F13" s="239" t="s">
        <v>1694</v>
      </c>
      <c r="G13" s="239" t="s">
        <v>1310</v>
      </c>
      <c r="H13" s="239"/>
      <c r="I13" s="239" t="s">
        <v>1837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1499</v>
      </c>
      <c r="AA13" s="239" t="s">
        <v>671</v>
      </c>
      <c r="AB13" s="239" t="s">
        <v>258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1838</v>
      </c>
      <c r="AJ13" s="239" t="s">
        <v>1730</v>
      </c>
    </row>
    <row r="14" spans="1:36" ht="20.100000000000001" customHeight="1">
      <c r="A14" s="239">
        <v>3</v>
      </c>
      <c r="B14" s="240" t="s">
        <v>343</v>
      </c>
      <c r="C14" s="237" t="s">
        <v>1731</v>
      </c>
      <c r="D14" s="325"/>
      <c r="E14" s="239" t="s">
        <v>1732</v>
      </c>
      <c r="F14" s="239" t="s">
        <v>1694</v>
      </c>
      <c r="G14" s="239" t="s">
        <v>1310</v>
      </c>
      <c r="H14" s="239"/>
      <c r="I14" s="239" t="s">
        <v>1604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1329</v>
      </c>
      <c r="AA14" s="239" t="s">
        <v>1136</v>
      </c>
      <c r="AB14" s="239" t="s">
        <v>319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1839</v>
      </c>
      <c r="AJ14" s="239" t="s">
        <v>1734</v>
      </c>
    </row>
    <row r="15" spans="1:36" ht="20.100000000000001" customHeight="1">
      <c r="A15" s="239">
        <v>4</v>
      </c>
      <c r="B15" s="240" t="s">
        <v>343</v>
      </c>
      <c r="C15" s="237" t="s">
        <v>1735</v>
      </c>
      <c r="D15" s="325"/>
      <c r="E15" s="239" t="s">
        <v>1736</v>
      </c>
      <c r="F15" s="239" t="s">
        <v>1694</v>
      </c>
      <c r="G15" s="239" t="s">
        <v>1310</v>
      </c>
      <c r="H15" s="239"/>
      <c r="I15" s="239" t="s">
        <v>1840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1504</v>
      </c>
      <c r="AA15" s="239" t="s">
        <v>678</v>
      </c>
      <c r="AB15" s="239" t="s">
        <v>319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1841</v>
      </c>
      <c r="AJ15" s="239" t="s">
        <v>1739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1740</v>
      </c>
      <c r="D17" s="325"/>
      <c r="E17" s="217" t="s">
        <v>64</v>
      </c>
      <c r="F17" s="217" t="s">
        <v>1694</v>
      </c>
      <c r="G17" s="217" t="s">
        <v>1310</v>
      </c>
      <c r="H17" s="217"/>
      <c r="I17" s="217"/>
      <c r="J17" s="217"/>
      <c r="K17" s="217"/>
      <c r="L17" s="217" t="s">
        <v>1314</v>
      </c>
      <c r="M17" s="217"/>
      <c r="N17" s="217"/>
      <c r="O17" s="217"/>
      <c r="P17" s="217" t="s">
        <v>1190</v>
      </c>
      <c r="Q17" s="217"/>
      <c r="R17" s="217"/>
      <c r="S17" s="217"/>
      <c r="T17" s="217" t="s">
        <v>1191</v>
      </c>
      <c r="U17" s="217"/>
      <c r="V17" s="217"/>
      <c r="W17" s="217"/>
      <c r="X17" s="217" t="s">
        <v>592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1741</v>
      </c>
      <c r="D18" s="325"/>
      <c r="E18" s="218" t="s">
        <v>64</v>
      </c>
      <c r="F18" s="218" t="s">
        <v>1694</v>
      </c>
      <c r="G18" s="218" t="s">
        <v>1310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221</v>
      </c>
      <c r="B25" s="248">
        <f>'Current Rents'!D36</f>
        <v>874</v>
      </c>
      <c r="C25" s="249">
        <v>924</v>
      </c>
      <c r="D25" s="255"/>
      <c r="E25" s="251">
        <f>B25-C25</f>
        <v>-50</v>
      </c>
      <c r="F25" s="252" t="str">
        <f>IF(E25&lt;-75,"LOOK INTO INCREASING THE RENT!","")</f>
        <v/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215</v>
      </c>
      <c r="B26" s="248">
        <f>'Current Rents'!E36</f>
        <v>1039</v>
      </c>
      <c r="C26" s="249">
        <v>1162</v>
      </c>
      <c r="D26" s="255"/>
      <c r="E26" s="251">
        <f>B26-C26</f>
        <v>-123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216</v>
      </c>
      <c r="B27" s="248">
        <f>'Current Rents'!F36</f>
        <v>1194</v>
      </c>
      <c r="C27" s="249">
        <v>1438</v>
      </c>
      <c r="D27" s="255"/>
      <c r="E27" s="251">
        <f>B27-C27</f>
        <v>-244</v>
      </c>
      <c r="F27" s="252" t="str">
        <f>IF(E27&lt;-75,"LOOK INTO INCREASING THE RENT!","")</f>
        <v>LOOK INTO INCREASING THE RENT!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218</v>
      </c>
      <c r="B28" s="248">
        <f>'Current Rents'!G36</f>
        <v>1321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>
        <f>'Current Rents'!D36</f>
        <v>874</v>
      </c>
      <c r="D33" s="254">
        <v>916</v>
      </c>
    </row>
    <row r="34" spans="1:4">
      <c r="A34" s="253" t="s">
        <v>215</v>
      </c>
      <c r="C34" s="254">
        <f>'Current Rents'!E36</f>
        <v>1039</v>
      </c>
      <c r="D34" s="254">
        <v>1254</v>
      </c>
    </row>
    <row r="35" spans="1:4">
      <c r="A35" s="253" t="s">
        <v>216</v>
      </c>
      <c r="C35" s="254">
        <f>'Current Rents'!F36</f>
        <v>1194</v>
      </c>
      <c r="D35" s="254">
        <v>1573</v>
      </c>
    </row>
    <row r="36" spans="1:4">
      <c r="A36" s="253" t="s">
        <v>218</v>
      </c>
      <c r="C36" s="254">
        <f>'Current Rents'!G36</f>
        <v>1321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1842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1843</v>
      </c>
      <c r="AJ1" s="325"/>
    </row>
    <row r="2" spans="1:36" ht="20.100000000000001" customHeight="1">
      <c r="A2" s="324" t="s">
        <v>1844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1845</v>
      </c>
      <c r="D6" s="325"/>
      <c r="E6" s="234" t="s">
        <v>1846</v>
      </c>
      <c r="F6" s="234" t="s">
        <v>1694</v>
      </c>
      <c r="G6" s="234" t="s">
        <v>1310</v>
      </c>
      <c r="H6" s="234" t="s">
        <v>1826</v>
      </c>
      <c r="I6" s="234" t="s">
        <v>308</v>
      </c>
      <c r="J6" s="234" t="s">
        <v>1795</v>
      </c>
      <c r="K6" s="234" t="s">
        <v>1796</v>
      </c>
      <c r="L6" s="234" t="s">
        <v>1314</v>
      </c>
      <c r="M6" s="235">
        <f>'Current Rents'!D37</f>
        <v>874</v>
      </c>
      <c r="N6" s="234" t="s">
        <v>1797</v>
      </c>
      <c r="O6" s="234" t="s">
        <v>1798</v>
      </c>
      <c r="P6" s="234" t="s">
        <v>1190</v>
      </c>
      <c r="Q6" s="235">
        <f>'Current Rents'!E37</f>
        <v>1039</v>
      </c>
      <c r="R6" s="234" t="s">
        <v>1696</v>
      </c>
      <c r="S6" s="234" t="s">
        <v>1697</v>
      </c>
      <c r="T6" s="234" t="s">
        <v>1191</v>
      </c>
      <c r="U6" s="235">
        <f>'Current Rents'!F37</f>
        <v>1194</v>
      </c>
      <c r="V6" s="234" t="s">
        <v>1698</v>
      </c>
      <c r="W6" s="234" t="s">
        <v>1699</v>
      </c>
      <c r="X6" s="234" t="s">
        <v>592</v>
      </c>
      <c r="Y6" s="235">
        <f>'Current Rents'!G37</f>
        <v>1321</v>
      </c>
      <c r="Z6" s="234" t="s">
        <v>224</v>
      </c>
      <c r="AA6" s="234" t="s">
        <v>1122</v>
      </c>
      <c r="AB6" s="234" t="s">
        <v>504</v>
      </c>
      <c r="AC6" s="234" t="s">
        <v>938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1827</v>
      </c>
      <c r="D7" s="325"/>
      <c r="E7" s="216" t="s">
        <v>1701</v>
      </c>
      <c r="F7" s="216" t="s">
        <v>1694</v>
      </c>
      <c r="G7" s="216" t="s">
        <v>1310</v>
      </c>
      <c r="H7" s="216" t="s">
        <v>1702</v>
      </c>
      <c r="I7" s="216" t="s">
        <v>523</v>
      </c>
      <c r="J7" s="216" t="s">
        <v>1795</v>
      </c>
      <c r="K7" s="216" t="s">
        <v>1796</v>
      </c>
      <c r="L7" s="216" t="s">
        <v>1314</v>
      </c>
      <c r="M7" s="216" t="s">
        <v>326</v>
      </c>
      <c r="N7" s="216" t="s">
        <v>1797</v>
      </c>
      <c r="O7" s="216" t="s">
        <v>1798</v>
      </c>
      <c r="P7" s="216" t="s">
        <v>1190</v>
      </c>
      <c r="Q7" s="216" t="s">
        <v>326</v>
      </c>
      <c r="R7" s="216" t="s">
        <v>1696</v>
      </c>
      <c r="S7" s="216" t="s">
        <v>1697</v>
      </c>
      <c r="T7" s="216" t="s">
        <v>1191</v>
      </c>
      <c r="U7" s="216" t="s">
        <v>326</v>
      </c>
      <c r="V7" s="216" t="s">
        <v>1698</v>
      </c>
      <c r="W7" s="216" t="s">
        <v>1699</v>
      </c>
      <c r="X7" s="216" t="s">
        <v>592</v>
      </c>
      <c r="Y7" s="216" t="s">
        <v>326</v>
      </c>
      <c r="Z7" s="216" t="s">
        <v>224</v>
      </c>
      <c r="AA7" s="216" t="s">
        <v>1122</v>
      </c>
      <c r="AB7" s="216" t="s">
        <v>504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1828</v>
      </c>
      <c r="AJ7" s="216" t="s">
        <v>1008</v>
      </c>
    </row>
    <row r="8" spans="1:36" ht="20.100000000000001" customHeight="1">
      <c r="A8" s="216">
        <v>2</v>
      </c>
      <c r="B8" s="236" t="s">
        <v>320</v>
      </c>
      <c r="C8" s="317" t="s">
        <v>1807</v>
      </c>
      <c r="D8" s="325"/>
      <c r="E8" s="216" t="s">
        <v>1808</v>
      </c>
      <c r="F8" s="216" t="s">
        <v>1694</v>
      </c>
      <c r="G8" s="216" t="s">
        <v>1310</v>
      </c>
      <c r="H8" s="216" t="s">
        <v>1809</v>
      </c>
      <c r="I8" s="216" t="s">
        <v>815</v>
      </c>
      <c r="J8" s="216" t="s">
        <v>1795</v>
      </c>
      <c r="K8" s="216" t="s">
        <v>1796</v>
      </c>
      <c r="L8" s="216" t="s">
        <v>1314</v>
      </c>
      <c r="M8" s="216" t="s">
        <v>326</v>
      </c>
      <c r="N8" s="216" t="s">
        <v>1797</v>
      </c>
      <c r="O8" s="216" t="s">
        <v>1798</v>
      </c>
      <c r="P8" s="216" t="s">
        <v>1190</v>
      </c>
      <c r="Q8" s="216" t="s">
        <v>326</v>
      </c>
      <c r="R8" s="216" t="s">
        <v>1696</v>
      </c>
      <c r="S8" s="216" t="s">
        <v>1697</v>
      </c>
      <c r="T8" s="216" t="s">
        <v>1191</v>
      </c>
      <c r="U8" s="216" t="s">
        <v>326</v>
      </c>
      <c r="V8" s="216" t="s">
        <v>1698</v>
      </c>
      <c r="W8" s="216" t="s">
        <v>1699</v>
      </c>
      <c r="X8" s="216" t="s">
        <v>592</v>
      </c>
      <c r="Y8" s="216" t="s">
        <v>326</v>
      </c>
      <c r="Z8" s="216" t="s">
        <v>257</v>
      </c>
      <c r="AA8" s="216" t="s">
        <v>1122</v>
      </c>
      <c r="AB8" s="216" t="s">
        <v>504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1829</v>
      </c>
      <c r="AJ8" s="216" t="s">
        <v>1008</v>
      </c>
    </row>
    <row r="9" spans="1:36" ht="20.100000000000001" customHeight="1">
      <c r="A9" s="216">
        <v>3</v>
      </c>
      <c r="B9" s="236" t="s">
        <v>320</v>
      </c>
      <c r="C9" s="317" t="s">
        <v>1830</v>
      </c>
      <c r="D9" s="325"/>
      <c r="E9" s="216" t="s">
        <v>1831</v>
      </c>
      <c r="F9" s="216" t="s">
        <v>1694</v>
      </c>
      <c r="G9" s="216" t="s">
        <v>1310</v>
      </c>
      <c r="H9" s="216" t="s">
        <v>1702</v>
      </c>
      <c r="I9" s="216" t="s">
        <v>541</v>
      </c>
      <c r="J9" s="216" t="s">
        <v>1795</v>
      </c>
      <c r="K9" s="216" t="s">
        <v>1796</v>
      </c>
      <c r="L9" s="216" t="s">
        <v>1314</v>
      </c>
      <c r="M9" s="216" t="s">
        <v>326</v>
      </c>
      <c r="N9" s="216" t="s">
        <v>1797</v>
      </c>
      <c r="O9" s="216" t="s">
        <v>1798</v>
      </c>
      <c r="P9" s="216" t="s">
        <v>1190</v>
      </c>
      <c r="Q9" s="216" t="s">
        <v>326</v>
      </c>
      <c r="R9" s="216" t="s">
        <v>1696</v>
      </c>
      <c r="S9" s="216" t="s">
        <v>1697</v>
      </c>
      <c r="T9" s="216" t="s">
        <v>1191</v>
      </c>
      <c r="U9" s="216" t="s">
        <v>326</v>
      </c>
      <c r="V9" s="216" t="s">
        <v>1698</v>
      </c>
      <c r="W9" s="216" t="s">
        <v>1699</v>
      </c>
      <c r="X9" s="216" t="s">
        <v>592</v>
      </c>
      <c r="Y9" s="216" t="s">
        <v>326</v>
      </c>
      <c r="Z9" s="216" t="s">
        <v>266</v>
      </c>
      <c r="AA9" s="216" t="s">
        <v>1136</v>
      </c>
      <c r="AB9" s="216" t="s">
        <v>319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1832</v>
      </c>
      <c r="AJ9" s="216" t="s">
        <v>1008</v>
      </c>
    </row>
    <row r="10" spans="1:36" ht="20.100000000000001" customHeight="1">
      <c r="A10" s="216">
        <v>4</v>
      </c>
      <c r="B10" s="236" t="s">
        <v>320</v>
      </c>
      <c r="C10" s="317" t="s">
        <v>1833</v>
      </c>
      <c r="D10" s="325"/>
      <c r="E10" s="216" t="s">
        <v>1834</v>
      </c>
      <c r="F10" s="216" t="s">
        <v>1694</v>
      </c>
      <c r="G10" s="216" t="s">
        <v>1310</v>
      </c>
      <c r="H10" s="216" t="s">
        <v>1809</v>
      </c>
      <c r="I10" s="216" t="s">
        <v>360</v>
      </c>
      <c r="J10" s="216" t="s">
        <v>1795</v>
      </c>
      <c r="K10" s="216" t="s">
        <v>1796</v>
      </c>
      <c r="L10" s="216" t="s">
        <v>1314</v>
      </c>
      <c r="M10" s="216" t="s">
        <v>326</v>
      </c>
      <c r="N10" s="216" t="s">
        <v>1797</v>
      </c>
      <c r="O10" s="216" t="s">
        <v>1798</v>
      </c>
      <c r="P10" s="216" t="s">
        <v>1190</v>
      </c>
      <c r="Q10" s="216" t="s">
        <v>326</v>
      </c>
      <c r="R10" s="216" t="s">
        <v>1696</v>
      </c>
      <c r="S10" s="216" t="s">
        <v>1697</v>
      </c>
      <c r="T10" s="216" t="s">
        <v>1191</v>
      </c>
      <c r="U10" s="216" t="s">
        <v>326</v>
      </c>
      <c r="V10" s="216" t="s">
        <v>1698</v>
      </c>
      <c r="W10" s="216" t="s">
        <v>1699</v>
      </c>
      <c r="X10" s="216" t="s">
        <v>592</v>
      </c>
      <c r="Y10" s="216" t="s">
        <v>326</v>
      </c>
      <c r="Z10" s="216" t="s">
        <v>536</v>
      </c>
      <c r="AA10" s="216" t="s">
        <v>1136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1835</v>
      </c>
      <c r="AJ10" s="216" t="s">
        <v>1008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1723</v>
      </c>
      <c r="D12" s="320" t="s">
        <v>345</v>
      </c>
      <c r="E12" s="239" t="s">
        <v>1724</v>
      </c>
      <c r="F12" s="239" t="s">
        <v>1694</v>
      </c>
      <c r="G12" s="239" t="s">
        <v>1310</v>
      </c>
      <c r="H12" s="239"/>
      <c r="I12" s="239" t="s">
        <v>1563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1339</v>
      </c>
      <c r="AA12" s="239" t="s">
        <v>1122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1847</v>
      </c>
      <c r="AJ12" s="239" t="s">
        <v>1726</v>
      </c>
    </row>
    <row r="13" spans="1:36" ht="20.100000000000001" customHeight="1">
      <c r="A13" s="239">
        <v>2</v>
      </c>
      <c r="B13" s="240" t="s">
        <v>343</v>
      </c>
      <c r="C13" s="237" t="s">
        <v>1727</v>
      </c>
      <c r="D13" s="325"/>
      <c r="E13" s="239" t="s">
        <v>1728</v>
      </c>
      <c r="F13" s="239" t="s">
        <v>1694</v>
      </c>
      <c r="G13" s="239" t="s">
        <v>1310</v>
      </c>
      <c r="H13" s="239"/>
      <c r="I13" s="239" t="s">
        <v>1848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1499</v>
      </c>
      <c r="AA13" s="239" t="s">
        <v>671</v>
      </c>
      <c r="AB13" s="239" t="s">
        <v>258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1849</v>
      </c>
      <c r="AJ13" s="239" t="s">
        <v>1730</v>
      </c>
    </row>
    <row r="14" spans="1:36" ht="20.100000000000001" customHeight="1">
      <c r="A14" s="239">
        <v>3</v>
      </c>
      <c r="B14" s="240" t="s">
        <v>343</v>
      </c>
      <c r="C14" s="237" t="s">
        <v>1731</v>
      </c>
      <c r="D14" s="325"/>
      <c r="E14" s="239" t="s">
        <v>1732</v>
      </c>
      <c r="F14" s="239" t="s">
        <v>1694</v>
      </c>
      <c r="G14" s="239" t="s">
        <v>1310</v>
      </c>
      <c r="H14" s="239"/>
      <c r="I14" s="239" t="s">
        <v>1850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1329</v>
      </c>
      <c r="AA14" s="239" t="s">
        <v>1136</v>
      </c>
      <c r="AB14" s="239" t="s">
        <v>319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1851</v>
      </c>
      <c r="AJ14" s="239" t="s">
        <v>1734</v>
      </c>
    </row>
    <row r="15" spans="1:36" ht="20.100000000000001" customHeight="1">
      <c r="A15" s="239">
        <v>4</v>
      </c>
      <c r="B15" s="240" t="s">
        <v>343</v>
      </c>
      <c r="C15" s="237" t="s">
        <v>1735</v>
      </c>
      <c r="D15" s="325"/>
      <c r="E15" s="239" t="s">
        <v>1736</v>
      </c>
      <c r="F15" s="239" t="s">
        <v>1694</v>
      </c>
      <c r="G15" s="239" t="s">
        <v>1310</v>
      </c>
      <c r="H15" s="239"/>
      <c r="I15" s="239" t="s">
        <v>1852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1504</v>
      </c>
      <c r="AA15" s="239" t="s">
        <v>678</v>
      </c>
      <c r="AB15" s="239" t="s">
        <v>319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1853</v>
      </c>
      <c r="AJ15" s="239" t="s">
        <v>1739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1740</v>
      </c>
      <c r="D17" s="325"/>
      <c r="E17" s="217" t="s">
        <v>64</v>
      </c>
      <c r="F17" s="217" t="s">
        <v>1694</v>
      </c>
      <c r="G17" s="217" t="s">
        <v>1310</v>
      </c>
      <c r="H17" s="217"/>
      <c r="I17" s="217"/>
      <c r="J17" s="217"/>
      <c r="K17" s="217"/>
      <c r="L17" s="217" t="s">
        <v>1314</v>
      </c>
      <c r="M17" s="217"/>
      <c r="N17" s="217"/>
      <c r="O17" s="217"/>
      <c r="P17" s="217" t="s">
        <v>1190</v>
      </c>
      <c r="Q17" s="217"/>
      <c r="R17" s="217"/>
      <c r="S17" s="217"/>
      <c r="T17" s="217" t="s">
        <v>1191</v>
      </c>
      <c r="U17" s="217"/>
      <c r="V17" s="217"/>
      <c r="W17" s="217"/>
      <c r="X17" s="217" t="s">
        <v>592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1741</v>
      </c>
      <c r="D18" s="325"/>
      <c r="E18" s="218" t="s">
        <v>64</v>
      </c>
      <c r="F18" s="218" t="s">
        <v>1694</v>
      </c>
      <c r="G18" s="218" t="s">
        <v>1310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221</v>
      </c>
      <c r="B25" s="248">
        <f>'Current Rents'!D37</f>
        <v>874</v>
      </c>
      <c r="C25" s="249">
        <v>924</v>
      </c>
      <c r="D25" s="255"/>
      <c r="E25" s="251">
        <f>B25-C25</f>
        <v>-50</v>
      </c>
      <c r="F25" s="252" t="str">
        <f>IF(E25&lt;-75,"LOOK INTO INCREASING THE RENT!","")</f>
        <v/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215</v>
      </c>
      <c r="B26" s="248">
        <f>'Current Rents'!E37</f>
        <v>1039</v>
      </c>
      <c r="C26" s="249">
        <v>1162</v>
      </c>
      <c r="D26" s="255"/>
      <c r="E26" s="251">
        <f>B26-C26</f>
        <v>-123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216</v>
      </c>
      <c r="B27" s="248">
        <f>'Current Rents'!F37</f>
        <v>1194</v>
      </c>
      <c r="C27" s="249">
        <v>1438</v>
      </c>
      <c r="D27" s="255"/>
      <c r="E27" s="251">
        <f>B27-C27</f>
        <v>-244</v>
      </c>
      <c r="F27" s="252" t="str">
        <f>IF(E27&lt;-75,"LOOK INTO INCREASING THE RENT!","")</f>
        <v>LOOK INTO INCREASING THE RENT!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218</v>
      </c>
      <c r="B28" s="248">
        <f>'Current Rents'!G37</f>
        <v>1321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>
        <f>'Current Rents'!D37</f>
        <v>874</v>
      </c>
      <c r="D33" s="254">
        <v>916</v>
      </c>
    </row>
    <row r="34" spans="1:4">
      <c r="A34" s="253" t="s">
        <v>215</v>
      </c>
      <c r="C34" s="254">
        <f>'Current Rents'!E37</f>
        <v>1039</v>
      </c>
      <c r="D34" s="254">
        <v>1254</v>
      </c>
    </row>
    <row r="35" spans="1:4">
      <c r="A35" s="253" t="s">
        <v>216</v>
      </c>
      <c r="C35" s="254">
        <f>'Current Rents'!F37</f>
        <v>1194</v>
      </c>
      <c r="D35" s="254">
        <v>1573</v>
      </c>
    </row>
    <row r="36" spans="1:4">
      <c r="A36" s="253" t="s">
        <v>218</v>
      </c>
      <c r="C36" s="254">
        <f>'Current Rents'!G37</f>
        <v>1321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hidden="1" customWidth="1"/>
    <col min="23" max="23" width="9" customWidth="1"/>
    <col min="24" max="24" width="7" hidden="1" customWidth="1"/>
    <col min="25" max="27" width="7" customWidth="1"/>
    <col min="28" max="29" width="7" style="214" customWidth="1"/>
    <col min="30" max="30" width="16" style="214" customWidth="1"/>
    <col min="31" max="31" width="40" style="214" customWidth="1"/>
    <col min="32" max="32" width="35" style="214" customWidth="1"/>
    <col min="33" max="33" width="7" customWidth="1"/>
    <col min="34" max="34" width="24.5703125" customWidth="1"/>
    <col min="35" max="35" width="55.7109375" customWidth="1"/>
    <col min="36" max="36" width="13" customWidth="1"/>
  </cols>
  <sheetData>
    <row r="1" spans="1:36" ht="30" customHeight="1">
      <c r="A1" s="322" t="s">
        <v>1854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19" t="s">
        <v>1855</v>
      </c>
      <c r="AF1" s="341"/>
      <c r="AG1" s="246"/>
      <c r="AH1" s="246"/>
      <c r="AI1" s="246"/>
      <c r="AJ1" s="246"/>
    </row>
    <row r="2" spans="1:36" ht="20.100000000000001" customHeight="1">
      <c r="A2" s="324" t="s">
        <v>1856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246"/>
      <c r="AH2" s="246"/>
      <c r="AI2" s="246"/>
      <c r="AJ2" s="246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246"/>
      <c r="AH3" s="246"/>
      <c r="AI3" s="246"/>
      <c r="AJ3" s="246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246"/>
      <c r="AH4" s="246"/>
      <c r="AI4" s="246"/>
      <c r="AJ4" s="246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  <c r="AG5" s="246"/>
      <c r="AH5" s="246"/>
      <c r="AI5" s="246"/>
      <c r="AJ5" s="246"/>
    </row>
    <row r="6" spans="1:36" ht="21.95" customHeight="1">
      <c r="A6" s="233" t="s">
        <v>301</v>
      </c>
      <c r="B6" s="233" t="s">
        <v>302</v>
      </c>
      <c r="C6" s="316" t="s">
        <v>1857</v>
      </c>
      <c r="D6" s="325"/>
      <c r="E6" s="234" t="s">
        <v>103</v>
      </c>
      <c r="F6" s="234" t="s">
        <v>103</v>
      </c>
      <c r="G6" s="234" t="s">
        <v>1246</v>
      </c>
      <c r="H6" s="234" t="s">
        <v>1858</v>
      </c>
      <c r="I6" s="234" t="s">
        <v>308</v>
      </c>
      <c r="J6" s="234" t="s">
        <v>1859</v>
      </c>
      <c r="K6" s="234" t="s">
        <v>1860</v>
      </c>
      <c r="L6" s="234" t="s">
        <v>1861</v>
      </c>
      <c r="M6" s="235">
        <f>'Current Rents'!E38</f>
        <v>1039</v>
      </c>
      <c r="N6" s="234" t="s">
        <v>1862</v>
      </c>
      <c r="O6" s="234" t="s">
        <v>1863</v>
      </c>
      <c r="P6" s="234" t="s">
        <v>1864</v>
      </c>
      <c r="Q6" s="235">
        <f>'Current Rents'!F38</f>
        <v>1194</v>
      </c>
      <c r="R6" s="234" t="s">
        <v>1865</v>
      </c>
      <c r="S6" s="234" t="s">
        <v>1866</v>
      </c>
      <c r="T6" s="234" t="s">
        <v>1867</v>
      </c>
      <c r="U6" s="235">
        <f>'Current Rents'!G38</f>
        <v>1321</v>
      </c>
      <c r="V6" s="234" t="s">
        <v>1066</v>
      </c>
      <c r="W6" s="234" t="s">
        <v>801</v>
      </c>
      <c r="X6" s="234" t="s">
        <v>504</v>
      </c>
      <c r="Y6" s="234" t="s">
        <v>938</v>
      </c>
      <c r="Z6" s="234" t="s">
        <v>316</v>
      </c>
      <c r="AA6" s="234" t="s">
        <v>316</v>
      </c>
      <c r="AB6" s="234" t="s">
        <v>315</v>
      </c>
      <c r="AC6" s="234" t="s">
        <v>316</v>
      </c>
      <c r="AD6" s="233" t="s">
        <v>64</v>
      </c>
      <c r="AE6" s="234"/>
      <c r="AF6" s="234"/>
      <c r="AG6" s="246"/>
      <c r="AH6" s="246"/>
      <c r="AI6" s="246"/>
      <c r="AJ6" s="246"/>
    </row>
    <row r="7" spans="1:36" ht="20.100000000000001" customHeight="1">
      <c r="A7" s="216">
        <v>1</v>
      </c>
      <c r="B7" s="236" t="s">
        <v>320</v>
      </c>
      <c r="C7" s="317" t="s">
        <v>1868</v>
      </c>
      <c r="D7" s="325"/>
      <c r="E7" s="216" t="s">
        <v>1869</v>
      </c>
      <c r="F7" s="216" t="s">
        <v>1870</v>
      </c>
      <c r="G7" s="216" t="s">
        <v>1246</v>
      </c>
      <c r="H7" s="216" t="s">
        <v>1871</v>
      </c>
      <c r="I7" s="216" t="s">
        <v>1872</v>
      </c>
      <c r="J7" s="216" t="s">
        <v>1859</v>
      </c>
      <c r="K7" s="216" t="s">
        <v>1860</v>
      </c>
      <c r="L7" s="216" t="s">
        <v>1861</v>
      </c>
      <c r="M7" s="216" t="s">
        <v>326</v>
      </c>
      <c r="N7" s="216" t="s">
        <v>1862</v>
      </c>
      <c r="O7" s="216" t="s">
        <v>1863</v>
      </c>
      <c r="P7" s="216" t="s">
        <v>1864</v>
      </c>
      <c r="Q7" s="216" t="s">
        <v>326</v>
      </c>
      <c r="R7" s="216" t="s">
        <v>1865</v>
      </c>
      <c r="S7" s="216" t="s">
        <v>1866</v>
      </c>
      <c r="T7" s="216" t="s">
        <v>1867</v>
      </c>
      <c r="U7" s="216" t="s">
        <v>326</v>
      </c>
      <c r="V7" s="216" t="s">
        <v>593</v>
      </c>
      <c r="W7" s="216" t="s">
        <v>1202</v>
      </c>
      <c r="X7" s="216" t="s">
        <v>443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1873</v>
      </c>
      <c r="AF7" s="216" t="s">
        <v>1008</v>
      </c>
      <c r="AG7" s="246"/>
      <c r="AH7" s="246"/>
      <c r="AI7" s="246"/>
      <c r="AJ7" s="246"/>
    </row>
    <row r="8" spans="1:36" ht="20.100000000000001" customHeight="1">
      <c r="A8" s="216">
        <v>2</v>
      </c>
      <c r="B8" s="236" t="s">
        <v>320</v>
      </c>
      <c r="C8" s="317" t="s">
        <v>1874</v>
      </c>
      <c r="D8" s="325"/>
      <c r="E8" s="216"/>
      <c r="F8" s="216" t="s">
        <v>1267</v>
      </c>
      <c r="G8" s="216" t="s">
        <v>1246</v>
      </c>
      <c r="H8" s="216"/>
      <c r="I8" s="216" t="s">
        <v>64</v>
      </c>
      <c r="J8" s="216" t="s">
        <v>1859</v>
      </c>
      <c r="K8" s="216" t="s">
        <v>1860</v>
      </c>
      <c r="L8" s="216" t="s">
        <v>1861</v>
      </c>
      <c r="M8" s="216" t="s">
        <v>326</v>
      </c>
      <c r="N8" s="216" t="s">
        <v>1862</v>
      </c>
      <c r="O8" s="216" t="s">
        <v>1863</v>
      </c>
      <c r="P8" s="216" t="s">
        <v>1864</v>
      </c>
      <c r="Q8" s="216" t="s">
        <v>326</v>
      </c>
      <c r="R8" s="216" t="s">
        <v>1865</v>
      </c>
      <c r="S8" s="216" t="s">
        <v>1866</v>
      </c>
      <c r="T8" s="216" t="s">
        <v>1867</v>
      </c>
      <c r="U8" s="216" t="s">
        <v>326</v>
      </c>
      <c r="V8" s="216" t="s">
        <v>1875</v>
      </c>
      <c r="W8" s="216" t="s">
        <v>1202</v>
      </c>
      <c r="X8" s="216" t="s">
        <v>443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8" t="s">
        <v>1023</v>
      </c>
      <c r="AE8" s="216" t="s">
        <v>1876</v>
      </c>
      <c r="AF8" s="216" t="s">
        <v>1008</v>
      </c>
      <c r="AG8" s="246"/>
      <c r="AH8" s="246"/>
      <c r="AI8" s="246"/>
      <c r="AJ8" s="246"/>
    </row>
    <row r="9" spans="1:36" ht="20.100000000000001" customHeight="1">
      <c r="A9" s="216">
        <v>3</v>
      </c>
      <c r="B9" s="236" t="s">
        <v>320</v>
      </c>
      <c r="C9" s="317" t="s">
        <v>1877</v>
      </c>
      <c r="D9" s="325"/>
      <c r="E9" s="216" t="s">
        <v>1878</v>
      </c>
      <c r="F9" s="216" t="s">
        <v>1870</v>
      </c>
      <c r="G9" s="216" t="s">
        <v>1246</v>
      </c>
      <c r="H9" s="216" t="s">
        <v>1871</v>
      </c>
      <c r="I9" s="216" t="s">
        <v>1879</v>
      </c>
      <c r="J9" s="216" t="s">
        <v>1859</v>
      </c>
      <c r="K9" s="216" t="s">
        <v>1860</v>
      </c>
      <c r="L9" s="216" t="s">
        <v>1861</v>
      </c>
      <c r="M9" s="216" t="s">
        <v>1880</v>
      </c>
      <c r="N9" s="216" t="s">
        <v>1862</v>
      </c>
      <c r="O9" s="216" t="s">
        <v>1863</v>
      </c>
      <c r="P9" s="216" t="s">
        <v>1864</v>
      </c>
      <c r="Q9" s="216" t="s">
        <v>326</v>
      </c>
      <c r="R9" s="216" t="s">
        <v>1865</v>
      </c>
      <c r="S9" s="216" t="s">
        <v>1866</v>
      </c>
      <c r="T9" s="216" t="s">
        <v>1867</v>
      </c>
      <c r="U9" s="216" t="s">
        <v>326</v>
      </c>
      <c r="V9" s="216" t="s">
        <v>248</v>
      </c>
      <c r="W9" s="216" t="s">
        <v>1195</v>
      </c>
      <c r="X9" s="216" t="s">
        <v>1881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1882</v>
      </c>
      <c r="AF9" s="216" t="s">
        <v>1008</v>
      </c>
      <c r="AG9" s="246"/>
      <c r="AH9" s="246"/>
      <c r="AI9" s="246"/>
      <c r="AJ9" s="246"/>
    </row>
    <row r="10" spans="1:36" ht="20.100000000000001" customHeight="1">
      <c r="A10" s="216">
        <v>4</v>
      </c>
      <c r="B10" s="236" t="s">
        <v>320</v>
      </c>
      <c r="C10" s="317" t="s">
        <v>1883</v>
      </c>
      <c r="D10" s="325"/>
      <c r="E10" s="216" t="s">
        <v>1884</v>
      </c>
      <c r="F10" s="216" t="s">
        <v>1885</v>
      </c>
      <c r="G10" s="216" t="s">
        <v>1246</v>
      </c>
      <c r="H10" s="216" t="s">
        <v>1886</v>
      </c>
      <c r="I10" s="216" t="s">
        <v>1887</v>
      </c>
      <c r="J10" s="216" t="s">
        <v>1859</v>
      </c>
      <c r="K10" s="216" t="s">
        <v>1860</v>
      </c>
      <c r="L10" s="216" t="s">
        <v>1861</v>
      </c>
      <c r="M10" s="216" t="s">
        <v>326</v>
      </c>
      <c r="N10" s="216" t="s">
        <v>1862</v>
      </c>
      <c r="O10" s="216" t="s">
        <v>1863</v>
      </c>
      <c r="P10" s="216" t="s">
        <v>1864</v>
      </c>
      <c r="Q10" s="216" t="s">
        <v>326</v>
      </c>
      <c r="R10" s="216" t="s">
        <v>1865</v>
      </c>
      <c r="S10" s="216" t="s">
        <v>1866</v>
      </c>
      <c r="T10" s="216" t="s">
        <v>1867</v>
      </c>
      <c r="U10" s="216" t="s">
        <v>326</v>
      </c>
      <c r="V10" s="216" t="s">
        <v>613</v>
      </c>
      <c r="W10" s="216" t="s">
        <v>1888</v>
      </c>
      <c r="X10" s="216" t="s">
        <v>810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1889</v>
      </c>
      <c r="AF10" s="216" t="s">
        <v>1008</v>
      </c>
      <c r="AG10" s="246"/>
      <c r="AH10" s="246"/>
      <c r="AI10" s="246"/>
      <c r="AJ10" s="246"/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46"/>
      <c r="AH11" s="246"/>
      <c r="AI11" s="246"/>
      <c r="AJ11" s="246"/>
    </row>
    <row r="12" spans="1:36" ht="20.100000000000001" customHeight="1">
      <c r="A12" s="239">
        <v>1</v>
      </c>
      <c r="B12" s="240" t="s">
        <v>343</v>
      </c>
      <c r="C12" s="237" t="s">
        <v>1890</v>
      </c>
      <c r="D12" s="320" t="s">
        <v>345</v>
      </c>
      <c r="E12" s="239" t="s">
        <v>1891</v>
      </c>
      <c r="F12" s="239" t="s">
        <v>1267</v>
      </c>
      <c r="G12" s="239" t="s">
        <v>1246</v>
      </c>
      <c r="H12" s="239"/>
      <c r="I12" s="239" t="s">
        <v>1892</v>
      </c>
      <c r="J12" s="239" t="s">
        <v>64</v>
      </c>
      <c r="K12" s="239" t="s">
        <v>64</v>
      </c>
      <c r="L12" s="239" t="s">
        <v>64</v>
      </c>
      <c r="M12" s="241">
        <v>3200</v>
      </c>
      <c r="N12" s="239" t="s">
        <v>64</v>
      </c>
      <c r="O12" s="239" t="s">
        <v>64</v>
      </c>
      <c r="P12" s="239" t="s">
        <v>64</v>
      </c>
      <c r="Q12" s="241">
        <v>4100</v>
      </c>
      <c r="R12" s="239" t="s">
        <v>64</v>
      </c>
      <c r="S12" s="239" t="s">
        <v>64</v>
      </c>
      <c r="T12" s="239" t="s">
        <v>64</v>
      </c>
      <c r="U12" s="242"/>
      <c r="V12" s="239" t="s">
        <v>1893</v>
      </c>
      <c r="W12" s="239" t="s">
        <v>801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8" t="s">
        <v>1023</v>
      </c>
      <c r="AE12" s="239" t="s">
        <v>1894</v>
      </c>
      <c r="AF12" s="239" t="s">
        <v>1895</v>
      </c>
      <c r="AG12" s="246"/>
      <c r="AH12" s="246"/>
      <c r="AI12" s="246"/>
      <c r="AJ12" s="246"/>
    </row>
    <row r="13" spans="1:36" ht="20.100000000000001" customHeight="1">
      <c r="A13" s="239">
        <v>2</v>
      </c>
      <c r="B13" s="240" t="s">
        <v>343</v>
      </c>
      <c r="C13" s="237" t="s">
        <v>1896</v>
      </c>
      <c r="D13" s="325"/>
      <c r="E13" s="239" t="s">
        <v>1897</v>
      </c>
      <c r="F13" s="239" t="s">
        <v>103</v>
      </c>
      <c r="G13" s="239" t="s">
        <v>1246</v>
      </c>
      <c r="H13" s="239"/>
      <c r="I13" s="239" t="s">
        <v>721</v>
      </c>
      <c r="J13" s="239" t="s">
        <v>64</v>
      </c>
      <c r="K13" s="239" t="s">
        <v>64</v>
      </c>
      <c r="L13" s="239" t="s">
        <v>64</v>
      </c>
      <c r="M13" s="241">
        <v>2450</v>
      </c>
      <c r="N13" s="239" t="s">
        <v>64</v>
      </c>
      <c r="O13" s="239" t="s">
        <v>64</v>
      </c>
      <c r="P13" s="239" t="s">
        <v>64</v>
      </c>
      <c r="Q13" s="241">
        <v>3100</v>
      </c>
      <c r="R13" s="239" t="s">
        <v>64</v>
      </c>
      <c r="S13" s="239" t="s">
        <v>64</v>
      </c>
      <c r="T13" s="239" t="s">
        <v>64</v>
      </c>
      <c r="U13" s="242"/>
      <c r="V13" s="239" t="s">
        <v>1329</v>
      </c>
      <c r="W13" s="239" t="s">
        <v>1898</v>
      </c>
      <c r="X13" s="239" t="s">
        <v>258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1899</v>
      </c>
      <c r="AF13" s="239" t="s">
        <v>1900</v>
      </c>
      <c r="AG13" s="246"/>
      <c r="AH13" s="246"/>
      <c r="AI13" s="246"/>
      <c r="AJ13" s="246"/>
    </row>
    <row r="14" spans="1:36" ht="20.100000000000001" customHeight="1">
      <c r="A14" s="239">
        <v>3</v>
      </c>
      <c r="B14" s="240" t="s">
        <v>343</v>
      </c>
      <c r="C14" s="237" t="s">
        <v>1901</v>
      </c>
      <c r="D14" s="325"/>
      <c r="E14" s="239" t="s">
        <v>1902</v>
      </c>
      <c r="F14" s="239" t="s">
        <v>1885</v>
      </c>
      <c r="G14" s="239" t="s">
        <v>1246</v>
      </c>
      <c r="H14" s="239"/>
      <c r="I14" s="239" t="s">
        <v>1783</v>
      </c>
      <c r="J14" s="239" t="s">
        <v>64</v>
      </c>
      <c r="K14" s="239" t="s">
        <v>64</v>
      </c>
      <c r="L14" s="239" t="s">
        <v>64</v>
      </c>
      <c r="M14" s="241">
        <v>2200</v>
      </c>
      <c r="N14" s="239" t="s">
        <v>64</v>
      </c>
      <c r="O14" s="239" t="s">
        <v>64</v>
      </c>
      <c r="P14" s="239" t="s">
        <v>64</v>
      </c>
      <c r="Q14" s="241">
        <v>2750</v>
      </c>
      <c r="R14" s="239" t="s">
        <v>64</v>
      </c>
      <c r="S14" s="239" t="s">
        <v>64</v>
      </c>
      <c r="T14" s="239" t="s">
        <v>64</v>
      </c>
      <c r="U14" s="242"/>
      <c r="V14" s="239" t="s">
        <v>789</v>
      </c>
      <c r="W14" s="239" t="s">
        <v>442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1903</v>
      </c>
      <c r="AF14" s="239" t="s">
        <v>1904</v>
      </c>
      <c r="AG14" s="246"/>
      <c r="AH14" s="246"/>
      <c r="AI14" s="246"/>
      <c r="AJ14" s="246"/>
    </row>
    <row r="15" spans="1:36" ht="20.100000000000001" customHeight="1">
      <c r="A15" s="239">
        <v>4</v>
      </c>
      <c r="B15" s="240" t="s">
        <v>343</v>
      </c>
      <c r="C15" s="237" t="s">
        <v>1905</v>
      </c>
      <c r="D15" s="325"/>
      <c r="E15" s="239" t="s">
        <v>1906</v>
      </c>
      <c r="F15" s="239" t="s">
        <v>103</v>
      </c>
      <c r="G15" s="239" t="s">
        <v>1246</v>
      </c>
      <c r="H15" s="239"/>
      <c r="I15" s="239" t="s">
        <v>598</v>
      </c>
      <c r="J15" s="239" t="s">
        <v>64</v>
      </c>
      <c r="K15" s="239" t="s">
        <v>64</v>
      </c>
      <c r="L15" s="239" t="s">
        <v>64</v>
      </c>
      <c r="M15" s="241">
        <v>2150</v>
      </c>
      <c r="N15" s="239" t="s">
        <v>64</v>
      </c>
      <c r="O15" s="239" t="s">
        <v>64</v>
      </c>
      <c r="P15" s="239" t="s">
        <v>64</v>
      </c>
      <c r="Q15" s="241">
        <v>2700</v>
      </c>
      <c r="R15" s="239" t="s">
        <v>64</v>
      </c>
      <c r="S15" s="239" t="s">
        <v>64</v>
      </c>
      <c r="T15" s="239" t="s">
        <v>64</v>
      </c>
      <c r="U15" s="242"/>
      <c r="V15" s="239" t="s">
        <v>605</v>
      </c>
      <c r="W15" s="239" t="s">
        <v>442</v>
      </c>
      <c r="X15" s="239" t="s">
        <v>258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1907</v>
      </c>
      <c r="AF15" s="239" t="s">
        <v>1900</v>
      </c>
      <c r="AG15" s="246"/>
      <c r="AH15" s="246"/>
      <c r="AI15" s="246"/>
      <c r="AJ15" s="246"/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46"/>
      <c r="AH16" s="246"/>
      <c r="AI16" s="246"/>
      <c r="AJ16" s="246"/>
    </row>
    <row r="17" spans="1:36" ht="20.100000000000001" customHeight="1">
      <c r="A17" s="217" t="s">
        <v>140</v>
      </c>
      <c r="B17" s="243" t="s">
        <v>382</v>
      </c>
      <c r="C17" s="323" t="s">
        <v>1908</v>
      </c>
      <c r="D17" s="325"/>
      <c r="E17" s="217" t="s">
        <v>64</v>
      </c>
      <c r="F17" s="217" t="s">
        <v>103</v>
      </c>
      <c r="G17" s="217" t="s">
        <v>1246</v>
      </c>
      <c r="H17" s="217"/>
      <c r="I17" s="217"/>
      <c r="J17" s="217"/>
      <c r="K17" s="217"/>
      <c r="L17" s="217" t="s">
        <v>1861</v>
      </c>
      <c r="M17" s="217"/>
      <c r="N17" s="217"/>
      <c r="O17" s="217"/>
      <c r="P17" s="217" t="s">
        <v>1864</v>
      </c>
      <c r="Q17" s="217"/>
      <c r="R17" s="217"/>
      <c r="S17" s="217"/>
      <c r="T17" s="217" t="s">
        <v>1867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46"/>
      <c r="AH17" s="246"/>
      <c r="AI17" s="246"/>
      <c r="AJ17" s="246"/>
    </row>
    <row r="18" spans="1:36" ht="20.100000000000001" customHeight="1">
      <c r="A18" s="218" t="s">
        <v>140</v>
      </c>
      <c r="B18" s="244" t="s">
        <v>382</v>
      </c>
      <c r="C18" s="315" t="s">
        <v>1909</v>
      </c>
      <c r="D18" s="325"/>
      <c r="E18" s="218" t="s">
        <v>64</v>
      </c>
      <c r="F18" s="218" t="s">
        <v>103</v>
      </c>
      <c r="G18" s="218" t="s">
        <v>1246</v>
      </c>
      <c r="H18" s="218"/>
      <c r="I18" s="218"/>
      <c r="J18" s="218"/>
      <c r="K18" s="218"/>
      <c r="L18" s="218"/>
      <c r="M18" s="245">
        <v>2500</v>
      </c>
      <c r="N18" s="218"/>
      <c r="O18" s="218"/>
      <c r="P18" s="218"/>
      <c r="Q18" s="245">
        <v>3162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46"/>
      <c r="AH18" s="246"/>
      <c r="AI18" s="246"/>
      <c r="AJ18" s="246"/>
    </row>
    <row r="19" spans="1:36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8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246"/>
      <c r="AH20" s="246"/>
      <c r="AI20" s="246"/>
      <c r="AJ20" s="246"/>
    </row>
    <row r="21" spans="1:36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215</v>
      </c>
      <c r="B25" s="248">
        <f>'Current Rents'!E38</f>
        <v>1039</v>
      </c>
      <c r="C25" s="249">
        <v>2500</v>
      </c>
      <c r="D25" s="255"/>
      <c r="E25" s="251">
        <f>B25-C25</f>
        <v>-1461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216</v>
      </c>
      <c r="B26" s="248">
        <f>'Current Rents'!F38</f>
        <v>1194</v>
      </c>
      <c r="C26" s="249">
        <v>3162</v>
      </c>
      <c r="D26" s="255"/>
      <c r="E26" s="251">
        <f>B26-C26</f>
        <v>-1968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>
      <c r="A27" s="247" t="s">
        <v>218</v>
      </c>
      <c r="B27" s="248">
        <f>'Current Rents'!G38</f>
        <v>1321</v>
      </c>
      <c r="C27" s="249" t="s">
        <v>64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</row>
    <row r="28" spans="1:36">
      <c r="I28" s="230"/>
      <c r="AB28" s="230"/>
      <c r="AC28" s="230"/>
      <c r="AD28" s="230"/>
      <c r="AE28" s="230"/>
      <c r="AF28" s="230"/>
    </row>
    <row r="29" spans="1:36">
      <c r="I29" s="230"/>
      <c r="AB29" s="230"/>
      <c r="AC29" s="230"/>
      <c r="AD29" s="230"/>
      <c r="AE29" s="230"/>
      <c r="AF29" s="230"/>
    </row>
    <row r="30" spans="1:36">
      <c r="A30" s="345" t="s">
        <v>1105</v>
      </c>
      <c r="B30" s="325"/>
      <c r="C30" s="325"/>
      <c r="D30" s="325"/>
      <c r="E30" s="325"/>
      <c r="F30" s="325"/>
      <c r="G30" s="325"/>
      <c r="H30" s="325"/>
      <c r="I30" s="230"/>
      <c r="AB30" s="230"/>
      <c r="AC30" s="230"/>
      <c r="AD30" s="230"/>
      <c r="AE30" s="230"/>
      <c r="AF30" s="230"/>
    </row>
    <row r="31" spans="1:36">
      <c r="A31" s="247"/>
      <c r="B31" s="247" t="s">
        <v>1106</v>
      </c>
      <c r="C31" s="247" t="s">
        <v>1107</v>
      </c>
      <c r="D31" s="247" t="s">
        <v>1108</v>
      </c>
      <c r="E31" s="247" t="s">
        <v>1109</v>
      </c>
      <c r="F31" s="247" t="s">
        <v>1110</v>
      </c>
      <c r="I31" s="230"/>
      <c r="AB31" s="230"/>
      <c r="AC31" s="230"/>
      <c r="AD31" s="230"/>
      <c r="AE31" s="230"/>
      <c r="AF31" s="230"/>
    </row>
    <row r="32" spans="1:36">
      <c r="A32" s="253" t="s">
        <v>215</v>
      </c>
      <c r="C32" s="254">
        <f>'Current Rents'!E38</f>
        <v>1039</v>
      </c>
      <c r="D32" s="254">
        <v>2925</v>
      </c>
      <c r="I32" s="230"/>
      <c r="AB32" s="230"/>
      <c r="AC32" s="230"/>
      <c r="AD32" s="230"/>
      <c r="AE32" s="230"/>
      <c r="AF32" s="230"/>
    </row>
    <row r="33" spans="1:4">
      <c r="A33" s="253" t="s">
        <v>216</v>
      </c>
      <c r="C33" s="254">
        <f>'Current Rents'!F38</f>
        <v>1194</v>
      </c>
      <c r="D33" s="254">
        <v>3965</v>
      </c>
    </row>
    <row r="34" spans="1:4">
      <c r="A34" s="253" t="s">
        <v>218</v>
      </c>
      <c r="C34" s="254">
        <f>'Current Rents'!G38</f>
        <v>1321</v>
      </c>
      <c r="D34" s="254">
        <v>4583</v>
      </c>
    </row>
    <row r="35" spans="1:4"/>
    <row r="36" spans="1:4"/>
  </sheetData>
  <mergeCells count="18">
    <mergeCell ref="A30:H30"/>
    <mergeCell ref="C6:D6"/>
    <mergeCell ref="C7:D7"/>
    <mergeCell ref="C10:D10"/>
    <mergeCell ref="C11:D11"/>
    <mergeCell ref="A22:H22"/>
    <mergeCell ref="A20:AF20"/>
    <mergeCell ref="A23:H23"/>
    <mergeCell ref="C17:D17"/>
    <mergeCell ref="C18:D18"/>
    <mergeCell ref="A1:AD1"/>
    <mergeCell ref="D12:D16"/>
    <mergeCell ref="AE1:AF1"/>
    <mergeCell ref="A4:AF4"/>
    <mergeCell ref="A3:AF3"/>
    <mergeCell ref="C9:D9"/>
    <mergeCell ref="C8:D8"/>
    <mergeCell ref="A2:AF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1910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1911</v>
      </c>
      <c r="X1" s="325"/>
    </row>
    <row r="2" spans="1:24" ht="20.100000000000001" customHeight="1">
      <c r="A2" s="324" t="s">
        <v>1912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6</v>
      </c>
      <c r="O5" s="231" t="s">
        <v>291</v>
      </c>
      <c r="P5" s="231" t="s">
        <v>292</v>
      </c>
      <c r="Q5" s="231" t="s">
        <v>293</v>
      </c>
      <c r="R5" s="231" t="s">
        <v>294</v>
      </c>
      <c r="S5" s="231" t="s">
        <v>295</v>
      </c>
      <c r="T5" s="231" t="s">
        <v>296</v>
      </c>
      <c r="U5" s="231" t="s">
        <v>297</v>
      </c>
      <c r="V5" s="231" t="s">
        <v>298</v>
      </c>
      <c r="W5" s="231" t="s">
        <v>299</v>
      </c>
      <c r="X5" s="231" t="s">
        <v>300</v>
      </c>
    </row>
    <row r="6" spans="1:24" ht="21.95" customHeight="1">
      <c r="A6" s="233" t="s">
        <v>301</v>
      </c>
      <c r="B6" s="233" t="s">
        <v>302</v>
      </c>
      <c r="C6" s="316" t="s">
        <v>1913</v>
      </c>
      <c r="D6" s="325"/>
      <c r="E6" s="234" t="s">
        <v>1914</v>
      </c>
      <c r="F6" s="234" t="s">
        <v>1267</v>
      </c>
      <c r="G6" s="234" t="s">
        <v>1246</v>
      </c>
      <c r="H6" s="234" t="s">
        <v>1915</v>
      </c>
      <c r="I6" s="234" t="s">
        <v>308</v>
      </c>
      <c r="J6" s="234" t="s">
        <v>1248</v>
      </c>
      <c r="K6" s="234" t="s">
        <v>1249</v>
      </c>
      <c r="L6" s="234" t="s">
        <v>495</v>
      </c>
      <c r="M6" s="235">
        <f>'Current Rents'!D39</f>
        <v>3374</v>
      </c>
      <c r="N6" s="234" t="s">
        <v>235</v>
      </c>
      <c r="O6" s="234" t="s">
        <v>816</v>
      </c>
      <c r="P6" s="234" t="s">
        <v>504</v>
      </c>
      <c r="Q6" s="234" t="s">
        <v>315</v>
      </c>
      <c r="R6" s="234" t="s">
        <v>316</v>
      </c>
      <c r="S6" s="234" t="s">
        <v>316</v>
      </c>
      <c r="T6" s="234" t="s">
        <v>316</v>
      </c>
      <c r="U6" s="234" t="s">
        <v>316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320</v>
      </c>
      <c r="C7" s="317" t="s">
        <v>1916</v>
      </c>
      <c r="D7" s="325"/>
      <c r="E7" s="216" t="s">
        <v>1917</v>
      </c>
      <c r="F7" s="216" t="s">
        <v>1267</v>
      </c>
      <c r="G7" s="216" t="s">
        <v>1246</v>
      </c>
      <c r="H7" s="216" t="s">
        <v>1918</v>
      </c>
      <c r="I7" s="216" t="s">
        <v>354</v>
      </c>
      <c r="J7" s="216" t="s">
        <v>1248</v>
      </c>
      <c r="K7" s="216" t="s">
        <v>1249</v>
      </c>
      <c r="L7" s="216" t="s">
        <v>495</v>
      </c>
      <c r="M7" s="216" t="s">
        <v>326</v>
      </c>
      <c r="N7" s="216" t="s">
        <v>267</v>
      </c>
      <c r="O7" s="216" t="s">
        <v>816</v>
      </c>
      <c r="P7" s="216" t="s">
        <v>504</v>
      </c>
      <c r="Q7" s="216" t="s">
        <v>315</v>
      </c>
      <c r="R7" s="216" t="s">
        <v>316</v>
      </c>
      <c r="S7" s="216" t="s">
        <v>316</v>
      </c>
      <c r="T7" s="216" t="s">
        <v>316</v>
      </c>
      <c r="U7" s="216" t="s">
        <v>316</v>
      </c>
      <c r="V7" s="237" t="s">
        <v>327</v>
      </c>
      <c r="W7" s="216" t="s">
        <v>1919</v>
      </c>
      <c r="X7" s="216" t="s">
        <v>329</v>
      </c>
    </row>
    <row r="8" spans="1:24" ht="20.100000000000001" customHeight="1">
      <c r="A8" s="216">
        <v>2</v>
      </c>
      <c r="B8" s="236" t="s">
        <v>320</v>
      </c>
      <c r="C8" s="317" t="s">
        <v>1920</v>
      </c>
      <c r="D8" s="325"/>
      <c r="E8" s="216" t="s">
        <v>1921</v>
      </c>
      <c r="F8" s="216" t="s">
        <v>1267</v>
      </c>
      <c r="G8" s="216" t="s">
        <v>1246</v>
      </c>
      <c r="H8" s="216" t="s">
        <v>1922</v>
      </c>
      <c r="I8" s="216" t="s">
        <v>1657</v>
      </c>
      <c r="J8" s="216" t="s">
        <v>1248</v>
      </c>
      <c r="K8" s="216" t="s">
        <v>1249</v>
      </c>
      <c r="L8" s="216" t="s">
        <v>495</v>
      </c>
      <c r="M8" s="216" t="s">
        <v>326</v>
      </c>
      <c r="N8" s="216" t="s">
        <v>248</v>
      </c>
      <c r="O8" s="216" t="s">
        <v>524</v>
      </c>
      <c r="P8" s="216" t="s">
        <v>258</v>
      </c>
      <c r="Q8" s="216" t="s">
        <v>315</v>
      </c>
      <c r="R8" s="216" t="s">
        <v>316</v>
      </c>
      <c r="S8" s="216" t="s">
        <v>316</v>
      </c>
      <c r="T8" s="216" t="s">
        <v>316</v>
      </c>
      <c r="U8" s="216" t="s">
        <v>316</v>
      </c>
      <c r="V8" s="237" t="s">
        <v>327</v>
      </c>
      <c r="W8" s="216" t="s">
        <v>1923</v>
      </c>
      <c r="X8" s="216" t="s">
        <v>329</v>
      </c>
    </row>
    <row r="9" spans="1:24" ht="20.100000000000001" customHeight="1">
      <c r="A9" s="216">
        <v>3</v>
      </c>
      <c r="B9" s="236" t="s">
        <v>320</v>
      </c>
      <c r="C9" s="317" t="s">
        <v>1924</v>
      </c>
      <c r="D9" s="325"/>
      <c r="E9" s="216" t="s">
        <v>1925</v>
      </c>
      <c r="F9" s="216" t="s">
        <v>1267</v>
      </c>
      <c r="G9" s="216" t="s">
        <v>1246</v>
      </c>
      <c r="H9" s="216" t="s">
        <v>1926</v>
      </c>
      <c r="I9" s="216" t="s">
        <v>1837</v>
      </c>
      <c r="J9" s="216" t="s">
        <v>1248</v>
      </c>
      <c r="K9" s="216" t="s">
        <v>1249</v>
      </c>
      <c r="L9" s="216" t="s">
        <v>495</v>
      </c>
      <c r="M9" s="216" t="s">
        <v>326</v>
      </c>
      <c r="N9" s="216" t="s">
        <v>224</v>
      </c>
      <c r="O9" s="216" t="s">
        <v>1927</v>
      </c>
      <c r="P9" s="216" t="s">
        <v>319</v>
      </c>
      <c r="Q9" s="216" t="s">
        <v>315</v>
      </c>
      <c r="R9" s="216" t="s">
        <v>316</v>
      </c>
      <c r="S9" s="216" t="s">
        <v>316</v>
      </c>
      <c r="T9" s="216" t="s">
        <v>316</v>
      </c>
      <c r="U9" s="216" t="s">
        <v>316</v>
      </c>
      <c r="V9" s="237" t="s">
        <v>327</v>
      </c>
      <c r="W9" s="216" t="s">
        <v>1928</v>
      </c>
      <c r="X9" s="216" t="s">
        <v>329</v>
      </c>
    </row>
    <row r="10" spans="1:24" ht="20.100000000000001" customHeight="1">
      <c r="A10" s="216">
        <v>4</v>
      </c>
      <c r="B10" s="236" t="s">
        <v>320</v>
      </c>
      <c r="C10" s="317" t="s">
        <v>1929</v>
      </c>
      <c r="D10" s="325"/>
      <c r="E10" s="216" t="s">
        <v>1930</v>
      </c>
      <c r="F10" s="216" t="s">
        <v>1267</v>
      </c>
      <c r="G10" s="216" t="s">
        <v>1246</v>
      </c>
      <c r="H10" s="216" t="s">
        <v>1931</v>
      </c>
      <c r="I10" s="216" t="s">
        <v>366</v>
      </c>
      <c r="J10" s="216" t="s">
        <v>1248</v>
      </c>
      <c r="K10" s="216" t="s">
        <v>1249</v>
      </c>
      <c r="L10" s="216" t="s">
        <v>495</v>
      </c>
      <c r="M10" s="216" t="s">
        <v>326</v>
      </c>
      <c r="N10" s="216" t="s">
        <v>241</v>
      </c>
      <c r="O10" s="216" t="s">
        <v>816</v>
      </c>
      <c r="P10" s="216" t="s">
        <v>504</v>
      </c>
      <c r="Q10" s="216" t="s">
        <v>315</v>
      </c>
      <c r="R10" s="216" t="s">
        <v>316</v>
      </c>
      <c r="S10" s="216" t="s">
        <v>316</v>
      </c>
      <c r="T10" s="216" t="s">
        <v>316</v>
      </c>
      <c r="U10" s="216" t="s">
        <v>316</v>
      </c>
      <c r="V10" s="237" t="s">
        <v>327</v>
      </c>
      <c r="W10" s="216" t="s">
        <v>1932</v>
      </c>
      <c r="X10" s="216" t="s">
        <v>329</v>
      </c>
    </row>
    <row r="11" spans="1:24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343</v>
      </c>
      <c r="C12" s="237" t="s">
        <v>1933</v>
      </c>
      <c r="D12" s="320" t="s">
        <v>345</v>
      </c>
      <c r="E12" s="239" t="s">
        <v>1934</v>
      </c>
      <c r="F12" s="239" t="s">
        <v>1267</v>
      </c>
      <c r="G12" s="239" t="s">
        <v>1246</v>
      </c>
      <c r="H12" s="239"/>
      <c r="I12" s="239" t="s">
        <v>348</v>
      </c>
      <c r="J12" s="239" t="s">
        <v>64</v>
      </c>
      <c r="K12" s="239" t="s">
        <v>64</v>
      </c>
      <c r="L12" s="239" t="s">
        <v>64</v>
      </c>
      <c r="M12" s="241">
        <v>3117</v>
      </c>
      <c r="N12" s="239" t="s">
        <v>245</v>
      </c>
      <c r="O12" s="239" t="s">
        <v>816</v>
      </c>
      <c r="P12" s="239" t="s">
        <v>504</v>
      </c>
      <c r="Q12" s="239" t="s">
        <v>549</v>
      </c>
      <c r="R12" s="239" t="s">
        <v>549</v>
      </c>
      <c r="S12" s="239" t="s">
        <v>549</v>
      </c>
      <c r="T12" s="239" t="s">
        <v>549</v>
      </c>
      <c r="U12" s="239" t="s">
        <v>549</v>
      </c>
      <c r="V12" s="237" t="s">
        <v>327</v>
      </c>
      <c r="W12" s="239" t="s">
        <v>1935</v>
      </c>
      <c r="X12" s="239" t="s">
        <v>1936</v>
      </c>
    </row>
    <row r="13" spans="1:24" ht="20.100000000000001" customHeight="1">
      <c r="A13" s="239">
        <v>2</v>
      </c>
      <c r="B13" s="240" t="s">
        <v>343</v>
      </c>
      <c r="C13" s="237" t="s">
        <v>1937</v>
      </c>
      <c r="D13" s="325"/>
      <c r="E13" s="239" t="s">
        <v>1938</v>
      </c>
      <c r="F13" s="239" t="s">
        <v>1267</v>
      </c>
      <c r="G13" s="239" t="s">
        <v>1246</v>
      </c>
      <c r="H13" s="239"/>
      <c r="I13" s="239" t="s">
        <v>640</v>
      </c>
      <c r="J13" s="239" t="s">
        <v>64</v>
      </c>
      <c r="K13" s="239" t="s">
        <v>64</v>
      </c>
      <c r="L13" s="239" t="s">
        <v>64</v>
      </c>
      <c r="M13" s="241">
        <v>3053</v>
      </c>
      <c r="N13" s="239" t="s">
        <v>266</v>
      </c>
      <c r="O13" s="239" t="s">
        <v>1939</v>
      </c>
      <c r="P13" s="239" t="s">
        <v>237</v>
      </c>
      <c r="Q13" s="239" t="s">
        <v>549</v>
      </c>
      <c r="R13" s="239" t="s">
        <v>549</v>
      </c>
      <c r="S13" s="239" t="s">
        <v>549</v>
      </c>
      <c r="T13" s="239" t="s">
        <v>549</v>
      </c>
      <c r="U13" s="239" t="s">
        <v>549</v>
      </c>
      <c r="V13" s="237" t="s">
        <v>327</v>
      </c>
      <c r="W13" s="239" t="s">
        <v>1940</v>
      </c>
      <c r="X13" s="239" t="s">
        <v>1941</v>
      </c>
    </row>
    <row r="14" spans="1:24" ht="20.100000000000001" customHeight="1">
      <c r="A14" s="239">
        <v>3</v>
      </c>
      <c r="B14" s="240" t="s">
        <v>343</v>
      </c>
      <c r="C14" s="237" t="s">
        <v>1942</v>
      </c>
      <c r="D14" s="325"/>
      <c r="E14" s="239" t="s">
        <v>1943</v>
      </c>
      <c r="F14" s="239" t="s">
        <v>1267</v>
      </c>
      <c r="G14" s="239" t="s">
        <v>1246</v>
      </c>
      <c r="H14" s="239"/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3216</v>
      </c>
      <c r="N14" s="239" t="s">
        <v>267</v>
      </c>
      <c r="O14" s="239" t="s">
        <v>503</v>
      </c>
      <c r="P14" s="239" t="s">
        <v>237</v>
      </c>
      <c r="Q14" s="239" t="s">
        <v>549</v>
      </c>
      <c r="R14" s="239" t="s">
        <v>549</v>
      </c>
      <c r="S14" s="239" t="s">
        <v>549</v>
      </c>
      <c r="T14" s="239" t="s">
        <v>549</v>
      </c>
      <c r="U14" s="239" t="s">
        <v>549</v>
      </c>
      <c r="V14" s="237" t="s">
        <v>327</v>
      </c>
      <c r="W14" s="239" t="s">
        <v>1944</v>
      </c>
      <c r="X14" s="239" t="s">
        <v>1936</v>
      </c>
    </row>
    <row r="15" spans="1:24" ht="20.100000000000001" customHeight="1">
      <c r="A15" s="239">
        <v>4</v>
      </c>
      <c r="B15" s="240" t="s">
        <v>343</v>
      </c>
      <c r="C15" s="237" t="s">
        <v>1945</v>
      </c>
      <c r="D15" s="325"/>
      <c r="E15" s="239" t="s">
        <v>1946</v>
      </c>
      <c r="F15" s="239" t="s">
        <v>1267</v>
      </c>
      <c r="G15" s="239" t="s">
        <v>1246</v>
      </c>
      <c r="H15" s="239"/>
      <c r="I15" s="239" t="s">
        <v>418</v>
      </c>
      <c r="J15" s="239" t="s">
        <v>64</v>
      </c>
      <c r="K15" s="239" t="s">
        <v>64</v>
      </c>
      <c r="L15" s="239" t="s">
        <v>64</v>
      </c>
      <c r="M15" s="241">
        <v>3085</v>
      </c>
      <c r="N15" s="239" t="s">
        <v>536</v>
      </c>
      <c r="O15" s="239" t="s">
        <v>1947</v>
      </c>
      <c r="P15" s="239" t="s">
        <v>258</v>
      </c>
      <c r="Q15" s="239" t="s">
        <v>549</v>
      </c>
      <c r="R15" s="239" t="s">
        <v>549</v>
      </c>
      <c r="S15" s="239" t="s">
        <v>549</v>
      </c>
      <c r="T15" s="239" t="s">
        <v>549</v>
      </c>
      <c r="U15" s="239" t="s">
        <v>549</v>
      </c>
      <c r="V15" s="237" t="s">
        <v>327</v>
      </c>
      <c r="W15" s="239" t="s">
        <v>1948</v>
      </c>
      <c r="X15" s="239" t="s">
        <v>1936</v>
      </c>
    </row>
    <row r="16" spans="1:24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382</v>
      </c>
      <c r="C17" s="323" t="s">
        <v>1302</v>
      </c>
      <c r="D17" s="325"/>
      <c r="E17" s="217" t="s">
        <v>64</v>
      </c>
      <c r="F17" s="217" t="s">
        <v>1267</v>
      </c>
      <c r="G17" s="217" t="s">
        <v>1246</v>
      </c>
      <c r="H17" s="217"/>
      <c r="I17" s="217"/>
      <c r="J17" s="217"/>
      <c r="K17" s="217"/>
      <c r="L17" s="217" t="s">
        <v>495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382</v>
      </c>
      <c r="C18" s="315" t="s">
        <v>1949</v>
      </c>
      <c r="D18" s="325"/>
      <c r="E18" s="218" t="s">
        <v>64</v>
      </c>
      <c r="F18" s="218" t="s">
        <v>1267</v>
      </c>
      <c r="G18" s="218" t="s">
        <v>1246</v>
      </c>
      <c r="H18" s="218"/>
      <c r="I18" s="218"/>
      <c r="J18" s="218"/>
      <c r="K18" s="218"/>
      <c r="L18" s="218"/>
      <c r="M18" s="245">
        <v>3118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221</v>
      </c>
      <c r="B25" s="248">
        <f>'Current Rents'!D39</f>
        <v>3374</v>
      </c>
      <c r="C25" s="249">
        <v>3118</v>
      </c>
      <c r="D25" s="250"/>
      <c r="E25" s="251">
        <f>B25-C25</f>
        <v>256</v>
      </c>
      <c r="F25" s="252" t="str">
        <f>IF(E25&lt;-75,"LOOK INTO INCREASING THE RENT!","")</f>
        <v/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1105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1106</v>
      </c>
      <c r="C29" s="247" t="s">
        <v>1107</v>
      </c>
      <c r="D29" s="247" t="s">
        <v>1108</v>
      </c>
      <c r="E29" s="247" t="s">
        <v>1109</v>
      </c>
      <c r="F29" s="247" t="s">
        <v>1110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221</v>
      </c>
      <c r="C30" s="254">
        <f>'Current Rents'!D39</f>
        <v>3374</v>
      </c>
      <c r="D30" s="254">
        <v>1736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1950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1951</v>
      </c>
      <c r="X1" s="325"/>
    </row>
    <row r="2" spans="1:24" ht="20.100000000000001" customHeight="1">
      <c r="A2" s="324" t="s">
        <v>1952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6</v>
      </c>
      <c r="O5" s="231" t="s">
        <v>291</v>
      </c>
      <c r="P5" s="231" t="s">
        <v>292</v>
      </c>
      <c r="Q5" s="231" t="s">
        <v>293</v>
      </c>
      <c r="R5" s="231" t="s">
        <v>294</v>
      </c>
      <c r="S5" s="231" t="s">
        <v>295</v>
      </c>
      <c r="T5" s="231" t="s">
        <v>296</v>
      </c>
      <c r="U5" s="231" t="s">
        <v>297</v>
      </c>
      <c r="V5" s="231" t="s">
        <v>298</v>
      </c>
      <c r="W5" s="231" t="s">
        <v>299</v>
      </c>
      <c r="X5" s="231" t="s">
        <v>300</v>
      </c>
    </row>
    <row r="6" spans="1:24" ht="21.95" customHeight="1">
      <c r="A6" s="233" t="s">
        <v>301</v>
      </c>
      <c r="B6" s="233" t="s">
        <v>302</v>
      </c>
      <c r="C6" s="316" t="s">
        <v>1953</v>
      </c>
      <c r="D6" s="325"/>
      <c r="E6" s="234" t="s">
        <v>1267</v>
      </c>
      <c r="F6" s="234" t="s">
        <v>1267</v>
      </c>
      <c r="G6" s="234" t="s">
        <v>1246</v>
      </c>
      <c r="H6" s="234" t="s">
        <v>1915</v>
      </c>
      <c r="I6" s="234" t="s">
        <v>308</v>
      </c>
      <c r="J6" s="234" t="s">
        <v>1250</v>
      </c>
      <c r="K6" s="234" t="s">
        <v>1251</v>
      </c>
      <c r="L6" s="234" t="s">
        <v>498</v>
      </c>
      <c r="M6" s="235" t="str">
        <f>'Current Rents'!E40</f>
        <v>—</v>
      </c>
      <c r="N6" s="234" t="s">
        <v>236</v>
      </c>
      <c r="O6" s="234" t="s">
        <v>449</v>
      </c>
      <c r="P6" s="234" t="s">
        <v>504</v>
      </c>
      <c r="Q6" s="234" t="s">
        <v>938</v>
      </c>
      <c r="R6" s="234" t="s">
        <v>316</v>
      </c>
      <c r="S6" s="234" t="s">
        <v>316</v>
      </c>
      <c r="T6" s="234" t="s">
        <v>316</v>
      </c>
      <c r="U6" s="234" t="s">
        <v>316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320</v>
      </c>
      <c r="C7" s="317" t="s">
        <v>1954</v>
      </c>
      <c r="D7" s="325"/>
      <c r="E7" s="216" t="s">
        <v>1955</v>
      </c>
      <c r="F7" s="216" t="s">
        <v>1267</v>
      </c>
      <c r="G7" s="216" t="s">
        <v>1246</v>
      </c>
      <c r="H7" s="216" t="s">
        <v>1956</v>
      </c>
      <c r="I7" s="216" t="s">
        <v>598</v>
      </c>
      <c r="J7" s="216" t="s">
        <v>1250</v>
      </c>
      <c r="K7" s="216" t="s">
        <v>1251</v>
      </c>
      <c r="L7" s="216" t="s">
        <v>498</v>
      </c>
      <c r="M7" s="216" t="s">
        <v>326</v>
      </c>
      <c r="N7" s="216" t="s">
        <v>236</v>
      </c>
      <c r="O7" s="216" t="s">
        <v>414</v>
      </c>
      <c r="P7" s="216" t="s">
        <v>319</v>
      </c>
      <c r="Q7" s="216" t="s">
        <v>315</v>
      </c>
      <c r="R7" s="216" t="s">
        <v>316</v>
      </c>
      <c r="S7" s="216" t="s">
        <v>316</v>
      </c>
      <c r="T7" s="216" t="s">
        <v>316</v>
      </c>
      <c r="U7" s="216" t="s">
        <v>316</v>
      </c>
      <c r="V7" s="237" t="s">
        <v>327</v>
      </c>
      <c r="W7" s="216" t="s">
        <v>1957</v>
      </c>
      <c r="X7" s="216" t="s">
        <v>329</v>
      </c>
    </row>
    <row r="8" spans="1:24" ht="20.100000000000001" customHeight="1">
      <c r="A8" s="216">
        <v>2</v>
      </c>
      <c r="B8" s="236" t="s">
        <v>320</v>
      </c>
      <c r="C8" s="317" t="s">
        <v>1958</v>
      </c>
      <c r="D8" s="325"/>
      <c r="E8" s="216" t="s">
        <v>1959</v>
      </c>
      <c r="F8" s="216" t="s">
        <v>1267</v>
      </c>
      <c r="G8" s="216" t="s">
        <v>1246</v>
      </c>
      <c r="H8" s="216" t="s">
        <v>1926</v>
      </c>
      <c r="I8" s="216" t="s">
        <v>721</v>
      </c>
      <c r="J8" s="216" t="s">
        <v>1250</v>
      </c>
      <c r="K8" s="216" t="s">
        <v>1251</v>
      </c>
      <c r="L8" s="216" t="s">
        <v>498</v>
      </c>
      <c r="M8" s="216" t="s">
        <v>326</v>
      </c>
      <c r="N8" s="216" t="s">
        <v>511</v>
      </c>
      <c r="O8" s="216" t="s">
        <v>449</v>
      </c>
      <c r="P8" s="216" t="s">
        <v>504</v>
      </c>
      <c r="Q8" s="216" t="s">
        <v>315</v>
      </c>
      <c r="R8" s="216" t="s">
        <v>316</v>
      </c>
      <c r="S8" s="216" t="s">
        <v>316</v>
      </c>
      <c r="T8" s="216" t="s">
        <v>316</v>
      </c>
      <c r="U8" s="216" t="s">
        <v>316</v>
      </c>
      <c r="V8" s="237" t="s">
        <v>327</v>
      </c>
      <c r="W8" s="216" t="s">
        <v>1960</v>
      </c>
      <c r="X8" s="216" t="s">
        <v>329</v>
      </c>
    </row>
    <row r="9" spans="1:24" ht="20.100000000000001" customHeight="1">
      <c r="A9" s="216">
        <v>3</v>
      </c>
      <c r="B9" s="236" t="s">
        <v>320</v>
      </c>
      <c r="C9" s="317" t="s">
        <v>1961</v>
      </c>
      <c r="D9" s="325"/>
      <c r="E9" s="216" t="s">
        <v>1962</v>
      </c>
      <c r="F9" s="216" t="s">
        <v>1267</v>
      </c>
      <c r="G9" s="216" t="s">
        <v>1246</v>
      </c>
      <c r="H9" s="216" t="s">
        <v>1963</v>
      </c>
      <c r="I9" s="216" t="s">
        <v>1611</v>
      </c>
      <c r="J9" s="216" t="s">
        <v>1250</v>
      </c>
      <c r="K9" s="216" t="s">
        <v>1251</v>
      </c>
      <c r="L9" s="216" t="s">
        <v>498</v>
      </c>
      <c r="M9" s="216" t="s">
        <v>326</v>
      </c>
      <c r="N9" s="216" t="s">
        <v>253</v>
      </c>
      <c r="O9" s="216" t="s">
        <v>419</v>
      </c>
      <c r="P9" s="216" t="s">
        <v>258</v>
      </c>
      <c r="Q9" s="216" t="s">
        <v>315</v>
      </c>
      <c r="R9" s="216" t="s">
        <v>316</v>
      </c>
      <c r="S9" s="216" t="s">
        <v>316</v>
      </c>
      <c r="T9" s="216" t="s">
        <v>316</v>
      </c>
      <c r="U9" s="216" t="s">
        <v>316</v>
      </c>
      <c r="V9" s="237" t="s">
        <v>327</v>
      </c>
      <c r="W9" s="216" t="s">
        <v>1964</v>
      </c>
      <c r="X9" s="216" t="s">
        <v>329</v>
      </c>
    </row>
    <row r="10" spans="1:24" ht="20.100000000000001" customHeight="1">
      <c r="A10" s="216">
        <v>4</v>
      </c>
      <c r="B10" s="236" t="s">
        <v>320</v>
      </c>
      <c r="C10" s="317" t="s">
        <v>1965</v>
      </c>
      <c r="D10" s="325"/>
      <c r="E10" s="216" t="s">
        <v>1966</v>
      </c>
      <c r="F10" s="216" t="s">
        <v>1267</v>
      </c>
      <c r="G10" s="216" t="s">
        <v>1246</v>
      </c>
      <c r="H10" s="216" t="s">
        <v>1926</v>
      </c>
      <c r="I10" s="216" t="s">
        <v>523</v>
      </c>
      <c r="J10" s="216" t="s">
        <v>1250</v>
      </c>
      <c r="K10" s="216" t="s">
        <v>1251</v>
      </c>
      <c r="L10" s="216" t="s">
        <v>498</v>
      </c>
      <c r="M10" s="216" t="s">
        <v>326</v>
      </c>
      <c r="N10" s="216" t="s">
        <v>236</v>
      </c>
      <c r="O10" s="216" t="s">
        <v>449</v>
      </c>
      <c r="P10" s="216" t="s">
        <v>504</v>
      </c>
      <c r="Q10" s="216" t="s">
        <v>315</v>
      </c>
      <c r="R10" s="216" t="s">
        <v>316</v>
      </c>
      <c r="S10" s="216" t="s">
        <v>316</v>
      </c>
      <c r="T10" s="216" t="s">
        <v>316</v>
      </c>
      <c r="U10" s="216" t="s">
        <v>316</v>
      </c>
      <c r="V10" s="237" t="s">
        <v>327</v>
      </c>
      <c r="W10" s="216" t="s">
        <v>1967</v>
      </c>
      <c r="X10" s="216" t="s">
        <v>329</v>
      </c>
    </row>
    <row r="11" spans="1:24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343</v>
      </c>
      <c r="C12" s="237" t="s">
        <v>1933</v>
      </c>
      <c r="D12" s="320" t="s">
        <v>345</v>
      </c>
      <c r="E12" s="239" t="s">
        <v>1934</v>
      </c>
      <c r="F12" s="239" t="s">
        <v>1267</v>
      </c>
      <c r="G12" s="239" t="s">
        <v>1246</v>
      </c>
      <c r="H12" s="239"/>
      <c r="I12" s="239" t="s">
        <v>348</v>
      </c>
      <c r="J12" s="239" t="s">
        <v>64</v>
      </c>
      <c r="K12" s="239" t="s">
        <v>64</v>
      </c>
      <c r="L12" s="239" t="s">
        <v>64</v>
      </c>
      <c r="M12" s="241">
        <v>4017</v>
      </c>
      <c r="N12" s="239" t="s">
        <v>236</v>
      </c>
      <c r="O12" s="239" t="s">
        <v>419</v>
      </c>
      <c r="P12" s="239" t="s">
        <v>258</v>
      </c>
      <c r="Q12" s="239" t="s">
        <v>549</v>
      </c>
      <c r="R12" s="239" t="s">
        <v>549</v>
      </c>
      <c r="S12" s="239" t="s">
        <v>549</v>
      </c>
      <c r="T12" s="239" t="s">
        <v>549</v>
      </c>
      <c r="U12" s="239" t="s">
        <v>549</v>
      </c>
      <c r="V12" s="237" t="s">
        <v>327</v>
      </c>
      <c r="W12" s="239" t="s">
        <v>1968</v>
      </c>
      <c r="X12" s="239" t="s">
        <v>1936</v>
      </c>
    </row>
    <row r="13" spans="1:24" ht="20.100000000000001" customHeight="1">
      <c r="A13" s="239">
        <v>2</v>
      </c>
      <c r="B13" s="240" t="s">
        <v>343</v>
      </c>
      <c r="C13" s="237" t="s">
        <v>1969</v>
      </c>
      <c r="D13" s="325"/>
      <c r="E13" s="239" t="s">
        <v>1970</v>
      </c>
      <c r="F13" s="239" t="s">
        <v>1267</v>
      </c>
      <c r="G13" s="239" t="s">
        <v>1246</v>
      </c>
      <c r="H13" s="239"/>
      <c r="I13" s="239" t="s">
        <v>922</v>
      </c>
      <c r="J13" s="239" t="s">
        <v>64</v>
      </c>
      <c r="K13" s="239" t="s">
        <v>64</v>
      </c>
      <c r="L13" s="239" t="s">
        <v>64</v>
      </c>
      <c r="M13" s="241">
        <v>4501</v>
      </c>
      <c r="N13" s="239" t="s">
        <v>224</v>
      </c>
      <c r="O13" s="239" t="s">
        <v>503</v>
      </c>
      <c r="P13" s="239" t="s">
        <v>258</v>
      </c>
      <c r="Q13" s="239" t="s">
        <v>549</v>
      </c>
      <c r="R13" s="239" t="s">
        <v>549</v>
      </c>
      <c r="S13" s="239" t="s">
        <v>549</v>
      </c>
      <c r="T13" s="239" t="s">
        <v>549</v>
      </c>
      <c r="U13" s="239" t="s">
        <v>549</v>
      </c>
      <c r="V13" s="237" t="s">
        <v>327</v>
      </c>
      <c r="W13" s="239" t="s">
        <v>1971</v>
      </c>
      <c r="X13" s="239" t="s">
        <v>1936</v>
      </c>
    </row>
    <row r="14" spans="1:24" ht="20.100000000000001" customHeight="1">
      <c r="A14" s="239">
        <v>3</v>
      </c>
      <c r="B14" s="240" t="s">
        <v>343</v>
      </c>
      <c r="C14" s="237" t="s">
        <v>1937</v>
      </c>
      <c r="D14" s="325"/>
      <c r="E14" s="239" t="s">
        <v>1938</v>
      </c>
      <c r="F14" s="239" t="s">
        <v>1267</v>
      </c>
      <c r="G14" s="239" t="s">
        <v>1246</v>
      </c>
      <c r="H14" s="239"/>
      <c r="I14" s="239" t="s">
        <v>640</v>
      </c>
      <c r="J14" s="239" t="s">
        <v>64</v>
      </c>
      <c r="K14" s="239" t="s">
        <v>64</v>
      </c>
      <c r="L14" s="239" t="s">
        <v>64</v>
      </c>
      <c r="M14" s="241">
        <v>3746</v>
      </c>
      <c r="N14" s="239" t="s">
        <v>562</v>
      </c>
      <c r="O14" s="239" t="s">
        <v>449</v>
      </c>
      <c r="P14" s="239" t="s">
        <v>504</v>
      </c>
      <c r="Q14" s="239" t="s">
        <v>549</v>
      </c>
      <c r="R14" s="239" t="s">
        <v>549</v>
      </c>
      <c r="S14" s="239" t="s">
        <v>549</v>
      </c>
      <c r="T14" s="239" t="s">
        <v>549</v>
      </c>
      <c r="U14" s="239" t="s">
        <v>549</v>
      </c>
      <c r="V14" s="237" t="s">
        <v>327</v>
      </c>
      <c r="W14" s="239" t="s">
        <v>1972</v>
      </c>
      <c r="X14" s="239" t="s">
        <v>1936</v>
      </c>
    </row>
    <row r="15" spans="1:24" ht="20.100000000000001" customHeight="1">
      <c r="A15" s="239">
        <v>4</v>
      </c>
      <c r="B15" s="240" t="s">
        <v>343</v>
      </c>
      <c r="C15" s="237" t="s">
        <v>1942</v>
      </c>
      <c r="D15" s="325"/>
      <c r="E15" s="239" t="s">
        <v>1943</v>
      </c>
      <c r="F15" s="239" t="s">
        <v>1267</v>
      </c>
      <c r="G15" s="239" t="s">
        <v>1246</v>
      </c>
      <c r="H15" s="239"/>
      <c r="I15" s="239" t="s">
        <v>366</v>
      </c>
      <c r="J15" s="239" t="s">
        <v>64</v>
      </c>
      <c r="K15" s="239" t="s">
        <v>64</v>
      </c>
      <c r="L15" s="239" t="s">
        <v>64</v>
      </c>
      <c r="M15" s="241">
        <v>4294</v>
      </c>
      <c r="N15" s="239" t="s">
        <v>267</v>
      </c>
      <c r="O15" s="239" t="s">
        <v>419</v>
      </c>
      <c r="P15" s="239" t="s">
        <v>258</v>
      </c>
      <c r="Q15" s="239" t="s">
        <v>549</v>
      </c>
      <c r="R15" s="239" t="s">
        <v>549</v>
      </c>
      <c r="S15" s="239" t="s">
        <v>549</v>
      </c>
      <c r="T15" s="239" t="s">
        <v>549</v>
      </c>
      <c r="U15" s="239" t="s">
        <v>549</v>
      </c>
      <c r="V15" s="237" t="s">
        <v>327</v>
      </c>
      <c r="W15" s="239" t="s">
        <v>1973</v>
      </c>
      <c r="X15" s="239" t="s">
        <v>1936</v>
      </c>
    </row>
    <row r="16" spans="1:24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382</v>
      </c>
      <c r="C17" s="323" t="s">
        <v>1302</v>
      </c>
      <c r="D17" s="325"/>
      <c r="E17" s="217" t="s">
        <v>64</v>
      </c>
      <c r="F17" s="217" t="s">
        <v>1267</v>
      </c>
      <c r="G17" s="217" t="s">
        <v>1246</v>
      </c>
      <c r="H17" s="217"/>
      <c r="I17" s="217"/>
      <c r="J17" s="217"/>
      <c r="K17" s="217"/>
      <c r="L17" s="217" t="s">
        <v>498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382</v>
      </c>
      <c r="C18" s="315" t="s">
        <v>1949</v>
      </c>
      <c r="D18" s="325"/>
      <c r="E18" s="218" t="s">
        <v>64</v>
      </c>
      <c r="F18" s="218" t="s">
        <v>1267</v>
      </c>
      <c r="G18" s="218" t="s">
        <v>1246</v>
      </c>
      <c r="H18" s="218"/>
      <c r="I18" s="218"/>
      <c r="J18" s="218"/>
      <c r="K18" s="218"/>
      <c r="L18" s="218"/>
      <c r="M18" s="245">
        <v>4140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215</v>
      </c>
      <c r="B25" s="248" t="str">
        <f>'Current Rents'!E40</f>
        <v>—</v>
      </c>
      <c r="C25" s="249">
        <v>4140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1105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1106</v>
      </c>
      <c r="C29" s="247" t="s">
        <v>1107</v>
      </c>
      <c r="D29" s="247" t="s">
        <v>1108</v>
      </c>
      <c r="E29" s="247" t="s">
        <v>1109</v>
      </c>
      <c r="F29" s="247" t="s">
        <v>1110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215</v>
      </c>
      <c r="C30" s="254" t="str">
        <f>'Current Rents'!E40</f>
        <v>—</v>
      </c>
      <c r="D30" s="254">
        <v>2376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1974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1975</v>
      </c>
      <c r="X1" s="325"/>
    </row>
    <row r="2" spans="1:24" ht="20.100000000000001" customHeight="1">
      <c r="A2" s="324" t="s">
        <v>1976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6</v>
      </c>
      <c r="O5" s="231" t="s">
        <v>291</v>
      </c>
      <c r="P5" s="231" t="s">
        <v>292</v>
      </c>
      <c r="Q5" s="231" t="s">
        <v>293</v>
      </c>
      <c r="R5" s="231" t="s">
        <v>294</v>
      </c>
      <c r="S5" s="231" t="s">
        <v>295</v>
      </c>
      <c r="T5" s="231" t="s">
        <v>296</v>
      </c>
      <c r="U5" s="231" t="s">
        <v>297</v>
      </c>
      <c r="V5" s="231" t="s">
        <v>298</v>
      </c>
      <c r="W5" s="231" t="s">
        <v>299</v>
      </c>
      <c r="X5" s="231" t="s">
        <v>300</v>
      </c>
    </row>
    <row r="6" spans="1:24" ht="21.95" customHeight="1">
      <c r="A6" s="233" t="s">
        <v>301</v>
      </c>
      <c r="B6" s="233" t="s">
        <v>302</v>
      </c>
      <c r="C6" s="316" t="s">
        <v>1977</v>
      </c>
      <c r="D6" s="325"/>
      <c r="E6" s="234" t="s">
        <v>1267</v>
      </c>
      <c r="F6" s="234" t="s">
        <v>1267</v>
      </c>
      <c r="G6" s="234" t="s">
        <v>1246</v>
      </c>
      <c r="H6" s="234" t="s">
        <v>1915</v>
      </c>
      <c r="I6" s="234" t="s">
        <v>308</v>
      </c>
      <c r="J6" s="234" t="s">
        <v>1248</v>
      </c>
      <c r="K6" s="234" t="s">
        <v>1249</v>
      </c>
      <c r="L6" s="234" t="s">
        <v>495</v>
      </c>
      <c r="M6" s="235" t="str">
        <f>'Current Rents'!D41</f>
        <v>—</v>
      </c>
      <c r="N6" s="234" t="s">
        <v>536</v>
      </c>
      <c r="O6" s="234" t="s">
        <v>449</v>
      </c>
      <c r="P6" s="234" t="s">
        <v>504</v>
      </c>
      <c r="Q6" s="234" t="s">
        <v>938</v>
      </c>
      <c r="R6" s="234" t="s">
        <v>316</v>
      </c>
      <c r="S6" s="234" t="s">
        <v>316</v>
      </c>
      <c r="T6" s="234" t="s">
        <v>316</v>
      </c>
      <c r="U6" s="234" t="s">
        <v>316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320</v>
      </c>
      <c r="C7" s="317" t="s">
        <v>1978</v>
      </c>
      <c r="D7" s="325"/>
      <c r="E7" s="216" t="s">
        <v>1979</v>
      </c>
      <c r="F7" s="216" t="s">
        <v>1267</v>
      </c>
      <c r="G7" s="216" t="s">
        <v>1246</v>
      </c>
      <c r="H7" s="216" t="s">
        <v>1980</v>
      </c>
      <c r="I7" s="216" t="s">
        <v>1657</v>
      </c>
      <c r="J7" s="216" t="s">
        <v>1248</v>
      </c>
      <c r="K7" s="216" t="s">
        <v>1249</v>
      </c>
      <c r="L7" s="216" t="s">
        <v>495</v>
      </c>
      <c r="M7" s="216" t="s">
        <v>326</v>
      </c>
      <c r="N7" s="216" t="s">
        <v>1981</v>
      </c>
      <c r="O7" s="216" t="s">
        <v>449</v>
      </c>
      <c r="P7" s="216" t="s">
        <v>504</v>
      </c>
      <c r="Q7" s="216" t="s">
        <v>315</v>
      </c>
      <c r="R7" s="216" t="s">
        <v>316</v>
      </c>
      <c r="S7" s="216" t="s">
        <v>316</v>
      </c>
      <c r="T7" s="216" t="s">
        <v>316</v>
      </c>
      <c r="U7" s="216" t="s">
        <v>316</v>
      </c>
      <c r="V7" s="237" t="s">
        <v>327</v>
      </c>
      <c r="W7" s="216" t="s">
        <v>1982</v>
      </c>
      <c r="X7" s="216" t="s">
        <v>329</v>
      </c>
    </row>
    <row r="8" spans="1:24" ht="20.100000000000001" customHeight="1">
      <c r="A8" s="216">
        <v>2</v>
      </c>
      <c r="B8" s="236" t="s">
        <v>320</v>
      </c>
      <c r="C8" s="317" t="s">
        <v>1983</v>
      </c>
      <c r="D8" s="325"/>
      <c r="E8" s="216" t="s">
        <v>1984</v>
      </c>
      <c r="F8" s="216" t="s">
        <v>1267</v>
      </c>
      <c r="G8" s="216" t="s">
        <v>1246</v>
      </c>
      <c r="H8" s="216" t="s">
        <v>1985</v>
      </c>
      <c r="I8" s="216" t="s">
        <v>1236</v>
      </c>
      <c r="J8" s="216" t="s">
        <v>1248</v>
      </c>
      <c r="K8" s="216" t="s">
        <v>1249</v>
      </c>
      <c r="L8" s="216" t="s">
        <v>495</v>
      </c>
      <c r="M8" s="216" t="s">
        <v>326</v>
      </c>
      <c r="N8" s="216" t="s">
        <v>266</v>
      </c>
      <c r="O8" s="216" t="s">
        <v>414</v>
      </c>
      <c r="P8" s="216" t="s">
        <v>319</v>
      </c>
      <c r="Q8" s="216" t="s">
        <v>315</v>
      </c>
      <c r="R8" s="216" t="s">
        <v>316</v>
      </c>
      <c r="S8" s="216" t="s">
        <v>316</v>
      </c>
      <c r="T8" s="216" t="s">
        <v>316</v>
      </c>
      <c r="U8" s="216" t="s">
        <v>316</v>
      </c>
      <c r="V8" s="237" t="s">
        <v>327</v>
      </c>
      <c r="W8" s="216" t="s">
        <v>1986</v>
      </c>
      <c r="X8" s="216" t="s">
        <v>329</v>
      </c>
    </row>
    <row r="9" spans="1:24" ht="20.100000000000001" customHeight="1">
      <c r="A9" s="216">
        <v>3</v>
      </c>
      <c r="B9" s="236" t="s">
        <v>320</v>
      </c>
      <c r="C9" s="317" t="s">
        <v>1987</v>
      </c>
      <c r="D9" s="325"/>
      <c r="E9" s="216" t="s">
        <v>1988</v>
      </c>
      <c r="F9" s="216" t="s">
        <v>1267</v>
      </c>
      <c r="G9" s="216" t="s">
        <v>1246</v>
      </c>
      <c r="H9" s="216" t="s">
        <v>1985</v>
      </c>
      <c r="I9" s="216" t="s">
        <v>1222</v>
      </c>
      <c r="J9" s="216" t="s">
        <v>1248</v>
      </c>
      <c r="K9" s="216" t="s">
        <v>1249</v>
      </c>
      <c r="L9" s="216" t="s">
        <v>495</v>
      </c>
      <c r="M9" s="216" t="s">
        <v>326</v>
      </c>
      <c r="N9" s="216" t="s">
        <v>536</v>
      </c>
      <c r="O9" s="216" t="s">
        <v>532</v>
      </c>
      <c r="P9" s="216" t="s">
        <v>319</v>
      </c>
      <c r="Q9" s="216" t="s">
        <v>315</v>
      </c>
      <c r="R9" s="216" t="s">
        <v>316</v>
      </c>
      <c r="S9" s="216" t="s">
        <v>316</v>
      </c>
      <c r="T9" s="216" t="s">
        <v>316</v>
      </c>
      <c r="U9" s="216" t="s">
        <v>316</v>
      </c>
      <c r="V9" s="237" t="s">
        <v>327</v>
      </c>
      <c r="W9" s="216" t="s">
        <v>1989</v>
      </c>
      <c r="X9" s="216" t="s">
        <v>329</v>
      </c>
    </row>
    <row r="10" spans="1:24" ht="20.100000000000001" customHeight="1">
      <c r="A10" s="216">
        <v>4</v>
      </c>
      <c r="B10" s="236" t="s">
        <v>320</v>
      </c>
      <c r="C10" s="317" t="s">
        <v>1990</v>
      </c>
      <c r="D10" s="325"/>
      <c r="E10" s="216" t="s">
        <v>1991</v>
      </c>
      <c r="F10" s="216" t="s">
        <v>1267</v>
      </c>
      <c r="G10" s="216" t="s">
        <v>1246</v>
      </c>
      <c r="H10" s="216" t="s">
        <v>1992</v>
      </c>
      <c r="I10" s="216" t="s">
        <v>373</v>
      </c>
      <c r="J10" s="216" t="s">
        <v>1248</v>
      </c>
      <c r="K10" s="216" t="s">
        <v>1249</v>
      </c>
      <c r="L10" s="216" t="s">
        <v>495</v>
      </c>
      <c r="M10" s="216" t="s">
        <v>326</v>
      </c>
      <c r="N10" s="216" t="s">
        <v>259</v>
      </c>
      <c r="O10" s="216" t="s">
        <v>449</v>
      </c>
      <c r="P10" s="216" t="s">
        <v>504</v>
      </c>
      <c r="Q10" s="216" t="s">
        <v>315</v>
      </c>
      <c r="R10" s="216" t="s">
        <v>316</v>
      </c>
      <c r="S10" s="216" t="s">
        <v>316</v>
      </c>
      <c r="T10" s="216" t="s">
        <v>316</v>
      </c>
      <c r="U10" s="216" t="s">
        <v>316</v>
      </c>
      <c r="V10" s="237" t="s">
        <v>327</v>
      </c>
      <c r="W10" s="216" t="s">
        <v>1993</v>
      </c>
      <c r="X10" s="216" t="s">
        <v>329</v>
      </c>
    </row>
    <row r="11" spans="1:24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343</v>
      </c>
      <c r="C12" s="237" t="s">
        <v>1933</v>
      </c>
      <c r="D12" s="320" t="s">
        <v>345</v>
      </c>
      <c r="E12" s="239" t="s">
        <v>1934</v>
      </c>
      <c r="F12" s="239" t="s">
        <v>1267</v>
      </c>
      <c r="G12" s="239" t="s">
        <v>1246</v>
      </c>
      <c r="H12" s="239"/>
      <c r="I12" s="239" t="s">
        <v>348</v>
      </c>
      <c r="J12" s="239" t="s">
        <v>64</v>
      </c>
      <c r="K12" s="239" t="s">
        <v>64</v>
      </c>
      <c r="L12" s="239" t="s">
        <v>64</v>
      </c>
      <c r="M12" s="241">
        <v>3117</v>
      </c>
      <c r="N12" s="239" t="s">
        <v>236</v>
      </c>
      <c r="O12" s="239" t="s">
        <v>419</v>
      </c>
      <c r="P12" s="239" t="s">
        <v>258</v>
      </c>
      <c r="Q12" s="239" t="s">
        <v>549</v>
      </c>
      <c r="R12" s="239" t="s">
        <v>549</v>
      </c>
      <c r="S12" s="239" t="s">
        <v>549</v>
      </c>
      <c r="T12" s="239" t="s">
        <v>549</v>
      </c>
      <c r="U12" s="239" t="s">
        <v>549</v>
      </c>
      <c r="V12" s="237" t="s">
        <v>327</v>
      </c>
      <c r="W12" s="239" t="s">
        <v>1994</v>
      </c>
      <c r="X12" s="239" t="s">
        <v>1936</v>
      </c>
    </row>
    <row r="13" spans="1:24" ht="20.100000000000001" customHeight="1">
      <c r="A13" s="239">
        <v>2</v>
      </c>
      <c r="B13" s="240" t="s">
        <v>343</v>
      </c>
      <c r="C13" s="237" t="s">
        <v>1937</v>
      </c>
      <c r="D13" s="325"/>
      <c r="E13" s="239" t="s">
        <v>1938</v>
      </c>
      <c r="F13" s="239" t="s">
        <v>1267</v>
      </c>
      <c r="G13" s="239" t="s">
        <v>1246</v>
      </c>
      <c r="H13" s="239"/>
      <c r="I13" s="239" t="s">
        <v>640</v>
      </c>
      <c r="J13" s="239" t="s">
        <v>64</v>
      </c>
      <c r="K13" s="239" t="s">
        <v>64</v>
      </c>
      <c r="L13" s="239" t="s">
        <v>64</v>
      </c>
      <c r="M13" s="241">
        <v>3053</v>
      </c>
      <c r="N13" s="239" t="s">
        <v>224</v>
      </c>
      <c r="O13" s="239" t="s">
        <v>503</v>
      </c>
      <c r="P13" s="239" t="s">
        <v>258</v>
      </c>
      <c r="Q13" s="239" t="s">
        <v>549</v>
      </c>
      <c r="R13" s="239" t="s">
        <v>549</v>
      </c>
      <c r="S13" s="239" t="s">
        <v>549</v>
      </c>
      <c r="T13" s="239" t="s">
        <v>549</v>
      </c>
      <c r="U13" s="239" t="s">
        <v>549</v>
      </c>
      <c r="V13" s="237" t="s">
        <v>327</v>
      </c>
      <c r="W13" s="239" t="s">
        <v>1995</v>
      </c>
      <c r="X13" s="239" t="s">
        <v>1936</v>
      </c>
    </row>
    <row r="14" spans="1:24" ht="20.100000000000001" customHeight="1">
      <c r="A14" s="239">
        <v>3</v>
      </c>
      <c r="B14" s="240" t="s">
        <v>343</v>
      </c>
      <c r="C14" s="237" t="s">
        <v>1942</v>
      </c>
      <c r="D14" s="325"/>
      <c r="E14" s="239" t="s">
        <v>1943</v>
      </c>
      <c r="F14" s="239" t="s">
        <v>1267</v>
      </c>
      <c r="G14" s="239" t="s">
        <v>1246</v>
      </c>
      <c r="H14" s="239"/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3216</v>
      </c>
      <c r="N14" s="239" t="s">
        <v>562</v>
      </c>
      <c r="O14" s="239" t="s">
        <v>449</v>
      </c>
      <c r="P14" s="239" t="s">
        <v>504</v>
      </c>
      <c r="Q14" s="239" t="s">
        <v>549</v>
      </c>
      <c r="R14" s="239" t="s">
        <v>549</v>
      </c>
      <c r="S14" s="239" t="s">
        <v>549</v>
      </c>
      <c r="T14" s="239" t="s">
        <v>549</v>
      </c>
      <c r="U14" s="239" t="s">
        <v>549</v>
      </c>
      <c r="V14" s="237" t="s">
        <v>327</v>
      </c>
      <c r="W14" s="239" t="s">
        <v>1996</v>
      </c>
      <c r="X14" s="239" t="s">
        <v>1936</v>
      </c>
    </row>
    <row r="15" spans="1:24" ht="20.100000000000001" customHeight="1">
      <c r="A15" s="239">
        <v>4</v>
      </c>
      <c r="B15" s="240" t="s">
        <v>343</v>
      </c>
      <c r="C15" s="237" t="s">
        <v>1945</v>
      </c>
      <c r="D15" s="325"/>
      <c r="E15" s="239" t="s">
        <v>1946</v>
      </c>
      <c r="F15" s="239" t="s">
        <v>1267</v>
      </c>
      <c r="G15" s="239" t="s">
        <v>1246</v>
      </c>
      <c r="H15" s="239"/>
      <c r="I15" s="239" t="s">
        <v>418</v>
      </c>
      <c r="J15" s="239" t="s">
        <v>64</v>
      </c>
      <c r="K15" s="239" t="s">
        <v>64</v>
      </c>
      <c r="L15" s="239" t="s">
        <v>64</v>
      </c>
      <c r="M15" s="241">
        <v>3085</v>
      </c>
      <c r="N15" s="239" t="s">
        <v>245</v>
      </c>
      <c r="O15" s="239" t="s">
        <v>503</v>
      </c>
      <c r="P15" s="239" t="s">
        <v>258</v>
      </c>
      <c r="Q15" s="239" t="s">
        <v>549</v>
      </c>
      <c r="R15" s="239" t="s">
        <v>549</v>
      </c>
      <c r="S15" s="239" t="s">
        <v>549</v>
      </c>
      <c r="T15" s="239" t="s">
        <v>549</v>
      </c>
      <c r="U15" s="239" t="s">
        <v>549</v>
      </c>
      <c r="V15" s="237" t="s">
        <v>327</v>
      </c>
      <c r="W15" s="239" t="s">
        <v>1997</v>
      </c>
      <c r="X15" s="239" t="s">
        <v>1936</v>
      </c>
    </row>
    <row r="16" spans="1:24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382</v>
      </c>
      <c r="C17" s="323" t="s">
        <v>1302</v>
      </c>
      <c r="D17" s="325"/>
      <c r="E17" s="217" t="s">
        <v>64</v>
      </c>
      <c r="F17" s="217" t="s">
        <v>1267</v>
      </c>
      <c r="G17" s="217" t="s">
        <v>1246</v>
      </c>
      <c r="H17" s="217"/>
      <c r="I17" s="217"/>
      <c r="J17" s="217"/>
      <c r="K17" s="217"/>
      <c r="L17" s="217" t="s">
        <v>495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382</v>
      </c>
      <c r="C18" s="315" t="s">
        <v>1949</v>
      </c>
      <c r="D18" s="325"/>
      <c r="E18" s="218" t="s">
        <v>64</v>
      </c>
      <c r="F18" s="218" t="s">
        <v>1267</v>
      </c>
      <c r="G18" s="218" t="s">
        <v>1246</v>
      </c>
      <c r="H18" s="218"/>
      <c r="I18" s="218"/>
      <c r="J18" s="218"/>
      <c r="K18" s="218"/>
      <c r="L18" s="218"/>
      <c r="M18" s="245">
        <v>3118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221</v>
      </c>
      <c r="B25" s="248" t="str">
        <f>'Current Rents'!D41</f>
        <v>—</v>
      </c>
      <c r="C25" s="249">
        <v>3118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1105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1106</v>
      </c>
      <c r="C29" s="247" t="s">
        <v>1107</v>
      </c>
      <c r="D29" s="247" t="s">
        <v>1108</v>
      </c>
      <c r="E29" s="247" t="s">
        <v>1109</v>
      </c>
      <c r="F29" s="247" t="s">
        <v>1110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221</v>
      </c>
      <c r="C30" s="254" t="str">
        <f>'Current Rents'!D41</f>
        <v>—</v>
      </c>
      <c r="D30" s="254">
        <v>1736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1998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1999</v>
      </c>
      <c r="AB1" s="325"/>
    </row>
    <row r="2" spans="1:28" ht="20.100000000000001" customHeight="1">
      <c r="A2" s="324" t="s">
        <v>2000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2001</v>
      </c>
      <c r="D6" s="325"/>
      <c r="E6" s="234" t="s">
        <v>2002</v>
      </c>
      <c r="F6" s="234" t="s">
        <v>2003</v>
      </c>
      <c r="G6" s="234" t="s">
        <v>1246</v>
      </c>
      <c r="H6" s="234" t="s">
        <v>2004</v>
      </c>
      <c r="I6" s="234" t="s">
        <v>308</v>
      </c>
      <c r="J6" s="234" t="s">
        <v>2005</v>
      </c>
      <c r="K6" s="234" t="s">
        <v>2006</v>
      </c>
      <c r="L6" s="234" t="s">
        <v>2007</v>
      </c>
      <c r="M6" s="235">
        <f>'Current Rents'!D42</f>
        <v>1612</v>
      </c>
      <c r="N6" s="234" t="s">
        <v>2006</v>
      </c>
      <c r="O6" s="234" t="s">
        <v>2008</v>
      </c>
      <c r="P6" s="234" t="s">
        <v>2009</v>
      </c>
      <c r="Q6" s="235" t="str">
        <f>'Current Rents'!E42</f>
        <v>—</v>
      </c>
      <c r="R6" s="234" t="s">
        <v>1066</v>
      </c>
      <c r="S6" s="234" t="s">
        <v>1067</v>
      </c>
      <c r="T6" s="234" t="s">
        <v>504</v>
      </c>
      <c r="U6" s="234" t="s">
        <v>316</v>
      </c>
      <c r="V6" s="234" t="s">
        <v>316</v>
      </c>
      <c r="W6" s="234" t="s">
        <v>315</v>
      </c>
      <c r="X6" s="234" t="s">
        <v>315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2010</v>
      </c>
      <c r="D7" s="325"/>
      <c r="E7" s="216" t="s">
        <v>2011</v>
      </c>
      <c r="F7" s="216" t="s">
        <v>2003</v>
      </c>
      <c r="G7" s="216" t="s">
        <v>1246</v>
      </c>
      <c r="H7" s="216" t="s">
        <v>2012</v>
      </c>
      <c r="I7" s="216" t="s">
        <v>354</v>
      </c>
      <c r="J7" s="216" t="s">
        <v>2005</v>
      </c>
      <c r="K7" s="216" t="s">
        <v>2006</v>
      </c>
      <c r="L7" s="216" t="s">
        <v>2007</v>
      </c>
      <c r="M7" s="216" t="s">
        <v>326</v>
      </c>
      <c r="N7" s="216" t="s">
        <v>2006</v>
      </c>
      <c r="O7" s="216" t="s">
        <v>2008</v>
      </c>
      <c r="P7" s="216" t="s">
        <v>2009</v>
      </c>
      <c r="Q7" s="216" t="s">
        <v>2013</v>
      </c>
      <c r="R7" s="216" t="s">
        <v>2014</v>
      </c>
      <c r="S7" s="216" t="s">
        <v>1057</v>
      </c>
      <c r="T7" s="216" t="s">
        <v>319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2015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2016</v>
      </c>
      <c r="D8" s="325"/>
      <c r="E8" s="216" t="s">
        <v>2017</v>
      </c>
      <c r="F8" s="216" t="s">
        <v>2018</v>
      </c>
      <c r="G8" s="216" t="s">
        <v>1246</v>
      </c>
      <c r="H8" s="216" t="s">
        <v>2019</v>
      </c>
      <c r="I8" s="216" t="s">
        <v>2020</v>
      </c>
      <c r="J8" s="216" t="s">
        <v>2005</v>
      </c>
      <c r="K8" s="216" t="s">
        <v>2006</v>
      </c>
      <c r="L8" s="216" t="s">
        <v>2007</v>
      </c>
      <c r="M8" s="216" t="s">
        <v>326</v>
      </c>
      <c r="N8" s="216" t="s">
        <v>2006</v>
      </c>
      <c r="O8" s="216" t="s">
        <v>2008</v>
      </c>
      <c r="P8" s="216" t="s">
        <v>2009</v>
      </c>
      <c r="Q8" s="216" t="s">
        <v>326</v>
      </c>
      <c r="R8" s="216" t="s">
        <v>2021</v>
      </c>
      <c r="S8" s="216" t="s">
        <v>1067</v>
      </c>
      <c r="T8" s="216" t="s">
        <v>504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2022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2023</v>
      </c>
      <c r="D9" s="325"/>
      <c r="E9" s="216" t="s">
        <v>2024</v>
      </c>
      <c r="F9" s="216" t="s">
        <v>2025</v>
      </c>
      <c r="G9" s="216" t="s">
        <v>1246</v>
      </c>
      <c r="H9" s="216" t="s">
        <v>2026</v>
      </c>
      <c r="I9" s="216" t="s">
        <v>2027</v>
      </c>
      <c r="J9" s="216" t="s">
        <v>2005</v>
      </c>
      <c r="K9" s="216" t="s">
        <v>2006</v>
      </c>
      <c r="L9" s="216" t="s">
        <v>2007</v>
      </c>
      <c r="M9" s="216" t="s">
        <v>326</v>
      </c>
      <c r="N9" s="216" t="s">
        <v>2006</v>
      </c>
      <c r="O9" s="216" t="s">
        <v>2008</v>
      </c>
      <c r="P9" s="216" t="s">
        <v>2009</v>
      </c>
      <c r="Q9" s="216" t="s">
        <v>326</v>
      </c>
      <c r="R9" s="216" t="s">
        <v>1066</v>
      </c>
      <c r="S9" s="216" t="s">
        <v>1067</v>
      </c>
      <c r="T9" s="216" t="s">
        <v>504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341</v>
      </c>
      <c r="AA9" s="216" t="s">
        <v>2028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2029</v>
      </c>
      <c r="D10" s="325"/>
      <c r="E10" s="216" t="s">
        <v>2030</v>
      </c>
      <c r="F10" s="216" t="s">
        <v>2025</v>
      </c>
      <c r="G10" s="216" t="s">
        <v>1246</v>
      </c>
      <c r="H10" s="216" t="s">
        <v>2026</v>
      </c>
      <c r="I10" s="216" t="s">
        <v>2031</v>
      </c>
      <c r="J10" s="216" t="s">
        <v>2005</v>
      </c>
      <c r="K10" s="216" t="s">
        <v>2006</v>
      </c>
      <c r="L10" s="216" t="s">
        <v>2007</v>
      </c>
      <c r="M10" s="216" t="s">
        <v>326</v>
      </c>
      <c r="N10" s="216" t="s">
        <v>2006</v>
      </c>
      <c r="O10" s="216" t="s">
        <v>2008</v>
      </c>
      <c r="P10" s="216" t="s">
        <v>2009</v>
      </c>
      <c r="Q10" s="216" t="s">
        <v>326</v>
      </c>
      <c r="R10" s="216" t="s">
        <v>1066</v>
      </c>
      <c r="S10" s="216" t="s">
        <v>1057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341</v>
      </c>
      <c r="AA10" s="216" t="s">
        <v>2032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2033</v>
      </c>
      <c r="D12" s="320" t="s">
        <v>345</v>
      </c>
      <c r="E12" s="239" t="s">
        <v>2034</v>
      </c>
      <c r="F12" s="239" t="s">
        <v>2003</v>
      </c>
      <c r="G12" s="239" t="s">
        <v>1246</v>
      </c>
      <c r="H12" s="239"/>
      <c r="I12" s="239" t="s">
        <v>922</v>
      </c>
      <c r="J12" s="239" t="s">
        <v>64</v>
      </c>
      <c r="K12" s="239" t="s">
        <v>64</v>
      </c>
      <c r="L12" s="239" t="s">
        <v>64</v>
      </c>
      <c r="M12" s="241">
        <v>1395</v>
      </c>
      <c r="N12" s="239" t="s">
        <v>64</v>
      </c>
      <c r="O12" s="239" t="s">
        <v>64</v>
      </c>
      <c r="P12" s="239" t="s">
        <v>64</v>
      </c>
      <c r="Q12" s="241">
        <v>1695</v>
      </c>
      <c r="R12" s="239" t="s">
        <v>1499</v>
      </c>
      <c r="S12" s="239" t="s">
        <v>671</v>
      </c>
      <c r="T12" s="239" t="s">
        <v>319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2035</v>
      </c>
      <c r="AB12" s="239" t="s">
        <v>2036</v>
      </c>
    </row>
    <row r="13" spans="1:28" ht="20.100000000000001" customHeight="1">
      <c r="A13" s="239">
        <v>2</v>
      </c>
      <c r="B13" s="240" t="s">
        <v>343</v>
      </c>
      <c r="C13" s="237" t="s">
        <v>2037</v>
      </c>
      <c r="D13" s="325"/>
      <c r="E13" s="239" t="s">
        <v>2038</v>
      </c>
      <c r="F13" s="239" t="s">
        <v>2003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1825</v>
      </c>
      <c r="N13" s="239" t="s">
        <v>64</v>
      </c>
      <c r="O13" s="239" t="s">
        <v>64</v>
      </c>
      <c r="P13" s="239" t="s">
        <v>64</v>
      </c>
      <c r="Q13" s="241">
        <v>2225</v>
      </c>
      <c r="R13" s="239" t="s">
        <v>1774</v>
      </c>
      <c r="S13" s="239" t="s">
        <v>1074</v>
      </c>
      <c r="T13" s="239" t="s">
        <v>258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2039</v>
      </c>
      <c r="AB13" s="239" t="s">
        <v>2040</v>
      </c>
    </row>
    <row r="14" spans="1:28" ht="20.100000000000001" customHeight="1">
      <c r="A14" s="239">
        <v>3</v>
      </c>
      <c r="B14" s="240" t="s">
        <v>343</v>
      </c>
      <c r="C14" s="237" t="s">
        <v>2041</v>
      </c>
      <c r="D14" s="325"/>
      <c r="E14" s="239" t="s">
        <v>2042</v>
      </c>
      <c r="F14" s="239" t="s">
        <v>2003</v>
      </c>
      <c r="G14" s="239" t="s">
        <v>1246</v>
      </c>
      <c r="H14" s="239"/>
      <c r="I14" s="239" t="s">
        <v>971</v>
      </c>
      <c r="J14" s="239" t="s">
        <v>64</v>
      </c>
      <c r="K14" s="239" t="s">
        <v>64</v>
      </c>
      <c r="L14" s="239" t="s">
        <v>64</v>
      </c>
      <c r="M14" s="241">
        <v>1825</v>
      </c>
      <c r="N14" s="239" t="s">
        <v>64</v>
      </c>
      <c r="O14" s="239" t="s">
        <v>64</v>
      </c>
      <c r="P14" s="239" t="s">
        <v>64</v>
      </c>
      <c r="Q14" s="241">
        <v>1760</v>
      </c>
      <c r="R14" s="239" t="s">
        <v>1329</v>
      </c>
      <c r="S14" s="239" t="s">
        <v>678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2043</v>
      </c>
      <c r="AB14" s="239" t="s">
        <v>2040</v>
      </c>
    </row>
    <row r="15" spans="1:28" ht="20.100000000000001" customHeight="1">
      <c r="A15" s="239">
        <v>4</v>
      </c>
      <c r="B15" s="240" t="s">
        <v>343</v>
      </c>
      <c r="C15" s="237" t="s">
        <v>2044</v>
      </c>
      <c r="D15" s="325"/>
      <c r="E15" s="239" t="s">
        <v>2045</v>
      </c>
      <c r="F15" s="239" t="s">
        <v>2003</v>
      </c>
      <c r="G15" s="239" t="s">
        <v>1246</v>
      </c>
      <c r="H15" s="239"/>
      <c r="I15" s="239" t="s">
        <v>541</v>
      </c>
      <c r="J15" s="239" t="s">
        <v>64</v>
      </c>
      <c r="K15" s="239" t="s">
        <v>64</v>
      </c>
      <c r="L15" s="239" t="s">
        <v>64</v>
      </c>
      <c r="M15" s="241">
        <v>1750</v>
      </c>
      <c r="N15" s="239" t="s">
        <v>64</v>
      </c>
      <c r="O15" s="239" t="s">
        <v>64</v>
      </c>
      <c r="P15" s="239" t="s">
        <v>64</v>
      </c>
      <c r="Q15" s="241">
        <v>1800</v>
      </c>
      <c r="R15" s="239" t="s">
        <v>789</v>
      </c>
      <c r="S15" s="239" t="s">
        <v>1057</v>
      </c>
      <c r="T15" s="239" t="s">
        <v>319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2046</v>
      </c>
      <c r="AB15" s="239" t="s">
        <v>2040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2047</v>
      </c>
      <c r="D17" s="325"/>
      <c r="E17" s="217" t="s">
        <v>64</v>
      </c>
      <c r="F17" s="217" t="s">
        <v>2003</v>
      </c>
      <c r="G17" s="217" t="s">
        <v>1246</v>
      </c>
      <c r="H17" s="217"/>
      <c r="I17" s="217"/>
      <c r="J17" s="217"/>
      <c r="K17" s="217"/>
      <c r="L17" s="217" t="s">
        <v>2007</v>
      </c>
      <c r="M17" s="217"/>
      <c r="N17" s="217"/>
      <c r="O17" s="217"/>
      <c r="P17" s="217" t="s">
        <v>2009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2048</v>
      </c>
      <c r="D18" s="325"/>
      <c r="E18" s="218" t="s">
        <v>64</v>
      </c>
      <c r="F18" s="218" t="s">
        <v>2003</v>
      </c>
      <c r="G18" s="218" t="s">
        <v>1246</v>
      </c>
      <c r="H18" s="218"/>
      <c r="I18" s="218"/>
      <c r="J18" s="218"/>
      <c r="K18" s="218"/>
      <c r="L18" s="218"/>
      <c r="M18" s="245">
        <v>1699</v>
      </c>
      <c r="N18" s="218"/>
      <c r="O18" s="218"/>
      <c r="P18" s="218"/>
      <c r="Q18" s="245">
        <v>1870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221</v>
      </c>
      <c r="B25" s="248">
        <f>'Current Rents'!D42</f>
        <v>1612</v>
      </c>
      <c r="C25" s="249">
        <v>1699</v>
      </c>
      <c r="D25" s="255"/>
      <c r="E25" s="251">
        <f>B25-C25</f>
        <v>-87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215</v>
      </c>
      <c r="B26" s="248" t="str">
        <f>'Current Rents'!E42</f>
        <v>—</v>
      </c>
      <c r="C26" s="249">
        <v>1870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221</v>
      </c>
      <c r="C31" s="254">
        <f>'Current Rents'!D42</f>
        <v>1612</v>
      </c>
      <c r="D31" s="254">
        <v>1155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215</v>
      </c>
      <c r="C32" s="254" t="str">
        <f>'Current Rents'!E42</f>
        <v>—</v>
      </c>
      <c r="D32" s="254">
        <v>1580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2049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2050</v>
      </c>
      <c r="AB1" s="325"/>
    </row>
    <row r="2" spans="1:28" ht="20.100000000000001" customHeight="1">
      <c r="A2" s="324" t="s">
        <v>2051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2052</v>
      </c>
      <c r="D6" s="325"/>
      <c r="E6" s="234" t="s">
        <v>2053</v>
      </c>
      <c r="F6" s="234" t="s">
        <v>2003</v>
      </c>
      <c r="G6" s="234" t="s">
        <v>1246</v>
      </c>
      <c r="H6" s="234" t="s">
        <v>2004</v>
      </c>
      <c r="I6" s="234" t="s">
        <v>308</v>
      </c>
      <c r="J6" s="234" t="s">
        <v>2005</v>
      </c>
      <c r="K6" s="234" t="s">
        <v>2006</v>
      </c>
      <c r="L6" s="234" t="s">
        <v>2007</v>
      </c>
      <c r="M6" s="235">
        <f>'Current Rents'!D43</f>
        <v>1252</v>
      </c>
      <c r="N6" s="234" t="s">
        <v>2006</v>
      </c>
      <c r="O6" s="234" t="s">
        <v>2008</v>
      </c>
      <c r="P6" s="234" t="s">
        <v>2009</v>
      </c>
      <c r="Q6" s="235">
        <f>'Current Rents'!E43</f>
        <v>1374</v>
      </c>
      <c r="R6" s="234" t="s">
        <v>1066</v>
      </c>
      <c r="S6" s="234" t="s">
        <v>1067</v>
      </c>
      <c r="T6" s="234" t="s">
        <v>504</v>
      </c>
      <c r="U6" s="234" t="s">
        <v>316</v>
      </c>
      <c r="V6" s="234" t="s">
        <v>316</v>
      </c>
      <c r="W6" s="234" t="s">
        <v>315</v>
      </c>
      <c r="X6" s="234" t="s">
        <v>315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2010</v>
      </c>
      <c r="D7" s="325"/>
      <c r="E7" s="216" t="s">
        <v>2011</v>
      </c>
      <c r="F7" s="216" t="s">
        <v>2003</v>
      </c>
      <c r="G7" s="216" t="s">
        <v>1246</v>
      </c>
      <c r="H7" s="216" t="s">
        <v>2012</v>
      </c>
      <c r="I7" s="216" t="s">
        <v>354</v>
      </c>
      <c r="J7" s="216" t="s">
        <v>2005</v>
      </c>
      <c r="K7" s="216" t="s">
        <v>2006</v>
      </c>
      <c r="L7" s="216" t="s">
        <v>2007</v>
      </c>
      <c r="M7" s="216" t="s">
        <v>326</v>
      </c>
      <c r="N7" s="216" t="s">
        <v>2006</v>
      </c>
      <c r="O7" s="216" t="s">
        <v>2008</v>
      </c>
      <c r="P7" s="216" t="s">
        <v>2009</v>
      </c>
      <c r="Q7" s="216" t="s">
        <v>2013</v>
      </c>
      <c r="R7" s="216" t="s">
        <v>2014</v>
      </c>
      <c r="S7" s="216" t="s">
        <v>1057</v>
      </c>
      <c r="T7" s="216" t="s">
        <v>319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2015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2016</v>
      </c>
      <c r="D8" s="325"/>
      <c r="E8" s="216" t="s">
        <v>2017</v>
      </c>
      <c r="F8" s="216" t="s">
        <v>2018</v>
      </c>
      <c r="G8" s="216" t="s">
        <v>1246</v>
      </c>
      <c r="H8" s="216" t="s">
        <v>2019</v>
      </c>
      <c r="I8" s="216" t="s">
        <v>2020</v>
      </c>
      <c r="J8" s="216" t="s">
        <v>2005</v>
      </c>
      <c r="K8" s="216" t="s">
        <v>2006</v>
      </c>
      <c r="L8" s="216" t="s">
        <v>2007</v>
      </c>
      <c r="M8" s="216" t="s">
        <v>326</v>
      </c>
      <c r="N8" s="216" t="s">
        <v>2006</v>
      </c>
      <c r="O8" s="216" t="s">
        <v>2008</v>
      </c>
      <c r="P8" s="216" t="s">
        <v>2009</v>
      </c>
      <c r="Q8" s="216" t="s">
        <v>326</v>
      </c>
      <c r="R8" s="216" t="s">
        <v>2021</v>
      </c>
      <c r="S8" s="216" t="s">
        <v>1067</v>
      </c>
      <c r="T8" s="216" t="s">
        <v>504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2022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2023</v>
      </c>
      <c r="D9" s="325"/>
      <c r="E9" s="216" t="s">
        <v>2024</v>
      </c>
      <c r="F9" s="216" t="s">
        <v>2025</v>
      </c>
      <c r="G9" s="216" t="s">
        <v>1246</v>
      </c>
      <c r="H9" s="216" t="s">
        <v>2026</v>
      </c>
      <c r="I9" s="216" t="s">
        <v>2027</v>
      </c>
      <c r="J9" s="216" t="s">
        <v>2005</v>
      </c>
      <c r="K9" s="216" t="s">
        <v>2006</v>
      </c>
      <c r="L9" s="216" t="s">
        <v>2007</v>
      </c>
      <c r="M9" s="216" t="s">
        <v>326</v>
      </c>
      <c r="N9" s="216" t="s">
        <v>2006</v>
      </c>
      <c r="O9" s="216" t="s">
        <v>2008</v>
      </c>
      <c r="P9" s="216" t="s">
        <v>2009</v>
      </c>
      <c r="Q9" s="216" t="s">
        <v>326</v>
      </c>
      <c r="R9" s="216" t="s">
        <v>1066</v>
      </c>
      <c r="S9" s="216" t="s">
        <v>1067</v>
      </c>
      <c r="T9" s="216" t="s">
        <v>504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341</v>
      </c>
      <c r="AA9" s="216" t="s">
        <v>2028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2029</v>
      </c>
      <c r="D10" s="325"/>
      <c r="E10" s="216" t="s">
        <v>2030</v>
      </c>
      <c r="F10" s="216" t="s">
        <v>2025</v>
      </c>
      <c r="G10" s="216" t="s">
        <v>1246</v>
      </c>
      <c r="H10" s="216" t="s">
        <v>2026</v>
      </c>
      <c r="I10" s="216" t="s">
        <v>2031</v>
      </c>
      <c r="J10" s="216" t="s">
        <v>2005</v>
      </c>
      <c r="K10" s="216" t="s">
        <v>2006</v>
      </c>
      <c r="L10" s="216" t="s">
        <v>2007</v>
      </c>
      <c r="M10" s="216" t="s">
        <v>326</v>
      </c>
      <c r="N10" s="216" t="s">
        <v>2006</v>
      </c>
      <c r="O10" s="216" t="s">
        <v>2008</v>
      </c>
      <c r="P10" s="216" t="s">
        <v>2009</v>
      </c>
      <c r="Q10" s="216" t="s">
        <v>326</v>
      </c>
      <c r="R10" s="216" t="s">
        <v>1066</v>
      </c>
      <c r="S10" s="216" t="s">
        <v>1057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341</v>
      </c>
      <c r="AA10" s="216" t="s">
        <v>2032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2033</v>
      </c>
      <c r="D12" s="320" t="s">
        <v>345</v>
      </c>
      <c r="E12" s="239" t="s">
        <v>2034</v>
      </c>
      <c r="F12" s="239" t="s">
        <v>2003</v>
      </c>
      <c r="G12" s="239" t="s">
        <v>1246</v>
      </c>
      <c r="H12" s="239"/>
      <c r="I12" s="239" t="s">
        <v>922</v>
      </c>
      <c r="J12" s="239" t="s">
        <v>64</v>
      </c>
      <c r="K12" s="239" t="s">
        <v>64</v>
      </c>
      <c r="L12" s="239" t="s">
        <v>64</v>
      </c>
      <c r="M12" s="241">
        <v>1395</v>
      </c>
      <c r="N12" s="239" t="s">
        <v>64</v>
      </c>
      <c r="O12" s="239" t="s">
        <v>64</v>
      </c>
      <c r="P12" s="239" t="s">
        <v>64</v>
      </c>
      <c r="Q12" s="241">
        <v>1695</v>
      </c>
      <c r="R12" s="239" t="s">
        <v>1499</v>
      </c>
      <c r="S12" s="239" t="s">
        <v>671</v>
      </c>
      <c r="T12" s="239" t="s">
        <v>319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2054</v>
      </c>
      <c r="AB12" s="239" t="s">
        <v>2036</v>
      </c>
    </row>
    <row r="13" spans="1:28" ht="20.100000000000001" customHeight="1">
      <c r="A13" s="239">
        <v>2</v>
      </c>
      <c r="B13" s="240" t="s">
        <v>343</v>
      </c>
      <c r="C13" s="237" t="s">
        <v>2037</v>
      </c>
      <c r="D13" s="325"/>
      <c r="E13" s="239" t="s">
        <v>2038</v>
      </c>
      <c r="F13" s="239" t="s">
        <v>2003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1825</v>
      </c>
      <c r="N13" s="239" t="s">
        <v>64</v>
      </c>
      <c r="O13" s="239" t="s">
        <v>64</v>
      </c>
      <c r="P13" s="239" t="s">
        <v>64</v>
      </c>
      <c r="Q13" s="241">
        <v>2225</v>
      </c>
      <c r="R13" s="239" t="s">
        <v>1774</v>
      </c>
      <c r="S13" s="239" t="s">
        <v>1074</v>
      </c>
      <c r="T13" s="239" t="s">
        <v>258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2055</v>
      </c>
      <c r="AB13" s="239" t="s">
        <v>2040</v>
      </c>
    </row>
    <row r="14" spans="1:28" ht="20.100000000000001" customHeight="1">
      <c r="A14" s="239">
        <v>3</v>
      </c>
      <c r="B14" s="240" t="s">
        <v>343</v>
      </c>
      <c r="C14" s="237" t="s">
        <v>2041</v>
      </c>
      <c r="D14" s="325"/>
      <c r="E14" s="239" t="s">
        <v>2042</v>
      </c>
      <c r="F14" s="239" t="s">
        <v>2003</v>
      </c>
      <c r="G14" s="239" t="s">
        <v>1246</v>
      </c>
      <c r="H14" s="239"/>
      <c r="I14" s="239" t="s">
        <v>971</v>
      </c>
      <c r="J14" s="239" t="s">
        <v>64</v>
      </c>
      <c r="K14" s="239" t="s">
        <v>64</v>
      </c>
      <c r="L14" s="239" t="s">
        <v>64</v>
      </c>
      <c r="M14" s="241">
        <v>1825</v>
      </c>
      <c r="N14" s="239" t="s">
        <v>64</v>
      </c>
      <c r="O14" s="239" t="s">
        <v>64</v>
      </c>
      <c r="P14" s="239" t="s">
        <v>64</v>
      </c>
      <c r="Q14" s="241">
        <v>1760</v>
      </c>
      <c r="R14" s="239" t="s">
        <v>1329</v>
      </c>
      <c r="S14" s="239" t="s">
        <v>678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2056</v>
      </c>
      <c r="AB14" s="239" t="s">
        <v>2040</v>
      </c>
    </row>
    <row r="15" spans="1:28" ht="20.100000000000001" customHeight="1">
      <c r="A15" s="239">
        <v>4</v>
      </c>
      <c r="B15" s="240" t="s">
        <v>343</v>
      </c>
      <c r="C15" s="237" t="s">
        <v>2044</v>
      </c>
      <c r="D15" s="325"/>
      <c r="E15" s="239" t="s">
        <v>2045</v>
      </c>
      <c r="F15" s="239" t="s">
        <v>2003</v>
      </c>
      <c r="G15" s="239" t="s">
        <v>1246</v>
      </c>
      <c r="H15" s="239"/>
      <c r="I15" s="239" t="s">
        <v>541</v>
      </c>
      <c r="J15" s="239" t="s">
        <v>64</v>
      </c>
      <c r="K15" s="239" t="s">
        <v>64</v>
      </c>
      <c r="L15" s="239" t="s">
        <v>64</v>
      </c>
      <c r="M15" s="241">
        <v>1750</v>
      </c>
      <c r="N15" s="239" t="s">
        <v>64</v>
      </c>
      <c r="O15" s="239" t="s">
        <v>64</v>
      </c>
      <c r="P15" s="239" t="s">
        <v>64</v>
      </c>
      <c r="Q15" s="241">
        <v>1800</v>
      </c>
      <c r="R15" s="239" t="s">
        <v>789</v>
      </c>
      <c r="S15" s="239" t="s">
        <v>1057</v>
      </c>
      <c r="T15" s="239" t="s">
        <v>319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2057</v>
      </c>
      <c r="AB15" s="239" t="s">
        <v>2040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2047</v>
      </c>
      <c r="D17" s="325"/>
      <c r="E17" s="217" t="s">
        <v>64</v>
      </c>
      <c r="F17" s="217" t="s">
        <v>2003</v>
      </c>
      <c r="G17" s="217" t="s">
        <v>1246</v>
      </c>
      <c r="H17" s="217"/>
      <c r="I17" s="217"/>
      <c r="J17" s="217"/>
      <c r="K17" s="217"/>
      <c r="L17" s="217" t="s">
        <v>2007</v>
      </c>
      <c r="M17" s="217"/>
      <c r="N17" s="217"/>
      <c r="O17" s="217"/>
      <c r="P17" s="217" t="s">
        <v>2009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2048</v>
      </c>
      <c r="D18" s="325"/>
      <c r="E18" s="218" t="s">
        <v>64</v>
      </c>
      <c r="F18" s="218" t="s">
        <v>2003</v>
      </c>
      <c r="G18" s="218" t="s">
        <v>1246</v>
      </c>
      <c r="H18" s="218"/>
      <c r="I18" s="218"/>
      <c r="J18" s="218"/>
      <c r="K18" s="218"/>
      <c r="L18" s="218"/>
      <c r="M18" s="245">
        <v>1699</v>
      </c>
      <c r="N18" s="218"/>
      <c r="O18" s="218"/>
      <c r="P18" s="218"/>
      <c r="Q18" s="245">
        <v>1870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221</v>
      </c>
      <c r="B25" s="248">
        <f>'Current Rents'!D43</f>
        <v>1252</v>
      </c>
      <c r="C25" s="249">
        <v>1699</v>
      </c>
      <c r="D25" s="255"/>
      <c r="E25" s="251">
        <f>B25-C25</f>
        <v>-447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215</v>
      </c>
      <c r="B26" s="248">
        <f>'Current Rents'!E43</f>
        <v>1374</v>
      </c>
      <c r="C26" s="249">
        <v>1870</v>
      </c>
      <c r="D26" s="250"/>
      <c r="E26" s="251">
        <f>B26-C26</f>
        <v>-496</v>
      </c>
      <c r="F26" s="252" t="str">
        <f>IF(E26&lt;-75,"LOOK INTO INCREASING THE RENT!","")</f>
        <v>LOOK INTO INCREASING THE RENT!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221</v>
      </c>
      <c r="C31" s="254">
        <f>'Current Rents'!D43</f>
        <v>1252</v>
      </c>
      <c r="D31" s="254">
        <v>1155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215</v>
      </c>
      <c r="C32" s="254">
        <f>'Current Rents'!E43</f>
        <v>1374</v>
      </c>
      <c r="D32" s="254">
        <v>1580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hidden="1" customWidth="1"/>
    <col min="23" max="23" width="9" customWidth="1"/>
    <col min="24" max="24" width="7" hidden="1" customWidth="1"/>
    <col min="25" max="27" width="7" customWidth="1"/>
    <col min="28" max="29" width="7" style="214" customWidth="1"/>
    <col min="30" max="30" width="16" style="214" customWidth="1"/>
    <col min="31" max="31" width="40" style="214" customWidth="1"/>
    <col min="32" max="32" width="35" style="214" customWidth="1"/>
    <col min="33" max="33" width="7" customWidth="1"/>
    <col min="34" max="34" width="24.5703125" customWidth="1"/>
    <col min="35" max="35" width="55.7109375" customWidth="1"/>
    <col min="36" max="36" width="13" customWidth="1"/>
  </cols>
  <sheetData>
    <row r="1" spans="1:36" ht="30" customHeight="1">
      <c r="A1" s="322" t="s">
        <v>2058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19" t="s">
        <v>2059</v>
      </c>
      <c r="AF1" s="341"/>
      <c r="AG1" s="246"/>
      <c r="AH1" s="246"/>
      <c r="AI1" s="246"/>
      <c r="AJ1" s="246"/>
    </row>
    <row r="2" spans="1:36" ht="20.100000000000001" customHeight="1">
      <c r="A2" s="324" t="s">
        <v>2060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246"/>
      <c r="AH2" s="246"/>
      <c r="AI2" s="246"/>
      <c r="AJ2" s="246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246"/>
      <c r="AH3" s="246"/>
      <c r="AI3" s="246"/>
      <c r="AJ3" s="246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246"/>
      <c r="AH4" s="246"/>
      <c r="AI4" s="246"/>
      <c r="AJ4" s="246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  <c r="AG5" s="246"/>
      <c r="AH5" s="246"/>
      <c r="AI5" s="246"/>
      <c r="AJ5" s="246"/>
    </row>
    <row r="6" spans="1:36" ht="21.95" customHeight="1">
      <c r="A6" s="233" t="s">
        <v>301</v>
      </c>
      <c r="B6" s="233" t="s">
        <v>302</v>
      </c>
      <c r="C6" s="316" t="s">
        <v>2061</v>
      </c>
      <c r="D6" s="325"/>
      <c r="E6" s="234" t="s">
        <v>2062</v>
      </c>
      <c r="F6" s="234" t="s">
        <v>2063</v>
      </c>
      <c r="G6" s="234" t="s">
        <v>1246</v>
      </c>
      <c r="H6" s="234" t="s">
        <v>2064</v>
      </c>
      <c r="I6" s="234" t="s">
        <v>308</v>
      </c>
      <c r="J6" s="234" t="s">
        <v>2065</v>
      </c>
      <c r="K6" s="234" t="s">
        <v>2066</v>
      </c>
      <c r="L6" s="234" t="s">
        <v>2067</v>
      </c>
      <c r="M6" s="235">
        <f>'Current Rents'!D44</f>
        <v>1212</v>
      </c>
      <c r="N6" s="234" t="s">
        <v>2066</v>
      </c>
      <c r="O6" s="234" t="s">
        <v>2068</v>
      </c>
      <c r="P6" s="234" t="s">
        <v>2069</v>
      </c>
      <c r="Q6" s="235">
        <f>'Current Rents'!E44</f>
        <v>1383</v>
      </c>
      <c r="R6" s="234" t="s">
        <v>2070</v>
      </c>
      <c r="S6" s="234" t="s">
        <v>2071</v>
      </c>
      <c r="T6" s="234" t="s">
        <v>2072</v>
      </c>
      <c r="U6" s="235" t="str">
        <f>'Current Rents'!F44</f>
        <v>—</v>
      </c>
      <c r="V6" s="234" t="s">
        <v>1066</v>
      </c>
      <c r="W6" s="234" t="s">
        <v>678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  <c r="AG6" s="246"/>
      <c r="AH6" s="246"/>
      <c r="AI6" s="246"/>
      <c r="AJ6" s="246"/>
    </row>
    <row r="7" spans="1:36" ht="20.100000000000001" customHeight="1">
      <c r="A7" s="216">
        <v>1</v>
      </c>
      <c r="B7" s="236" t="s">
        <v>320</v>
      </c>
      <c r="C7" s="317" t="s">
        <v>2073</v>
      </c>
      <c r="D7" s="325"/>
      <c r="E7" s="216" t="s">
        <v>2074</v>
      </c>
      <c r="F7" s="216" t="s">
        <v>2075</v>
      </c>
      <c r="G7" s="216" t="s">
        <v>1246</v>
      </c>
      <c r="H7" s="216" t="s">
        <v>2076</v>
      </c>
      <c r="I7" s="216" t="s">
        <v>554</v>
      </c>
      <c r="J7" s="216" t="s">
        <v>2065</v>
      </c>
      <c r="K7" s="216" t="s">
        <v>2066</v>
      </c>
      <c r="L7" s="216" t="s">
        <v>2067</v>
      </c>
      <c r="M7" s="216" t="s">
        <v>326</v>
      </c>
      <c r="N7" s="216" t="s">
        <v>2066</v>
      </c>
      <c r="O7" s="216" t="s">
        <v>2068</v>
      </c>
      <c r="P7" s="216" t="s">
        <v>2069</v>
      </c>
      <c r="Q7" s="216" t="s">
        <v>326</v>
      </c>
      <c r="R7" s="216" t="s">
        <v>2070</v>
      </c>
      <c r="S7" s="216" t="s">
        <v>2071</v>
      </c>
      <c r="T7" s="216" t="s">
        <v>2072</v>
      </c>
      <c r="U7" s="216" t="s">
        <v>326</v>
      </c>
      <c r="V7" s="216" t="s">
        <v>1066</v>
      </c>
      <c r="W7" s="216" t="s">
        <v>1067</v>
      </c>
      <c r="X7" s="216" t="s">
        <v>258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2077</v>
      </c>
      <c r="AF7" s="216" t="s">
        <v>1008</v>
      </c>
      <c r="AG7" s="246"/>
      <c r="AH7" s="246"/>
      <c r="AI7" s="246"/>
      <c r="AJ7" s="246"/>
    </row>
    <row r="8" spans="1:36" ht="20.100000000000001" customHeight="1">
      <c r="A8" s="216">
        <v>2</v>
      </c>
      <c r="B8" s="236" t="s">
        <v>320</v>
      </c>
      <c r="C8" s="317" t="s">
        <v>2078</v>
      </c>
      <c r="D8" s="325"/>
      <c r="E8" s="216" t="s">
        <v>2079</v>
      </c>
      <c r="F8" s="216" t="s">
        <v>2063</v>
      </c>
      <c r="G8" s="216" t="s">
        <v>1246</v>
      </c>
      <c r="H8" s="216" t="s">
        <v>2064</v>
      </c>
      <c r="I8" s="216" t="s">
        <v>354</v>
      </c>
      <c r="J8" s="216" t="s">
        <v>2065</v>
      </c>
      <c r="K8" s="216" t="s">
        <v>2066</v>
      </c>
      <c r="L8" s="216" t="s">
        <v>2067</v>
      </c>
      <c r="M8" s="216" t="s">
        <v>326</v>
      </c>
      <c r="N8" s="216" t="s">
        <v>2066</v>
      </c>
      <c r="O8" s="216" t="s">
        <v>2068</v>
      </c>
      <c r="P8" s="216" t="s">
        <v>2069</v>
      </c>
      <c r="Q8" s="216" t="s">
        <v>326</v>
      </c>
      <c r="R8" s="216" t="s">
        <v>2070</v>
      </c>
      <c r="S8" s="216" t="s">
        <v>2071</v>
      </c>
      <c r="T8" s="216" t="s">
        <v>2072</v>
      </c>
      <c r="U8" s="216" t="s">
        <v>326</v>
      </c>
      <c r="V8" s="216" t="s">
        <v>236</v>
      </c>
      <c r="W8" s="216" t="s">
        <v>671</v>
      </c>
      <c r="X8" s="216" t="s">
        <v>319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2080</v>
      </c>
      <c r="AF8" s="216" t="s">
        <v>1008</v>
      </c>
      <c r="AG8" s="246"/>
      <c r="AH8" s="246"/>
      <c r="AI8" s="246"/>
      <c r="AJ8" s="246"/>
    </row>
    <row r="9" spans="1:36" ht="20.100000000000001" customHeight="1">
      <c r="A9" s="216">
        <v>3</v>
      </c>
      <c r="B9" s="236" t="s">
        <v>320</v>
      </c>
      <c r="C9" s="317" t="s">
        <v>2081</v>
      </c>
      <c r="D9" s="325"/>
      <c r="E9" s="216" t="s">
        <v>2002</v>
      </c>
      <c r="F9" s="216" t="s">
        <v>2003</v>
      </c>
      <c r="G9" s="216" t="s">
        <v>1246</v>
      </c>
      <c r="H9" s="216" t="s">
        <v>2004</v>
      </c>
      <c r="I9" s="216" t="s">
        <v>2082</v>
      </c>
      <c r="J9" s="216" t="s">
        <v>2065</v>
      </c>
      <c r="K9" s="216" t="s">
        <v>2066</v>
      </c>
      <c r="L9" s="216" t="s">
        <v>2067</v>
      </c>
      <c r="M9" s="216" t="s">
        <v>2083</v>
      </c>
      <c r="N9" s="216" t="s">
        <v>2066</v>
      </c>
      <c r="O9" s="216" t="s">
        <v>2068</v>
      </c>
      <c r="P9" s="216" t="s">
        <v>2069</v>
      </c>
      <c r="Q9" s="216" t="s">
        <v>2084</v>
      </c>
      <c r="R9" s="216" t="s">
        <v>2070</v>
      </c>
      <c r="S9" s="216" t="s">
        <v>2071</v>
      </c>
      <c r="T9" s="216" t="s">
        <v>2072</v>
      </c>
      <c r="U9" s="216" t="s">
        <v>326</v>
      </c>
      <c r="V9" s="216" t="s">
        <v>1066</v>
      </c>
      <c r="W9" s="216" t="s">
        <v>678</v>
      </c>
      <c r="X9" s="216" t="s">
        <v>504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2085</v>
      </c>
      <c r="AF9" s="216" t="s">
        <v>1008</v>
      </c>
      <c r="AG9" s="246"/>
      <c r="AH9" s="246"/>
      <c r="AI9" s="246"/>
      <c r="AJ9" s="246"/>
    </row>
    <row r="10" spans="1:36" ht="20.100000000000001" customHeight="1">
      <c r="A10" s="216">
        <v>4</v>
      </c>
      <c r="B10" s="236" t="s">
        <v>320</v>
      </c>
      <c r="C10" s="317" t="s">
        <v>2086</v>
      </c>
      <c r="D10" s="325"/>
      <c r="E10" s="216" t="s">
        <v>2053</v>
      </c>
      <c r="F10" s="216" t="s">
        <v>2003</v>
      </c>
      <c r="G10" s="216" t="s">
        <v>1246</v>
      </c>
      <c r="H10" s="216" t="s">
        <v>2012</v>
      </c>
      <c r="I10" s="216" t="s">
        <v>2087</v>
      </c>
      <c r="J10" s="216" t="s">
        <v>2065</v>
      </c>
      <c r="K10" s="216" t="s">
        <v>2066</v>
      </c>
      <c r="L10" s="216" t="s">
        <v>2067</v>
      </c>
      <c r="M10" s="216" t="s">
        <v>326</v>
      </c>
      <c r="N10" s="216" t="s">
        <v>2066</v>
      </c>
      <c r="O10" s="216" t="s">
        <v>2068</v>
      </c>
      <c r="P10" s="216" t="s">
        <v>2069</v>
      </c>
      <c r="Q10" s="216" t="s">
        <v>326</v>
      </c>
      <c r="R10" s="216" t="s">
        <v>2070</v>
      </c>
      <c r="S10" s="216" t="s">
        <v>2071</v>
      </c>
      <c r="T10" s="216" t="s">
        <v>2072</v>
      </c>
      <c r="U10" s="216" t="s">
        <v>326</v>
      </c>
      <c r="V10" s="216" t="s">
        <v>1066</v>
      </c>
      <c r="W10" s="216" t="s">
        <v>678</v>
      </c>
      <c r="X10" s="216" t="s">
        <v>504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8" t="s">
        <v>1023</v>
      </c>
      <c r="AE10" s="216" t="s">
        <v>2088</v>
      </c>
      <c r="AF10" s="216" t="s">
        <v>1008</v>
      </c>
      <c r="AG10" s="246"/>
      <c r="AH10" s="246"/>
      <c r="AI10" s="246"/>
      <c r="AJ10" s="246"/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46"/>
      <c r="AH11" s="246"/>
      <c r="AI11" s="246"/>
      <c r="AJ11" s="246"/>
    </row>
    <row r="12" spans="1:36" ht="20.100000000000001" customHeight="1">
      <c r="A12" s="239">
        <v>1</v>
      </c>
      <c r="B12" s="240" t="s">
        <v>343</v>
      </c>
      <c r="C12" s="237" t="s">
        <v>2089</v>
      </c>
      <c r="D12" s="320" t="s">
        <v>345</v>
      </c>
      <c r="E12" s="239" t="s">
        <v>2090</v>
      </c>
      <c r="F12" s="239" t="s">
        <v>2063</v>
      </c>
      <c r="G12" s="239" t="s">
        <v>1246</v>
      </c>
      <c r="H12" s="239"/>
      <c r="I12" s="239" t="s">
        <v>971</v>
      </c>
      <c r="J12" s="239" t="s">
        <v>64</v>
      </c>
      <c r="K12" s="239" t="s">
        <v>64</v>
      </c>
      <c r="L12" s="239" t="s">
        <v>64</v>
      </c>
      <c r="M12" s="241">
        <v>1365</v>
      </c>
      <c r="N12" s="239" t="s">
        <v>64</v>
      </c>
      <c r="O12" s="239" t="s">
        <v>64</v>
      </c>
      <c r="P12" s="239" t="s">
        <v>64</v>
      </c>
      <c r="Q12" s="241">
        <v>1420</v>
      </c>
      <c r="R12" s="239" t="s">
        <v>64</v>
      </c>
      <c r="S12" s="239" t="s">
        <v>64</v>
      </c>
      <c r="T12" s="239" t="s">
        <v>64</v>
      </c>
      <c r="U12" s="241">
        <v>2050</v>
      </c>
      <c r="V12" s="239" t="s">
        <v>64</v>
      </c>
      <c r="W12" s="239" t="s">
        <v>678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2091</v>
      </c>
      <c r="AF12" s="239" t="s">
        <v>2092</v>
      </c>
      <c r="AG12" s="246"/>
      <c r="AH12" s="246"/>
      <c r="AI12" s="246"/>
      <c r="AJ12" s="246"/>
    </row>
    <row r="13" spans="1:36" ht="20.100000000000001" customHeight="1">
      <c r="A13" s="239">
        <v>2</v>
      </c>
      <c r="B13" s="240" t="s">
        <v>343</v>
      </c>
      <c r="C13" s="237" t="s">
        <v>2089</v>
      </c>
      <c r="D13" s="325"/>
      <c r="E13" s="239" t="s">
        <v>2093</v>
      </c>
      <c r="F13" s="239" t="s">
        <v>2063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1595</v>
      </c>
      <c r="R13" s="239" t="s">
        <v>64</v>
      </c>
      <c r="S13" s="239" t="s">
        <v>64</v>
      </c>
      <c r="T13" s="239" t="s">
        <v>64</v>
      </c>
      <c r="U13" s="241">
        <v>1975</v>
      </c>
      <c r="V13" s="239" t="s">
        <v>789</v>
      </c>
      <c r="W13" s="239" t="s">
        <v>1122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8" t="s">
        <v>1023</v>
      </c>
      <c r="AE13" s="239" t="s">
        <v>2094</v>
      </c>
      <c r="AF13" s="239" t="s">
        <v>2095</v>
      </c>
      <c r="AG13" s="246"/>
      <c r="AH13" s="246"/>
      <c r="AI13" s="246"/>
      <c r="AJ13" s="246"/>
    </row>
    <row r="14" spans="1:36" ht="20.100000000000001" customHeight="1">
      <c r="A14" s="239">
        <v>3</v>
      </c>
      <c r="B14" s="240" t="s">
        <v>343</v>
      </c>
      <c r="C14" s="237" t="s">
        <v>2096</v>
      </c>
      <c r="D14" s="325"/>
      <c r="E14" s="239" t="s">
        <v>2097</v>
      </c>
      <c r="F14" s="239" t="s">
        <v>2063</v>
      </c>
      <c r="G14" s="239" t="s">
        <v>1246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64</v>
      </c>
      <c r="T14" s="239" t="s">
        <v>64</v>
      </c>
      <c r="U14" s="241">
        <v>1925</v>
      </c>
      <c r="V14" s="239" t="s">
        <v>605</v>
      </c>
      <c r="W14" s="239" t="s">
        <v>1067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8" t="s">
        <v>1023</v>
      </c>
      <c r="AE14" s="239" t="s">
        <v>2098</v>
      </c>
      <c r="AF14" s="239" t="s">
        <v>2095</v>
      </c>
      <c r="AG14" s="246"/>
      <c r="AH14" s="246"/>
      <c r="AI14" s="246"/>
      <c r="AJ14" s="246"/>
    </row>
    <row r="15" spans="1:36" ht="20.100000000000001" customHeight="1">
      <c r="A15" s="239">
        <v>4</v>
      </c>
      <c r="B15" s="240" t="s">
        <v>343</v>
      </c>
      <c r="C15" s="237" t="s">
        <v>2099</v>
      </c>
      <c r="D15" s="325"/>
      <c r="E15" s="239" t="s">
        <v>2100</v>
      </c>
      <c r="F15" s="239" t="s">
        <v>2063</v>
      </c>
      <c r="G15" s="239" t="s">
        <v>1246</v>
      </c>
      <c r="H15" s="239"/>
      <c r="I15" s="239" t="s">
        <v>1296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1650</v>
      </c>
      <c r="R15" s="239" t="s">
        <v>64</v>
      </c>
      <c r="S15" s="239" t="s">
        <v>64</v>
      </c>
      <c r="T15" s="239" t="s">
        <v>64</v>
      </c>
      <c r="U15" s="241">
        <v>2050</v>
      </c>
      <c r="V15" s="239" t="s">
        <v>64</v>
      </c>
      <c r="W15" s="239" t="s">
        <v>1067</v>
      </c>
      <c r="X15" s="239" t="s">
        <v>258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2101</v>
      </c>
      <c r="AF15" s="239" t="s">
        <v>2102</v>
      </c>
      <c r="AG15" s="246"/>
      <c r="AH15" s="246"/>
      <c r="AI15" s="246"/>
      <c r="AJ15" s="246"/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46"/>
      <c r="AH16" s="246"/>
      <c r="AI16" s="246"/>
      <c r="AJ16" s="246"/>
    </row>
    <row r="17" spans="1:36" ht="20.100000000000001" customHeight="1">
      <c r="A17" s="217" t="s">
        <v>140</v>
      </c>
      <c r="B17" s="243" t="s">
        <v>382</v>
      </c>
      <c r="C17" s="323" t="s">
        <v>2103</v>
      </c>
      <c r="D17" s="325"/>
      <c r="E17" s="217" t="s">
        <v>64</v>
      </c>
      <c r="F17" s="217" t="s">
        <v>2063</v>
      </c>
      <c r="G17" s="217" t="s">
        <v>1246</v>
      </c>
      <c r="H17" s="217"/>
      <c r="I17" s="217"/>
      <c r="J17" s="217"/>
      <c r="K17" s="217"/>
      <c r="L17" s="217" t="s">
        <v>2067</v>
      </c>
      <c r="M17" s="217"/>
      <c r="N17" s="217"/>
      <c r="O17" s="217"/>
      <c r="P17" s="217" t="s">
        <v>2069</v>
      </c>
      <c r="Q17" s="217"/>
      <c r="R17" s="217"/>
      <c r="S17" s="217"/>
      <c r="T17" s="217" t="s">
        <v>2072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46"/>
      <c r="AH17" s="246"/>
      <c r="AI17" s="246"/>
      <c r="AJ17" s="246"/>
    </row>
    <row r="18" spans="1:36" ht="20.100000000000001" customHeight="1">
      <c r="A18" s="218" t="s">
        <v>140</v>
      </c>
      <c r="B18" s="244" t="s">
        <v>382</v>
      </c>
      <c r="C18" s="315" t="s">
        <v>2104</v>
      </c>
      <c r="D18" s="325"/>
      <c r="E18" s="218" t="s">
        <v>64</v>
      </c>
      <c r="F18" s="218" t="s">
        <v>2063</v>
      </c>
      <c r="G18" s="218" t="s">
        <v>1246</v>
      </c>
      <c r="H18" s="218"/>
      <c r="I18" s="218"/>
      <c r="J18" s="218"/>
      <c r="K18" s="218"/>
      <c r="L18" s="218"/>
      <c r="M18" s="245">
        <v>1365</v>
      </c>
      <c r="N18" s="218"/>
      <c r="O18" s="218"/>
      <c r="P18" s="218"/>
      <c r="Q18" s="245">
        <v>1554</v>
      </c>
      <c r="R18" s="218"/>
      <c r="S18" s="218"/>
      <c r="T18" s="218"/>
      <c r="U18" s="245">
        <v>2000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46"/>
      <c r="AH18" s="246"/>
      <c r="AI18" s="246"/>
      <c r="AJ18" s="246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246"/>
      <c r="AH20" s="246"/>
      <c r="AI20" s="246"/>
      <c r="AJ20" s="246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221</v>
      </c>
      <c r="B25" s="248">
        <f>'Current Rents'!D44</f>
        <v>1212</v>
      </c>
      <c r="C25" s="249">
        <v>1365</v>
      </c>
      <c r="D25" s="250"/>
      <c r="E25" s="251">
        <f>B25-C25</f>
        <v>-153</v>
      </c>
      <c r="F25" s="252" t="str">
        <f>IF(E25&lt;-75,"LOOK INTO INCREASING THE RENT!","")</f>
        <v>LOOK INTO INCREASING THE RENT!</v>
      </c>
      <c r="I25" s="230"/>
      <c r="AB25" s="230"/>
      <c r="AC25" s="230"/>
      <c r="AD25" s="230"/>
      <c r="AE25" s="230"/>
      <c r="AF25" s="230"/>
    </row>
    <row r="26" spans="1:36">
      <c r="A26" s="247" t="s">
        <v>215</v>
      </c>
      <c r="B26" s="248">
        <f>'Current Rents'!E44</f>
        <v>1383</v>
      </c>
      <c r="C26" s="249">
        <v>1554</v>
      </c>
      <c r="D26" s="250"/>
      <c r="E26" s="251">
        <f>B26-C26</f>
        <v>-171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</row>
    <row r="27" spans="1:36">
      <c r="A27" s="247" t="s">
        <v>216</v>
      </c>
      <c r="B27" s="248" t="str">
        <f>'Current Rents'!F44</f>
        <v>—</v>
      </c>
      <c r="C27" s="249">
        <v>2000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</row>
    <row r="28" spans="1:36">
      <c r="I28" s="230"/>
      <c r="AB28" s="230"/>
      <c r="AC28" s="230"/>
      <c r="AD28" s="230"/>
      <c r="AE28" s="230"/>
      <c r="AF28" s="230"/>
    </row>
    <row r="29" spans="1:36">
      <c r="I29" s="230"/>
      <c r="AB29" s="230"/>
      <c r="AC29" s="230"/>
      <c r="AD29" s="230"/>
      <c r="AE29" s="230"/>
      <c r="AF29" s="230"/>
    </row>
    <row r="30" spans="1:36">
      <c r="A30" s="345" t="s">
        <v>1105</v>
      </c>
      <c r="B30" s="325"/>
      <c r="C30" s="325"/>
      <c r="D30" s="325"/>
      <c r="E30" s="325"/>
      <c r="F30" s="325"/>
      <c r="G30" s="325"/>
      <c r="H30" s="325"/>
      <c r="I30" s="230"/>
      <c r="AB30" s="230"/>
      <c r="AC30" s="230"/>
      <c r="AD30" s="230"/>
      <c r="AE30" s="230"/>
      <c r="AF30" s="230"/>
    </row>
    <row r="31" spans="1:36">
      <c r="A31" s="247"/>
      <c r="B31" s="247" t="s">
        <v>1106</v>
      </c>
      <c r="C31" s="247" t="s">
        <v>1107</v>
      </c>
      <c r="D31" s="247" t="s">
        <v>1108</v>
      </c>
      <c r="E31" s="247" t="s">
        <v>1109</v>
      </c>
      <c r="F31" s="247" t="s">
        <v>1110</v>
      </c>
      <c r="I31" s="230"/>
      <c r="AB31" s="230"/>
      <c r="AC31" s="230"/>
      <c r="AD31" s="230"/>
      <c r="AE31" s="230"/>
      <c r="AF31" s="230"/>
    </row>
    <row r="32" spans="1:36">
      <c r="A32" s="253" t="s">
        <v>221</v>
      </c>
      <c r="C32" s="254">
        <f>'Current Rents'!D44</f>
        <v>1212</v>
      </c>
      <c r="D32" s="254">
        <v>1096</v>
      </c>
      <c r="I32" s="230"/>
      <c r="AB32" s="230"/>
      <c r="AC32" s="230"/>
      <c r="AD32" s="230"/>
      <c r="AE32" s="230"/>
      <c r="AF32" s="230"/>
    </row>
    <row r="33" spans="1:4">
      <c r="A33" s="253" t="s">
        <v>215</v>
      </c>
      <c r="C33" s="254">
        <f>'Current Rents'!E44</f>
        <v>1383</v>
      </c>
      <c r="D33" s="254">
        <v>1500</v>
      </c>
    </row>
    <row r="34" spans="1:4">
      <c r="A34" s="253" t="s">
        <v>216</v>
      </c>
      <c r="C34" s="254" t="str">
        <f>'Current Rents'!F44</f>
        <v>—</v>
      </c>
      <c r="D34" s="254">
        <v>1970</v>
      </c>
    </row>
    <row r="35" spans="1:4"/>
    <row r="36" spans="1:4"/>
  </sheetData>
  <mergeCells count="18">
    <mergeCell ref="A30:H30"/>
    <mergeCell ref="C6:D6"/>
    <mergeCell ref="C7:D7"/>
    <mergeCell ref="C10:D10"/>
    <mergeCell ref="C11:D11"/>
    <mergeCell ref="A22:H22"/>
    <mergeCell ref="A20:AF20"/>
    <mergeCell ref="A23:H23"/>
    <mergeCell ref="C17:D17"/>
    <mergeCell ref="C18:D18"/>
    <mergeCell ref="A1:AD1"/>
    <mergeCell ref="D12:D16"/>
    <mergeCell ref="AE1:AF1"/>
    <mergeCell ref="A4:AF4"/>
    <mergeCell ref="A3:AF3"/>
    <mergeCell ref="C9:D9"/>
    <mergeCell ref="C8:D8"/>
    <mergeCell ref="A2:AF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2105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2106</v>
      </c>
      <c r="AF1" s="325"/>
    </row>
    <row r="2" spans="1:32" ht="20.100000000000001" customHeight="1">
      <c r="A2" s="324" t="s">
        <v>2107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2108</v>
      </c>
      <c r="D6" s="325"/>
      <c r="E6" s="234" t="s">
        <v>2079</v>
      </c>
      <c r="F6" s="234" t="s">
        <v>2063</v>
      </c>
      <c r="G6" s="234" t="s">
        <v>1246</v>
      </c>
      <c r="H6" s="234" t="s">
        <v>2064</v>
      </c>
      <c r="I6" s="234" t="s">
        <v>308</v>
      </c>
      <c r="J6" s="234" t="s">
        <v>2065</v>
      </c>
      <c r="K6" s="234" t="s">
        <v>2066</v>
      </c>
      <c r="L6" s="234" t="s">
        <v>2067</v>
      </c>
      <c r="M6" s="235" t="str">
        <f>'Current Rents'!D45</f>
        <v>—</v>
      </c>
      <c r="N6" s="234" t="s">
        <v>2066</v>
      </c>
      <c r="O6" s="234" t="s">
        <v>2068</v>
      </c>
      <c r="P6" s="234" t="s">
        <v>2069</v>
      </c>
      <c r="Q6" s="235">
        <f>'Current Rents'!E45</f>
        <v>1364</v>
      </c>
      <c r="R6" s="234" t="s">
        <v>2070</v>
      </c>
      <c r="S6" s="234" t="s">
        <v>2071</v>
      </c>
      <c r="T6" s="234" t="s">
        <v>2072</v>
      </c>
      <c r="U6" s="235">
        <f>'Current Rents'!F45</f>
        <v>1577.5</v>
      </c>
      <c r="V6" s="234" t="s">
        <v>236</v>
      </c>
      <c r="W6" s="234" t="s">
        <v>678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2109</v>
      </c>
      <c r="D7" s="325"/>
      <c r="E7" s="216" t="s">
        <v>2110</v>
      </c>
      <c r="F7" s="216" t="s">
        <v>2063</v>
      </c>
      <c r="G7" s="216" t="s">
        <v>1246</v>
      </c>
      <c r="H7" s="216" t="s">
        <v>2064</v>
      </c>
      <c r="I7" s="216" t="s">
        <v>1393</v>
      </c>
      <c r="J7" s="216" t="s">
        <v>2065</v>
      </c>
      <c r="K7" s="216" t="s">
        <v>2066</v>
      </c>
      <c r="L7" s="216" t="s">
        <v>2067</v>
      </c>
      <c r="M7" s="216" t="s">
        <v>326</v>
      </c>
      <c r="N7" s="216" t="s">
        <v>2066</v>
      </c>
      <c r="O7" s="216" t="s">
        <v>2068</v>
      </c>
      <c r="P7" s="216" t="s">
        <v>2069</v>
      </c>
      <c r="Q7" s="216" t="s">
        <v>326</v>
      </c>
      <c r="R7" s="216" t="s">
        <v>2070</v>
      </c>
      <c r="S7" s="216" t="s">
        <v>2071</v>
      </c>
      <c r="T7" s="216" t="s">
        <v>2072</v>
      </c>
      <c r="U7" s="216" t="s">
        <v>326</v>
      </c>
      <c r="V7" s="216" t="s">
        <v>1066</v>
      </c>
      <c r="W7" s="216" t="s">
        <v>1067</v>
      </c>
      <c r="X7" s="216" t="s">
        <v>258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2111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2073</v>
      </c>
      <c r="D8" s="325"/>
      <c r="E8" s="216" t="s">
        <v>2074</v>
      </c>
      <c r="F8" s="216" t="s">
        <v>2075</v>
      </c>
      <c r="G8" s="216" t="s">
        <v>1246</v>
      </c>
      <c r="H8" s="216" t="s">
        <v>2076</v>
      </c>
      <c r="I8" s="216" t="s">
        <v>554</v>
      </c>
      <c r="J8" s="216" t="s">
        <v>2065</v>
      </c>
      <c r="K8" s="216" t="s">
        <v>2066</v>
      </c>
      <c r="L8" s="216" t="s">
        <v>2067</v>
      </c>
      <c r="M8" s="216" t="s">
        <v>326</v>
      </c>
      <c r="N8" s="216" t="s">
        <v>2066</v>
      </c>
      <c r="O8" s="216" t="s">
        <v>2068</v>
      </c>
      <c r="P8" s="216" t="s">
        <v>2069</v>
      </c>
      <c r="Q8" s="216" t="s">
        <v>326</v>
      </c>
      <c r="R8" s="216" t="s">
        <v>2070</v>
      </c>
      <c r="S8" s="216" t="s">
        <v>2071</v>
      </c>
      <c r="T8" s="216" t="s">
        <v>2072</v>
      </c>
      <c r="U8" s="216" t="s">
        <v>326</v>
      </c>
      <c r="V8" s="216" t="s">
        <v>1066</v>
      </c>
      <c r="W8" s="216" t="s">
        <v>1067</v>
      </c>
      <c r="X8" s="216" t="s">
        <v>258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2112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2113</v>
      </c>
      <c r="D9" s="325"/>
      <c r="E9" s="216" t="s">
        <v>2114</v>
      </c>
      <c r="F9" s="216" t="s">
        <v>2003</v>
      </c>
      <c r="G9" s="216" t="s">
        <v>1246</v>
      </c>
      <c r="H9" s="216" t="s">
        <v>2012</v>
      </c>
      <c r="I9" s="216" t="s">
        <v>2115</v>
      </c>
      <c r="J9" s="216" t="s">
        <v>2065</v>
      </c>
      <c r="K9" s="216" t="s">
        <v>2066</v>
      </c>
      <c r="L9" s="216" t="s">
        <v>2067</v>
      </c>
      <c r="M9" s="216" t="s">
        <v>326</v>
      </c>
      <c r="N9" s="216" t="s">
        <v>2066</v>
      </c>
      <c r="O9" s="216" t="s">
        <v>2068</v>
      </c>
      <c r="P9" s="216" t="s">
        <v>2069</v>
      </c>
      <c r="Q9" s="216" t="s">
        <v>326</v>
      </c>
      <c r="R9" s="216" t="s">
        <v>2070</v>
      </c>
      <c r="S9" s="216" t="s">
        <v>2071</v>
      </c>
      <c r="T9" s="216" t="s">
        <v>2072</v>
      </c>
      <c r="U9" s="216" t="s">
        <v>326</v>
      </c>
      <c r="V9" s="216" t="s">
        <v>229</v>
      </c>
      <c r="W9" s="216" t="s">
        <v>678</v>
      </c>
      <c r="X9" s="216" t="s">
        <v>504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2116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2117</v>
      </c>
      <c r="D10" s="325"/>
      <c r="E10" s="216" t="s">
        <v>2118</v>
      </c>
      <c r="F10" s="216" t="s">
        <v>2119</v>
      </c>
      <c r="G10" s="216" t="s">
        <v>1246</v>
      </c>
      <c r="H10" s="216" t="s">
        <v>2120</v>
      </c>
      <c r="I10" s="216" t="s">
        <v>2121</v>
      </c>
      <c r="J10" s="216" t="s">
        <v>2065</v>
      </c>
      <c r="K10" s="216" t="s">
        <v>2066</v>
      </c>
      <c r="L10" s="216" t="s">
        <v>2067</v>
      </c>
      <c r="M10" s="216" t="s">
        <v>326</v>
      </c>
      <c r="N10" s="216" t="s">
        <v>2066</v>
      </c>
      <c r="O10" s="216" t="s">
        <v>2068</v>
      </c>
      <c r="P10" s="216" t="s">
        <v>2069</v>
      </c>
      <c r="Q10" s="216" t="s">
        <v>326</v>
      </c>
      <c r="R10" s="216" t="s">
        <v>2070</v>
      </c>
      <c r="S10" s="216" t="s">
        <v>2071</v>
      </c>
      <c r="T10" s="216" t="s">
        <v>2072</v>
      </c>
      <c r="U10" s="216" t="s">
        <v>326</v>
      </c>
      <c r="V10" s="216" t="s">
        <v>2122</v>
      </c>
      <c r="W10" s="216" t="s">
        <v>678</v>
      </c>
      <c r="X10" s="216" t="s">
        <v>504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8" t="s">
        <v>1023</v>
      </c>
      <c r="AE10" s="216" t="s">
        <v>2123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2089</v>
      </c>
      <c r="D12" s="320" t="s">
        <v>345</v>
      </c>
      <c r="E12" s="239" t="s">
        <v>2090</v>
      </c>
      <c r="F12" s="239" t="s">
        <v>2063</v>
      </c>
      <c r="G12" s="239" t="s">
        <v>1246</v>
      </c>
      <c r="H12" s="239"/>
      <c r="I12" s="239" t="s">
        <v>971</v>
      </c>
      <c r="J12" s="239" t="s">
        <v>64</v>
      </c>
      <c r="K12" s="239" t="s">
        <v>64</v>
      </c>
      <c r="L12" s="239" t="s">
        <v>64</v>
      </c>
      <c r="M12" s="241">
        <v>1365</v>
      </c>
      <c r="N12" s="239" t="s">
        <v>64</v>
      </c>
      <c r="O12" s="239" t="s">
        <v>64</v>
      </c>
      <c r="P12" s="239" t="s">
        <v>64</v>
      </c>
      <c r="Q12" s="241">
        <v>1420</v>
      </c>
      <c r="R12" s="239" t="s">
        <v>64</v>
      </c>
      <c r="S12" s="239" t="s">
        <v>64</v>
      </c>
      <c r="T12" s="239" t="s">
        <v>64</v>
      </c>
      <c r="U12" s="241">
        <v>2050</v>
      </c>
      <c r="V12" s="239" t="s">
        <v>64</v>
      </c>
      <c r="W12" s="239" t="s">
        <v>678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2091</v>
      </c>
      <c r="AF12" s="239" t="s">
        <v>2092</v>
      </c>
    </row>
    <row r="13" spans="1:32" ht="20.100000000000001" customHeight="1">
      <c r="A13" s="239">
        <v>2</v>
      </c>
      <c r="B13" s="240" t="s">
        <v>343</v>
      </c>
      <c r="C13" s="237" t="s">
        <v>2089</v>
      </c>
      <c r="D13" s="325"/>
      <c r="E13" s="239" t="s">
        <v>2093</v>
      </c>
      <c r="F13" s="239" t="s">
        <v>2063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1595</v>
      </c>
      <c r="R13" s="239" t="s">
        <v>64</v>
      </c>
      <c r="S13" s="239" t="s">
        <v>64</v>
      </c>
      <c r="T13" s="239" t="s">
        <v>64</v>
      </c>
      <c r="U13" s="241">
        <v>1975</v>
      </c>
      <c r="V13" s="239" t="s">
        <v>789</v>
      </c>
      <c r="W13" s="239" t="s">
        <v>1122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8" t="s">
        <v>1023</v>
      </c>
      <c r="AE13" s="239" t="s">
        <v>2094</v>
      </c>
      <c r="AF13" s="239" t="s">
        <v>2095</v>
      </c>
    </row>
    <row r="14" spans="1:32" ht="20.100000000000001" customHeight="1">
      <c r="A14" s="239">
        <v>3</v>
      </c>
      <c r="B14" s="240" t="s">
        <v>343</v>
      </c>
      <c r="C14" s="237" t="s">
        <v>2096</v>
      </c>
      <c r="D14" s="325"/>
      <c r="E14" s="239" t="s">
        <v>2097</v>
      </c>
      <c r="F14" s="239" t="s">
        <v>2063</v>
      </c>
      <c r="G14" s="239" t="s">
        <v>1246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64</v>
      </c>
      <c r="T14" s="239" t="s">
        <v>64</v>
      </c>
      <c r="U14" s="241">
        <v>1925</v>
      </c>
      <c r="V14" s="239" t="s">
        <v>605</v>
      </c>
      <c r="W14" s="239" t="s">
        <v>1067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8" t="s">
        <v>1023</v>
      </c>
      <c r="AE14" s="239" t="s">
        <v>2098</v>
      </c>
      <c r="AF14" s="239" t="s">
        <v>2095</v>
      </c>
    </row>
    <row r="15" spans="1:32" ht="20.100000000000001" customHeight="1">
      <c r="A15" s="239">
        <v>4</v>
      </c>
      <c r="B15" s="240" t="s">
        <v>343</v>
      </c>
      <c r="C15" s="237" t="s">
        <v>2099</v>
      </c>
      <c r="D15" s="325"/>
      <c r="E15" s="239" t="s">
        <v>2100</v>
      </c>
      <c r="F15" s="239" t="s">
        <v>2063</v>
      </c>
      <c r="G15" s="239" t="s">
        <v>1246</v>
      </c>
      <c r="H15" s="239"/>
      <c r="I15" s="239" t="s">
        <v>1296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1650</v>
      </c>
      <c r="R15" s="239" t="s">
        <v>64</v>
      </c>
      <c r="S15" s="239" t="s">
        <v>64</v>
      </c>
      <c r="T15" s="239" t="s">
        <v>64</v>
      </c>
      <c r="U15" s="241">
        <v>2050</v>
      </c>
      <c r="V15" s="239" t="s">
        <v>64</v>
      </c>
      <c r="W15" s="239" t="s">
        <v>1057</v>
      </c>
      <c r="X15" s="239" t="s">
        <v>237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2124</v>
      </c>
      <c r="AF15" s="239" t="s">
        <v>2102</v>
      </c>
    </row>
    <row r="16" spans="1:32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</row>
    <row r="17" spans="1:32" ht="20.100000000000001" customHeight="1">
      <c r="A17" s="217" t="s">
        <v>140</v>
      </c>
      <c r="B17" s="243" t="s">
        <v>382</v>
      </c>
      <c r="C17" s="323" t="s">
        <v>2103</v>
      </c>
      <c r="D17" s="325"/>
      <c r="E17" s="217" t="s">
        <v>64</v>
      </c>
      <c r="F17" s="217" t="s">
        <v>2063</v>
      </c>
      <c r="G17" s="217" t="s">
        <v>1246</v>
      </c>
      <c r="H17" s="217"/>
      <c r="I17" s="217"/>
      <c r="J17" s="217"/>
      <c r="K17" s="217"/>
      <c r="L17" s="217" t="s">
        <v>2067</v>
      </c>
      <c r="M17" s="217"/>
      <c r="N17" s="217"/>
      <c r="O17" s="217"/>
      <c r="P17" s="217" t="s">
        <v>2069</v>
      </c>
      <c r="Q17" s="217"/>
      <c r="R17" s="217"/>
      <c r="S17" s="217"/>
      <c r="T17" s="217" t="s">
        <v>2072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ht="20.100000000000001" customHeight="1">
      <c r="A18" s="218" t="s">
        <v>140</v>
      </c>
      <c r="B18" s="244" t="s">
        <v>382</v>
      </c>
      <c r="C18" s="315" t="s">
        <v>2104</v>
      </c>
      <c r="D18" s="325"/>
      <c r="E18" s="218" t="s">
        <v>64</v>
      </c>
      <c r="F18" s="218" t="s">
        <v>2063</v>
      </c>
      <c r="G18" s="218" t="s">
        <v>1246</v>
      </c>
      <c r="H18" s="218"/>
      <c r="I18" s="218"/>
      <c r="J18" s="218"/>
      <c r="K18" s="218"/>
      <c r="L18" s="218"/>
      <c r="M18" s="245">
        <v>1365</v>
      </c>
      <c r="N18" s="218"/>
      <c r="O18" s="218"/>
      <c r="P18" s="218"/>
      <c r="Q18" s="245">
        <v>1554</v>
      </c>
      <c r="R18" s="218"/>
      <c r="S18" s="218"/>
      <c r="T18" s="218"/>
      <c r="U18" s="245">
        <v>2000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</row>
    <row r="19" spans="1:32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</row>
    <row r="20" spans="1:32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</row>
    <row r="21" spans="1:32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</row>
    <row r="23" spans="1:32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I24" s="230"/>
      <c r="X24" s="230"/>
      <c r="Y24" s="230"/>
      <c r="Z24" s="230"/>
      <c r="AA24" s="230"/>
      <c r="AB24" s="230"/>
      <c r="AC24" s="230"/>
    </row>
    <row r="25" spans="1:32">
      <c r="A25" s="247" t="s">
        <v>221</v>
      </c>
      <c r="B25" s="248" t="str">
        <f>'Current Rents'!D45</f>
        <v>—</v>
      </c>
      <c r="C25" s="249">
        <v>1365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X25" s="230"/>
      <c r="Y25" s="230"/>
      <c r="Z25" s="230"/>
      <c r="AA25" s="230"/>
      <c r="AB25" s="230"/>
      <c r="AC25" s="230"/>
    </row>
    <row r="26" spans="1:32">
      <c r="A26" s="247" t="s">
        <v>215</v>
      </c>
      <c r="B26" s="248">
        <f>'Current Rents'!E45</f>
        <v>1364</v>
      </c>
      <c r="C26" s="249">
        <v>1554</v>
      </c>
      <c r="D26" s="250"/>
      <c r="E26" s="251">
        <f>B26-C26</f>
        <v>-190</v>
      </c>
      <c r="F26" s="252" t="str">
        <f>IF(E26&lt;-75,"LOOK INTO INCREASING THE RENT!","")</f>
        <v>LOOK INTO INCREASING THE RENT!</v>
      </c>
      <c r="I26" s="230"/>
      <c r="X26" s="230"/>
      <c r="Y26" s="230"/>
      <c r="Z26" s="230"/>
      <c r="AA26" s="230"/>
      <c r="AB26" s="230"/>
      <c r="AC26" s="230"/>
    </row>
    <row r="27" spans="1:32">
      <c r="A27" s="247" t="s">
        <v>216</v>
      </c>
      <c r="B27" s="248">
        <f>'Current Rents'!F45</f>
        <v>1577.5</v>
      </c>
      <c r="C27" s="249">
        <v>2000</v>
      </c>
      <c r="D27" s="250"/>
      <c r="E27" s="251">
        <f>B27-C27</f>
        <v>-422.5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I28" s="230"/>
      <c r="X28" s="230"/>
      <c r="Y28" s="230"/>
      <c r="Z28" s="230"/>
      <c r="AA28" s="230"/>
      <c r="AB28" s="230"/>
      <c r="AC28" s="230"/>
    </row>
    <row r="29" spans="1:32">
      <c r="I29" s="230"/>
      <c r="X29" s="230"/>
      <c r="Y29" s="230"/>
      <c r="Z29" s="230"/>
      <c r="AA29" s="230"/>
      <c r="AB29" s="230"/>
      <c r="AC29" s="230"/>
    </row>
    <row r="30" spans="1:32">
      <c r="A30" s="345" t="s">
        <v>1105</v>
      </c>
      <c r="B30" s="325"/>
      <c r="C30" s="325"/>
      <c r="D30" s="325"/>
      <c r="E30" s="325"/>
      <c r="F30" s="325"/>
      <c r="G30" s="325"/>
      <c r="H30" s="325"/>
      <c r="I30" s="230"/>
      <c r="X30" s="230"/>
      <c r="Y30" s="230"/>
      <c r="Z30" s="230"/>
      <c r="AA30" s="230"/>
      <c r="AB30" s="230"/>
      <c r="AC30" s="230"/>
    </row>
    <row r="31" spans="1:32">
      <c r="A31" s="247"/>
      <c r="B31" s="247" t="s">
        <v>1106</v>
      </c>
      <c r="C31" s="247" t="s">
        <v>1107</v>
      </c>
      <c r="D31" s="247" t="s">
        <v>1108</v>
      </c>
      <c r="E31" s="247" t="s">
        <v>1109</v>
      </c>
      <c r="F31" s="247" t="s">
        <v>1110</v>
      </c>
      <c r="I31" s="230"/>
      <c r="X31" s="230"/>
      <c r="Y31" s="230"/>
      <c r="Z31" s="230"/>
      <c r="AA31" s="230"/>
      <c r="AB31" s="230"/>
      <c r="AC31" s="230"/>
    </row>
    <row r="32" spans="1:32">
      <c r="A32" s="253" t="s">
        <v>221</v>
      </c>
      <c r="C32" s="254" t="str">
        <f>'Current Rents'!D45</f>
        <v>—</v>
      </c>
      <c r="D32" s="254">
        <v>1096</v>
      </c>
      <c r="I32" s="230"/>
      <c r="X32" s="230"/>
      <c r="Y32" s="230"/>
      <c r="Z32" s="230"/>
      <c r="AA32" s="230"/>
      <c r="AB32" s="230"/>
      <c r="AC32" s="230"/>
    </row>
    <row r="33" spans="1:4">
      <c r="A33" s="253" t="s">
        <v>215</v>
      </c>
      <c r="C33" s="254">
        <f>'Current Rents'!E45</f>
        <v>1364</v>
      </c>
      <c r="D33" s="254">
        <v>1500</v>
      </c>
    </row>
    <row r="34" spans="1:4">
      <c r="A34" s="253" t="s">
        <v>216</v>
      </c>
      <c r="C34" s="254">
        <f>'Current Rents'!F45</f>
        <v>1577.5</v>
      </c>
      <c r="D34" s="254">
        <v>1970</v>
      </c>
    </row>
    <row r="35" spans="1:4"/>
    <row r="36" spans="1:4"/>
  </sheetData>
  <mergeCells count="18">
    <mergeCell ref="A30:H30"/>
    <mergeCell ref="C6:D6"/>
    <mergeCell ref="C10:D10"/>
    <mergeCell ref="C7:D7"/>
    <mergeCell ref="C17:D17"/>
    <mergeCell ref="A20:AF20"/>
    <mergeCell ref="A23:H23"/>
    <mergeCell ref="C18:D18"/>
    <mergeCell ref="A22:H22"/>
    <mergeCell ref="A2:AF2"/>
    <mergeCell ref="C11:D11"/>
    <mergeCell ref="D12:D16"/>
    <mergeCell ref="AE1:AF1"/>
    <mergeCell ref="A4:AF4"/>
    <mergeCell ref="A3:AF3"/>
    <mergeCell ref="C9:D9"/>
    <mergeCell ref="A1:AD1"/>
    <mergeCell ref="C8:D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2125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2126</v>
      </c>
      <c r="AB1" s="325"/>
    </row>
    <row r="2" spans="1:28" ht="20.100000000000001" customHeight="1">
      <c r="A2" s="324" t="s">
        <v>2127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2128</v>
      </c>
      <c r="D6" s="325"/>
      <c r="E6" s="234" t="s">
        <v>2129</v>
      </c>
      <c r="F6" s="234" t="s">
        <v>2075</v>
      </c>
      <c r="G6" s="234" t="s">
        <v>1246</v>
      </c>
      <c r="H6" s="234" t="s">
        <v>2076</v>
      </c>
      <c r="I6" s="234" t="s">
        <v>308</v>
      </c>
      <c r="J6" s="234" t="s">
        <v>2066</v>
      </c>
      <c r="K6" s="234" t="s">
        <v>2068</v>
      </c>
      <c r="L6" s="234" t="s">
        <v>2069</v>
      </c>
      <c r="M6" s="235">
        <f>'Current Rents'!E46</f>
        <v>855.17</v>
      </c>
      <c r="N6" s="234" t="s">
        <v>2070</v>
      </c>
      <c r="O6" s="234" t="s">
        <v>2071</v>
      </c>
      <c r="P6" s="234" t="s">
        <v>2072</v>
      </c>
      <c r="Q6" s="235" t="str">
        <f>'Current Rents'!F46</f>
        <v>—</v>
      </c>
      <c r="R6" s="234" t="s">
        <v>1066</v>
      </c>
      <c r="S6" s="234" t="s">
        <v>678</v>
      </c>
      <c r="T6" s="234" t="s">
        <v>504</v>
      </c>
      <c r="U6" s="234" t="s">
        <v>316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2109</v>
      </c>
      <c r="D7" s="325"/>
      <c r="E7" s="216" t="s">
        <v>2110</v>
      </c>
      <c r="F7" s="216" t="s">
        <v>2063</v>
      </c>
      <c r="G7" s="216" t="s">
        <v>1246</v>
      </c>
      <c r="H7" s="216" t="s">
        <v>2064</v>
      </c>
      <c r="I7" s="216" t="s">
        <v>2130</v>
      </c>
      <c r="J7" s="216" t="s">
        <v>2066</v>
      </c>
      <c r="K7" s="216" t="s">
        <v>2068</v>
      </c>
      <c r="L7" s="216" t="s">
        <v>2069</v>
      </c>
      <c r="M7" s="216" t="s">
        <v>326</v>
      </c>
      <c r="N7" s="216" t="s">
        <v>2070</v>
      </c>
      <c r="O7" s="216" t="s">
        <v>2071</v>
      </c>
      <c r="P7" s="216" t="s">
        <v>2072</v>
      </c>
      <c r="Q7" s="216" t="s">
        <v>326</v>
      </c>
      <c r="R7" s="216" t="s">
        <v>1066</v>
      </c>
      <c r="S7" s="216" t="s">
        <v>1067</v>
      </c>
      <c r="T7" s="216" t="s">
        <v>258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2131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2078</v>
      </c>
      <c r="D8" s="325"/>
      <c r="E8" s="216" t="s">
        <v>2079</v>
      </c>
      <c r="F8" s="216" t="s">
        <v>2063</v>
      </c>
      <c r="G8" s="216" t="s">
        <v>1246</v>
      </c>
      <c r="H8" s="216" t="s">
        <v>2064</v>
      </c>
      <c r="I8" s="216" t="s">
        <v>379</v>
      </c>
      <c r="J8" s="216" t="s">
        <v>2066</v>
      </c>
      <c r="K8" s="216" t="s">
        <v>2068</v>
      </c>
      <c r="L8" s="216" t="s">
        <v>2069</v>
      </c>
      <c r="M8" s="216" t="s">
        <v>326</v>
      </c>
      <c r="N8" s="216" t="s">
        <v>2070</v>
      </c>
      <c r="O8" s="216" t="s">
        <v>2071</v>
      </c>
      <c r="P8" s="216" t="s">
        <v>2072</v>
      </c>
      <c r="Q8" s="216" t="s">
        <v>326</v>
      </c>
      <c r="R8" s="216" t="s">
        <v>236</v>
      </c>
      <c r="S8" s="216" t="s">
        <v>671</v>
      </c>
      <c r="T8" s="216" t="s">
        <v>319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2132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2081</v>
      </c>
      <c r="D9" s="325"/>
      <c r="E9" s="216" t="s">
        <v>2002</v>
      </c>
      <c r="F9" s="216" t="s">
        <v>2003</v>
      </c>
      <c r="G9" s="216" t="s">
        <v>1246</v>
      </c>
      <c r="H9" s="216" t="s">
        <v>2004</v>
      </c>
      <c r="I9" s="216" t="s">
        <v>2133</v>
      </c>
      <c r="J9" s="216" t="s">
        <v>2066</v>
      </c>
      <c r="K9" s="216" t="s">
        <v>2068</v>
      </c>
      <c r="L9" s="216" t="s">
        <v>2069</v>
      </c>
      <c r="M9" s="216" t="s">
        <v>2084</v>
      </c>
      <c r="N9" s="216" t="s">
        <v>2070</v>
      </c>
      <c r="O9" s="216" t="s">
        <v>2071</v>
      </c>
      <c r="P9" s="216" t="s">
        <v>2072</v>
      </c>
      <c r="Q9" s="216" t="s">
        <v>326</v>
      </c>
      <c r="R9" s="216" t="s">
        <v>1066</v>
      </c>
      <c r="S9" s="216" t="s">
        <v>678</v>
      </c>
      <c r="T9" s="216" t="s">
        <v>504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1023</v>
      </c>
      <c r="AA9" s="216" t="s">
        <v>2134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2086</v>
      </c>
      <c r="D10" s="325"/>
      <c r="E10" s="216" t="s">
        <v>2053</v>
      </c>
      <c r="F10" s="216" t="s">
        <v>2003</v>
      </c>
      <c r="G10" s="216" t="s">
        <v>1246</v>
      </c>
      <c r="H10" s="216" t="s">
        <v>2012</v>
      </c>
      <c r="I10" s="216" t="s">
        <v>2135</v>
      </c>
      <c r="J10" s="216" t="s">
        <v>2066</v>
      </c>
      <c r="K10" s="216" t="s">
        <v>2068</v>
      </c>
      <c r="L10" s="216" t="s">
        <v>2069</v>
      </c>
      <c r="M10" s="216" t="s">
        <v>326</v>
      </c>
      <c r="N10" s="216" t="s">
        <v>2070</v>
      </c>
      <c r="O10" s="216" t="s">
        <v>2071</v>
      </c>
      <c r="P10" s="216" t="s">
        <v>2072</v>
      </c>
      <c r="Q10" s="216" t="s">
        <v>326</v>
      </c>
      <c r="R10" s="216" t="s">
        <v>1066</v>
      </c>
      <c r="S10" s="216" t="s">
        <v>678</v>
      </c>
      <c r="T10" s="216" t="s">
        <v>504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1023</v>
      </c>
      <c r="AA10" s="216" t="s">
        <v>2136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2089</v>
      </c>
      <c r="D12" s="320" t="s">
        <v>345</v>
      </c>
      <c r="E12" s="239" t="s">
        <v>2090</v>
      </c>
      <c r="F12" s="239" t="s">
        <v>2063</v>
      </c>
      <c r="G12" s="239" t="s">
        <v>1246</v>
      </c>
      <c r="H12" s="239"/>
      <c r="I12" s="239" t="s">
        <v>971</v>
      </c>
      <c r="J12" s="239" t="s">
        <v>64</v>
      </c>
      <c r="K12" s="239" t="s">
        <v>64</v>
      </c>
      <c r="L12" s="239" t="s">
        <v>64</v>
      </c>
      <c r="M12" s="241">
        <v>1650</v>
      </c>
      <c r="N12" s="239" t="s">
        <v>64</v>
      </c>
      <c r="O12" s="239" t="s">
        <v>64</v>
      </c>
      <c r="P12" s="239" t="s">
        <v>64</v>
      </c>
      <c r="Q12" s="241">
        <v>2050</v>
      </c>
      <c r="R12" s="239" t="s">
        <v>64</v>
      </c>
      <c r="S12" s="239" t="s">
        <v>678</v>
      </c>
      <c r="T12" s="239" t="s">
        <v>504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2091</v>
      </c>
      <c r="AB12" s="239" t="s">
        <v>2137</v>
      </c>
    </row>
    <row r="13" spans="1:28" ht="20.100000000000001" customHeight="1">
      <c r="A13" s="239">
        <v>2</v>
      </c>
      <c r="B13" s="240" t="s">
        <v>343</v>
      </c>
      <c r="C13" s="237" t="s">
        <v>2089</v>
      </c>
      <c r="D13" s="325"/>
      <c r="E13" s="239" t="s">
        <v>2093</v>
      </c>
      <c r="F13" s="239" t="s">
        <v>2063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1650</v>
      </c>
      <c r="N13" s="239" t="s">
        <v>64</v>
      </c>
      <c r="O13" s="239" t="s">
        <v>64</v>
      </c>
      <c r="P13" s="239" t="s">
        <v>64</v>
      </c>
      <c r="Q13" s="241">
        <v>2050</v>
      </c>
      <c r="R13" s="239" t="s">
        <v>1066</v>
      </c>
      <c r="S13" s="239" t="s">
        <v>1122</v>
      </c>
      <c r="T13" s="239" t="s">
        <v>319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2138</v>
      </c>
      <c r="AB13" s="239" t="s">
        <v>2139</v>
      </c>
    </row>
    <row r="14" spans="1:28" ht="20.100000000000001" customHeight="1">
      <c r="A14" s="239">
        <v>3</v>
      </c>
      <c r="B14" s="240" t="s">
        <v>343</v>
      </c>
      <c r="C14" s="237" t="s">
        <v>2096</v>
      </c>
      <c r="D14" s="325"/>
      <c r="E14" s="239" t="s">
        <v>2097</v>
      </c>
      <c r="F14" s="239" t="s">
        <v>2063</v>
      </c>
      <c r="G14" s="239" t="s">
        <v>1246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1">
        <v>1550</v>
      </c>
      <c r="N14" s="239" t="s">
        <v>64</v>
      </c>
      <c r="O14" s="239" t="s">
        <v>64</v>
      </c>
      <c r="P14" s="239" t="s">
        <v>64</v>
      </c>
      <c r="Q14" s="241">
        <v>1925</v>
      </c>
      <c r="R14" s="239" t="s">
        <v>605</v>
      </c>
      <c r="S14" s="239" t="s">
        <v>1067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8" t="s">
        <v>1023</v>
      </c>
      <c r="AA14" s="239" t="s">
        <v>2140</v>
      </c>
      <c r="AB14" s="239" t="s">
        <v>2095</v>
      </c>
    </row>
    <row r="15" spans="1:28" ht="20.100000000000001" customHeight="1">
      <c r="A15" s="239">
        <v>4</v>
      </c>
      <c r="B15" s="240" t="s">
        <v>343</v>
      </c>
      <c r="C15" s="237" t="s">
        <v>2099</v>
      </c>
      <c r="D15" s="325"/>
      <c r="E15" s="239" t="s">
        <v>2100</v>
      </c>
      <c r="F15" s="239" t="s">
        <v>2063</v>
      </c>
      <c r="G15" s="239" t="s">
        <v>1246</v>
      </c>
      <c r="H15" s="239"/>
      <c r="I15" s="239" t="s">
        <v>1296</v>
      </c>
      <c r="J15" s="239" t="s">
        <v>64</v>
      </c>
      <c r="K15" s="239" t="s">
        <v>64</v>
      </c>
      <c r="L15" s="239" t="s">
        <v>64</v>
      </c>
      <c r="M15" s="241">
        <v>1575</v>
      </c>
      <c r="N15" s="239" t="s">
        <v>64</v>
      </c>
      <c r="O15" s="239" t="s">
        <v>64</v>
      </c>
      <c r="P15" s="239" t="s">
        <v>64</v>
      </c>
      <c r="Q15" s="241">
        <v>1950</v>
      </c>
      <c r="R15" s="239" t="s">
        <v>1066</v>
      </c>
      <c r="S15" s="239" t="s">
        <v>1122</v>
      </c>
      <c r="T15" s="239" t="s">
        <v>319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8" t="s">
        <v>1023</v>
      </c>
      <c r="AA15" s="239" t="s">
        <v>2141</v>
      </c>
      <c r="AB15" s="239" t="s">
        <v>2095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2103</v>
      </c>
      <c r="D17" s="325"/>
      <c r="E17" s="217" t="s">
        <v>64</v>
      </c>
      <c r="F17" s="217" t="s">
        <v>2075</v>
      </c>
      <c r="G17" s="217" t="s">
        <v>1246</v>
      </c>
      <c r="H17" s="217"/>
      <c r="I17" s="217"/>
      <c r="J17" s="217"/>
      <c r="K17" s="217"/>
      <c r="L17" s="217" t="s">
        <v>2069</v>
      </c>
      <c r="M17" s="217"/>
      <c r="N17" s="217"/>
      <c r="O17" s="217"/>
      <c r="P17" s="217" t="s">
        <v>2072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2142</v>
      </c>
      <c r="D18" s="325"/>
      <c r="E18" s="218" t="s">
        <v>64</v>
      </c>
      <c r="F18" s="218" t="s">
        <v>2075</v>
      </c>
      <c r="G18" s="218" t="s">
        <v>1246</v>
      </c>
      <c r="H18" s="218"/>
      <c r="I18" s="218"/>
      <c r="J18" s="218"/>
      <c r="K18" s="218"/>
      <c r="L18" s="218"/>
      <c r="M18" s="245">
        <v>1606</v>
      </c>
      <c r="N18" s="218"/>
      <c r="O18" s="218"/>
      <c r="P18" s="218"/>
      <c r="Q18" s="245">
        <v>1994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</row>
    <row r="21" spans="1:28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>
      <c r="A23" s="344" t="s">
        <v>1104</v>
      </c>
      <c r="B23" s="325"/>
      <c r="C23" s="325"/>
      <c r="D23" s="325"/>
      <c r="E23" s="325"/>
      <c r="F23" s="325"/>
      <c r="G23" s="325"/>
      <c r="H23" s="325"/>
      <c r="I23" s="230"/>
      <c r="T23" s="230"/>
      <c r="U23" s="230"/>
      <c r="V23" s="230"/>
      <c r="W23" s="230"/>
      <c r="X23" s="230"/>
      <c r="Y23" s="230"/>
    </row>
    <row r="24" spans="1:28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I24" s="230"/>
      <c r="T24" s="230"/>
      <c r="U24" s="230"/>
      <c r="V24" s="230"/>
      <c r="W24" s="230"/>
      <c r="X24" s="230"/>
      <c r="Y24" s="230"/>
    </row>
    <row r="25" spans="1:28">
      <c r="A25" s="247" t="s">
        <v>215</v>
      </c>
      <c r="B25" s="248">
        <f>'Current Rents'!E46</f>
        <v>855.17</v>
      </c>
      <c r="C25" s="249">
        <v>1606</v>
      </c>
      <c r="D25" s="250"/>
      <c r="E25" s="251">
        <f>B25-C25</f>
        <v>-750.83</v>
      </c>
      <c r="F25" s="252" t="str">
        <f>IF(E25&lt;-75,"LOOK INTO INCREASING THE RENT!","")</f>
        <v>LOOK INTO INCREASING THE RENT!</v>
      </c>
      <c r="I25" s="230"/>
      <c r="T25" s="230"/>
      <c r="U25" s="230"/>
      <c r="V25" s="230"/>
      <c r="W25" s="230"/>
      <c r="X25" s="230"/>
      <c r="Y25" s="230"/>
    </row>
    <row r="26" spans="1:28">
      <c r="A26" s="247" t="s">
        <v>216</v>
      </c>
      <c r="B26" s="248" t="str">
        <f>'Current Rents'!F46</f>
        <v>—</v>
      </c>
      <c r="C26" s="249">
        <v>1994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215</v>
      </c>
      <c r="C31" s="254">
        <f>'Current Rents'!E46</f>
        <v>855.17</v>
      </c>
      <c r="D31" s="254">
        <v>1500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216</v>
      </c>
      <c r="C32" s="254" t="str">
        <f>'Current Rents'!F46</f>
        <v>—</v>
      </c>
      <c r="D32" s="254">
        <v>1970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2143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2144</v>
      </c>
      <c r="AJ1" s="325"/>
    </row>
    <row r="2" spans="1:36" ht="20.100000000000001" customHeight="1">
      <c r="A2" s="324" t="s">
        <v>2145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742</v>
      </c>
      <c r="W5" s="231" t="s">
        <v>743</v>
      </c>
      <c r="X5" s="231" t="s">
        <v>744</v>
      </c>
      <c r="Y5" s="232" t="s">
        <v>2146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2147</v>
      </c>
      <c r="D6" s="325"/>
      <c r="E6" s="234" t="s">
        <v>2063</v>
      </c>
      <c r="F6" s="234" t="s">
        <v>2063</v>
      </c>
      <c r="G6" s="234" t="s">
        <v>1246</v>
      </c>
      <c r="H6" s="234" t="s">
        <v>2064</v>
      </c>
      <c r="I6" s="234" t="s">
        <v>308</v>
      </c>
      <c r="J6" s="234" t="s">
        <v>2066</v>
      </c>
      <c r="K6" s="234" t="s">
        <v>2068</v>
      </c>
      <c r="L6" s="234" t="s">
        <v>2069</v>
      </c>
      <c r="M6" s="235">
        <f>'Current Rents'!E47</f>
        <v>1308</v>
      </c>
      <c r="N6" s="234" t="s">
        <v>2070</v>
      </c>
      <c r="O6" s="234" t="s">
        <v>2071</v>
      </c>
      <c r="P6" s="234" t="s">
        <v>2072</v>
      </c>
      <c r="Q6" s="235">
        <f>'Current Rents'!F47</f>
        <v>1526.47</v>
      </c>
      <c r="R6" s="234" t="s">
        <v>2068</v>
      </c>
      <c r="S6" s="234" t="s">
        <v>2148</v>
      </c>
      <c r="T6" s="234" t="s">
        <v>2149</v>
      </c>
      <c r="U6" s="235" t="str">
        <f>'Current Rents'!G47</f>
        <v>—</v>
      </c>
      <c r="V6" s="234" t="s">
        <v>2150</v>
      </c>
      <c r="W6" s="234" t="s">
        <v>2151</v>
      </c>
      <c r="X6" s="234" t="s">
        <v>2152</v>
      </c>
      <c r="Y6" s="235" t="str">
        <f>'Current Rents'!H47</f>
        <v>—</v>
      </c>
      <c r="Z6" s="234" t="s">
        <v>2153</v>
      </c>
      <c r="AA6" s="234" t="s">
        <v>1532</v>
      </c>
      <c r="AB6" s="234" t="s">
        <v>504</v>
      </c>
      <c r="AC6" s="234" t="s">
        <v>938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2154</v>
      </c>
      <c r="D7" s="325"/>
      <c r="E7" s="216"/>
      <c r="F7" s="216" t="s">
        <v>1267</v>
      </c>
      <c r="G7" s="216" t="s">
        <v>1246</v>
      </c>
      <c r="H7" s="216"/>
      <c r="I7" s="216" t="s">
        <v>64</v>
      </c>
      <c r="J7" s="216" t="s">
        <v>2066</v>
      </c>
      <c r="K7" s="216" t="s">
        <v>2068</v>
      </c>
      <c r="L7" s="216" t="s">
        <v>2069</v>
      </c>
      <c r="M7" s="216" t="s">
        <v>326</v>
      </c>
      <c r="N7" s="216" t="s">
        <v>2070</v>
      </c>
      <c r="O7" s="216" t="s">
        <v>2071</v>
      </c>
      <c r="P7" s="216" t="s">
        <v>2072</v>
      </c>
      <c r="Q7" s="216" t="s">
        <v>326</v>
      </c>
      <c r="R7" s="216" t="s">
        <v>2068</v>
      </c>
      <c r="S7" s="216" t="s">
        <v>2148</v>
      </c>
      <c r="T7" s="216" t="s">
        <v>2149</v>
      </c>
      <c r="U7" s="216" t="s">
        <v>326</v>
      </c>
      <c r="V7" s="216" t="s">
        <v>2150</v>
      </c>
      <c r="W7" s="216" t="s">
        <v>2151</v>
      </c>
      <c r="X7" s="216" t="s">
        <v>2152</v>
      </c>
      <c r="Y7" s="216" t="s">
        <v>326</v>
      </c>
      <c r="Z7" s="216" t="s">
        <v>1141</v>
      </c>
      <c r="AA7" s="216" t="s">
        <v>1532</v>
      </c>
      <c r="AB7" s="216" t="s">
        <v>504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8" t="s">
        <v>1023</v>
      </c>
      <c r="AI7" s="216" t="s">
        <v>2155</v>
      </c>
      <c r="AJ7" s="216" t="s">
        <v>1008</v>
      </c>
    </row>
    <row r="8" spans="1:36" ht="20.100000000000001" customHeight="1">
      <c r="A8" s="216">
        <v>2</v>
      </c>
      <c r="B8" s="236" t="s">
        <v>320</v>
      </c>
      <c r="C8" s="317" t="s">
        <v>2109</v>
      </c>
      <c r="D8" s="325"/>
      <c r="E8" s="216" t="s">
        <v>2110</v>
      </c>
      <c r="F8" s="216" t="s">
        <v>2063</v>
      </c>
      <c r="G8" s="216" t="s">
        <v>1246</v>
      </c>
      <c r="H8" s="216" t="s">
        <v>2064</v>
      </c>
      <c r="I8" s="216" t="s">
        <v>1393</v>
      </c>
      <c r="J8" s="216" t="s">
        <v>2066</v>
      </c>
      <c r="K8" s="216" t="s">
        <v>2068</v>
      </c>
      <c r="L8" s="216" t="s">
        <v>2069</v>
      </c>
      <c r="M8" s="216" t="s">
        <v>326</v>
      </c>
      <c r="N8" s="216" t="s">
        <v>2070</v>
      </c>
      <c r="O8" s="216" t="s">
        <v>2071</v>
      </c>
      <c r="P8" s="216" t="s">
        <v>2072</v>
      </c>
      <c r="Q8" s="216" t="s">
        <v>326</v>
      </c>
      <c r="R8" s="216" t="s">
        <v>2068</v>
      </c>
      <c r="S8" s="216" t="s">
        <v>2148</v>
      </c>
      <c r="T8" s="216" t="s">
        <v>2149</v>
      </c>
      <c r="U8" s="216" t="s">
        <v>326</v>
      </c>
      <c r="V8" s="216" t="s">
        <v>2150</v>
      </c>
      <c r="W8" s="216" t="s">
        <v>2151</v>
      </c>
      <c r="X8" s="216" t="s">
        <v>2152</v>
      </c>
      <c r="Y8" s="216" t="s">
        <v>326</v>
      </c>
      <c r="Z8" s="216" t="s">
        <v>1066</v>
      </c>
      <c r="AA8" s="216" t="s">
        <v>1067</v>
      </c>
      <c r="AB8" s="216" t="s">
        <v>237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2156</v>
      </c>
      <c r="AJ8" s="216" t="s">
        <v>1008</v>
      </c>
    </row>
    <row r="9" spans="1:36" ht="20.100000000000001" customHeight="1">
      <c r="A9" s="216">
        <v>3</v>
      </c>
      <c r="B9" s="236" t="s">
        <v>320</v>
      </c>
      <c r="C9" s="317" t="s">
        <v>2073</v>
      </c>
      <c r="D9" s="325"/>
      <c r="E9" s="216" t="s">
        <v>2074</v>
      </c>
      <c r="F9" s="216" t="s">
        <v>2075</v>
      </c>
      <c r="G9" s="216" t="s">
        <v>1246</v>
      </c>
      <c r="H9" s="216" t="s">
        <v>2076</v>
      </c>
      <c r="I9" s="216" t="s">
        <v>554</v>
      </c>
      <c r="J9" s="216" t="s">
        <v>2066</v>
      </c>
      <c r="K9" s="216" t="s">
        <v>2068</v>
      </c>
      <c r="L9" s="216" t="s">
        <v>2069</v>
      </c>
      <c r="M9" s="216" t="s">
        <v>326</v>
      </c>
      <c r="N9" s="216" t="s">
        <v>2070</v>
      </c>
      <c r="O9" s="216" t="s">
        <v>2071</v>
      </c>
      <c r="P9" s="216" t="s">
        <v>2072</v>
      </c>
      <c r="Q9" s="216" t="s">
        <v>326</v>
      </c>
      <c r="R9" s="216" t="s">
        <v>2068</v>
      </c>
      <c r="S9" s="216" t="s">
        <v>2148</v>
      </c>
      <c r="T9" s="216" t="s">
        <v>2149</v>
      </c>
      <c r="U9" s="216" t="s">
        <v>326</v>
      </c>
      <c r="V9" s="216" t="s">
        <v>2150</v>
      </c>
      <c r="W9" s="216" t="s">
        <v>2151</v>
      </c>
      <c r="X9" s="216" t="s">
        <v>2152</v>
      </c>
      <c r="Y9" s="216" t="s">
        <v>326</v>
      </c>
      <c r="Z9" s="216" t="s">
        <v>1066</v>
      </c>
      <c r="AA9" s="216" t="s">
        <v>1067</v>
      </c>
      <c r="AB9" s="216" t="s">
        <v>237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2157</v>
      </c>
      <c r="AJ9" s="216" t="s">
        <v>1008</v>
      </c>
    </row>
    <row r="10" spans="1:36" ht="20.100000000000001" customHeight="1">
      <c r="A10" s="216">
        <v>4</v>
      </c>
      <c r="B10" s="236" t="s">
        <v>320</v>
      </c>
      <c r="C10" s="317" t="s">
        <v>2158</v>
      </c>
      <c r="D10" s="325"/>
      <c r="E10" s="216" t="s">
        <v>2159</v>
      </c>
      <c r="F10" s="216" t="s">
        <v>2160</v>
      </c>
      <c r="G10" s="216" t="s">
        <v>1246</v>
      </c>
      <c r="H10" s="216" t="s">
        <v>2161</v>
      </c>
      <c r="I10" s="216" t="s">
        <v>2162</v>
      </c>
      <c r="J10" s="216" t="s">
        <v>2066</v>
      </c>
      <c r="K10" s="216" t="s">
        <v>2068</v>
      </c>
      <c r="L10" s="216" t="s">
        <v>2069</v>
      </c>
      <c r="M10" s="216" t="s">
        <v>326</v>
      </c>
      <c r="N10" s="216" t="s">
        <v>2070</v>
      </c>
      <c r="O10" s="216" t="s">
        <v>2071</v>
      </c>
      <c r="P10" s="216" t="s">
        <v>2072</v>
      </c>
      <c r="Q10" s="216" t="s">
        <v>326</v>
      </c>
      <c r="R10" s="216" t="s">
        <v>2068</v>
      </c>
      <c r="S10" s="216" t="s">
        <v>2148</v>
      </c>
      <c r="T10" s="216" t="s">
        <v>2149</v>
      </c>
      <c r="U10" s="216" t="s">
        <v>326</v>
      </c>
      <c r="V10" s="216" t="s">
        <v>2150</v>
      </c>
      <c r="W10" s="216" t="s">
        <v>2151</v>
      </c>
      <c r="X10" s="216" t="s">
        <v>2152</v>
      </c>
      <c r="Y10" s="216" t="s">
        <v>326</v>
      </c>
      <c r="Z10" s="216" t="s">
        <v>264</v>
      </c>
      <c r="AA10" s="216" t="s">
        <v>1532</v>
      </c>
      <c r="AB10" s="216" t="s">
        <v>504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2163</v>
      </c>
      <c r="AJ10" s="216" t="s">
        <v>1008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2089</v>
      </c>
      <c r="D12" s="320" t="s">
        <v>345</v>
      </c>
      <c r="E12" s="239" t="s">
        <v>2090</v>
      </c>
      <c r="F12" s="239" t="s">
        <v>2063</v>
      </c>
      <c r="G12" s="239" t="s">
        <v>1246</v>
      </c>
      <c r="H12" s="239"/>
      <c r="I12" s="239" t="s">
        <v>971</v>
      </c>
      <c r="J12" s="239" t="s">
        <v>64</v>
      </c>
      <c r="K12" s="239" t="s">
        <v>64</v>
      </c>
      <c r="L12" s="239" t="s">
        <v>64</v>
      </c>
      <c r="M12" s="241">
        <v>1650</v>
      </c>
      <c r="N12" s="239" t="s">
        <v>64</v>
      </c>
      <c r="O12" s="239" t="s">
        <v>64</v>
      </c>
      <c r="P12" s="239" t="s">
        <v>64</v>
      </c>
      <c r="Q12" s="241">
        <v>2050</v>
      </c>
      <c r="R12" s="239" t="s">
        <v>64</v>
      </c>
      <c r="S12" s="239" t="s">
        <v>64</v>
      </c>
      <c r="T12" s="239" t="s">
        <v>64</v>
      </c>
      <c r="U12" s="242"/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64</v>
      </c>
      <c r="AA12" s="239" t="s">
        <v>1532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1557</v>
      </c>
      <c r="AJ12" s="239" t="s">
        <v>2092</v>
      </c>
    </row>
    <row r="13" spans="1:36" ht="20.100000000000001" customHeight="1">
      <c r="A13" s="239">
        <v>2</v>
      </c>
      <c r="B13" s="240" t="s">
        <v>343</v>
      </c>
      <c r="C13" s="237" t="s">
        <v>2089</v>
      </c>
      <c r="D13" s="325"/>
      <c r="E13" s="239" t="s">
        <v>2093</v>
      </c>
      <c r="F13" s="239" t="s">
        <v>2063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1595</v>
      </c>
      <c r="N13" s="239" t="s">
        <v>64</v>
      </c>
      <c r="O13" s="239" t="s">
        <v>64</v>
      </c>
      <c r="P13" s="239" t="s">
        <v>64</v>
      </c>
      <c r="Q13" s="241">
        <v>1975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789</v>
      </c>
      <c r="AA13" s="239" t="s">
        <v>1057</v>
      </c>
      <c r="AB13" s="239" t="s">
        <v>258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8" t="s">
        <v>1023</v>
      </c>
      <c r="AI13" s="239" t="s">
        <v>2164</v>
      </c>
      <c r="AJ13" s="239" t="s">
        <v>2095</v>
      </c>
    </row>
    <row r="14" spans="1:36" ht="20.100000000000001" customHeight="1">
      <c r="A14" s="239">
        <v>3</v>
      </c>
      <c r="B14" s="240" t="s">
        <v>343</v>
      </c>
      <c r="C14" s="237" t="s">
        <v>2096</v>
      </c>
      <c r="D14" s="325"/>
      <c r="E14" s="239" t="s">
        <v>2097</v>
      </c>
      <c r="F14" s="239" t="s">
        <v>2063</v>
      </c>
      <c r="G14" s="239" t="s">
        <v>1246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1">
        <v>1550</v>
      </c>
      <c r="N14" s="239" t="s">
        <v>64</v>
      </c>
      <c r="O14" s="239" t="s">
        <v>64</v>
      </c>
      <c r="P14" s="239" t="s">
        <v>64</v>
      </c>
      <c r="Q14" s="241">
        <v>1925</v>
      </c>
      <c r="R14" s="239" t="s">
        <v>64</v>
      </c>
      <c r="S14" s="239" t="s">
        <v>64</v>
      </c>
      <c r="T14" s="239" t="s">
        <v>64</v>
      </c>
      <c r="U14" s="242"/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605</v>
      </c>
      <c r="AA14" s="239" t="s">
        <v>645</v>
      </c>
      <c r="AB14" s="239" t="s">
        <v>258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8" t="s">
        <v>1023</v>
      </c>
      <c r="AI14" s="239" t="s">
        <v>2165</v>
      </c>
      <c r="AJ14" s="239" t="s">
        <v>2095</v>
      </c>
    </row>
    <row r="15" spans="1:36" ht="20.100000000000001" customHeight="1">
      <c r="A15" s="239">
        <v>4</v>
      </c>
      <c r="B15" s="240" t="s">
        <v>343</v>
      </c>
      <c r="C15" s="237" t="s">
        <v>2099</v>
      </c>
      <c r="D15" s="325"/>
      <c r="E15" s="239" t="s">
        <v>2100</v>
      </c>
      <c r="F15" s="239" t="s">
        <v>2063</v>
      </c>
      <c r="G15" s="239" t="s">
        <v>1246</v>
      </c>
      <c r="H15" s="239"/>
      <c r="I15" s="239" t="s">
        <v>1296</v>
      </c>
      <c r="J15" s="239" t="s">
        <v>64</v>
      </c>
      <c r="K15" s="239" t="s">
        <v>64</v>
      </c>
      <c r="L15" s="239" t="s">
        <v>64</v>
      </c>
      <c r="M15" s="241">
        <v>1650</v>
      </c>
      <c r="N15" s="239" t="s">
        <v>64</v>
      </c>
      <c r="O15" s="239" t="s">
        <v>64</v>
      </c>
      <c r="P15" s="239" t="s">
        <v>64</v>
      </c>
      <c r="Q15" s="241">
        <v>2050</v>
      </c>
      <c r="R15" s="239" t="s">
        <v>64</v>
      </c>
      <c r="S15" s="239" t="s">
        <v>64</v>
      </c>
      <c r="T15" s="239" t="s">
        <v>64</v>
      </c>
      <c r="U15" s="242"/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64</v>
      </c>
      <c r="AA15" s="239" t="s">
        <v>645</v>
      </c>
      <c r="AB15" s="239" t="s">
        <v>258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2166</v>
      </c>
      <c r="AJ15" s="239" t="s">
        <v>2102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2103</v>
      </c>
      <c r="D17" s="325"/>
      <c r="E17" s="217" t="s">
        <v>64</v>
      </c>
      <c r="F17" s="217" t="s">
        <v>2063</v>
      </c>
      <c r="G17" s="217" t="s">
        <v>1246</v>
      </c>
      <c r="H17" s="217"/>
      <c r="I17" s="217"/>
      <c r="J17" s="217"/>
      <c r="K17" s="217"/>
      <c r="L17" s="217" t="s">
        <v>2069</v>
      </c>
      <c r="M17" s="217"/>
      <c r="N17" s="217"/>
      <c r="O17" s="217"/>
      <c r="P17" s="217" t="s">
        <v>2072</v>
      </c>
      <c r="Q17" s="217"/>
      <c r="R17" s="217"/>
      <c r="S17" s="217"/>
      <c r="T17" s="217" t="s">
        <v>2149</v>
      </c>
      <c r="U17" s="217"/>
      <c r="V17" s="217"/>
      <c r="W17" s="217"/>
      <c r="X17" s="217" t="s">
        <v>2152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2104</v>
      </c>
      <c r="D18" s="325"/>
      <c r="E18" s="218" t="s">
        <v>64</v>
      </c>
      <c r="F18" s="218" t="s">
        <v>2063</v>
      </c>
      <c r="G18" s="218" t="s">
        <v>1246</v>
      </c>
      <c r="H18" s="218"/>
      <c r="I18" s="218"/>
      <c r="J18" s="218"/>
      <c r="K18" s="218"/>
      <c r="L18" s="218"/>
      <c r="M18" s="245">
        <v>1611</v>
      </c>
      <c r="N18" s="218"/>
      <c r="O18" s="218"/>
      <c r="P18" s="218"/>
      <c r="Q18" s="245">
        <v>2000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20.2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I24" s="230"/>
      <c r="AB24" s="230"/>
      <c r="AC24" s="230"/>
      <c r="AD24" s="230"/>
      <c r="AE24" s="230"/>
      <c r="AF24" s="230"/>
      <c r="AG24" s="230"/>
    </row>
    <row r="25" spans="1:36">
      <c r="A25" s="247" t="s">
        <v>215</v>
      </c>
      <c r="B25" s="248">
        <f>'Current Rents'!E47</f>
        <v>1308</v>
      </c>
      <c r="C25" s="249">
        <v>1611</v>
      </c>
      <c r="D25" s="250"/>
      <c r="E25" s="251">
        <f>B25-C25</f>
        <v>-303</v>
      </c>
      <c r="F25" s="252" t="str">
        <f>IF(E25&lt;-75,"LOOK INTO INCREASING THE RENT!","")</f>
        <v>LOOK INTO INCREASING THE RENT!</v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216</v>
      </c>
      <c r="B26" s="248">
        <f>'Current Rents'!F47</f>
        <v>1526.47</v>
      </c>
      <c r="C26" s="249">
        <v>2000</v>
      </c>
      <c r="D26" s="250"/>
      <c r="E26" s="251">
        <f>B26-C26</f>
        <v>-473.53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218</v>
      </c>
      <c r="B27" s="248" t="str">
        <f>'Current Rents'!G47</f>
        <v>—</v>
      </c>
      <c r="C27" s="249" t="s">
        <v>64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232</v>
      </c>
      <c r="B28" s="248" t="str">
        <f>'Current Rents'!H47</f>
        <v>—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215</v>
      </c>
      <c r="C33" s="254">
        <f>'Current Rents'!E47</f>
        <v>1308</v>
      </c>
      <c r="D33" s="254">
        <v>1500</v>
      </c>
    </row>
    <row r="34" spans="1:4">
      <c r="A34" s="253" t="s">
        <v>216</v>
      </c>
      <c r="C34" s="254">
        <f>'Current Rents'!F47</f>
        <v>1526.47</v>
      </c>
      <c r="D34" s="254">
        <v>1970</v>
      </c>
    </row>
    <row r="35" spans="1:4">
      <c r="A35" s="253" t="s">
        <v>218</v>
      </c>
      <c r="C35" s="254" t="str">
        <f>'Current Rents'!G47</f>
        <v>—</v>
      </c>
      <c r="D35" s="254">
        <v>2277</v>
      </c>
    </row>
    <row r="36" spans="1:4">
      <c r="A36" s="253" t="s">
        <v>232</v>
      </c>
      <c r="C36" s="254" t="str">
        <f>'Current Rents'!H47</f>
        <v>—</v>
      </c>
      <c r="D36" s="254">
        <v>2619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2167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2168</v>
      </c>
      <c r="AJ1" s="325"/>
    </row>
    <row r="2" spans="1:36" ht="20.100000000000001" customHeight="1">
      <c r="A2" s="324" t="s">
        <v>2169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2170</v>
      </c>
      <c r="D6" s="325"/>
      <c r="E6" s="234" t="s">
        <v>2171</v>
      </c>
      <c r="F6" s="234" t="s">
        <v>2172</v>
      </c>
      <c r="G6" s="234" t="s">
        <v>2173</v>
      </c>
      <c r="H6" s="234" t="s">
        <v>2174</v>
      </c>
      <c r="I6" s="234" t="s">
        <v>308</v>
      </c>
      <c r="J6" s="234" t="s">
        <v>2175</v>
      </c>
      <c r="K6" s="234" t="s">
        <v>2176</v>
      </c>
      <c r="L6" s="234" t="s">
        <v>2177</v>
      </c>
      <c r="M6" s="235" t="str">
        <f>'Current Rents'!D48</f>
        <v>—</v>
      </c>
      <c r="N6" s="234" t="s">
        <v>2176</v>
      </c>
      <c r="O6" s="234" t="s">
        <v>2178</v>
      </c>
      <c r="P6" s="234" t="s">
        <v>2179</v>
      </c>
      <c r="Q6" s="235">
        <f>'Current Rents'!E48</f>
        <v>1140</v>
      </c>
      <c r="R6" s="234" t="s">
        <v>1749</v>
      </c>
      <c r="S6" s="234" t="s">
        <v>1750</v>
      </c>
      <c r="T6" s="234" t="s">
        <v>1531</v>
      </c>
      <c r="U6" s="235">
        <f>'Current Rents'!F48</f>
        <v>1317</v>
      </c>
      <c r="V6" s="234" t="s">
        <v>2178</v>
      </c>
      <c r="W6" s="234" t="s">
        <v>2180</v>
      </c>
      <c r="X6" s="234" t="s">
        <v>656</v>
      </c>
      <c r="Y6" s="235">
        <f>'Current Rents'!G48</f>
        <v>1470</v>
      </c>
      <c r="Z6" s="234" t="s">
        <v>593</v>
      </c>
      <c r="AA6" s="234" t="s">
        <v>414</v>
      </c>
      <c r="AB6" s="234" t="s">
        <v>504</v>
      </c>
      <c r="AC6" s="234" t="s">
        <v>315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2181</v>
      </c>
      <c r="D7" s="325"/>
      <c r="E7" s="216" t="s">
        <v>2182</v>
      </c>
      <c r="F7" s="216" t="s">
        <v>2172</v>
      </c>
      <c r="G7" s="216" t="s">
        <v>2173</v>
      </c>
      <c r="H7" s="216" t="s">
        <v>2174</v>
      </c>
      <c r="I7" s="216" t="s">
        <v>567</v>
      </c>
      <c r="J7" s="216" t="s">
        <v>2175</v>
      </c>
      <c r="K7" s="216" t="s">
        <v>2176</v>
      </c>
      <c r="L7" s="216" t="s">
        <v>2177</v>
      </c>
      <c r="M7" s="216" t="s">
        <v>326</v>
      </c>
      <c r="N7" s="216" t="s">
        <v>2176</v>
      </c>
      <c r="O7" s="216" t="s">
        <v>2178</v>
      </c>
      <c r="P7" s="216" t="s">
        <v>2179</v>
      </c>
      <c r="Q7" s="216" t="s">
        <v>326</v>
      </c>
      <c r="R7" s="216" t="s">
        <v>1749</v>
      </c>
      <c r="S7" s="216" t="s">
        <v>1750</v>
      </c>
      <c r="T7" s="216" t="s">
        <v>1531</v>
      </c>
      <c r="U7" s="216" t="s">
        <v>326</v>
      </c>
      <c r="V7" s="216" t="s">
        <v>2178</v>
      </c>
      <c r="W7" s="216" t="s">
        <v>2180</v>
      </c>
      <c r="X7" s="216" t="s">
        <v>656</v>
      </c>
      <c r="Y7" s="216" t="s">
        <v>326</v>
      </c>
      <c r="Z7" s="216" t="s">
        <v>605</v>
      </c>
      <c r="AA7" s="216" t="s">
        <v>419</v>
      </c>
      <c r="AB7" s="216" t="s">
        <v>319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2183</v>
      </c>
      <c r="AJ7" s="216" t="s">
        <v>329</v>
      </c>
    </row>
    <row r="8" spans="1:36" ht="20.100000000000001" customHeight="1">
      <c r="A8" s="216">
        <v>2</v>
      </c>
      <c r="B8" s="236" t="s">
        <v>320</v>
      </c>
      <c r="C8" s="317" t="s">
        <v>2184</v>
      </c>
      <c r="D8" s="325"/>
      <c r="E8" s="216" t="s">
        <v>2185</v>
      </c>
      <c r="F8" s="216" t="s">
        <v>2186</v>
      </c>
      <c r="G8" s="216" t="s">
        <v>2173</v>
      </c>
      <c r="H8" s="216" t="s">
        <v>2187</v>
      </c>
      <c r="I8" s="216" t="s">
        <v>2031</v>
      </c>
      <c r="J8" s="216" t="s">
        <v>2175</v>
      </c>
      <c r="K8" s="216" t="s">
        <v>2176</v>
      </c>
      <c r="L8" s="216" t="s">
        <v>2177</v>
      </c>
      <c r="M8" s="216" t="s">
        <v>326</v>
      </c>
      <c r="N8" s="216" t="s">
        <v>2176</v>
      </c>
      <c r="O8" s="216" t="s">
        <v>2178</v>
      </c>
      <c r="P8" s="216" t="s">
        <v>2179</v>
      </c>
      <c r="Q8" s="216" t="s">
        <v>326</v>
      </c>
      <c r="R8" s="216" t="s">
        <v>1749</v>
      </c>
      <c r="S8" s="216" t="s">
        <v>1750</v>
      </c>
      <c r="T8" s="216" t="s">
        <v>1531</v>
      </c>
      <c r="U8" s="216" t="s">
        <v>326</v>
      </c>
      <c r="V8" s="216" t="s">
        <v>2178</v>
      </c>
      <c r="W8" s="216" t="s">
        <v>2180</v>
      </c>
      <c r="X8" s="216" t="s">
        <v>656</v>
      </c>
      <c r="Y8" s="216" t="s">
        <v>326</v>
      </c>
      <c r="Z8" s="216" t="s">
        <v>593</v>
      </c>
      <c r="AA8" s="216" t="s">
        <v>449</v>
      </c>
      <c r="AB8" s="216" t="s">
        <v>319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8" t="s">
        <v>341</v>
      </c>
      <c r="AI8" s="216" t="s">
        <v>2188</v>
      </c>
      <c r="AJ8" s="216" t="s">
        <v>2189</v>
      </c>
    </row>
    <row r="9" spans="1:36" ht="20.100000000000001" customHeight="1">
      <c r="A9" s="216">
        <v>3</v>
      </c>
      <c r="B9" s="236" t="s">
        <v>320</v>
      </c>
      <c r="C9" s="317" t="s">
        <v>2190</v>
      </c>
      <c r="D9" s="325"/>
      <c r="E9" s="216" t="s">
        <v>2191</v>
      </c>
      <c r="F9" s="216" t="s">
        <v>2192</v>
      </c>
      <c r="G9" s="216" t="s">
        <v>2173</v>
      </c>
      <c r="H9" s="216" t="s">
        <v>2193</v>
      </c>
      <c r="I9" s="216" t="s">
        <v>464</v>
      </c>
      <c r="J9" s="216" t="s">
        <v>2175</v>
      </c>
      <c r="K9" s="216" t="s">
        <v>2176</v>
      </c>
      <c r="L9" s="216" t="s">
        <v>2177</v>
      </c>
      <c r="M9" s="216" t="s">
        <v>326</v>
      </c>
      <c r="N9" s="216" t="s">
        <v>2176</v>
      </c>
      <c r="O9" s="216" t="s">
        <v>2178</v>
      </c>
      <c r="P9" s="216" t="s">
        <v>2179</v>
      </c>
      <c r="Q9" s="216" t="s">
        <v>326</v>
      </c>
      <c r="R9" s="216" t="s">
        <v>1749</v>
      </c>
      <c r="S9" s="216" t="s">
        <v>1750</v>
      </c>
      <c r="T9" s="216" t="s">
        <v>1531</v>
      </c>
      <c r="U9" s="216" t="s">
        <v>326</v>
      </c>
      <c r="V9" s="216" t="s">
        <v>2178</v>
      </c>
      <c r="W9" s="216" t="s">
        <v>2180</v>
      </c>
      <c r="X9" s="216" t="s">
        <v>656</v>
      </c>
      <c r="Y9" s="216" t="s">
        <v>326</v>
      </c>
      <c r="Z9" s="216" t="s">
        <v>2194</v>
      </c>
      <c r="AA9" s="216" t="s">
        <v>1257</v>
      </c>
      <c r="AB9" s="216" t="s">
        <v>258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8" t="s">
        <v>341</v>
      </c>
      <c r="AI9" s="216" t="s">
        <v>2195</v>
      </c>
      <c r="AJ9" s="216" t="s">
        <v>329</v>
      </c>
    </row>
    <row r="10" spans="1:36" ht="20.100000000000001" customHeight="1">
      <c r="A10" s="216">
        <v>4</v>
      </c>
      <c r="B10" s="236" t="s">
        <v>320</v>
      </c>
      <c r="C10" s="317" t="s">
        <v>2196</v>
      </c>
      <c r="D10" s="325"/>
      <c r="E10" s="216" t="s">
        <v>2197</v>
      </c>
      <c r="F10" s="216" t="s">
        <v>2172</v>
      </c>
      <c r="G10" s="216" t="s">
        <v>2173</v>
      </c>
      <c r="H10" s="216" t="s">
        <v>2174</v>
      </c>
      <c r="I10" s="216" t="s">
        <v>541</v>
      </c>
      <c r="J10" s="216" t="s">
        <v>2175</v>
      </c>
      <c r="K10" s="216" t="s">
        <v>2176</v>
      </c>
      <c r="L10" s="216" t="s">
        <v>2177</v>
      </c>
      <c r="M10" s="216" t="s">
        <v>326</v>
      </c>
      <c r="N10" s="216" t="s">
        <v>2176</v>
      </c>
      <c r="O10" s="216" t="s">
        <v>2178</v>
      </c>
      <c r="P10" s="216" t="s">
        <v>2179</v>
      </c>
      <c r="Q10" s="216" t="s">
        <v>326</v>
      </c>
      <c r="R10" s="216" t="s">
        <v>1749</v>
      </c>
      <c r="S10" s="216" t="s">
        <v>1750</v>
      </c>
      <c r="T10" s="216" t="s">
        <v>1531</v>
      </c>
      <c r="U10" s="216" t="s">
        <v>326</v>
      </c>
      <c r="V10" s="216" t="s">
        <v>2178</v>
      </c>
      <c r="W10" s="216" t="s">
        <v>2180</v>
      </c>
      <c r="X10" s="216" t="s">
        <v>656</v>
      </c>
      <c r="Y10" s="216" t="s">
        <v>326</v>
      </c>
      <c r="Z10" s="216" t="s">
        <v>605</v>
      </c>
      <c r="AA10" s="216" t="s">
        <v>449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2198</v>
      </c>
      <c r="AJ10" s="216" t="s">
        <v>2199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2200</v>
      </c>
      <c r="D12" s="320" t="s">
        <v>345</v>
      </c>
      <c r="E12" s="239" t="s">
        <v>2201</v>
      </c>
      <c r="F12" s="239" t="s">
        <v>2172</v>
      </c>
      <c r="G12" s="239" t="s">
        <v>2173</v>
      </c>
      <c r="H12" s="239"/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979</v>
      </c>
      <c r="N12" s="239" t="s">
        <v>64</v>
      </c>
      <c r="O12" s="239" t="s">
        <v>64</v>
      </c>
      <c r="P12" s="239" t="s">
        <v>64</v>
      </c>
      <c r="Q12" s="241">
        <v>1240</v>
      </c>
      <c r="R12" s="239" t="s">
        <v>64</v>
      </c>
      <c r="S12" s="239" t="s">
        <v>64</v>
      </c>
      <c r="T12" s="239" t="s">
        <v>64</v>
      </c>
      <c r="U12" s="241">
        <v>1440</v>
      </c>
      <c r="V12" s="239" t="s">
        <v>64</v>
      </c>
      <c r="W12" s="239" t="s">
        <v>64</v>
      </c>
      <c r="X12" s="239" t="s">
        <v>64</v>
      </c>
      <c r="Y12" s="241">
        <v>1650</v>
      </c>
      <c r="Z12" s="239" t="s">
        <v>64</v>
      </c>
      <c r="AA12" s="239" t="s">
        <v>414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2202</v>
      </c>
      <c r="AJ12" s="239" t="s">
        <v>2203</v>
      </c>
    </row>
    <row r="13" spans="1:36" ht="20.100000000000001" customHeight="1">
      <c r="A13" s="239">
        <v>2</v>
      </c>
      <c r="B13" s="240" t="s">
        <v>343</v>
      </c>
      <c r="C13" s="237" t="s">
        <v>2204</v>
      </c>
      <c r="D13" s="325"/>
      <c r="E13" s="239" t="s">
        <v>2205</v>
      </c>
      <c r="F13" s="239" t="s">
        <v>2172</v>
      </c>
      <c r="G13" s="239" t="s">
        <v>2173</v>
      </c>
      <c r="H13" s="239"/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1000</v>
      </c>
      <c r="N13" s="239" t="s">
        <v>64</v>
      </c>
      <c r="O13" s="239" t="s">
        <v>64</v>
      </c>
      <c r="P13" s="239" t="s">
        <v>64</v>
      </c>
      <c r="Q13" s="241">
        <v>1350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1">
        <v>1650</v>
      </c>
      <c r="Z13" s="239" t="s">
        <v>64</v>
      </c>
      <c r="AA13" s="239" t="s">
        <v>432</v>
      </c>
      <c r="AB13" s="239" t="s">
        <v>363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2206</v>
      </c>
      <c r="AJ13" s="239" t="s">
        <v>2207</v>
      </c>
    </row>
    <row r="14" spans="1:36" ht="20.100000000000001" customHeight="1">
      <c r="A14" s="239">
        <v>3</v>
      </c>
      <c r="B14" s="240" t="s">
        <v>343</v>
      </c>
      <c r="C14" s="237" t="s">
        <v>2208</v>
      </c>
      <c r="D14" s="325"/>
      <c r="E14" s="239" t="s">
        <v>2209</v>
      </c>
      <c r="F14" s="239" t="s">
        <v>2172</v>
      </c>
      <c r="G14" s="239" t="s">
        <v>2173</v>
      </c>
      <c r="H14" s="239"/>
      <c r="I14" s="239" t="s">
        <v>971</v>
      </c>
      <c r="J14" s="239" t="s">
        <v>64</v>
      </c>
      <c r="K14" s="239" t="s">
        <v>64</v>
      </c>
      <c r="L14" s="239" t="s">
        <v>64</v>
      </c>
      <c r="M14" s="241">
        <v>1285</v>
      </c>
      <c r="N14" s="239" t="s">
        <v>64</v>
      </c>
      <c r="O14" s="239" t="s">
        <v>64</v>
      </c>
      <c r="P14" s="239" t="s">
        <v>64</v>
      </c>
      <c r="Q14" s="241">
        <v>1530</v>
      </c>
      <c r="R14" s="239" t="s">
        <v>64</v>
      </c>
      <c r="S14" s="239" t="s">
        <v>64</v>
      </c>
      <c r="T14" s="239" t="s">
        <v>64</v>
      </c>
      <c r="U14" s="241">
        <v>1875</v>
      </c>
      <c r="V14" s="239" t="s">
        <v>64</v>
      </c>
      <c r="W14" s="239" t="s">
        <v>64</v>
      </c>
      <c r="X14" s="239" t="s">
        <v>64</v>
      </c>
      <c r="Y14" s="241">
        <v>1650</v>
      </c>
      <c r="Z14" s="239" t="s">
        <v>64</v>
      </c>
      <c r="AA14" s="239" t="s">
        <v>503</v>
      </c>
      <c r="AB14" s="239" t="s">
        <v>237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2210</v>
      </c>
      <c r="AJ14" s="239" t="s">
        <v>2207</v>
      </c>
    </row>
    <row r="15" spans="1:36" ht="20.100000000000001" customHeight="1">
      <c r="A15" s="239">
        <v>4</v>
      </c>
      <c r="B15" s="240" t="s">
        <v>343</v>
      </c>
      <c r="C15" s="237" t="s">
        <v>2211</v>
      </c>
      <c r="D15" s="325"/>
      <c r="E15" s="239" t="s">
        <v>2212</v>
      </c>
      <c r="F15" s="239" t="s">
        <v>2172</v>
      </c>
      <c r="G15" s="239" t="s">
        <v>2173</v>
      </c>
      <c r="H15" s="239"/>
      <c r="I15" s="239" t="s">
        <v>541</v>
      </c>
      <c r="J15" s="239" t="s">
        <v>64</v>
      </c>
      <c r="K15" s="239" t="s">
        <v>64</v>
      </c>
      <c r="L15" s="239" t="s">
        <v>64</v>
      </c>
      <c r="M15" s="241">
        <v>1391</v>
      </c>
      <c r="N15" s="239" t="s">
        <v>64</v>
      </c>
      <c r="O15" s="239" t="s">
        <v>64</v>
      </c>
      <c r="P15" s="239" t="s">
        <v>64</v>
      </c>
      <c r="Q15" s="241">
        <v>1510</v>
      </c>
      <c r="R15" s="239" t="s">
        <v>64</v>
      </c>
      <c r="S15" s="239" t="s">
        <v>64</v>
      </c>
      <c r="T15" s="239" t="s">
        <v>64</v>
      </c>
      <c r="U15" s="241">
        <v>1672</v>
      </c>
      <c r="V15" s="239" t="s">
        <v>64</v>
      </c>
      <c r="W15" s="239" t="s">
        <v>64</v>
      </c>
      <c r="X15" s="239" t="s">
        <v>64</v>
      </c>
      <c r="Y15" s="241">
        <v>1650</v>
      </c>
      <c r="Z15" s="239" t="s">
        <v>64</v>
      </c>
      <c r="AA15" s="239" t="s">
        <v>1257</v>
      </c>
      <c r="AB15" s="239" t="s">
        <v>258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2213</v>
      </c>
      <c r="AJ15" s="239" t="s">
        <v>2207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2214</v>
      </c>
      <c r="D17" s="325"/>
      <c r="E17" s="217" t="s">
        <v>64</v>
      </c>
      <c r="F17" s="217" t="s">
        <v>2172</v>
      </c>
      <c r="G17" s="217" t="s">
        <v>2173</v>
      </c>
      <c r="H17" s="217"/>
      <c r="I17" s="217"/>
      <c r="J17" s="217"/>
      <c r="K17" s="217"/>
      <c r="L17" s="217" t="s">
        <v>2177</v>
      </c>
      <c r="M17" s="217"/>
      <c r="N17" s="217"/>
      <c r="O17" s="217"/>
      <c r="P17" s="217" t="s">
        <v>2179</v>
      </c>
      <c r="Q17" s="217"/>
      <c r="R17" s="217"/>
      <c r="S17" s="217"/>
      <c r="T17" s="217" t="s">
        <v>1531</v>
      </c>
      <c r="U17" s="217"/>
      <c r="V17" s="217"/>
      <c r="W17" s="217"/>
      <c r="X17" s="217" t="s">
        <v>656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2215</v>
      </c>
      <c r="D18" s="325"/>
      <c r="E18" s="218" t="s">
        <v>64</v>
      </c>
      <c r="F18" s="218" t="s">
        <v>2172</v>
      </c>
      <c r="G18" s="218" t="s">
        <v>2173</v>
      </c>
      <c r="H18" s="218"/>
      <c r="I18" s="218"/>
      <c r="J18" s="218"/>
      <c r="K18" s="218"/>
      <c r="L18" s="218"/>
      <c r="M18" s="245">
        <v>1164</v>
      </c>
      <c r="N18" s="218"/>
      <c r="O18" s="218"/>
      <c r="P18" s="218"/>
      <c r="Q18" s="245">
        <v>1408</v>
      </c>
      <c r="R18" s="218"/>
      <c r="S18" s="218"/>
      <c r="T18" s="218"/>
      <c r="U18" s="245">
        <v>1662</v>
      </c>
      <c r="V18" s="218"/>
      <c r="W18" s="218"/>
      <c r="X18" s="218"/>
      <c r="Y18" s="245">
        <v>1650</v>
      </c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221</v>
      </c>
      <c r="B25" s="248" t="str">
        <f>'Current Rents'!D48</f>
        <v>—</v>
      </c>
      <c r="C25" s="249">
        <v>1164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215</v>
      </c>
      <c r="B26" s="248">
        <f>'Current Rents'!E48</f>
        <v>1140</v>
      </c>
      <c r="C26" s="249">
        <v>1408</v>
      </c>
      <c r="D26" s="250"/>
      <c r="E26" s="251">
        <f>B26-C26</f>
        <v>-268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216</v>
      </c>
      <c r="B27" s="248">
        <f>'Current Rents'!F48</f>
        <v>1317</v>
      </c>
      <c r="C27" s="249">
        <v>1662</v>
      </c>
      <c r="D27" s="250"/>
      <c r="E27" s="251">
        <f>B27-C27</f>
        <v>-345</v>
      </c>
      <c r="F27" s="252" t="str">
        <f>IF(E27&lt;-75,"LOOK INTO INCREASING THE RENT!","")</f>
        <v>LOOK INTO INCREASING THE RENT!</v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218</v>
      </c>
      <c r="B28" s="248">
        <f>'Current Rents'!G48</f>
        <v>1470</v>
      </c>
      <c r="C28" s="249">
        <v>1650</v>
      </c>
      <c r="D28" s="250"/>
      <c r="E28" s="251">
        <f>B28-C28</f>
        <v>-180</v>
      </c>
      <c r="F28" s="252" t="str">
        <f>IF(E28&lt;-75,"LOOK INTO INCREASING THE RENT!","")</f>
        <v>LOOK INTO INCREASING THE RENT!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 t="str">
        <f>'Current Rents'!D48</f>
        <v>—</v>
      </c>
      <c r="D33" s="254">
        <v>663</v>
      </c>
    </row>
    <row r="34" spans="1:4">
      <c r="A34" s="253" t="s">
        <v>215</v>
      </c>
      <c r="C34" s="254">
        <f>'Current Rents'!E48</f>
        <v>1140</v>
      </c>
      <c r="D34" s="254">
        <v>908</v>
      </c>
    </row>
    <row r="35" spans="1:4">
      <c r="A35" s="253" t="s">
        <v>216</v>
      </c>
      <c r="C35" s="254">
        <f>'Current Rents'!F48</f>
        <v>1317</v>
      </c>
      <c r="D35" s="254">
        <v>1372</v>
      </c>
    </row>
    <row r="36" spans="1:4">
      <c r="A36" s="253" t="s">
        <v>218</v>
      </c>
      <c r="C36" s="254">
        <f>'Current Rents'!G48</f>
        <v>1470</v>
      </c>
      <c r="D36" s="254">
        <v>1586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2216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2217</v>
      </c>
      <c r="AJ1" s="325"/>
    </row>
    <row r="2" spans="1:36" ht="20.100000000000001" customHeight="1">
      <c r="A2" s="324" t="s">
        <v>2218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2219</v>
      </c>
      <c r="D6" s="325"/>
      <c r="E6" s="234" t="s">
        <v>2220</v>
      </c>
      <c r="F6" s="234" t="s">
        <v>197</v>
      </c>
      <c r="G6" s="234" t="s">
        <v>2173</v>
      </c>
      <c r="H6" s="234" t="s">
        <v>2221</v>
      </c>
      <c r="I6" s="234" t="s">
        <v>308</v>
      </c>
      <c r="J6" s="234" t="s">
        <v>2222</v>
      </c>
      <c r="K6" s="234" t="s">
        <v>2223</v>
      </c>
      <c r="L6" s="234" t="s">
        <v>2224</v>
      </c>
      <c r="M6" s="235">
        <f>'Current Rents'!D49</f>
        <v>970</v>
      </c>
      <c r="N6" s="234" t="s">
        <v>2225</v>
      </c>
      <c r="O6" s="234" t="s">
        <v>2226</v>
      </c>
      <c r="P6" s="234" t="s">
        <v>2227</v>
      </c>
      <c r="Q6" s="235">
        <f>'Current Rents'!E49</f>
        <v>1185</v>
      </c>
      <c r="R6" s="234" t="s">
        <v>2228</v>
      </c>
      <c r="S6" s="234" t="s">
        <v>2229</v>
      </c>
      <c r="T6" s="234" t="s">
        <v>2230</v>
      </c>
      <c r="U6" s="235">
        <f>'Current Rents'!F49</f>
        <v>1400</v>
      </c>
      <c r="V6" s="234" t="s">
        <v>2231</v>
      </c>
      <c r="W6" s="234" t="s">
        <v>2232</v>
      </c>
      <c r="X6" s="234" t="s">
        <v>2233</v>
      </c>
      <c r="Y6" s="235">
        <f>'Current Rents'!G49</f>
        <v>1695</v>
      </c>
      <c r="Z6" s="234" t="s">
        <v>593</v>
      </c>
      <c r="AA6" s="234" t="s">
        <v>432</v>
      </c>
      <c r="AB6" s="234" t="s">
        <v>504</v>
      </c>
      <c r="AC6" s="234" t="s">
        <v>315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2234</v>
      </c>
      <c r="D7" s="325"/>
      <c r="E7" s="216" t="s">
        <v>2235</v>
      </c>
      <c r="F7" s="216" t="s">
        <v>2236</v>
      </c>
      <c r="G7" s="216" t="s">
        <v>2173</v>
      </c>
      <c r="H7" s="216" t="s">
        <v>2237</v>
      </c>
      <c r="I7" s="216" t="s">
        <v>1012</v>
      </c>
      <c r="J7" s="216" t="s">
        <v>2222</v>
      </c>
      <c r="K7" s="216" t="s">
        <v>2223</v>
      </c>
      <c r="L7" s="216" t="s">
        <v>2224</v>
      </c>
      <c r="M7" s="216" t="s">
        <v>326</v>
      </c>
      <c r="N7" s="216" t="s">
        <v>2225</v>
      </c>
      <c r="O7" s="216" t="s">
        <v>2226</v>
      </c>
      <c r="P7" s="216" t="s">
        <v>2227</v>
      </c>
      <c r="Q7" s="216" t="s">
        <v>326</v>
      </c>
      <c r="R7" s="216" t="s">
        <v>2228</v>
      </c>
      <c r="S7" s="216" t="s">
        <v>2229</v>
      </c>
      <c r="T7" s="216" t="s">
        <v>2230</v>
      </c>
      <c r="U7" s="216" t="s">
        <v>326</v>
      </c>
      <c r="V7" s="216" t="s">
        <v>2231</v>
      </c>
      <c r="W7" s="216" t="s">
        <v>2232</v>
      </c>
      <c r="X7" s="216" t="s">
        <v>2233</v>
      </c>
      <c r="Y7" s="216" t="s">
        <v>326</v>
      </c>
      <c r="Z7" s="216" t="s">
        <v>593</v>
      </c>
      <c r="AA7" s="216" t="s">
        <v>432</v>
      </c>
      <c r="AB7" s="216" t="s">
        <v>504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2238</v>
      </c>
      <c r="AJ7" s="216" t="s">
        <v>2239</v>
      </c>
    </row>
    <row r="8" spans="1:36" ht="20.100000000000001" customHeight="1">
      <c r="A8" s="216">
        <v>2</v>
      </c>
      <c r="B8" s="236" t="s">
        <v>320</v>
      </c>
      <c r="C8" s="317" t="s">
        <v>2240</v>
      </c>
      <c r="D8" s="325"/>
      <c r="E8" s="216" t="s">
        <v>2241</v>
      </c>
      <c r="F8" s="216" t="s">
        <v>153</v>
      </c>
      <c r="G8" s="216" t="s">
        <v>2173</v>
      </c>
      <c r="H8" s="216" t="s">
        <v>2242</v>
      </c>
      <c r="I8" s="216" t="s">
        <v>1819</v>
      </c>
      <c r="J8" s="216" t="s">
        <v>2222</v>
      </c>
      <c r="K8" s="216" t="s">
        <v>2223</v>
      </c>
      <c r="L8" s="216" t="s">
        <v>2224</v>
      </c>
      <c r="M8" s="216" t="s">
        <v>326</v>
      </c>
      <c r="N8" s="216" t="s">
        <v>2225</v>
      </c>
      <c r="O8" s="216" t="s">
        <v>2226</v>
      </c>
      <c r="P8" s="216" t="s">
        <v>2227</v>
      </c>
      <c r="Q8" s="216" t="s">
        <v>326</v>
      </c>
      <c r="R8" s="216" t="s">
        <v>2228</v>
      </c>
      <c r="S8" s="216" t="s">
        <v>2229</v>
      </c>
      <c r="T8" s="216" t="s">
        <v>2230</v>
      </c>
      <c r="U8" s="216" t="s">
        <v>326</v>
      </c>
      <c r="V8" s="216" t="s">
        <v>2231</v>
      </c>
      <c r="W8" s="216" t="s">
        <v>2232</v>
      </c>
      <c r="X8" s="216" t="s">
        <v>2233</v>
      </c>
      <c r="Y8" s="216" t="s">
        <v>326</v>
      </c>
      <c r="Z8" s="216" t="s">
        <v>605</v>
      </c>
      <c r="AA8" s="216" t="s">
        <v>1449</v>
      </c>
      <c r="AB8" s="216" t="s">
        <v>319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2243</v>
      </c>
      <c r="AJ8" s="216" t="s">
        <v>329</v>
      </c>
    </row>
    <row r="9" spans="1:36" ht="20.100000000000001" customHeight="1">
      <c r="A9" s="216">
        <v>3</v>
      </c>
      <c r="B9" s="236" t="s">
        <v>320</v>
      </c>
      <c r="C9" s="317" t="s">
        <v>2244</v>
      </c>
      <c r="D9" s="325"/>
      <c r="E9" s="216" t="s">
        <v>2245</v>
      </c>
      <c r="F9" s="216" t="s">
        <v>2246</v>
      </c>
      <c r="G9" s="216" t="s">
        <v>2173</v>
      </c>
      <c r="H9" s="216" t="s">
        <v>2247</v>
      </c>
      <c r="I9" s="216" t="s">
        <v>464</v>
      </c>
      <c r="J9" s="216" t="s">
        <v>2222</v>
      </c>
      <c r="K9" s="216" t="s">
        <v>2223</v>
      </c>
      <c r="L9" s="216" t="s">
        <v>2224</v>
      </c>
      <c r="M9" s="216" t="s">
        <v>326</v>
      </c>
      <c r="N9" s="216" t="s">
        <v>2225</v>
      </c>
      <c r="O9" s="216" t="s">
        <v>2226</v>
      </c>
      <c r="P9" s="216" t="s">
        <v>2227</v>
      </c>
      <c r="Q9" s="216" t="s">
        <v>326</v>
      </c>
      <c r="R9" s="216" t="s">
        <v>2228</v>
      </c>
      <c r="S9" s="216" t="s">
        <v>2229</v>
      </c>
      <c r="T9" s="216" t="s">
        <v>2230</v>
      </c>
      <c r="U9" s="216" t="s">
        <v>326</v>
      </c>
      <c r="V9" s="216" t="s">
        <v>2231</v>
      </c>
      <c r="W9" s="216" t="s">
        <v>2232</v>
      </c>
      <c r="X9" s="216" t="s">
        <v>2233</v>
      </c>
      <c r="Y9" s="216" t="s">
        <v>326</v>
      </c>
      <c r="Z9" s="216" t="s">
        <v>613</v>
      </c>
      <c r="AA9" s="216" t="s">
        <v>425</v>
      </c>
      <c r="AB9" s="216" t="s">
        <v>319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8" t="s">
        <v>341</v>
      </c>
      <c r="AI9" s="216" t="s">
        <v>2248</v>
      </c>
      <c r="AJ9" s="216" t="s">
        <v>329</v>
      </c>
    </row>
    <row r="10" spans="1:36" ht="20.100000000000001" customHeight="1">
      <c r="A10" s="216">
        <v>4</v>
      </c>
      <c r="B10" s="236" t="s">
        <v>320</v>
      </c>
      <c r="C10" s="317" t="s">
        <v>2249</v>
      </c>
      <c r="D10" s="325"/>
      <c r="E10" s="216" t="s">
        <v>2250</v>
      </c>
      <c r="F10" s="216" t="s">
        <v>197</v>
      </c>
      <c r="G10" s="216" t="s">
        <v>2173</v>
      </c>
      <c r="H10" s="216" t="s">
        <v>2221</v>
      </c>
      <c r="I10" s="216" t="s">
        <v>366</v>
      </c>
      <c r="J10" s="216" t="s">
        <v>2222</v>
      </c>
      <c r="K10" s="216" t="s">
        <v>2223</v>
      </c>
      <c r="L10" s="216" t="s">
        <v>2224</v>
      </c>
      <c r="M10" s="216" t="s">
        <v>326</v>
      </c>
      <c r="N10" s="216" t="s">
        <v>2225</v>
      </c>
      <c r="O10" s="216" t="s">
        <v>2226</v>
      </c>
      <c r="P10" s="216" t="s">
        <v>2227</v>
      </c>
      <c r="Q10" s="216" t="s">
        <v>326</v>
      </c>
      <c r="R10" s="216" t="s">
        <v>2228</v>
      </c>
      <c r="S10" s="216" t="s">
        <v>2229</v>
      </c>
      <c r="T10" s="216" t="s">
        <v>2230</v>
      </c>
      <c r="U10" s="216" t="s">
        <v>326</v>
      </c>
      <c r="V10" s="216" t="s">
        <v>2231</v>
      </c>
      <c r="W10" s="216" t="s">
        <v>2232</v>
      </c>
      <c r="X10" s="216" t="s">
        <v>2233</v>
      </c>
      <c r="Y10" s="216" t="s">
        <v>326</v>
      </c>
      <c r="Z10" s="216" t="s">
        <v>605</v>
      </c>
      <c r="AA10" s="216" t="s">
        <v>1449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2251</v>
      </c>
      <c r="AJ10" s="216" t="s">
        <v>2252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2253</v>
      </c>
      <c r="D12" s="320" t="s">
        <v>345</v>
      </c>
      <c r="E12" s="239" t="s">
        <v>2254</v>
      </c>
      <c r="F12" s="239" t="s">
        <v>197</v>
      </c>
      <c r="G12" s="239" t="s">
        <v>2173</v>
      </c>
      <c r="H12" s="239"/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850</v>
      </c>
      <c r="N12" s="239" t="s">
        <v>64</v>
      </c>
      <c r="O12" s="239" t="s">
        <v>64</v>
      </c>
      <c r="P12" s="239" t="s">
        <v>64</v>
      </c>
      <c r="Q12" s="241">
        <v>955</v>
      </c>
      <c r="R12" s="239" t="s">
        <v>64</v>
      </c>
      <c r="S12" s="239" t="s">
        <v>64</v>
      </c>
      <c r="T12" s="239" t="s">
        <v>64</v>
      </c>
      <c r="U12" s="241">
        <v>1165</v>
      </c>
      <c r="V12" s="239" t="s">
        <v>64</v>
      </c>
      <c r="W12" s="239" t="s">
        <v>64</v>
      </c>
      <c r="X12" s="239" t="s">
        <v>64</v>
      </c>
      <c r="Y12" s="241">
        <v>1700</v>
      </c>
      <c r="Z12" s="239" t="s">
        <v>64</v>
      </c>
      <c r="AA12" s="239" t="s">
        <v>432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1474</v>
      </c>
      <c r="AJ12" s="239" t="s">
        <v>2255</v>
      </c>
    </row>
    <row r="13" spans="1:36" ht="20.100000000000001" customHeight="1">
      <c r="A13" s="239">
        <v>2</v>
      </c>
      <c r="B13" s="240" t="s">
        <v>343</v>
      </c>
      <c r="C13" s="237" t="s">
        <v>2253</v>
      </c>
      <c r="D13" s="325"/>
      <c r="E13" s="239" t="s">
        <v>2256</v>
      </c>
      <c r="F13" s="239" t="s">
        <v>197</v>
      </c>
      <c r="G13" s="239" t="s">
        <v>2173</v>
      </c>
      <c r="H13" s="239"/>
      <c r="I13" s="239" t="s">
        <v>640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1099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1">
        <v>1725</v>
      </c>
      <c r="Z13" s="239" t="s">
        <v>1066</v>
      </c>
      <c r="AA13" s="239" t="s">
        <v>442</v>
      </c>
      <c r="AB13" s="239" t="s">
        <v>237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2257</v>
      </c>
      <c r="AJ13" s="239" t="s">
        <v>2258</v>
      </c>
    </row>
    <row r="14" spans="1:36" ht="20.100000000000001" customHeight="1">
      <c r="A14" s="239">
        <v>3</v>
      </c>
      <c r="B14" s="240" t="s">
        <v>343</v>
      </c>
      <c r="C14" s="237" t="s">
        <v>2259</v>
      </c>
      <c r="D14" s="325"/>
      <c r="E14" s="239" t="s">
        <v>2260</v>
      </c>
      <c r="F14" s="239" t="s">
        <v>197</v>
      </c>
      <c r="G14" s="239" t="s">
        <v>2173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2"/>
      <c r="V14" s="239" t="s">
        <v>64</v>
      </c>
      <c r="W14" s="239" t="s">
        <v>64</v>
      </c>
      <c r="X14" s="239" t="s">
        <v>64</v>
      </c>
      <c r="Y14" s="241">
        <v>1750</v>
      </c>
      <c r="Z14" s="239" t="s">
        <v>605</v>
      </c>
      <c r="AA14" s="239" t="s">
        <v>419</v>
      </c>
      <c r="AB14" s="239" t="s">
        <v>237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8" t="s">
        <v>341</v>
      </c>
      <c r="AI14" s="239" t="s">
        <v>2261</v>
      </c>
      <c r="AJ14" s="239" t="s">
        <v>2262</v>
      </c>
    </row>
    <row r="15" spans="1:36" ht="20.100000000000001" customHeight="1">
      <c r="A15" s="239">
        <v>4</v>
      </c>
      <c r="B15" s="240" t="s">
        <v>343</v>
      </c>
      <c r="C15" s="237" t="s">
        <v>2263</v>
      </c>
      <c r="D15" s="325"/>
      <c r="E15" s="239" t="s">
        <v>2264</v>
      </c>
      <c r="F15" s="239" t="s">
        <v>2236</v>
      </c>
      <c r="G15" s="239" t="s">
        <v>2173</v>
      </c>
      <c r="H15" s="239"/>
      <c r="I15" s="239" t="s">
        <v>1012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999</v>
      </c>
      <c r="R15" s="239" t="s">
        <v>64</v>
      </c>
      <c r="S15" s="239" t="s">
        <v>64</v>
      </c>
      <c r="T15" s="239" t="s">
        <v>64</v>
      </c>
      <c r="U15" s="242"/>
      <c r="V15" s="239" t="s">
        <v>64</v>
      </c>
      <c r="W15" s="239" t="s">
        <v>64</v>
      </c>
      <c r="X15" s="239" t="s">
        <v>64</v>
      </c>
      <c r="Y15" s="241">
        <v>1725</v>
      </c>
      <c r="Z15" s="239" t="s">
        <v>1066</v>
      </c>
      <c r="AA15" s="239" t="s">
        <v>1464</v>
      </c>
      <c r="AB15" s="239" t="s">
        <v>258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8" t="s">
        <v>341</v>
      </c>
      <c r="AI15" s="239" t="s">
        <v>2265</v>
      </c>
      <c r="AJ15" s="239" t="s">
        <v>2258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2266</v>
      </c>
      <c r="D17" s="325"/>
      <c r="E17" s="217" t="s">
        <v>64</v>
      </c>
      <c r="F17" s="217" t="s">
        <v>197</v>
      </c>
      <c r="G17" s="217" t="s">
        <v>2173</v>
      </c>
      <c r="H17" s="217"/>
      <c r="I17" s="217"/>
      <c r="J17" s="217"/>
      <c r="K17" s="217"/>
      <c r="L17" s="217" t="s">
        <v>2224</v>
      </c>
      <c r="M17" s="217"/>
      <c r="N17" s="217"/>
      <c r="O17" s="217"/>
      <c r="P17" s="217" t="s">
        <v>2227</v>
      </c>
      <c r="Q17" s="217"/>
      <c r="R17" s="217"/>
      <c r="S17" s="217"/>
      <c r="T17" s="217" t="s">
        <v>2230</v>
      </c>
      <c r="U17" s="217"/>
      <c r="V17" s="217"/>
      <c r="W17" s="217"/>
      <c r="X17" s="217" t="s">
        <v>2233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2267</v>
      </c>
      <c r="D18" s="325"/>
      <c r="E18" s="218" t="s">
        <v>64</v>
      </c>
      <c r="F18" s="218" t="s">
        <v>197</v>
      </c>
      <c r="G18" s="218" t="s">
        <v>2173</v>
      </c>
      <c r="H18" s="218"/>
      <c r="I18" s="218"/>
      <c r="J18" s="218"/>
      <c r="K18" s="218"/>
      <c r="L18" s="218"/>
      <c r="M18" s="245">
        <v>850</v>
      </c>
      <c r="N18" s="218"/>
      <c r="O18" s="218"/>
      <c r="P18" s="218"/>
      <c r="Q18" s="245">
        <v>1063</v>
      </c>
      <c r="R18" s="218"/>
      <c r="S18" s="218"/>
      <c r="T18" s="218"/>
      <c r="U18" s="245">
        <v>1165</v>
      </c>
      <c r="V18" s="218"/>
      <c r="W18" s="218"/>
      <c r="X18" s="218"/>
      <c r="Y18" s="245">
        <v>1725</v>
      </c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221</v>
      </c>
      <c r="B25" s="248">
        <f>'Current Rents'!D49</f>
        <v>970</v>
      </c>
      <c r="C25" s="249">
        <v>850</v>
      </c>
      <c r="D25" s="250"/>
      <c r="E25" s="251">
        <f>B25-C25</f>
        <v>120</v>
      </c>
      <c r="F25" s="252" t="str">
        <f>IF(E25&lt;-75,"LOOK INTO INCREASING THE RENT!","")</f>
        <v/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215</v>
      </c>
      <c r="B26" s="248">
        <f>'Current Rents'!E49</f>
        <v>1185</v>
      </c>
      <c r="C26" s="249">
        <v>1063</v>
      </c>
      <c r="D26" s="250"/>
      <c r="E26" s="251">
        <f>B26-C26</f>
        <v>122</v>
      </c>
      <c r="F26" s="252" t="str">
        <f>IF(E26&lt;-75,"LOOK INTO INCREASING THE RENT!","")</f>
        <v/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216</v>
      </c>
      <c r="B27" s="248">
        <f>'Current Rents'!F49</f>
        <v>1400</v>
      </c>
      <c r="C27" s="249">
        <v>1165</v>
      </c>
      <c r="D27" s="250"/>
      <c r="E27" s="251">
        <f>B27-C27</f>
        <v>235</v>
      </c>
      <c r="F27" s="252" t="str">
        <f>IF(E27&lt;-75,"LOOK INTO INCREASING THE RENT!","")</f>
        <v/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218</v>
      </c>
      <c r="B28" s="248">
        <f>'Current Rents'!G49</f>
        <v>1695</v>
      </c>
      <c r="C28" s="249">
        <v>1725</v>
      </c>
      <c r="D28" s="250"/>
      <c r="E28" s="251">
        <f>B28-C28</f>
        <v>-30</v>
      </c>
      <c r="F28" s="252" t="str">
        <f>IF(E28&lt;-75,"LOOK INTO INCREASING THE RENT!","")</f>
        <v/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>
        <f>'Current Rents'!D49</f>
        <v>970</v>
      </c>
      <c r="D33" s="254">
        <v>704</v>
      </c>
    </row>
    <row r="34" spans="1:4">
      <c r="A34" s="253" t="s">
        <v>215</v>
      </c>
      <c r="C34" s="254">
        <f>'Current Rents'!E49</f>
        <v>1185</v>
      </c>
      <c r="D34" s="254">
        <v>964</v>
      </c>
    </row>
    <row r="35" spans="1:4">
      <c r="A35" s="253" t="s">
        <v>216</v>
      </c>
      <c r="C35" s="254">
        <f>'Current Rents'!F49</f>
        <v>1400</v>
      </c>
      <c r="D35" s="254">
        <v>1448</v>
      </c>
    </row>
    <row r="36" spans="1:4">
      <c r="A36" s="253" t="s">
        <v>218</v>
      </c>
      <c r="C36" s="254">
        <f>'Current Rents'!G49</f>
        <v>1695</v>
      </c>
      <c r="D36" s="254">
        <v>1673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34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2268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2269</v>
      </c>
      <c r="AB1" s="325"/>
    </row>
    <row r="2" spans="1:28" ht="20.100000000000001" customHeight="1">
      <c r="A2" s="324" t="s">
        <v>2270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2271</v>
      </c>
      <c r="D6" s="325"/>
      <c r="E6" s="234" t="s">
        <v>2272</v>
      </c>
      <c r="F6" s="234" t="s">
        <v>2273</v>
      </c>
      <c r="G6" s="234" t="s">
        <v>2274</v>
      </c>
      <c r="H6" s="234" t="s">
        <v>2275</v>
      </c>
      <c r="I6" s="234" t="s">
        <v>308</v>
      </c>
      <c r="J6" s="234">
        <v>807</v>
      </c>
      <c r="K6" s="234">
        <v>968</v>
      </c>
      <c r="L6" s="234">
        <v>1420</v>
      </c>
      <c r="M6" s="235">
        <f>'Current Rents'!E50</f>
        <v>1054</v>
      </c>
      <c r="N6" s="234">
        <v>932</v>
      </c>
      <c r="O6" s="234">
        <v>1118</v>
      </c>
      <c r="P6" s="234">
        <v>1850</v>
      </c>
      <c r="Q6" s="235">
        <f>'Current Rents'!F50</f>
        <v>1328</v>
      </c>
      <c r="R6" s="234">
        <v>160</v>
      </c>
      <c r="S6" s="234">
        <v>2001</v>
      </c>
      <c r="T6" s="234">
        <v>0</v>
      </c>
      <c r="U6" s="234" t="s">
        <v>316</v>
      </c>
      <c r="V6" s="234" t="s">
        <v>315</v>
      </c>
      <c r="W6" s="234" t="s">
        <v>316</v>
      </c>
      <c r="X6" s="234" t="s">
        <v>315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/>
      <c r="D7" s="325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</row>
    <row r="8" spans="1:28" ht="20.100000000000001" customHeight="1">
      <c r="A8" s="239">
        <v>1</v>
      </c>
      <c r="B8" s="240" t="s">
        <v>343</v>
      </c>
      <c r="C8" s="237" t="s">
        <v>2276</v>
      </c>
      <c r="D8" s="320" t="s">
        <v>345</v>
      </c>
      <c r="E8" s="239" t="s">
        <v>2277</v>
      </c>
      <c r="F8" s="239" t="s">
        <v>2273</v>
      </c>
      <c r="G8" s="239" t="s">
        <v>2274</v>
      </c>
      <c r="H8" s="239" t="s">
        <v>2275</v>
      </c>
      <c r="I8" s="239" t="s">
        <v>971</v>
      </c>
      <c r="J8" s="239" t="s">
        <v>64</v>
      </c>
      <c r="K8" s="239" t="s">
        <v>64</v>
      </c>
      <c r="L8" s="239" t="s">
        <v>64</v>
      </c>
      <c r="M8" s="241">
        <v>1413</v>
      </c>
      <c r="N8" s="239" t="s">
        <v>64</v>
      </c>
      <c r="O8" s="239" t="s">
        <v>64</v>
      </c>
      <c r="P8" s="239" t="s">
        <v>64</v>
      </c>
      <c r="Q8" s="241">
        <v>1588</v>
      </c>
      <c r="R8" s="239">
        <v>168</v>
      </c>
      <c r="S8" s="239">
        <v>1985</v>
      </c>
      <c r="T8" s="239">
        <v>16</v>
      </c>
      <c r="U8" s="239" t="s">
        <v>316</v>
      </c>
      <c r="V8" s="239" t="s">
        <v>315</v>
      </c>
      <c r="W8" s="239" t="s">
        <v>316</v>
      </c>
      <c r="X8" s="239" t="s">
        <v>315</v>
      </c>
      <c r="Y8" s="239" t="s">
        <v>316</v>
      </c>
      <c r="Z8" s="238" t="s">
        <v>1023</v>
      </c>
      <c r="AA8" s="239" t="s">
        <v>2278</v>
      </c>
      <c r="AB8" s="239" t="s">
        <v>2279</v>
      </c>
    </row>
    <row r="9" spans="1:28" ht="20.100000000000001" customHeight="1">
      <c r="A9" s="239">
        <v>2</v>
      </c>
      <c r="B9" s="240" t="s">
        <v>343</v>
      </c>
      <c r="C9" s="237" t="s">
        <v>2280</v>
      </c>
      <c r="D9" s="325"/>
      <c r="E9" s="239" t="s">
        <v>2281</v>
      </c>
      <c r="F9" s="239" t="s">
        <v>2273</v>
      </c>
      <c r="G9" s="239" t="s">
        <v>2274</v>
      </c>
      <c r="H9" s="239" t="s">
        <v>2282</v>
      </c>
      <c r="I9" s="239" t="s">
        <v>721</v>
      </c>
      <c r="J9" s="239" t="s">
        <v>64</v>
      </c>
      <c r="K9" s="239" t="s">
        <v>64</v>
      </c>
      <c r="L9" s="239" t="s">
        <v>64</v>
      </c>
      <c r="M9" s="241">
        <v>1682</v>
      </c>
      <c r="N9" s="239" t="s">
        <v>64</v>
      </c>
      <c r="O9" s="239" t="s">
        <v>64</v>
      </c>
      <c r="P9" s="239" t="s">
        <v>64</v>
      </c>
      <c r="Q9" s="241">
        <v>1977</v>
      </c>
      <c r="R9" s="239">
        <v>280</v>
      </c>
      <c r="S9" s="239">
        <v>2006</v>
      </c>
      <c r="T9" s="239">
        <v>5</v>
      </c>
      <c r="U9" s="239" t="s">
        <v>316</v>
      </c>
      <c r="V9" s="239" t="s">
        <v>315</v>
      </c>
      <c r="W9" s="239" t="s">
        <v>316</v>
      </c>
      <c r="X9" s="239" t="s">
        <v>315</v>
      </c>
      <c r="Y9" s="239" t="s">
        <v>315</v>
      </c>
      <c r="Z9" s="237" t="s">
        <v>327</v>
      </c>
      <c r="AA9" s="239" t="s">
        <v>2283</v>
      </c>
      <c r="AB9" s="239" t="s">
        <v>2284</v>
      </c>
    </row>
    <row r="10" spans="1:28" ht="20.100000000000001" customHeight="1">
      <c r="A10" s="239">
        <v>3</v>
      </c>
      <c r="B10" s="240" t="s">
        <v>343</v>
      </c>
      <c r="C10" s="237" t="s">
        <v>2285</v>
      </c>
      <c r="D10" s="325"/>
      <c r="E10" s="239" t="s">
        <v>2286</v>
      </c>
      <c r="F10" s="239" t="s">
        <v>2273</v>
      </c>
      <c r="G10" s="239" t="s">
        <v>2274</v>
      </c>
      <c r="H10" s="239" t="s">
        <v>2275</v>
      </c>
      <c r="I10" s="239" t="s">
        <v>567</v>
      </c>
      <c r="J10" s="239" t="s">
        <v>64</v>
      </c>
      <c r="K10" s="239" t="s">
        <v>64</v>
      </c>
      <c r="L10" s="239" t="s">
        <v>64</v>
      </c>
      <c r="M10" s="241">
        <v>1920</v>
      </c>
      <c r="N10" s="239" t="s">
        <v>64</v>
      </c>
      <c r="O10" s="239" t="s">
        <v>64</v>
      </c>
      <c r="P10" s="239" t="s">
        <v>64</v>
      </c>
      <c r="Q10" s="241">
        <v>2100</v>
      </c>
      <c r="R10" s="239">
        <v>100</v>
      </c>
      <c r="S10" s="239">
        <v>2017</v>
      </c>
      <c r="T10" s="239">
        <v>16</v>
      </c>
      <c r="U10" s="239" t="s">
        <v>316</v>
      </c>
      <c r="V10" s="239" t="s">
        <v>315</v>
      </c>
      <c r="W10" s="239" t="s">
        <v>316</v>
      </c>
      <c r="X10" s="239" t="s">
        <v>316</v>
      </c>
      <c r="Y10" s="239" t="s">
        <v>315</v>
      </c>
      <c r="Z10" s="237" t="s">
        <v>327</v>
      </c>
      <c r="AA10" s="239" t="s">
        <v>2287</v>
      </c>
      <c r="AB10" s="239" t="s">
        <v>2288</v>
      </c>
    </row>
    <row r="11" spans="1:28" ht="20.100000000000001" customHeight="1">
      <c r="A11" s="239">
        <v>4</v>
      </c>
      <c r="B11" s="240" t="s">
        <v>343</v>
      </c>
      <c r="C11" s="237" t="s">
        <v>2289</v>
      </c>
      <c r="D11" s="325"/>
      <c r="E11" s="239" t="s">
        <v>2290</v>
      </c>
      <c r="F11" s="239" t="s">
        <v>2273</v>
      </c>
      <c r="G11" s="239" t="s">
        <v>2274</v>
      </c>
      <c r="H11" s="239" t="s">
        <v>2291</v>
      </c>
      <c r="I11" s="239" t="s">
        <v>1222</v>
      </c>
      <c r="J11" s="239" t="s">
        <v>64</v>
      </c>
      <c r="K11" s="239" t="s">
        <v>64</v>
      </c>
      <c r="L11" s="239" t="s">
        <v>64</v>
      </c>
      <c r="M11" s="241">
        <v>1845</v>
      </c>
      <c r="N11" s="239" t="s">
        <v>64</v>
      </c>
      <c r="O11" s="239" t="s">
        <v>64</v>
      </c>
      <c r="P11" s="239" t="s">
        <v>64</v>
      </c>
      <c r="Q11" s="241">
        <v>2053</v>
      </c>
      <c r="R11" s="239">
        <v>184</v>
      </c>
      <c r="S11" s="239">
        <v>2023</v>
      </c>
      <c r="T11" s="239">
        <v>22</v>
      </c>
      <c r="U11" s="239" t="s">
        <v>316</v>
      </c>
      <c r="V11" s="239" t="s">
        <v>315</v>
      </c>
      <c r="W11" s="239" t="s">
        <v>315</v>
      </c>
      <c r="X11" s="239" t="s">
        <v>315</v>
      </c>
      <c r="Y11" s="239" t="s">
        <v>315</v>
      </c>
      <c r="Z11" s="237" t="s">
        <v>327</v>
      </c>
      <c r="AA11" s="239" t="s">
        <v>2292</v>
      </c>
      <c r="AB11" s="239" t="s">
        <v>2293</v>
      </c>
    </row>
    <row r="12" spans="1:28" ht="20.100000000000001" customHeight="1">
      <c r="A12" s="239">
        <v>5</v>
      </c>
      <c r="B12" s="240" t="s">
        <v>343</v>
      </c>
      <c r="C12" s="237" t="s">
        <v>2294</v>
      </c>
      <c r="D12" s="325"/>
      <c r="E12" s="239" t="s">
        <v>2295</v>
      </c>
      <c r="F12" s="239" t="s">
        <v>2273</v>
      </c>
      <c r="G12" s="239" t="s">
        <v>2274</v>
      </c>
      <c r="H12" s="239" t="s">
        <v>2296</v>
      </c>
      <c r="I12" s="239" t="s">
        <v>1563</v>
      </c>
      <c r="J12" s="239" t="s">
        <v>64</v>
      </c>
      <c r="K12" s="239" t="s">
        <v>64</v>
      </c>
      <c r="L12" s="239" t="s">
        <v>64</v>
      </c>
      <c r="M12" s="241">
        <v>1749</v>
      </c>
      <c r="N12" s="239" t="s">
        <v>64</v>
      </c>
      <c r="O12" s="239" t="s">
        <v>64</v>
      </c>
      <c r="P12" s="239" t="s">
        <v>64</v>
      </c>
      <c r="Q12" s="242" t="s">
        <v>64</v>
      </c>
      <c r="R12" s="239">
        <v>322</v>
      </c>
      <c r="S12" s="239">
        <v>2026</v>
      </c>
      <c r="T12" s="239">
        <v>25</v>
      </c>
      <c r="U12" s="239" t="s">
        <v>316</v>
      </c>
      <c r="V12" s="239" t="s">
        <v>315</v>
      </c>
      <c r="W12" s="239" t="s">
        <v>316</v>
      </c>
      <c r="X12" s="239" t="s">
        <v>315</v>
      </c>
      <c r="Y12" s="239" t="s">
        <v>315</v>
      </c>
      <c r="Z12" s="238" t="s">
        <v>341</v>
      </c>
      <c r="AA12" s="239" t="s">
        <v>2297</v>
      </c>
      <c r="AB12" s="239" t="s">
        <v>2298</v>
      </c>
    </row>
    <row r="13" spans="1:28" ht="20.100000000000001" customHeight="1">
      <c r="A13" s="239">
        <v>6</v>
      </c>
      <c r="B13" s="240" t="s">
        <v>343</v>
      </c>
      <c r="C13" s="237" t="s">
        <v>2299</v>
      </c>
      <c r="D13" s="325"/>
      <c r="E13" s="239" t="s">
        <v>2300</v>
      </c>
      <c r="F13" s="239" t="s">
        <v>2273</v>
      </c>
      <c r="G13" s="239" t="s">
        <v>2274</v>
      </c>
      <c r="H13" s="239" t="s">
        <v>2301</v>
      </c>
      <c r="I13" s="239" t="s">
        <v>1296</v>
      </c>
      <c r="J13" s="239" t="s">
        <v>64</v>
      </c>
      <c r="K13" s="239" t="s">
        <v>64</v>
      </c>
      <c r="L13" s="239" t="s">
        <v>64</v>
      </c>
      <c r="M13" s="241">
        <v>1310</v>
      </c>
      <c r="N13" s="239" t="s">
        <v>64</v>
      </c>
      <c r="O13" s="239" t="s">
        <v>64</v>
      </c>
      <c r="P13" s="239" t="s">
        <v>64</v>
      </c>
      <c r="Q13" s="242" t="s">
        <v>64</v>
      </c>
      <c r="R13" s="239">
        <v>100</v>
      </c>
      <c r="S13" s="239">
        <v>1986</v>
      </c>
      <c r="T13" s="239">
        <v>15</v>
      </c>
      <c r="U13" s="239" t="s">
        <v>316</v>
      </c>
      <c r="V13" s="239" t="s">
        <v>315</v>
      </c>
      <c r="W13" s="239" t="s">
        <v>316</v>
      </c>
      <c r="X13" s="239" t="s">
        <v>315</v>
      </c>
      <c r="Y13" s="239" t="s">
        <v>316</v>
      </c>
      <c r="Z13" s="239" t="s">
        <v>1214</v>
      </c>
      <c r="AA13" s="239" t="s">
        <v>2302</v>
      </c>
      <c r="AB13" s="239" t="s">
        <v>2303</v>
      </c>
    </row>
    <row r="14" spans="1:28" ht="20.100000000000001" customHeight="1">
      <c r="A14" s="239">
        <v>7</v>
      </c>
      <c r="B14" s="240" t="s">
        <v>343</v>
      </c>
      <c r="C14" s="237"/>
      <c r="D14" s="325"/>
      <c r="E14" s="239"/>
      <c r="F14" s="239"/>
      <c r="G14" s="239"/>
      <c r="H14" s="239"/>
      <c r="I14" s="239"/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2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</row>
    <row r="15" spans="1:28" ht="20.100000000000001" customHeight="1">
      <c r="A15" s="217" t="s">
        <v>140</v>
      </c>
      <c r="B15" s="243" t="s">
        <v>382</v>
      </c>
      <c r="C15" s="323" t="s">
        <v>2304</v>
      </c>
      <c r="D15" s="325"/>
      <c r="E15" s="217" t="s">
        <v>64</v>
      </c>
      <c r="F15" s="217" t="s">
        <v>2273</v>
      </c>
      <c r="G15" s="217" t="s">
        <v>2274</v>
      </c>
      <c r="H15" s="217"/>
      <c r="I15" s="217"/>
      <c r="J15" s="217"/>
      <c r="K15" s="217"/>
      <c r="L15" s="217">
        <v>1420</v>
      </c>
      <c r="M15" s="217"/>
      <c r="N15" s="217"/>
      <c r="O15" s="217"/>
      <c r="P15" s="217">
        <v>1850</v>
      </c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</row>
    <row r="16" spans="1:28" ht="20.100000000000001" customHeight="1">
      <c r="A16" s="218" t="s">
        <v>140</v>
      </c>
      <c r="B16" s="244" t="s">
        <v>382</v>
      </c>
      <c r="C16" s="315" t="s">
        <v>2305</v>
      </c>
      <c r="D16" s="325"/>
      <c r="E16" s="218" t="s">
        <v>64</v>
      </c>
      <c r="F16" s="218" t="s">
        <v>2273</v>
      </c>
      <c r="G16" s="218" t="s">
        <v>2274</v>
      </c>
      <c r="H16" s="218"/>
      <c r="I16" s="218"/>
      <c r="J16" s="218"/>
      <c r="K16" s="218"/>
      <c r="L16" s="218"/>
      <c r="M16" s="245">
        <v>1653</v>
      </c>
      <c r="N16" s="218"/>
      <c r="O16" s="218"/>
      <c r="P16" s="218"/>
      <c r="Q16" s="245">
        <v>1930</v>
      </c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</row>
    <row r="17" spans="1:28" ht="14.25" customHeight="1">
      <c r="A17" s="246"/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</row>
    <row r="18" spans="1:28">
      <c r="A18" s="342" t="s">
        <v>1103</v>
      </c>
      <c r="B18" s="325"/>
      <c r="C18" s="325"/>
      <c r="D18" s="325"/>
      <c r="E18" s="325"/>
      <c r="F18" s="325"/>
      <c r="G18" s="325"/>
      <c r="H18" s="325"/>
      <c r="I18" s="341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41"/>
      <c r="U18" s="341"/>
      <c r="V18" s="341"/>
      <c r="W18" s="341"/>
      <c r="X18" s="341"/>
      <c r="Y18" s="341"/>
      <c r="Z18" s="325"/>
      <c r="AA18" s="325"/>
      <c r="AB18" s="325"/>
    </row>
    <row r="19" spans="1:28" ht="18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 ht="15.75" customHeight="1">
      <c r="A20" s="343" t="s">
        <v>392</v>
      </c>
      <c r="B20" s="325"/>
      <c r="C20" s="325"/>
      <c r="D20" s="325"/>
      <c r="E20" s="325"/>
      <c r="F20" s="325"/>
      <c r="G20" s="325"/>
      <c r="H20" s="325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</row>
    <row r="21" spans="1:28" ht="15.75" customHeight="1">
      <c r="A21" s="344" t="s">
        <v>1104</v>
      </c>
      <c r="B21" s="325"/>
      <c r="C21" s="325"/>
      <c r="D21" s="325"/>
      <c r="E21" s="325"/>
      <c r="F21" s="325"/>
      <c r="G21" s="325"/>
      <c r="H21" s="325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20.25" customHeight="1">
      <c r="A22" s="247"/>
      <c r="B22" s="247" t="s">
        <v>394</v>
      </c>
      <c r="C22" s="247" t="s">
        <v>395</v>
      </c>
      <c r="D22" s="247"/>
      <c r="E22" s="247" t="s">
        <v>396</v>
      </c>
      <c r="F22" s="247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20.25" customHeight="1">
      <c r="A23" s="247" t="s">
        <v>215</v>
      </c>
      <c r="B23" s="248">
        <f>'Current Rents'!E50</f>
        <v>1054</v>
      </c>
      <c r="C23" s="249">
        <v>1653</v>
      </c>
      <c r="D23" s="255"/>
      <c r="E23" s="251">
        <f>B23-C23</f>
        <v>-599</v>
      </c>
      <c r="F23" s="252" t="str">
        <f>IF(E23&lt;-75,"LOOK INTO INCREASING THE RENT!","")</f>
        <v>LOOK INTO INCREASING THE RENT!</v>
      </c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>
      <c r="A24" s="247" t="s">
        <v>216</v>
      </c>
      <c r="B24" s="248">
        <f>'Current Rents'!F50</f>
        <v>1328</v>
      </c>
      <c r="C24" s="249">
        <v>1930</v>
      </c>
      <c r="D24" s="250"/>
      <c r="E24" s="251">
        <f>B24-C24</f>
        <v>-602</v>
      </c>
      <c r="F24" s="252" t="str">
        <f>IF(E24&lt;-75,"LOOK INTO INCREASING THE RENT!","")</f>
        <v>LOOK INTO INCREASING THE RENT!</v>
      </c>
      <c r="I24" s="230"/>
      <c r="T24" s="230"/>
      <c r="U24" s="230"/>
      <c r="V24" s="230"/>
      <c r="W24" s="230"/>
      <c r="X24" s="230"/>
      <c r="Y24" s="230"/>
    </row>
    <row r="25" spans="1:28">
      <c r="I25" s="230"/>
      <c r="T25" s="230"/>
      <c r="U25" s="230"/>
      <c r="V25" s="230"/>
      <c r="W25" s="230"/>
      <c r="X25" s="230"/>
      <c r="Y25" s="230"/>
    </row>
    <row r="26" spans="1:28">
      <c r="I26" s="230"/>
      <c r="T26" s="230"/>
      <c r="U26" s="230"/>
      <c r="V26" s="230"/>
      <c r="W26" s="230"/>
      <c r="X26" s="230"/>
      <c r="Y26" s="230"/>
    </row>
    <row r="27" spans="1:28">
      <c r="A27" s="345" t="s">
        <v>1105</v>
      </c>
      <c r="B27" s="325"/>
      <c r="C27" s="325"/>
      <c r="D27" s="325"/>
      <c r="E27" s="325"/>
      <c r="F27" s="325"/>
      <c r="G27" s="325"/>
      <c r="H27" s="325"/>
      <c r="I27" s="230"/>
      <c r="T27" s="230"/>
      <c r="U27" s="230"/>
      <c r="V27" s="230"/>
      <c r="W27" s="230"/>
      <c r="X27" s="230"/>
      <c r="Y27" s="230"/>
    </row>
    <row r="28" spans="1:28">
      <c r="A28" s="247"/>
      <c r="B28" s="247" t="s">
        <v>1106</v>
      </c>
      <c r="C28" s="247" t="s">
        <v>1107</v>
      </c>
      <c r="D28" s="247" t="s">
        <v>1108</v>
      </c>
      <c r="E28" s="247" t="s">
        <v>1109</v>
      </c>
      <c r="F28" s="247" t="s">
        <v>1110</v>
      </c>
      <c r="I28" s="230"/>
      <c r="T28" s="230"/>
      <c r="U28" s="230"/>
      <c r="V28" s="230"/>
      <c r="W28" s="230"/>
      <c r="X28" s="230"/>
      <c r="Y28" s="230"/>
    </row>
    <row r="29" spans="1:28">
      <c r="A29" s="253" t="s">
        <v>215</v>
      </c>
      <c r="C29" s="254">
        <f>'Current Rents'!E50</f>
        <v>1054</v>
      </c>
      <c r="D29" s="254">
        <v>1420</v>
      </c>
      <c r="I29" s="230"/>
      <c r="T29" s="230"/>
      <c r="U29" s="230"/>
      <c r="V29" s="230"/>
      <c r="W29" s="230"/>
      <c r="X29" s="230"/>
      <c r="Y29" s="230"/>
    </row>
    <row r="30" spans="1:28">
      <c r="A30" s="253" t="s">
        <v>216</v>
      </c>
      <c r="C30" s="254">
        <f>'Current Rents'!F50</f>
        <v>1328</v>
      </c>
      <c r="D30" s="254">
        <v>1850</v>
      </c>
      <c r="I30" s="230"/>
      <c r="T30" s="230"/>
      <c r="U30" s="230"/>
      <c r="V30" s="230"/>
      <c r="W30" s="230"/>
      <c r="X30" s="230"/>
      <c r="Y30" s="230"/>
    </row>
    <row r="31" spans="1:28">
      <c r="I31" s="230"/>
      <c r="T31" s="230"/>
      <c r="U31" s="230"/>
      <c r="V31" s="230"/>
      <c r="W31" s="230"/>
      <c r="X31" s="230"/>
      <c r="Y31" s="230"/>
    </row>
    <row r="32" spans="1:28">
      <c r="I32" s="230"/>
      <c r="T32" s="230"/>
      <c r="U32" s="230"/>
      <c r="V32" s="230"/>
      <c r="W32" s="230"/>
      <c r="X32" s="230"/>
      <c r="Y32" s="230"/>
    </row>
    <row r="33"/>
    <row r="34"/>
  </sheetData>
  <mergeCells count="14">
    <mergeCell ref="A27:H27"/>
    <mergeCell ref="A4:AB4"/>
    <mergeCell ref="A1:Z1"/>
    <mergeCell ref="C15:D15"/>
    <mergeCell ref="A20:H20"/>
    <mergeCell ref="D8:D14"/>
    <mergeCell ref="AA1:AB1"/>
    <mergeCell ref="A18:AB18"/>
    <mergeCell ref="A3:AB3"/>
    <mergeCell ref="A2:AB2"/>
    <mergeCell ref="A21:H21"/>
    <mergeCell ref="C6:D6"/>
    <mergeCell ref="C7:D7"/>
    <mergeCell ref="C16:D16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2026-06-30T21:19:08Z</dcterms:created>
  <dcterms:modified xsi:type="dcterms:W3CDTF">2026-07-04T19:59:59Z</dcterms:modified>
  <cp:category/>
  <cp:contentStatus/>
</cp:coreProperties>
</file>