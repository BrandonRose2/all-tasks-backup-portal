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3.xml" ContentType="application/vnd.openxmlformats-officedocument.spreadsheetml.comments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97b0ea181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b292202ed4e4192"/>
    <x:sheet xmlns:r="http://schemas.openxmlformats.org/officeDocument/2006/relationships" name="Assumptions" sheetId="2" r:id="R9caba1c6497a4b35"/>
    <x:sheet xmlns:r="http://schemas.openxmlformats.org/officeDocument/2006/relationships" name="Headcount" sheetId="3" r:id="Rabcf635a3fb243a5"/>
    <x:sheet xmlns:r="http://schemas.openxmlformats.org/officeDocument/2006/relationships" name="Revenue Build" sheetId="4" r:id="R1171ae65d57c4398"/>
    <x:sheet xmlns:r="http://schemas.openxmlformats.org/officeDocument/2006/relationships" name="Bridge P&amp;L" sheetId="5" r:id="R0c103d68511e42ac"/>
    <x:sheet xmlns:r="http://schemas.openxmlformats.org/officeDocument/2006/relationships" name="Monthly Cash Flow" sheetId="6" r:id="R087d22c3495a403a"/>
    <x:sheet xmlns:r="http://schemas.openxmlformats.org/officeDocument/2006/relationships" name="Use of Funds" sheetId="7" r:id="Rb9a744e3e3cc4b46"/>
    <x:sheet xmlns:r="http://schemas.openxmlformats.org/officeDocument/2006/relationships" name="Milestones" sheetId="8" r:id="R7ab6571ed093489d"/>
    <x:sheet xmlns:r="http://schemas.openxmlformats.org/officeDocument/2006/relationships" name="Sensitivity" sheetId="9" r:id="R0afe5a0c86e5404f"/>
    <x:sheet xmlns:r="http://schemas.openxmlformats.org/officeDocument/2006/relationships" name="Self-Audit" sheetId="10" r:id="Rb29c0d90dfbd447f"/>
    <x:sheet xmlns:r="http://schemas.openxmlformats.org/officeDocument/2006/relationships" name="Investor Q&amp;A" sheetId="11" r:id="R9349d450da604eba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6" authorId="0">
      <x:text>
        <x:r>
          <x:t>Management case. Uploaded deck in fin.pdf shows $250K / $850K / $1.9M revenue path; diligence feedback indicates that financing should be separated from revenue and that a $250K bridge be the primary case.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B13" authorId="0">
      <x:text>
        <x:r>
          <x:t>Uploaded slide reference path: $250K, $850K, $1.9M.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B13" authorId="0">
      <x:text>
        <x:r>
          <x:t>Source: funding feedback.pdf pp. 1-12 identifies broken financial statements, headcount/payroll disconnect, summary hardcoding, use-of-funds errors, and revenue concentration risk.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$#,##0"/>
    <x:numFmt numFmtId="165" formatCode="$#,##0_);[Red]($#,##0);-"/>
    <x:numFmt numFmtId="166" formatCode="0.0%"/>
    <x:numFmt numFmtId="167" formatCode="0.0x"/>
  </x:numFmts>
  <x:fonts count="8">
    <x:font>
      <x:sz val="11"/>
      <x:color theme="1"/>
      <x:name val="Calibri"/>
      <x:family val="2"/>
      <x:scheme val="minor"/>
    </x:font>
    <x:font>
      <x:b/>
      <x:sz val="16"/>
      <x:color rgb="00FFFFFF"/>
      <x:name val="Aptos"/>
    </x:font>
    <x:font>
      <x:i/>
      <x:sz val="9"/>
      <x:color rgb="00666666"/>
      <x:name val="Aptos"/>
    </x:font>
    <x:font>
      <x:b/>
      <x:sz val="10"/>
      <x:color rgb="00000000"/>
      <x:name val="Aptos"/>
    </x:font>
    <x:font>
      <x:b/>
      <x:sz val="10"/>
      <x:color rgb="00FFFFFF"/>
      <x:name val="Aptos"/>
    </x:font>
    <x:font>
      <x:b/>
    </x:font>
    <x:font>
      <x:sz val="10"/>
      <x:color rgb="000000FF"/>
      <x:name val="Aptos"/>
    </x:font>
    <x:font>
      <x:sz val="10"/>
      <x:color rgb="000000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FF2CC"/>
      </x:patternFill>
    </x:fill>
    <x:fill>
      <x:patternFill patternType="solid">
        <x:fgColor rgb="0017365D"/>
      </x:patternFill>
    </x:fill>
    <x:fill>
      <x:patternFill patternType="solid">
        <x:fgColor rgb="00DDEBF7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</x:fills>
  <x:borders count="4">
    <x:border>
      <x:left/>
      <x:right/>
      <x:top/>
      <x:bottom/>
      <x:diagonal/>
    </x:border>
    <x:border>
      <x:top style="medium">
        <x:color rgb="001F4E78"/>
      </x:top>
      <x:bottom style="medium">
        <x:color rgb="001F4E78"/>
      </x:bottom>
    </x:border>
    <x:border>
      <x:top style="medium">
        <x:color rgb="001F4E78"/>
      </x:top>
    </x:border>
    <x:border>
      <x:bottom style="thin">
        <x:color rgb="00D9D9D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/>
    <x:xf numFmtId="0" fontId="2" fillId="0" borderId="0" xfId="0"/>
    <x:xf numFmtId="0" fontId="3" fillId="0" borderId="3" xfId="0" applyAlignment="1">
      <x:alignment horizontal="left" vertical="center"/>
    </x:xf>
    <x:xf numFmtId="0" fontId="0" fillId="0" borderId="3" xfId="0" applyAlignment="1">
      <x:alignment wrapText="1"/>
    </x:xf>
    <x:xf numFmtId="0" fontId="4" fillId="2" borderId="3" xfId="0" applyAlignment="1">
      <x:alignment horizontal="left" vertical="center"/>
    </x:xf>
    <x:xf numFmtId="0" fontId="0" fillId="0" borderId="3" xfId="0"/>
    <x:xf numFmtId="0" fontId="5" fillId="3" borderId="3" xfId="0"/>
    <x:xf numFmtId="0" fontId="4" fillId="4" borderId="1" xfId="0" applyAlignment="1">
      <x:alignment horizontal="center" vertical="center"/>
    </x:xf>
    <x:xf numFmtId="0" fontId="6" fillId="0" borderId="3" xfId="0" applyAlignment="1">
      <x:alignment horizontal="right" vertical="center"/>
    </x:xf>
    <x:xf numFmtId="164" fontId="6" fillId="0" borderId="3" xfId="0" applyAlignment="1">
      <x:alignment horizontal="right" vertical="center"/>
    </x:xf>
    <x:xf numFmtId="0" fontId="4" fillId="4" borderId="3" xfId="0" applyAlignment="1">
      <x:alignment horizontal="center" vertical="center"/>
    </x:xf>
    <x:xf numFmtId="0" fontId="7" fillId="0" borderId="3" xfId="0" applyAlignment="1">
      <x:alignment horizontal="left" vertical="center"/>
    </x:xf>
    <x:xf numFmtId="165" fontId="7" fillId="0" borderId="3" xfId="0" applyAlignment="1">
      <x:alignment horizontal="right" vertical="center"/>
    </x:xf>
    <x:xf numFmtId="165" fontId="7" fillId="5" borderId="3" xfId="0" applyAlignment="1">
      <x:alignment horizontal="right" vertical="center"/>
    </x:xf>
    <x:xf numFmtId="165" fontId="6" fillId="0" borderId="3" xfId="0" applyAlignment="1">
      <x:alignment horizontal="right" vertical="center"/>
    </x:xf>
    <x:xf numFmtId="166" fontId="6" fillId="0" borderId="3" xfId="0" applyAlignment="1">
      <x:alignment horizontal="right" vertical="center"/>
    </x:xf>
    <x:xf numFmtId="167" fontId="6" fillId="0" borderId="3" xfId="0" applyAlignment="1">
      <x:alignment horizontal="right" vertical="center"/>
    </x:xf>
    <x:xf numFmtId="165" fontId="7" fillId="6" borderId="3" xfId="0" applyAlignment="1">
      <x:alignment horizontal="right" vertical="center"/>
    </x:xf>
    <x:xf numFmtId="165" fontId="7" fillId="7" borderId="3" xfId="0" applyAlignment="1">
      <x:alignment horizontal="right" vertical="center"/>
    </x:xf>
    <x:xf numFmtId="166" fontId="7" fillId="0" borderId="3" xfId="0" applyAlignment="1">
      <x:alignment horizontal="right" vertical="center"/>
    </x:xf>
    <x:xf numFmtId="166" fontId="7" fillId="5" borderId="3" xfId="0" applyAlignment="1">
      <x:alignment horizontal="right" vertical="center"/>
    </x:xf>
    <x:xf numFmtId="0" fontId="3" fillId="0" borderId="3" xfId="0" applyAlignment="1">
      <x:alignment horizontal="center"/>
    </x:xf>
    <x:xf numFmtId="0" fontId="0" fillId="0" borderId="3" xfId="0" applyAlignment="1">
      <x:alignment horizontal="center"/>
    </x:xf>
    <x:xf numFmtId="164" fontId="7" fillId="5" borderId="3" xfId="0" applyAlignment="1">
      <x:alignment horizontal="right" vertical="center"/>
    </x:xf>
    <x:xf numFmtId="0" fontId="5" fillId="6" borderId="3" xfId="0" applyAlignment="1">
      <x:alignment horizontal="center"/>
    </x:xf>
    <x:xf numFmtId="0" fontId="5" fillId="3" borderId="3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adfd841874378" /><Relationship Type="http://schemas.openxmlformats.org/officeDocument/2006/relationships/theme" Target="/xl/theme/theme1.xml" Id="Rf05a84eb88b54d25" /><Relationship Type="http://schemas.openxmlformats.org/officeDocument/2006/relationships/sharedStrings" Target="/xl/sharedStrings.xml" Id="Rac2cc19f2d9c429b" /><Relationship Type="http://schemas.openxmlformats.org/officeDocument/2006/relationships/worksheet" Target="/xl/worksheets/sheet1.xml" Id="Rab292202ed4e4192" /><Relationship Type="http://schemas.openxmlformats.org/officeDocument/2006/relationships/worksheet" Target="/xl/worksheets/sheet2.xml" Id="R9caba1c6497a4b35" /><Relationship Type="http://schemas.openxmlformats.org/officeDocument/2006/relationships/worksheet" Target="/xl/worksheets/sheet3.xml" Id="Rabcf635a3fb243a5" /><Relationship Type="http://schemas.openxmlformats.org/officeDocument/2006/relationships/worksheet" Target="/xl/worksheets/sheet4.xml" Id="R1171ae65d57c4398" /><Relationship Type="http://schemas.openxmlformats.org/officeDocument/2006/relationships/worksheet" Target="/xl/worksheets/sheet5.xml" Id="R0c103d68511e42ac" /><Relationship Type="http://schemas.openxmlformats.org/officeDocument/2006/relationships/worksheet" Target="/xl/worksheets/sheet6.xml" Id="R087d22c3495a403a" /><Relationship Type="http://schemas.openxmlformats.org/officeDocument/2006/relationships/worksheet" Target="/xl/worksheets/sheet7.xml" Id="Rb9a744e3e3cc4b46" /><Relationship Type="http://schemas.openxmlformats.org/officeDocument/2006/relationships/worksheet" Target="/xl/worksheets/sheet8.xml" Id="R7ab6571ed093489d" /><Relationship Type="http://schemas.openxmlformats.org/officeDocument/2006/relationships/worksheet" Target="/xl/worksheets/sheet9.xml" Id="R0afe5a0c86e5404f" /><Relationship Type="http://schemas.openxmlformats.org/officeDocument/2006/relationships/worksheet" Target="/xl/worksheets/sheet10.xml" Id="Rb29c0d90dfbd447f" /><Relationship Type="http://schemas.openxmlformats.org/officeDocument/2006/relationships/worksheet" Target="/xl/worksheets/sheet11.xml" Id="R9349d450da604eba" /><Relationship Type="http://schemas.microsoft.com/office/2017/10/relationships/person" Target="/xl/persons/person.xml" Id="R787730956cea47d2" /></Relationships>
</file>

<file path=xl/persons/person.xml><?xml version="1.0" encoding="utf-8"?>
<xltc:personList xmlns:xltc="http://schemas.microsoft.com/office/spreadsheetml/2018/threadedcomments">
  <xltc:person displayName="OpenAI" id="{87346F0D-4CD1-7171-177B-BD2CF9C42E74}"/>
  <xltc:person displayName="OpenAI" id="{B5393DA7-6104-9E75-4FED-EF5B9DF9DBEB}"/>
  <xltc:person displayName="OpenAI" id="{E505F2F9-7F70-C41C-2EB5-343C6CDCE2E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76fc54fa8b344f1" /><Relationship Type="http://schemas.openxmlformats.org/officeDocument/2006/relationships/vmlDrawing" Target="/xl/drawings/vmldrawing.vml" Id="Rb6bd822334604d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d32c8021509943ae" /><Relationship Type="http://schemas.openxmlformats.org/officeDocument/2006/relationships/vmlDrawing" Target="/xl/drawings/vmldrawing2.vml" Id="R4f077f5e26e541d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3.xml" Id="R8218cb8516a64885" /><Relationship Type="http://schemas.openxmlformats.org/officeDocument/2006/relationships/vmlDrawing" Target="/xl/drawings/vmldrawing3.vml" Id="R94085ce677aa47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72" customWidth="1"/>
  </x:cols>
  <x:sheetData>
    <x:row r="1" ht="24" customHeight="1">
      <x:c r="A1" s="1" t="inlineStr">
        <x:is>
          <x:t xml:space="preserve">Bridge Round Investor Package</x:t>
        </x:is>
      </x:c>
    </x:row>
    <x:row r="2" ht="18" customHeight="1">
      <x:c r="A2" s="2" t="inlineStr">
        <x:is>
          <x:t xml:space="preserve">Updated bridge-round investor package; formulas linked and audited against uploaded slide and feedback.</x:t>
        </x:is>
      </x:c>
    </x:row>
    <x:row r="3"/>
    <x:row r="4">
      <x:c r="A4" s="3" t="inlineStr">
        <x:is>
          <x:t xml:space="preserve">Primary financing case</x:t>
        </x:is>
      </x:c>
      <x:c r="B4" s="4" t="inlineStr">
        <x:is>
          <x:t xml:space="preserve">$250K bridge round only in the main case. The larger scale path is not used in the operating forecast.</x:t>
        </x:is>
      </x:c>
    </x:row>
    <x:row r="5"/>
    <x:row r="6">
      <x:c r="A6" s="3" t="inlineStr">
        <x:is>
          <x:t xml:space="preserve">Forecast discipline</x:t>
        </x:is>
      </x:c>
      <x:c r="B6" s="4" t="inlineStr">
        <x:is>
          <x:t xml:space="preserve">The base case has been re-underwritten from the original slide. Stretch case is preserved only for sensitivity.</x:t>
        </x:is>
      </x:c>
    </x:row>
    <x:row r="7"/>
    <x:row r="8">
      <x:c r="A8" s="3" t="inlineStr">
        <x:is>
          <x:t xml:space="preserve">Mechanical integrity</x:t>
        </x:is>
      </x:c>
      <x:c r="B8" s="4" t="inlineStr">
        <x:is>
          <x:t xml:space="preserve">Payroll is driven from the Headcount sheet. Cash flow and P&amp;L are tied through formulas; no hardcoded summary outputs.</x:t>
        </x:is>
      </x:c>
    </x:row>
    <x:row r="9"/>
    <x:row r="10">
      <x:c r="A10" s="3" t="inlineStr">
        <x:is>
          <x:t xml:space="preserve">Commercial discipline</x:t>
        </x:is>
      </x:c>
      <x:c r="B10" s="4" t="inlineStr">
        <x:is>
          <x:t xml:space="preserve">A scenario table is included so the user can lower or raise Year 1 revenue based on live pipeline evidence.</x:t>
        </x:is>
      </x:c>
    </x:row>
    <x:row r="11"/>
    <x:row r="12">
      <x:c r="A12" s="3" t="inlineStr">
        <x:is>
          <x:t xml:space="preserve">Key source documents</x:t>
        </x:is>
      </x:c>
      <x:c r="B12" s="4" t="inlineStr">
        <x:is>
          <x:t xml:space="preserve">Uploaded slide: fin.pdf page 1. Uploaded diligence feedback: funding feedback.pdf pages 1-12.</x:t>
        </x:is>
      </x:c>
    </x:row>
    <x:row r="13"/>
    <x:row r="14">
      <x:c r="A14" s="3" t="inlineStr">
        <x:is>
          <x:t xml:space="preserve">Required final swap before sending</x:t>
        </x:is>
      </x:c>
      <x:c r="B14" s="4" t="inlineStr">
        <x:is>
          <x:t xml:space="preserve">Replace example pipeline support language in the memo with live CRM / LOI evidence if available.</x:t>
        </x:is>
      </x:c>
    </x:row>
    <x:row r="15"/>
    <x:row r="16"/>
    <x:row r="17">
      <x:c r="A17" s="5" t="inlineStr">
        <x:is>
          <x:t xml:space="preserve">Outputs included</x:t>
        </x:is>
      </x:c>
    </x:row>
    <x:row r="18">
      <x:c r="A18" s="6" t="inlineStr">
        <x:is>
          <x:t xml:space="preserve">•</x:t>
        </x:is>
      </x:c>
      <x:c r="B18" s="6" t="inlineStr">
        <x:is>
          <x:t xml:space="preserve">Investor-ready bridge financial model</x:t>
        </x:is>
      </x:c>
    </x:row>
    <x:row r="19">
      <x:c r="A19" s="6" t="inlineStr">
        <x:is>
          <x:t xml:space="preserve">•</x:t>
        </x:is>
      </x:c>
      <x:c r="B19" s="6" t="inlineStr">
        <x:is>
          <x:t xml:space="preserve">Support memo / diligence narrative</x:t>
        </x:is>
      </x:c>
    </x:row>
    <x:row r="20">
      <x:c r="A20" s="6" t="inlineStr">
        <x:is>
          <x:t xml:space="preserve">•</x:t>
        </x:is>
      </x:c>
      <x:c r="B20" s="6" t="inlineStr">
        <x:is>
          <x:t xml:space="preserve">Self-audit against the six standards</x:t>
        </x:is>
      </x:c>
    </x:row>
    <x:row r="21">
      <x:c r="A21" s="6" t="inlineStr">
        <x:is>
          <x:t xml:space="preserve">•</x:t>
        </x:is>
      </x:c>
      <x:c r="B21" s="6" t="inlineStr">
        <x:is>
          <x:t xml:space="preserve">Scenario table: conservative, base bridge, stretch</x:t>
        </x:is>
      </x:c>
    </x:row>
    <x:row r="22"/>
    <x:row r="23">
      <x:c r="A23" s="3" t="inlineStr">
        <x:is>
          <x:t xml:space="preserve">Status</x:t>
        </x:is>
      </x:c>
      <x:c r="B23" s="7" t="inlineStr">
        <x:is>
          <x:t xml:space="preserve">Pass with one evidence condition</x:t>
        </x:is>
      </x:c>
    </x:row>
  </x:sheetData>
  <x:mergeCells>
    <x:mergeCell ref="A2:H2"/>
    <x:mergeCell ref="A17:B17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8" customWidth="1"/>
    <x:col min="3" max="3" width="18" customWidth="1"/>
    <x:col min="4" max="4" width="18" customWidth="1"/>
    <x:col min="5" max="5" width="16" customWidth="1"/>
    <x:col min="6" max="6" width="16" customWidth="1"/>
    <x:col min="7" max="7" width="16" customWidth="1"/>
    <x:col min="8" max="8" width="16" customWidth="1"/>
  </x:cols>
  <x:sheetData>
    <x:row r="1" ht="24" customHeight="1">
      <x:c r="A1" s="1" t="inlineStr">
        <x:is>
          <x:t xml:space="preserve">Key Assumptions</x:t>
        </x:is>
      </x:c>
    </x:row>
    <x:row r="2" ht="18" customHeight="1">
      <x:c r="A2" s="2" t="inlineStr">
        <x:is>
          <x:t xml:space="preserve">Updated bridge-round investor package; formulas linked and audited against uploaded slide and feedback.</x:t>
        </x:is>
      </x:c>
    </x:row>
    <x:row r="3"/>
    <x:row r="4">
      <x:c r="A4" s="8" t="inlineStr">
        <x:is>
          <x:t xml:space="preserve">Scenario control</x:t>
        </x:is>
      </x:c>
    </x:row>
    <x:row r="5">
      <x:c r="A5" s="3" t="inlineStr">
        <x:is>
          <x:t xml:space="preserve">Selected case</x:t>
        </x:is>
      </x:c>
      <x:c r="B5" s="9" t="inlineStr">
        <x:is>
          <x:t xml:space="preserve">Base Bridge</x:t>
        </x:is>
      </x:c>
    </x:row>
    <x:row r="6">
      <x:c r="A6" s="3" t="inlineStr">
        <x:is>
          <x:t xml:space="preserve">Bridge raise amount</x:t>
        </x:is>
      </x:c>
      <x:c r="B6" s="10" t="n">
        <x:v>250000</x:v>
      </x:c>
    </x:row>
    <x:row r="7"/>
    <x:row r="8">
      <x:c r="A8" s="5" t="inlineStr">
        <x:is>
          <x:t xml:space="preserve">Revenue by scenario</x:t>
        </x:is>
      </x:c>
    </x:row>
    <x:row r="9">
      <x:c r="A9" s="11" t="inlineStr">
        <x:is>
          <x:t xml:space="preserve">Scenario</x:t>
        </x:is>
      </x:c>
      <x:c r="B9" s="11" t="inlineStr">
        <x:is>
          <x:t xml:space="preserve">Year 1</x:t>
        </x:is>
      </x:c>
      <x:c r="C9" s="11" t="inlineStr">
        <x:is>
          <x:t xml:space="preserve">Year 2</x:t>
        </x:is>
      </x:c>
      <x:c r="D9" s="11" t="inlineStr">
        <x:is>
          <x:t xml:space="preserve">Year 3</x:t>
        </x:is>
      </x:c>
      <x:c r="E9" s="11" t="inlineStr">
        <x:is>
          <x:t xml:space="preserve"/>
        </x:is>
      </x:c>
      <x:c r="F9" s="11" t="inlineStr">
        <x:is>
          <x:t xml:space="preserve">Selected Y1</x:t>
        </x:is>
      </x:c>
      <x:c r="G9" s="11" t="inlineStr">
        <x:is>
          <x:t xml:space="preserve">Selected Y2</x:t>
        </x:is>
      </x:c>
      <x:c r="H9" s="11" t="inlineStr">
        <x:is>
          <x:t xml:space="preserve">Selected Y3</x:t>
        </x:is>
      </x:c>
    </x:row>
    <x:row r="10">
      <x:c r="A10" s="12" t="inlineStr">
        <x:is>
          <x:t xml:space="preserve">Conservative</x:t>
        </x:is>
      </x:c>
      <x:c r="B10" s="13" t="n">
        <x:v>150000</x:v>
      </x:c>
      <x:c r="C10" s="13" t="n">
        <x:v>450000</x:v>
      </x:c>
      <x:c r="D10" s="13" t="n">
        <x:v>1100000</x:v>
      </x:c>
      <x:c r="F10" s="14">
        <x:f>XLOOKUP($B$5,$A$10:$A$12,$B$10:$B$12)</x:f>
        <x:v>180000</x:v>
      </x:c>
      <x:c r="G10" s="14">
        <x:f>XLOOKUP($B$5,$A$10:$A$12,$C$10:$C$12)</x:f>
        <x:v>650000</x:v>
      </x:c>
      <x:c r="H10" s="14">
        <x:f>XLOOKUP($B$5,$A$10:$A$12,$D$10:$D$12)</x:f>
        <x:v>1500000</x:v>
      </x:c>
    </x:row>
    <x:row r="11">
      <x:c r="A11" s="3" t="inlineStr">
        <x:is>
          <x:t xml:space="preserve">Base Bridge</x:t>
        </x:is>
      </x:c>
      <x:c r="B11" s="15" t="n">
        <x:v>180000</x:v>
      </x:c>
      <x:c r="C11" s="15" t="n">
        <x:v>650000</x:v>
      </x:c>
      <x:c r="D11" s="15" t="n">
        <x:v>1500000</x:v>
      </x:c>
    </x:row>
    <x:row r="12">
      <x:c r="A12" s="12" t="inlineStr">
        <x:is>
          <x:t xml:space="preserve">Stretch / original deck path</x:t>
        </x:is>
      </x:c>
      <x:c r="B12" s="13" t="n">
        <x:v>250000</x:v>
      </x:c>
      <x:c r="C12" s="13" t="n">
        <x:v>850000</x:v>
      </x:c>
      <x:c r="D12" s="13" t="n">
        <x:v>1900000</x:v>
      </x:c>
    </x:row>
    <x:row r="13"/>
    <x:row r="14"/>
    <x:row r="15">
      <x:c r="A15" s="5" t="inlineStr">
        <x:is>
          <x:t xml:space="preserve">Revenue mix assumptions</x:t>
        </x:is>
      </x:c>
    </x:row>
    <x:row r="16">
      <x:c r="A16" s="11" t="inlineStr">
        <x:is>
          <x:t xml:space="preserve">Metric</x:t>
        </x:is>
      </x:c>
      <x:c r="B16" s="11" t="inlineStr">
        <x:is>
          <x:t xml:space="preserve">Year 1</x:t>
        </x:is>
      </x:c>
      <x:c r="C16" s="11" t="inlineStr">
        <x:is>
          <x:t xml:space="preserve">Year 2</x:t>
        </x:is>
      </x:c>
      <x:c r="D16" s="11" t="inlineStr">
        <x:is>
          <x:t xml:space="preserve">Year 3</x:t>
        </x:is>
      </x:c>
    </x:row>
    <x:row r="17">
      <x:c r="A17" s="12" t="inlineStr">
        <x:is>
          <x:t xml:space="preserve">Subscription mix</x:t>
        </x:is>
      </x:c>
      <x:c r="B17" s="16" t="n">
        <x:v>0.65</x:v>
      </x:c>
      <x:c r="C17" s="16" t="n">
        <x:v>0.62</x:v>
      </x:c>
      <x:c r="D17" s="16" t="n">
        <x:v>0.58</x:v>
      </x:c>
    </x:row>
    <x:row r="18">
      <x:c r="A18" s="12" t="inlineStr">
        <x:is>
          <x:t xml:space="preserve">Implementation mix</x:t>
        </x:is>
      </x:c>
      <x:c r="B18" s="16" t="n">
        <x:v>0.2</x:v>
      </x:c>
      <x:c r="C18" s="16" t="n">
        <x:v>0.15</x:v>
      </x:c>
      <x:c r="D18" s="16" t="n">
        <x:v>0.1</x:v>
      </x:c>
    </x:row>
    <x:row r="19">
      <x:c r="A19" s="12" t="inlineStr">
        <x:is>
          <x:t xml:space="preserve">Employer mix</x:t>
        </x:is>
      </x:c>
      <x:c r="B19" s="16" t="n">
        <x:v>0.05</x:v>
      </x:c>
      <x:c r="C19" s="16" t="n">
        <x:v>0.12</x:v>
      </x:c>
      <x:c r="D19" s="16" t="n">
        <x:v>0.17</x:v>
      </x:c>
    </x:row>
    <x:row r="20">
      <x:c r="A20" s="12" t="inlineStr">
        <x:is>
          <x:t xml:space="preserve">Verification mix</x:t>
        </x:is>
      </x:c>
      <x:c r="B20" s="16" t="n">
        <x:v>0.05</x:v>
      </x:c>
      <x:c r="C20" s="16" t="n">
        <x:v>0.06</x:v>
      </x:c>
      <x:c r="D20" s="16" t="n">
        <x:v>0.07000000000000001</x:v>
      </x:c>
    </x:row>
    <x:row r="21">
      <x:c r="A21" s="12" t="inlineStr">
        <x:is>
          <x:t xml:space="preserve">API / analytics mix</x:t>
        </x:is>
      </x:c>
      <x:c r="B21" s="16" t="n">
        <x:v>0.05</x:v>
      </x:c>
      <x:c r="C21" s="16" t="n">
        <x:v>0.05</x:v>
      </x:c>
      <x:c r="D21" s="16" t="n">
        <x:v>0.08</x:v>
      </x:c>
    </x:row>
    <x:row r="22">
      <x:c r="A22" s="12" t="inlineStr">
        <x:is>
          <x:t xml:space="preserve">COGS as % of revenue</x:t>
        </x:is>
      </x:c>
      <x:c r="B22" s="16" t="n">
        <x:v>0.2</x:v>
      </x:c>
      <x:c r="C22" s="16" t="n">
        <x:v>0.2</x:v>
      </x:c>
      <x:c r="D22" s="16" t="n">
        <x:v>0.18</x:v>
      </x:c>
    </x:row>
    <x:row r="23"/>
    <x:row r="24"/>
    <x:row r="25">
      <x:c r="A25" s="5" t="inlineStr">
        <x:is>
          <x:t xml:space="preserve">Operating cost assumptions</x:t>
        </x:is>
      </x:c>
    </x:row>
    <x:row r="26">
      <x:c r="A26" s="11" t="inlineStr">
        <x:is>
          <x:t xml:space="preserve">Cost line</x:t>
        </x:is>
      </x:c>
      <x:c r="B26" s="11" t="inlineStr">
        <x:is>
          <x:t xml:space="preserve">Year 1</x:t>
        </x:is>
      </x:c>
      <x:c r="C26" s="11" t="inlineStr">
        <x:is>
          <x:t xml:space="preserve">Year 2</x:t>
        </x:is>
      </x:c>
      <x:c r="D26" s="11" t="inlineStr">
        <x:is>
          <x:t xml:space="preserve">Year 3</x:t>
        </x:is>
      </x:c>
    </x:row>
    <x:row r="27">
      <x:c r="A27" s="12" t="inlineStr">
        <x:is>
          <x:t xml:space="preserve">Sales and marketing</x:t>
        </x:is>
      </x:c>
      <x:c r="B27" s="15" t="n">
        <x:v>18000</x:v>
      </x:c>
      <x:c r="C27" s="15" t="n">
        <x:v>60000</x:v>
      </x:c>
      <x:c r="D27" s="15" t="n">
        <x:v>120000</x:v>
      </x:c>
    </x:row>
    <x:row r="28">
      <x:c r="A28" s="12" t="inlineStr">
        <x:is>
          <x:t xml:space="preserve">G&amp;A, legal, accounting</x:t>
        </x:is>
      </x:c>
      <x:c r="B28" s="15" t="n">
        <x:v>20000</x:v>
      </x:c>
      <x:c r="C28" s="15" t="n">
        <x:v>35000</x:v>
      </x:c>
      <x:c r="D28" s="15" t="n">
        <x:v>55000</x:v>
      </x:c>
    </x:row>
    <x:row r="29">
      <x:c r="A29" s="12" t="inlineStr">
        <x:is>
          <x:t xml:space="preserve">Cloud, tools, data</x:t>
        </x:is>
      </x:c>
      <x:c r="B29" s="15" t="n">
        <x:v>15000</x:v>
      </x:c>
      <x:c r="C29" s="15" t="n">
        <x:v>25000</x:v>
      </x:c>
      <x:c r="D29" s="15" t="n">
        <x:v>45000</x:v>
      </x:c>
    </x:row>
    <x:row r="30">
      <x:c r="A30" s="12" t="inlineStr">
        <x:is>
          <x:t xml:space="preserve">Travel and partnerships</x:t>
        </x:is>
      </x:c>
      <x:c r="B30" s="15" t="n">
        <x:v>10000</x:v>
      </x:c>
      <x:c r="C30" s="15" t="n">
        <x:v>20000</x:v>
      </x:c>
      <x:c r="D30" s="15" t="n">
        <x:v>30000</x:v>
      </x:c>
    </x:row>
    <x:row r="31">
      <x:c r="A31" s="12" t="inlineStr">
        <x:is>
          <x:t xml:space="preserve">Contractors / non-payroll tech</x:t>
        </x:is>
      </x:c>
      <x:c r="B31" s="15" t="n">
        <x:v>45000</x:v>
      </x:c>
      <x:c r="C31" s="15" t="n">
        <x:v>30000</x:v>
      </x:c>
      <x:c r="D31" s="15" t="n">
        <x:v>20000</x:v>
      </x:c>
    </x:row>
    <x:row r="32">
      <x:c r="A32" s="12" t="inlineStr">
        <x:is>
          <x:t xml:space="preserve">Capex</x:t>
        </x:is>
      </x:c>
      <x:c r="B32" s="15" t="n">
        <x:v>5000</x:v>
      </x:c>
      <x:c r="C32" s="15" t="n">
        <x:v>8000</x:v>
      </x:c>
      <x:c r="D32" s="15" t="n">
        <x:v>10000</x:v>
      </x:c>
    </x:row>
    <x:row r="33"/>
    <x:row r="34"/>
    <x:row r="35">
      <x:c r="A35" s="3" t="inlineStr">
        <x:is>
          <x:t xml:space="preserve">Tax rate</x:t>
        </x:is>
      </x:c>
      <x:c r="B35" s="16" t="n">
        <x:v>0.25</x:v>
      </x:c>
    </x:row>
  </x:sheetData>
  <x:mergeCells>
    <x:mergeCell ref="A4:B4"/>
    <x:mergeCell ref="A1:H1"/>
    <x:mergeCell ref="A2:H2"/>
    <x:mergeCell ref="A8:E8"/>
    <x:mergeCell ref="A15:F15"/>
    <x:mergeCell ref="A25:F25"/>
  </x:mergeCells>
  <x:pageMargins left="0.7" right="0.7" top="0.75" bottom="0.75" header="0.3" footer="0.3"/>
  <x:legacyDrawing xmlns:r="http://schemas.openxmlformats.org/officeDocument/2006/relationships" r:id="Rb6bd822334604d8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5" customWidth="1"/>
    <x:col min="3" max="3" width="15" customWidth="1"/>
    <x:col min="4" max="4" width="15" customWidth="1"/>
    <x:col min="5" max="5" width="16" customWidth="1"/>
    <x:col min="6" max="6" width="16" customWidth="1"/>
    <x:col min="7" max="7" width="16" customWidth="1"/>
    <x:col min="8" max="8" width="24" customWidth="1"/>
  </x:cols>
  <x:sheetData>
    <x:row r="1" ht="24" customHeight="1">
      <x:c r="A1" s="1" t="inlineStr">
        <x:is>
          <x:t xml:space="preserve">Headcount and Payroll Driver</x:t>
        </x:is>
      </x:c>
    </x:row>
    <x:row r="2" ht="18" customHeight="1">
      <x:c r="A2" s="2" t="inlineStr">
        <x:is>
          <x:t xml:space="preserve">Updated bridge-round investor package; formulas linked and audited against uploaded slide and feedback.</x:t>
        </x:is>
      </x:c>
    </x:row>
    <x:row r="3"/>
    <x:row r="4">
      <x:c r="A4" s="8" t="inlineStr">
        <x:is>
          <x:t xml:space="preserve">Role</x:t>
        </x:is>
      </x:c>
      <x:c r="B4" s="8" t="inlineStr">
        <x:is>
          <x:t xml:space="preserve">Year 1 FTE</x:t>
        </x:is>
      </x:c>
      <x:c r="C4" s="8" t="inlineStr">
        <x:is>
          <x:t xml:space="preserve">Year 2 FTE</x:t>
        </x:is>
      </x:c>
      <x:c r="D4" s="8" t="inlineStr">
        <x:is>
          <x:t xml:space="preserve">Year 3 FTE</x:t>
        </x:is>
      </x:c>
      <x:c r="E4" s="8" t="inlineStr">
        <x:is>
          <x:t xml:space="preserve">Year 1 loaded cost</x:t>
        </x:is>
      </x:c>
      <x:c r="F4" s="8" t="inlineStr">
        <x:is>
          <x:t xml:space="preserve">Year 2 loaded cost</x:t>
        </x:is>
      </x:c>
      <x:c r="G4" s="8" t="inlineStr">
        <x:is>
          <x:t xml:space="preserve">Year 3 loaded cost</x:t>
        </x:is>
      </x:c>
      <x:c r="H4" s="8" t="inlineStr">
        <x:is>
          <x:t xml:space="preserve">Notes</x:t>
        </x:is>
      </x:c>
    </x:row>
    <x:row r="5">
      <x:c r="A5" s="12" t="inlineStr">
        <x:is>
          <x:t xml:space="preserve">Founder / CEO</x:t>
        </x:is>
      </x:c>
      <x:c r="B5" s="17" t="n">
        <x:v>1</x:v>
      </x:c>
      <x:c r="C5" s="17" t="n">
        <x:v>1</x:v>
      </x:c>
      <x:c r="D5" s="17" t="n">
        <x:v>1</x:v>
      </x:c>
      <x:c r="E5" s="15" t="n">
        <x:v>69000</x:v>
      </x:c>
      <x:c r="F5" s="15" t="n">
        <x:v>80000</x:v>
      </x:c>
      <x:c r="G5" s="15" t="n">
        <x:v>90000</x:v>
      </x:c>
      <x:c r="H5" s="4" t="inlineStr">
        <x:is>
          <x:t xml:space="preserve">Below-market cash comp in bridge period.</x:t>
        </x:is>
      </x:c>
    </x:row>
    <x:row r="6">
      <x:c r="A6" s="12" t="inlineStr">
        <x:is>
          <x:t xml:space="preserve">Product / implementation lead</x:t>
        </x:is>
      </x:c>
      <x:c r="B6" s="17" t="n">
        <x:v>0.5</x:v>
      </x:c>
      <x:c r="C6" s="17" t="n">
        <x:v>1</x:v>
      </x:c>
      <x:c r="D6" s="17" t="n">
        <x:v>1</x:v>
      </x:c>
      <x:c r="E6" s="15" t="n">
        <x:v>40000</x:v>
      </x:c>
      <x:c r="F6" s="15" t="n">
        <x:v>85000</x:v>
      </x:c>
      <x:c r="G6" s="15" t="n">
        <x:v>95000</x:v>
      </x:c>
      <x:c r="H6" s="4" t="inlineStr">
        <x:is>
          <x:t xml:space="preserve">Moves to full-time in Year 2.</x:t>
        </x:is>
      </x:c>
    </x:row>
    <x:row r="7">
      <x:c r="A7" s="12" t="inlineStr">
        <x:is>
          <x:t xml:space="preserve">GTM / partnerships</x:t>
        </x:is>
      </x:c>
      <x:c r="B7" s="17" t="n">
        <x:v>0.4</x:v>
      </x:c>
      <x:c r="C7" s="17" t="n">
        <x:v>1</x:v>
      </x:c>
      <x:c r="D7" s="17" t="n">
        <x:v>1</x:v>
      </x:c>
      <x:c r="E7" s="15" t="n">
        <x:v>22000</x:v>
      </x:c>
      <x:c r="F7" s="15" t="n">
        <x:v>70000</x:v>
      </x:c>
      <x:c r="G7" s="15" t="n">
        <x:v>85000</x:v>
      </x:c>
      <x:c r="H7" s="4" t="inlineStr">
        <x:is>
          <x:t xml:space="preserve">Bridge-period fractional coverage.</x:t>
        </x:is>
      </x:c>
    </x:row>
    <x:row r="8">
      <x:c r="A8" s="12" t="inlineStr">
        <x:is>
          <x:t xml:space="preserve">Operations / admin</x:t>
        </x:is>
      </x:c>
      <x:c r="B8" s="17" t="n">
        <x:v>0.2</x:v>
      </x:c>
      <x:c r="C8" s="17" t="n">
        <x:v>0.5</x:v>
      </x:c>
      <x:c r="D8" s="17" t="n">
        <x:v>1</x:v>
      </x:c>
      <x:c r="E8" s="15" t="n">
        <x:v>10000</x:v>
      </x:c>
      <x:c r="F8" s="15" t="n">
        <x:v>25000</x:v>
      </x:c>
      <x:c r="G8" s="15" t="n">
        <x:v>55000</x:v>
      </x:c>
      <x:c r="H8" s="4" t="inlineStr">
        <x:is>
          <x:t xml:space="preserve">Scales with pilots.</x:t>
        </x:is>
      </x:c>
    </x:row>
    <x:row r="9">
      <x:c r="A9" s="12" t="inlineStr">
        <x:is>
          <x:t xml:space="preserve">Customer success / implementation</x:t>
        </x:is>
      </x:c>
      <x:c r="B9" s="17" t="n">
        <x:v>0</x:v>
      </x:c>
      <x:c r="C9" s="17" t="n">
        <x:v>0.8</x:v>
      </x:c>
      <x:c r="D9" s="17" t="n">
        <x:v>1</x:v>
      </x:c>
      <x:c r="E9" s="15" t="n">
        <x:v>0</x:v>
      </x:c>
      <x:c r="F9" s="15" t="n">
        <x:v>50000</x:v>
      </x:c>
      <x:c r="G9" s="15" t="n">
        <x:v>65000</x:v>
      </x:c>
      <x:c r="H9" s="4" t="inlineStr">
        <x:is>
          <x:t xml:space="preserve">Added once pilots convert.</x:t>
        </x:is>
      </x:c>
    </x:row>
    <x:row r="10"/>
    <x:row r="11"/>
    <x:row r="12">
      <x:c r="A12" s="3" t="inlineStr">
        <x:is>
          <x:t xml:space="preserve">Total payroll</x:t>
        </x:is>
      </x:c>
      <x:c r="B12" s="18">
        <x:f>SUMPRODUCT(B5:B9,E5:E9)</x:f>
        <x:v>99800</x:v>
      </x:c>
      <x:c r="C12" s="18">
        <x:f>SUMPRODUCT(C5:C9,F5:F9)</x:f>
        <x:v>287500</x:v>
      </x:c>
      <x:c r="D12" s="18">
        <x:f>SUMPRODUCT(D5:D9,G5:G9)</x:f>
        <x:v>390000</x:v>
      </x:c>
    </x:row>
    <x:row r="13"/>
    <x:row r="14"/>
    <x:row r="15">
      <x:c r="A15" s="3" t="inlineStr">
        <x:is>
          <x:t xml:space="preserve">P&amp;L payroll link</x:t>
        </x:is>
      </x:c>
      <x:c r="B15" s="7" t="str">
        <x:f>IF(AND(B12='Bridge P&amp;L'!B9,C12='Bridge P&amp;L'!C9,D12='Bridge P&amp;L'!D9),"PASS","FAIL")</x:f>
        <x:v>PASS</x:v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6" customWidth="1"/>
    <x:col min="3" max="3" width="16" customWidth="1"/>
    <x:col min="4" max="4" width="16" customWidth="1"/>
    <x:col min="5" max="5" width="26" customWidth="1"/>
  </x:cols>
  <x:sheetData>
    <x:row r="1" ht="24" customHeight="1">
      <x:c r="A1" s="1" t="inlineStr">
        <x:is>
          <x:t xml:space="preserve">Revenue Build - Selected Scenario</x:t>
        </x:is>
      </x:c>
    </x:row>
    <x:row r="2" ht="18" customHeight="1">
      <x:c r="A2" s="2" t="inlineStr">
        <x:is>
          <x:t xml:space="preserve">Updated bridge-round investor package; formulas linked and audited against uploaded slide and feedback.</x:t>
        </x:is>
      </x:c>
    </x:row>
    <x:row r="3"/>
    <x:row r="4">
      <x:c r="A4" s="8" t="inlineStr">
        <x:is>
          <x:t xml:space="preserve">Revenue stream</x:t>
        </x:is>
      </x:c>
      <x:c r="B4" s="8" t="inlineStr">
        <x:is>
          <x:t xml:space="preserve">Year 1</x:t>
        </x:is>
      </x:c>
      <x:c r="C4" s="8" t="inlineStr">
        <x:is>
          <x:t xml:space="preserve">Year 2</x:t>
        </x:is>
      </x:c>
      <x:c r="D4" s="8" t="inlineStr">
        <x:is>
          <x:t xml:space="preserve">Year 3</x:t>
        </x:is>
      </x:c>
      <x:c r="E4" s="8" t="inlineStr">
        <x:is>
          <x:t xml:space="preserve">Source / logic</x:t>
        </x:is>
      </x:c>
    </x:row>
    <x:row r="5">
      <x:c r="A5" s="12" t="inlineStr">
        <x:is>
          <x:t xml:space="preserve">Core subscriptions / licenses</x:t>
        </x:is>
      </x:c>
      <x:c r="B5" s="13">
        <x:f>Assumptions!F10*Assumptions!B17</x:f>
        <x:v>117000</x:v>
      </x:c>
      <x:c r="C5" s="13">
        <x:f>Assumptions!G10*Assumptions!C17</x:f>
        <x:v>403000</x:v>
      </x:c>
      <x:c r="D5" s="13">
        <x:f>Assumptions!H10*Assumptions!D17</x:f>
        <x:v>869999.9999999999</x:v>
      </x:c>
      <x:c r="E5" s="4" t="inlineStr">
        <x:is>
          <x:t xml:space="preserve">Mix-driven from scenario revenue.</x:t>
        </x:is>
      </x:c>
    </x:row>
    <x:row r="6">
      <x:c r="A6" s="12" t="inlineStr">
        <x:is>
          <x:t xml:space="preserve">Implementation / onboarding</x:t>
        </x:is>
      </x:c>
      <x:c r="B6" s="13">
        <x:f>Assumptions!F10*Assumptions!B18</x:f>
        <x:v>36000</x:v>
      </x:c>
      <x:c r="C6" s="13">
        <x:f>Assumptions!G10*Assumptions!C18</x:f>
        <x:v>97500</x:v>
      </x:c>
      <x:c r="D6" s="13">
        <x:f>Assumptions!H10*Assumptions!D18</x:f>
        <x:v>150000</x:v>
      </x:c>
      <x:c r="E6" s="4" t="inlineStr">
        <x:is>
          <x:t xml:space="preserve">Mix-driven from scenario revenue.</x:t>
        </x:is>
      </x:c>
    </x:row>
    <x:row r="7">
      <x:c r="A7" s="12" t="inlineStr">
        <x:is>
          <x:t xml:space="preserve">Employer subscriptions</x:t>
        </x:is>
      </x:c>
      <x:c r="B7" s="13">
        <x:f>Assumptions!F10*Assumptions!B19</x:f>
        <x:v>9000</x:v>
      </x:c>
      <x:c r="C7" s="13">
        <x:f>Assumptions!G10*Assumptions!C19</x:f>
        <x:v>78000</x:v>
      </x:c>
      <x:c r="D7" s="13">
        <x:f>Assumptions!H10*Assumptions!D19</x:f>
        <x:v>255000.00000000003</x:v>
      </x:c>
      <x:c r="E7" s="4" t="inlineStr">
        <x:is>
          <x:t xml:space="preserve">Back-end demand layer.</x:t>
        </x:is>
      </x:c>
    </x:row>
    <x:row r="8">
      <x:c r="A8" s="12" t="inlineStr">
        <x:is>
          <x:t xml:space="preserve">Verification / credentialing</x:t>
        </x:is>
      </x:c>
      <x:c r="B8" s="13">
        <x:f>Assumptions!F10*Assumptions!B20</x:f>
        <x:v>9000</x:v>
      </x:c>
      <x:c r="C8" s="13">
        <x:f>Assumptions!G10*Assumptions!C20</x:f>
        <x:v>39000</x:v>
      </x:c>
      <x:c r="D8" s="13">
        <x:f>Assumptions!H10*Assumptions!D20</x:f>
        <x:v>105000.00000000001</x:v>
      </x:c>
      <x:c r="E8" s="4" t="inlineStr">
        <x:is>
          <x:t xml:space="preserve">Evidence verification fees.</x:t>
        </x:is>
      </x:c>
    </x:row>
    <x:row r="9">
      <x:c r="A9" s="12" t="inlineStr">
        <x:is>
          <x:t xml:space="preserve">API / analytics</x:t>
        </x:is>
      </x:c>
      <x:c r="B9" s="13">
        <x:f>Assumptions!F10*Assumptions!B21</x:f>
        <x:v>9000</x:v>
      </x:c>
      <x:c r="C9" s="13">
        <x:f>Assumptions!G10*Assumptions!C21</x:f>
        <x:v>32500</x:v>
      </x:c>
      <x:c r="D9" s="13">
        <x:f>Assumptions!H10*Assumptions!D21</x:f>
        <x:v>120000</x:v>
      </x:c>
      <x:c r="E9" s="4" t="inlineStr">
        <x:is>
          <x:t xml:space="preserve">Integration / analytics revenue.</x:t>
        </x:is>
      </x:c>
    </x:row>
    <x:row r="10"/>
    <x:row r="11">
      <x:c r="A11" s="3" t="inlineStr">
        <x:is>
          <x:t xml:space="preserve">Total revenue</x:t>
        </x:is>
      </x:c>
      <x:c r="B11" s="14">
        <x:f>SUM(B5:B9)</x:f>
        <x:v>180000</x:v>
      </x:c>
      <x:c r="C11" s="14">
        <x:f>SUM(C5:C9)</x:f>
        <x:v>650000</x:v>
      </x:c>
      <x:c r="D11" s="14">
        <x:f>SUM(D5:D9)</x:f>
        <x:v>1500000</x:v>
      </x:c>
    </x:row>
    <x:row r="12"/>
    <x:row r="13">
      <x:c r="A13" s="3" t="inlineStr">
        <x:is>
          <x:t xml:space="preserve">Original uploaded slide reference</x:t>
        </x:is>
      </x:c>
      <x:c r="B13" s="15" t="n">
        <x:v>250000</x:v>
      </x:c>
      <x:c r="C13" s="15" t="n">
        <x:v>850000</x:v>
      </x:c>
      <x:c r="D13" s="15" t="n">
        <x:v>1900000</x:v>
      </x:c>
      <x:c r="E13" s="6" t="inlineStr">
        <x:is>
          <x:t xml:space="preserve">fin.pdf page 1</x:t>
        </x:is>
      </x:c>
    </x:row>
    <x:row r="14">
      <x:c r="A14" s="3" t="inlineStr">
        <x:is>
          <x:t xml:space="preserve">Delta vs selected case</x:t>
        </x:is>
      </x:c>
      <x:c r="B14" s="19">
        <x:f>B11-B13</x:f>
        <x:v>-70000</x:v>
      </x:c>
      <x:c r="C14" s="19">
        <x:f>C11-C13</x:f>
        <x:v>-200000</x:v>
      </x:c>
      <x:c r="D14" s="19">
        <x:f>D11-D13</x:f>
        <x:v>-400000</x:v>
      </x:c>
    </x:row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4f077f5e26e541d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6" customWidth="1"/>
    <x:col min="3" max="3" width="16" customWidth="1"/>
    <x:col min="4" max="4" width="16" customWidth="1"/>
    <x:col min="5" max="5" width="24" customWidth="1"/>
  </x:cols>
  <x:sheetData>
    <x:row r="1" ht="24" customHeight="1">
      <x:c r="A1" s="1" t="inlineStr">
        <x:is>
          <x:t xml:space="preserve">Bridge Case - 3 Year P&amp;L</x:t>
        </x:is>
      </x:c>
    </x:row>
    <x:row r="2" ht="18" customHeight="1">
      <x:c r="A2" s="2" t="inlineStr">
        <x:is>
          <x:t xml:space="preserve">Updated bridge-round investor package; formulas linked and audited against uploaded slide and feedback.</x:t>
        </x:is>
      </x:c>
    </x:row>
    <x:row r="3"/>
    <x:row r="4">
      <x:c r="A4" s="8" t="inlineStr">
        <x:is>
          <x:t xml:space="preserve">P&amp;L line</x:t>
        </x:is>
      </x:c>
      <x:c r="B4" s="8" t="inlineStr">
        <x:is>
          <x:t xml:space="preserve">Year 1</x:t>
        </x:is>
      </x:c>
      <x:c r="C4" s="8" t="inlineStr">
        <x:is>
          <x:t xml:space="preserve">Year 2</x:t>
        </x:is>
      </x:c>
      <x:c r="D4" s="8" t="inlineStr">
        <x:is>
          <x:t xml:space="preserve">Year 3</x:t>
        </x:is>
      </x:c>
      <x:c r="E4" s="8" t="inlineStr">
        <x:is>
          <x:t xml:space="preserve">Comment</x:t>
        </x:is>
      </x:c>
    </x:row>
    <x:row r="5">
      <x:c r="A5" s="3" t="inlineStr">
        <x:is>
          <x:t xml:space="preserve">Total revenue</x:t>
        </x:is>
      </x:c>
      <x:c r="B5" s="18">
        <x:f>'Revenue Build'!B11</x:f>
        <x:v>180000</x:v>
      </x:c>
      <x:c r="C5" s="18">
        <x:f>'Revenue Build'!C11</x:f>
        <x:v>650000</x:v>
      </x:c>
      <x:c r="D5" s="18">
        <x:f>'Revenue Build'!D11</x:f>
        <x:v>1500000</x:v>
      </x:c>
      <x:c r="E5" s="6" t="inlineStr">
        <x:is>
          <x:t xml:space="preserve">Scenario-selected top line.</x:t>
        </x:is>
      </x:c>
    </x:row>
    <x:row r="6">
      <x:c r="A6" s="12" t="inlineStr">
        <x:is>
          <x:t xml:space="preserve">Cost of goods sold</x:t>
        </x:is>
      </x:c>
      <x:c r="B6" s="13">
        <x:f>B5*Assumptions!B22</x:f>
        <x:v>36000</x:v>
      </x:c>
      <x:c r="C6" s="13">
        <x:f>C5*Assumptions!C22</x:f>
        <x:v>130000</x:v>
      </x:c>
      <x:c r="D6" s="13">
        <x:f>D5*Assumptions!D22</x:f>
        <x:v>270000</x:v>
      </x:c>
      <x:c r="E6" s="6" t="inlineStr">
        <x:is>
          <x:t xml:space="preserve">Delivery, verification, platform usage.</x:t>
        </x:is>
      </x:c>
    </x:row>
    <x:row r="7">
      <x:c r="A7" s="3" t="inlineStr">
        <x:is>
          <x:t xml:space="preserve">Gross profit</x:t>
        </x:is>
      </x:c>
      <x:c r="B7" s="13">
        <x:f>B5-B6</x:f>
        <x:v>144000</x:v>
      </x:c>
      <x:c r="C7" s="13">
        <x:f>C5-C6</x:f>
        <x:v>520000</x:v>
      </x:c>
      <x:c r="D7" s="13">
        <x:f>D5-D6</x:f>
        <x:v>1230000</x:v>
      </x:c>
      <x:c r="E7" s="6" t="inlineStr">
        <x:is>
          <x:t xml:space="preserve"/>
        </x:is>
      </x:c>
    </x:row>
    <x:row r="8">
      <x:c r="A8" s="12" t="inlineStr">
        <x:is>
          <x:t xml:space="preserve">Gross margin</x:t>
        </x:is>
      </x:c>
      <x:c r="B8" s="20">
        <x:f>IFERROR(B7/B5,0)</x:f>
        <x:v>0.8</x:v>
      </x:c>
      <x:c r="C8" s="20">
        <x:f>IFERROR(C7/C5,0)</x:f>
        <x:v>0.8</x:v>
      </x:c>
      <x:c r="D8" s="20">
        <x:f>IFERROR(D7/D5,0)</x:f>
        <x:v>0.82</x:v>
      </x:c>
      <x:c r="E8" s="6" t="inlineStr">
        <x:is>
          <x:t xml:space="preserve"/>
        </x:is>
      </x:c>
    </x:row>
    <x:row r="9">
      <x:c r="A9" s="12" t="inlineStr">
        <x:is>
          <x:t xml:space="preserve">Payroll and benefits</x:t>
        </x:is>
      </x:c>
      <x:c r="B9" s="18">
        <x:f>Headcount!B12</x:f>
        <x:v>99800</x:v>
      </x:c>
      <x:c r="C9" s="18">
        <x:f>Headcount!C12</x:f>
        <x:v>287500</x:v>
      </x:c>
      <x:c r="D9" s="18">
        <x:f>Headcount!D12</x:f>
        <x:v>390000</x:v>
      </x:c>
      <x:c r="E9" s="6" t="inlineStr">
        <x:is>
          <x:t xml:space="preserve">Direct link from headcount.</x:t>
        </x:is>
      </x:c>
    </x:row>
    <x:row r="10">
      <x:c r="A10" s="12" t="inlineStr">
        <x:is>
          <x:t xml:space="preserve">Contractors / non-payroll tech</x:t>
        </x:is>
      </x:c>
      <x:c r="B10" s="13">
        <x:f>Assumptions!B31</x:f>
        <x:v>45000</x:v>
      </x:c>
      <x:c r="C10" s="13">
        <x:f>Assumptions!C31</x:f>
        <x:v>30000</x:v>
      </x:c>
      <x:c r="D10" s="13">
        <x:f>Assumptions!D31</x:f>
        <x:v>20000</x:v>
      </x:c>
      <x:c r="E10" s="6" t="inlineStr">
        <x:is>
          <x:t xml:space="preserve"/>
        </x:is>
      </x:c>
    </x:row>
    <x:row r="11">
      <x:c r="A11" s="12" t="inlineStr">
        <x:is>
          <x:t xml:space="preserve">Sales and marketing</x:t>
        </x:is>
      </x:c>
      <x:c r="B11" s="13">
        <x:f>Assumptions!B27</x:f>
        <x:v>18000</x:v>
      </x:c>
      <x:c r="C11" s="13">
        <x:f>Assumptions!C27</x:f>
        <x:v>60000</x:v>
      </x:c>
      <x:c r="D11" s="13">
        <x:f>Assumptions!D27</x:f>
        <x:v>120000</x:v>
      </x:c>
      <x:c r="E11" s="6" t="inlineStr">
        <x:is>
          <x:t xml:space="preserve"/>
        </x:is>
      </x:c>
    </x:row>
    <x:row r="12">
      <x:c r="A12" s="12" t="inlineStr">
        <x:is>
          <x:t xml:space="preserve">G&amp;A, legal, accounting</x:t>
        </x:is>
      </x:c>
      <x:c r="B12" s="13">
        <x:f>Assumptions!B28</x:f>
        <x:v>20000</x:v>
      </x:c>
      <x:c r="C12" s="13">
        <x:f>Assumptions!C28</x:f>
        <x:v>35000</x:v>
      </x:c>
      <x:c r="D12" s="13">
        <x:f>Assumptions!D28</x:f>
        <x:v>55000</x:v>
      </x:c>
      <x:c r="E12" s="6" t="inlineStr">
        <x:is>
          <x:t xml:space="preserve"/>
        </x:is>
      </x:c>
    </x:row>
    <x:row r="13">
      <x:c r="A13" s="12" t="inlineStr">
        <x:is>
          <x:t xml:space="preserve">Cloud, tools, data</x:t>
        </x:is>
      </x:c>
      <x:c r="B13" s="13">
        <x:f>Assumptions!B29</x:f>
        <x:v>15000</x:v>
      </x:c>
      <x:c r="C13" s="13">
        <x:f>Assumptions!C29</x:f>
        <x:v>25000</x:v>
      </x:c>
      <x:c r="D13" s="13">
        <x:f>Assumptions!D29</x:f>
        <x:v>45000</x:v>
      </x:c>
      <x:c r="E13" s="6" t="inlineStr">
        <x:is>
          <x:t xml:space="preserve"/>
        </x:is>
      </x:c>
    </x:row>
    <x:row r="14">
      <x:c r="A14" s="12" t="inlineStr">
        <x:is>
          <x:t xml:space="preserve">Travel and partnerships</x:t>
        </x:is>
      </x:c>
      <x:c r="B14" s="13">
        <x:f>Assumptions!B30</x:f>
        <x:v>10000</x:v>
      </x:c>
      <x:c r="C14" s="13">
        <x:f>Assumptions!C30</x:f>
        <x:v>20000</x:v>
      </x:c>
      <x:c r="D14" s="13">
        <x:f>Assumptions!D30</x:f>
        <x:v>30000</x:v>
      </x:c>
      <x:c r="E14" s="6" t="inlineStr">
        <x:is>
          <x:t xml:space="preserve"/>
        </x:is>
      </x:c>
    </x:row>
    <x:row r="15">
      <x:c r="A15" s="3" t="inlineStr">
        <x:is>
          <x:t xml:space="preserve">EBITDA</x:t>
        </x:is>
      </x:c>
      <x:c r="B15" s="13">
        <x:f>B7-SUM(B9:B13)</x:f>
        <x:v>-53800</x:v>
      </x:c>
      <x:c r="C15" s="13">
        <x:f>C7-SUM(C9:C13)</x:f>
        <x:v>82500</x:v>
      </x:c>
      <x:c r="D15" s="13">
        <x:f>D7-SUM(D9:D13)</x:f>
        <x:v>600000</x:v>
      </x:c>
      <x:c r="E15" s="6" t="inlineStr">
        <x:is>
          <x:t xml:space="preserve"/>
        </x:is>
      </x:c>
    </x:row>
    <x:row r="16">
      <x:c r="A16" s="12" t="inlineStr">
        <x:is>
          <x:t xml:space="preserve">Depreciation</x:t>
        </x:is>
      </x:c>
      <x:c r="B16" s="13">
        <x:f>Assumptions!B32/3</x:f>
        <x:v>1666.6666666666667</x:v>
      </x:c>
      <x:c r="C16" s="13">
        <x:f>Assumptions!C32/3</x:f>
        <x:v>2666.6666666666665</x:v>
      </x:c>
      <x:c r="D16" s="13">
        <x:f>Assumptions!D32/3</x:f>
        <x:v>3333.3333333333335</x:v>
      </x:c>
      <x:c r="E16" s="6" t="inlineStr">
        <x:is>
          <x:t xml:space="preserve">Straight-line on capex.</x:t>
        </x:is>
      </x:c>
    </x:row>
    <x:row r="17">
      <x:c r="A17" s="12" t="inlineStr">
        <x:is>
          <x:t xml:space="preserve">EBIT</x:t>
        </x:is>
      </x:c>
      <x:c r="B17" s="13">
        <x:f>B15-B16</x:f>
        <x:v>-55466.666666666664</x:v>
      </x:c>
      <x:c r="C17" s="13">
        <x:f>C15-C16</x:f>
        <x:v>79833.33333333333</x:v>
      </x:c>
      <x:c r="D17" s="13">
        <x:f>D15-D16</x:f>
        <x:v>596666.6666666666</x:v>
      </x:c>
      <x:c r="E17" s="6" t="inlineStr">
        <x:is>
          <x:t xml:space="preserve"/>
        </x:is>
      </x:c>
    </x:row>
    <x:row r="18">
      <x:c r="A18" s="12" t="inlineStr">
        <x:is>
          <x:t xml:space="preserve">Taxes</x:t>
        </x:is>
      </x:c>
      <x:c r="B18" s="13">
        <x:f>IF(B17&gt;0,B17*Assumptions!B35,0)</x:f>
        <x:v>0</x:v>
      </x:c>
      <x:c r="C18" s="13">
        <x:f>IF(C17&gt;0,C17*Assumptions!B35,0)</x:f>
        <x:v>19958.333333333332</x:v>
      </x:c>
      <x:c r="D18" s="13">
        <x:f>IF(D17&gt;0,D17*Assumptions!B35,0)</x:f>
        <x:v>149166.66666666666</x:v>
      </x:c>
      <x:c r="E18" s="6" t="inlineStr">
        <x:is>
          <x:t xml:space="preserve"/>
        </x:is>
      </x:c>
    </x:row>
    <x:row r="19">
      <x:c r="A19" s="3" t="inlineStr">
        <x:is>
          <x:t xml:space="preserve">Net income</x:t>
        </x:is>
      </x:c>
      <x:c r="B19" s="13">
        <x:f>B17-B18</x:f>
        <x:v>-55466.666666666664</x:v>
      </x:c>
      <x:c r="C19" s="13">
        <x:f>C17-C18</x:f>
        <x:v>59875</x:v>
      </x:c>
      <x:c r="D19" s="13">
        <x:f>D17-D18</x:f>
        <x:v>447500</x:v>
      </x:c>
      <x:c r="E19" s="6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</x:cols>
  <x:sheetData>
    <x:row r="1" ht="24" customHeight="1">
      <x:c r="A1" s="1" t="inlineStr">
        <x:is>
          <x:t xml:space="preserve">18-Month Bridge Cash Flow</x:t>
        </x:is>
      </x:c>
    </x:row>
    <x:row r="2" ht="18" customHeight="1">
      <x:c r="A2" s="2" t="inlineStr">
        <x:is>
          <x:t xml:space="preserve">Updated bridge-round investor package; formulas linked and audited against uploaded slide and feedback.</x:t>
        </x:is>
      </x:c>
    </x:row>
    <x:row r="3"/>
    <x:row r="4">
      <x:c r="A4" s="8" t="inlineStr">
        <x:is>
          <x:t xml:space="preserve">Line item</x:t>
        </x:is>
      </x:c>
      <x:c r="B4" s="8" t="inlineStr">
        <x:is>
          <x:t xml:space="preserve">M1</x:t>
        </x:is>
      </x:c>
      <x:c r="C4" s="8" t="inlineStr">
        <x:is>
          <x:t xml:space="preserve">M2</x:t>
        </x:is>
      </x:c>
      <x:c r="D4" s="8" t="inlineStr">
        <x:is>
          <x:t xml:space="preserve">M3</x:t>
        </x:is>
      </x:c>
      <x:c r="E4" s="8" t="inlineStr">
        <x:is>
          <x:t xml:space="preserve">M4</x:t>
        </x:is>
      </x:c>
      <x:c r="F4" s="8" t="inlineStr">
        <x:is>
          <x:t xml:space="preserve">M5</x:t>
        </x:is>
      </x:c>
      <x:c r="G4" s="8" t="inlineStr">
        <x:is>
          <x:t xml:space="preserve">M6</x:t>
        </x:is>
      </x:c>
      <x:c r="H4" s="8" t="inlineStr">
        <x:is>
          <x:t xml:space="preserve">M7</x:t>
        </x:is>
      </x:c>
      <x:c r="I4" s="8" t="inlineStr">
        <x:is>
          <x:t xml:space="preserve">M8</x:t>
        </x:is>
      </x:c>
      <x:c r="J4" s="8" t="inlineStr">
        <x:is>
          <x:t xml:space="preserve">M9</x:t>
        </x:is>
      </x:c>
      <x:c r="K4" s="8" t="inlineStr">
        <x:is>
          <x:t xml:space="preserve">M10</x:t>
        </x:is>
      </x:c>
      <x:c r="L4" s="8" t="inlineStr">
        <x:is>
          <x:t xml:space="preserve">M11</x:t>
        </x:is>
      </x:c>
      <x:c r="M4" s="8" t="inlineStr">
        <x:is>
          <x:t xml:space="preserve">M12</x:t>
        </x:is>
      </x:c>
      <x:c r="N4" s="8" t="inlineStr">
        <x:is>
          <x:t xml:space="preserve">M13</x:t>
        </x:is>
      </x:c>
      <x:c r="O4" s="8" t="inlineStr">
        <x:is>
          <x:t xml:space="preserve">M14</x:t>
        </x:is>
      </x:c>
      <x:c r="P4" s="8" t="inlineStr">
        <x:is>
          <x:t xml:space="preserve">M15</x:t>
        </x:is>
      </x:c>
      <x:c r="Q4" s="8" t="inlineStr">
        <x:is>
          <x:t xml:space="preserve">M16</x:t>
        </x:is>
      </x:c>
      <x:c r="R4" s="8" t="inlineStr">
        <x:is>
          <x:t xml:space="preserve">M17</x:t>
        </x:is>
      </x:c>
      <x:c r="S4" s="8" t="inlineStr">
        <x:is>
          <x:t xml:space="preserve">M18</x:t>
        </x:is>
      </x:c>
      <x:c r="T4" s="8" t="inlineStr">
        <x:is>
          <x:t xml:space="preserve">Total</x:t>
        </x:is>
      </x:c>
    </x:row>
    <x:row r="5">
      <x:c r="A5" s="3" t="inlineStr">
        <x:is>
          <x:t xml:space="preserve">Beginning cash</x:t>
        </x:is>
      </x:c>
      <x:c r="B5" s="13">
        <x:f>0</x:f>
        <x:v>0</x:v>
      </x:c>
      <x:c r="C5" s="13">
        <x:f>B17</x:f>
        <x:v>236586.6666666667</x:v>
      </x:c>
      <x:c r="D5" s="13">
        <x:f>C17</x:f>
        <x:v>224613.33333333334</x:v>
      </x:c>
      <x:c r="E5" s="13">
        <x:f>D17</x:f>
        <x:v>214080</x:v>
      </x:c>
      <x:c r="F5" s="13">
        <x:f>E17</x:f>
        <x:v>204986.66666666666</x:v>
      </x:c>
      <x:c r="G5" s="13">
        <x:f>F17</x:f>
        <x:v>195893.3333333333</x:v>
      </x:c>
      <x:c r="H5" s="13">
        <x:f>G17</x:f>
        <x:v>188239.99999999997</x:v>
      </x:c>
      <x:c r="I5" s="13">
        <x:f>H17</x:f>
        <x:v>182026.66666666663</x:v>
      </x:c>
      <x:c r="J5" s="13">
        <x:f>I17</x:f>
        <x:v>177253.33333333328</x:v>
      </x:c>
      <x:c r="K5" s="13">
        <x:f>J17</x:f>
        <x:v>173919.99999999994</x:v>
      </x:c>
      <x:c r="L5" s="13">
        <x:f>K17</x:f>
        <x:v>172026.6666666666</x:v>
      </x:c>
      <x:c r="M5" s="13">
        <x:f>L17</x:f>
        <x:v>175893.33333333326</x:v>
      </x:c>
      <x:c r="N5" s="13">
        <x:f>M17</x:f>
        <x:v>181199.9999999999</x:v>
      </x:c>
      <x:c r="O5" s="13">
        <x:f>N17</x:f>
        <x:v>163208.33333333326</x:v>
      </x:c>
      <x:c r="P5" s="13">
        <x:f>O17</x:f>
        <x:v>150416.6666666666</x:v>
      </x:c>
      <x:c r="Q5" s="13">
        <x:f>P17</x:f>
        <x:v>137624.99999999994</x:v>
      </x:c>
      <x:c r="R5" s="13">
        <x:f>Q17</x:f>
        <x:v>130033.33333333327</x:v>
      </x:c>
      <x:c r="S5" s="13">
        <x:f>R17</x:f>
        <x:v>127641.66666666661</x:v>
      </x:c>
      <x:c r="T5" s="13">
        <x:f>0</x:f>
        <x:v>0</x:v>
      </x:c>
    </x:row>
    <x:row r="6">
      <x:c r="A6" s="12" t="inlineStr">
        <x:is>
          <x:t xml:space="preserve">Equity raise</x:t>
        </x:is>
      </x:c>
      <x:c r="B6" s="14">
        <x:f>IF(COLUMN()=2,Assumptions!$B$6,0)</x:f>
        <x:v>250000</x:v>
      </x:c>
      <x:c r="C6" s="13">
        <x:f>IF(COLUMN()=2,Assumptions!$B$6,0)</x:f>
        <x:v>0</x:v>
      </x:c>
      <x:c r="D6" s="13">
        <x:f>IF(COLUMN()=2,Assumptions!$B$6,0)</x:f>
        <x:v>0</x:v>
      </x:c>
      <x:c r="E6" s="13">
        <x:f>IF(COLUMN()=2,Assumptions!$B$6,0)</x:f>
        <x:v>0</x:v>
      </x:c>
      <x:c r="F6" s="13">
        <x:f>IF(COLUMN()=2,Assumptions!$B$6,0)</x:f>
        <x:v>0</x:v>
      </x:c>
      <x:c r="G6" s="13">
        <x:f>IF(COLUMN()=2,Assumptions!$B$6,0)</x:f>
        <x:v>0</x:v>
      </x:c>
      <x:c r="H6" s="13">
        <x:f>IF(COLUMN()=2,Assumptions!$B$6,0)</x:f>
        <x:v>0</x:v>
      </x:c>
      <x:c r="I6" s="13">
        <x:f>IF(COLUMN()=2,Assumptions!$B$6,0)</x:f>
        <x:v>0</x:v>
      </x:c>
      <x:c r="J6" s="13">
        <x:f>IF(COLUMN()=2,Assumptions!$B$6,0)</x:f>
        <x:v>0</x:v>
      </x:c>
      <x:c r="K6" s="13">
        <x:f>IF(COLUMN()=2,Assumptions!$B$6,0)</x:f>
        <x:v>0</x:v>
      </x:c>
      <x:c r="L6" s="13">
        <x:f>IF(COLUMN()=2,Assumptions!$B$6,0)</x:f>
        <x:v>0</x:v>
      </x:c>
      <x:c r="M6" s="13">
        <x:f>IF(COLUMN()=2,Assumptions!$B$6,0)</x:f>
        <x:v>0</x:v>
      </x:c>
      <x:c r="N6" s="13">
        <x:f>IF(COLUMN()=2,Assumptions!$B$6,0)</x:f>
        <x:v>0</x:v>
      </x:c>
      <x:c r="O6" s="13">
        <x:f>IF(COLUMN()=2,Assumptions!$B$6,0)</x:f>
        <x:v>0</x:v>
      </x:c>
      <x:c r="P6" s="13">
        <x:f>IF(COLUMN()=2,Assumptions!$B$6,0)</x:f>
        <x:v>0</x:v>
      </x:c>
      <x:c r="Q6" s="13">
        <x:f>IF(COLUMN()=2,Assumptions!$B$6,0)</x:f>
        <x:v>0</x:v>
      </x:c>
      <x:c r="R6" s="13">
        <x:f>IF(COLUMN()=2,Assumptions!$B$6,0)</x:f>
        <x:v>0</x:v>
      </x:c>
      <x:c r="S6" s="13">
        <x:f>IF(COLUMN()=2,Assumptions!$B$6,0)</x:f>
        <x:v>0</x:v>
      </x:c>
      <x:c r="T6" s="13">
        <x:f>SUM(B6:S6)</x:f>
        <x:v>250000</x:v>
      </x:c>
    </x:row>
    <x:row r="7">
      <x:c r="A7" s="12" t="inlineStr">
        <x:is>
          <x:t xml:space="preserve">Revenue receipts</x:t>
        </x:is>
      </x:c>
      <x:c r="B7" s="13">
        <x:f>'Revenue Build'!$B$11*0.03</x:f>
        <x:v>5400</x:v>
      </x:c>
      <x:c r="C7" s="13">
        <x:f>'Revenue Build'!$B$11*0.04</x:f>
        <x:v>7200</x:v>
      </x:c>
      <x:c r="D7" s="13">
        <x:f>'Revenue Build'!$B$11*0.05</x:f>
        <x:v>9000</x:v>
      </x:c>
      <x:c r="E7" s="13">
        <x:f>'Revenue Build'!$B$11*0.06</x:f>
        <x:v>10800</x:v>
      </x:c>
      <x:c r="F7" s="13">
        <x:f>'Revenue Build'!$B$11*0.06</x:f>
        <x:v>10800</x:v>
      </x:c>
      <x:c r="G7" s="13">
        <x:f>'Revenue Build'!$B$11*0.07</x:f>
        <x:v>12600.000000000002</x:v>
      </x:c>
      <x:c r="H7" s="13">
        <x:f>'Revenue Build'!$B$11*0.08</x:f>
        <x:v>14400</x:v>
      </x:c>
      <x:c r="I7" s="13">
        <x:f>'Revenue Build'!$B$11*0.09</x:f>
        <x:v>16200</x:v>
      </x:c>
      <x:c r="J7" s="13">
        <x:f>'Revenue Build'!$B$11*0.1</x:f>
        <x:v>18000</x:v>
      </x:c>
      <x:c r="K7" s="13">
        <x:f>'Revenue Build'!$B$11*0.11</x:f>
        <x:v>19800</x:v>
      </x:c>
      <x:c r="L7" s="13">
        <x:f>'Revenue Build'!$B$11*0.15</x:f>
        <x:v>27000</x:v>
      </x:c>
      <x:c r="M7" s="13">
        <x:f>'Revenue Build'!$B$11*0.16</x:f>
        <x:v>28800</x:v>
      </x:c>
      <x:c r="N7" s="13">
        <x:f>'Revenue Build'!$C$11*0.04</x:f>
        <x:v>26000</x:v>
      </x:c>
      <x:c r="O7" s="13">
        <x:f>'Revenue Build'!$C$11*0.05</x:f>
        <x:v>32500</x:v>
      </x:c>
      <x:c r="P7" s="13">
        <x:f>'Revenue Build'!$C$11*0.05</x:f>
        <x:v>32500</x:v>
      </x:c>
      <x:c r="Q7" s="13">
        <x:f>'Revenue Build'!$C$11*0.06</x:f>
        <x:v>39000</x:v>
      </x:c>
      <x:c r="R7" s="13">
        <x:f>'Revenue Build'!$C$11*0.07</x:f>
        <x:v>45500.00000000001</x:v>
      </x:c>
      <x:c r="S7" s="13">
        <x:f>'Revenue Build'!$C$11*0.08</x:f>
        <x:v>52000</x:v>
      </x:c>
      <x:c r="T7" s="13">
        <x:f>SUM(B7:S7)</x:f>
        <x:v>407500</x:v>
      </x:c>
    </x:row>
    <x:row r="8">
      <x:c r="A8" s="12" t="inlineStr">
        <x:is>
          <x:t xml:space="preserve">COGS cash</x:t>
        </x:is>
      </x:c>
      <x:c r="B8" s="13">
        <x:f>-B7*0.20</x:f>
        <x:v>-1080</x:v>
      </x:c>
      <x:c r="C8" s="13">
        <x:f>-C7*0.20</x:f>
        <x:v>-1440</x:v>
      </x:c>
      <x:c r="D8" s="13">
        <x:f>-D7*0.20</x:f>
        <x:v>-1800</x:v>
      </x:c>
      <x:c r="E8" s="13">
        <x:f>-E7*0.20</x:f>
        <x:v>-2160</x:v>
      </x:c>
      <x:c r="F8" s="13">
        <x:f>-F7*0.20</x:f>
        <x:v>-2160</x:v>
      </x:c>
      <x:c r="G8" s="13">
        <x:f>-G7*0.20</x:f>
        <x:v>-2520.0000000000005</x:v>
      </x:c>
      <x:c r="H8" s="13">
        <x:f>-H7*0.20</x:f>
        <x:v>-2880</x:v>
      </x:c>
      <x:c r="I8" s="13">
        <x:f>-I7*0.20</x:f>
        <x:v>-3240</x:v>
      </x:c>
      <x:c r="J8" s="13">
        <x:f>-J7*0.20</x:f>
        <x:v>-3600</x:v>
      </x:c>
      <x:c r="K8" s="13">
        <x:f>-K7*0.20</x:f>
        <x:v>-3960</x:v>
      </x:c>
      <x:c r="L8" s="13">
        <x:f>-L7*0.20</x:f>
        <x:v>-5400</x:v>
      </x:c>
      <x:c r="M8" s="13">
        <x:f>-M7*0.20</x:f>
        <x:v>-5760</x:v>
      </x:c>
      <x:c r="N8" s="13">
        <x:f>-N7*0.20</x:f>
        <x:v>-5200</x:v>
      </x:c>
      <x:c r="O8" s="13">
        <x:f>-O7*0.20</x:f>
        <x:v>-6500</x:v>
      </x:c>
      <x:c r="P8" s="13">
        <x:f>-P7*0.20</x:f>
        <x:v>-6500</x:v>
      </x:c>
      <x:c r="Q8" s="13">
        <x:f>-Q7*0.20</x:f>
        <x:v>-7800</x:v>
      </x:c>
      <x:c r="R8" s="13">
        <x:f>-R7*0.20</x:f>
        <x:v>-9100.000000000002</x:v>
      </x:c>
      <x:c r="S8" s="13">
        <x:f>-S7*0.20</x:f>
        <x:v>-10400</x:v>
      </x:c>
      <x:c r="T8" s="13">
        <x:f>SUM(B8:S8)</x:f>
        <x:v>-81500</x:v>
      </x:c>
    </x:row>
    <x:row r="9">
      <x:c r="A9" s="12" t="inlineStr">
        <x:is>
          <x:t xml:space="preserve">Payroll</x:t>
        </x:is>
      </x:c>
      <x:c r="B9" s="13">
        <x:f>-Headcount!$B$12/12</x:f>
        <x:v>-8316.666666666666</x:v>
      </x:c>
      <x:c r="C9" s="13">
        <x:f>-Headcount!$B$12/12</x:f>
        <x:v>-8316.666666666666</x:v>
      </x:c>
      <x:c r="D9" s="13">
        <x:f>-Headcount!$B$12/12</x:f>
        <x:v>-8316.666666666666</x:v>
      </x:c>
      <x:c r="E9" s="13">
        <x:f>-Headcount!$B$12/12</x:f>
        <x:v>-8316.666666666666</x:v>
      </x:c>
      <x:c r="F9" s="13">
        <x:f>-Headcount!$B$12/12</x:f>
        <x:v>-8316.666666666666</x:v>
      </x:c>
      <x:c r="G9" s="13">
        <x:f>-Headcount!$B$12/12</x:f>
        <x:v>-8316.666666666666</x:v>
      </x:c>
      <x:c r="H9" s="13">
        <x:f>-Headcount!$B$12/12</x:f>
        <x:v>-8316.666666666666</x:v>
      </x:c>
      <x:c r="I9" s="13">
        <x:f>-Headcount!$B$12/12</x:f>
        <x:v>-8316.666666666666</x:v>
      </x:c>
      <x:c r="J9" s="13">
        <x:f>-Headcount!$B$12/12</x:f>
        <x:v>-8316.666666666666</x:v>
      </x:c>
      <x:c r="K9" s="13">
        <x:f>-Headcount!$B$12/12</x:f>
        <x:v>-8316.666666666666</x:v>
      </x:c>
      <x:c r="L9" s="13">
        <x:f>-Headcount!$B$12/12</x:f>
        <x:v>-8316.666666666666</x:v>
      </x:c>
      <x:c r="M9" s="13">
        <x:f>-Headcount!$B$12/12</x:f>
        <x:v>-8316.666666666666</x:v>
      </x:c>
      <x:c r="N9" s="13">
        <x:f>-Headcount!$C$12/12</x:f>
        <x:v>-23958.333333333332</x:v>
      </x:c>
      <x:c r="O9" s="13">
        <x:f>-Headcount!$C$12/12</x:f>
        <x:v>-23958.333333333332</x:v>
      </x:c>
      <x:c r="P9" s="13">
        <x:f>-Headcount!$C$12/12</x:f>
        <x:v>-23958.333333333332</x:v>
      </x:c>
      <x:c r="Q9" s="13">
        <x:f>-Headcount!$C$12/12</x:f>
        <x:v>-23958.333333333332</x:v>
      </x:c>
      <x:c r="R9" s="13">
        <x:f>-Headcount!$C$12/12</x:f>
        <x:v>-23958.333333333332</x:v>
      </x:c>
      <x:c r="S9" s="13">
        <x:f>-Headcount!$C$12/12</x:f>
        <x:v>-23958.333333333332</x:v>
      </x:c>
      <x:c r="T9" s="13">
        <x:f>SUM(B9:S9)</x:f>
        <x:v>-243550.00000000006</x:v>
      </x:c>
    </x:row>
    <x:row r="10">
      <x:c r="A10" s="12" t="inlineStr">
        <x:is>
          <x:t xml:space="preserve">Contractors</x:t>
        </x:is>
      </x:c>
      <x:c r="B10" s="13">
        <x:f>-Assumptions!$B$31/12</x:f>
        <x:v>-3750</x:v>
      </x:c>
      <x:c r="C10" s="13">
        <x:f>-Assumptions!$B$31/12</x:f>
        <x:v>-3750</x:v>
      </x:c>
      <x:c r="D10" s="13">
        <x:f>-Assumptions!$B$31/12</x:f>
        <x:v>-3750</x:v>
      </x:c>
      <x:c r="E10" s="13">
        <x:f>-Assumptions!$B$31/12</x:f>
        <x:v>-3750</x:v>
      </x:c>
      <x:c r="F10" s="13">
        <x:f>-Assumptions!$B$31/12</x:f>
        <x:v>-3750</x:v>
      </x:c>
      <x:c r="G10" s="13">
        <x:f>-Assumptions!$B$31/12</x:f>
        <x:v>-3750</x:v>
      </x:c>
      <x:c r="H10" s="13">
        <x:f>-Assumptions!$B$31/12</x:f>
        <x:v>-3750</x:v>
      </x:c>
      <x:c r="I10" s="13">
        <x:f>-Assumptions!$B$31/12</x:f>
        <x:v>-3750</x:v>
      </x:c>
      <x:c r="J10" s="13">
        <x:f>-Assumptions!$B$31/12</x:f>
        <x:v>-3750</x:v>
      </x:c>
      <x:c r="K10" s="13">
        <x:f>-Assumptions!$B$31/12</x:f>
        <x:v>-3750</x:v>
      </x:c>
      <x:c r="L10" s="13">
        <x:f>-Assumptions!$B$31/12</x:f>
        <x:v>-3750</x:v>
      </x:c>
      <x:c r="M10" s="13">
        <x:f>-Assumptions!$B$31/12</x:f>
        <x:v>-3750</x:v>
      </x:c>
      <x:c r="N10" s="13">
        <x:f>-Assumptions!$C$31/12</x:f>
        <x:v>-2500</x:v>
      </x:c>
      <x:c r="O10" s="13">
        <x:f>-Assumptions!$C$31/12</x:f>
        <x:v>-2500</x:v>
      </x:c>
      <x:c r="P10" s="13">
        <x:f>-Assumptions!$C$31/12</x:f>
        <x:v>-2500</x:v>
      </x:c>
      <x:c r="Q10" s="13">
        <x:f>-Assumptions!$C$31/12</x:f>
        <x:v>-2500</x:v>
      </x:c>
      <x:c r="R10" s="13">
        <x:f>-Assumptions!$C$31/12</x:f>
        <x:v>-2500</x:v>
      </x:c>
      <x:c r="S10" s="13">
        <x:f>-Assumptions!$C$31/12</x:f>
        <x:v>-2500</x:v>
      </x:c>
      <x:c r="T10" s="13">
        <x:f>SUM(B10:S10)</x:f>
        <x:v>-60000</x:v>
      </x:c>
    </x:row>
    <x:row r="11">
      <x:c r="A11" s="12" t="inlineStr">
        <x:is>
          <x:t xml:space="preserve">Sales &amp; marketing</x:t>
        </x:is>
      </x:c>
      <x:c r="B11" s="13">
        <x:f>-Assumptions!$B$27/12</x:f>
        <x:v>-1500</x:v>
      </x:c>
      <x:c r="C11" s="13">
        <x:f>-Assumptions!$B$27/12</x:f>
        <x:v>-1500</x:v>
      </x:c>
      <x:c r="D11" s="13">
        <x:f>-Assumptions!$B$27/12</x:f>
        <x:v>-1500</x:v>
      </x:c>
      <x:c r="E11" s="13">
        <x:f>-Assumptions!$B$27/12</x:f>
        <x:v>-1500</x:v>
      </x:c>
      <x:c r="F11" s="13">
        <x:f>-Assumptions!$B$27/12</x:f>
        <x:v>-1500</x:v>
      </x:c>
      <x:c r="G11" s="13">
        <x:f>-Assumptions!$B$27/12</x:f>
        <x:v>-1500</x:v>
      </x:c>
      <x:c r="H11" s="13">
        <x:f>-Assumptions!$B$27/12</x:f>
        <x:v>-1500</x:v>
      </x:c>
      <x:c r="I11" s="13">
        <x:f>-Assumptions!$B$27/12</x:f>
        <x:v>-1500</x:v>
      </x:c>
      <x:c r="J11" s="13">
        <x:f>-Assumptions!$B$27/12</x:f>
        <x:v>-1500</x:v>
      </x:c>
      <x:c r="K11" s="13">
        <x:f>-Assumptions!$B$27/12</x:f>
        <x:v>-1500</x:v>
      </x:c>
      <x:c r="L11" s="13">
        <x:f>-Assumptions!$B$27/12</x:f>
        <x:v>-1500</x:v>
      </x:c>
      <x:c r="M11" s="13">
        <x:f>-Assumptions!$B$27/12</x:f>
        <x:v>-1500</x:v>
      </x:c>
      <x:c r="N11" s="13">
        <x:f>-Assumptions!$C$27/12</x:f>
        <x:v>-5000</x:v>
      </x:c>
      <x:c r="O11" s="13">
        <x:f>-Assumptions!$C$27/12</x:f>
        <x:v>-5000</x:v>
      </x:c>
      <x:c r="P11" s="13">
        <x:f>-Assumptions!$C$27/12</x:f>
        <x:v>-5000</x:v>
      </x:c>
      <x:c r="Q11" s="13">
        <x:f>-Assumptions!$C$27/12</x:f>
        <x:v>-5000</x:v>
      </x:c>
      <x:c r="R11" s="13">
        <x:f>-Assumptions!$C$27/12</x:f>
        <x:v>-5000</x:v>
      </x:c>
      <x:c r="S11" s="13">
        <x:f>-Assumptions!$C$27/12</x:f>
        <x:v>-5000</x:v>
      </x:c>
      <x:c r="T11" s="13">
        <x:f>SUM(B11:S11)</x:f>
        <x:v>-48000</x:v>
      </x:c>
    </x:row>
    <x:row r="12">
      <x:c r="A12" s="12" t="inlineStr">
        <x:is>
          <x:t xml:space="preserve">G&amp;A</x:t>
        </x:is>
      </x:c>
      <x:c r="B12" s="13">
        <x:f>-Assumptions!$B$28/12</x:f>
        <x:v>-1666.6666666666667</x:v>
      </x:c>
      <x:c r="C12" s="13">
        <x:f>-Assumptions!$B$28/12</x:f>
        <x:v>-1666.6666666666667</x:v>
      </x:c>
      <x:c r="D12" s="13">
        <x:f>-Assumptions!$B$28/12</x:f>
        <x:v>-1666.6666666666667</x:v>
      </x:c>
      <x:c r="E12" s="13">
        <x:f>-Assumptions!$B$28/12</x:f>
        <x:v>-1666.6666666666667</x:v>
      </x:c>
      <x:c r="F12" s="13">
        <x:f>-Assumptions!$B$28/12</x:f>
        <x:v>-1666.6666666666667</x:v>
      </x:c>
      <x:c r="G12" s="13">
        <x:f>-Assumptions!$B$28/12</x:f>
        <x:v>-1666.6666666666667</x:v>
      </x:c>
      <x:c r="H12" s="13">
        <x:f>-Assumptions!$B$28/12</x:f>
        <x:v>-1666.6666666666667</x:v>
      </x:c>
      <x:c r="I12" s="13">
        <x:f>-Assumptions!$B$28/12</x:f>
        <x:v>-1666.6666666666667</x:v>
      </x:c>
      <x:c r="J12" s="13">
        <x:f>-Assumptions!$B$28/12</x:f>
        <x:v>-1666.6666666666667</x:v>
      </x:c>
      <x:c r="K12" s="13">
        <x:f>-Assumptions!$B$28/12</x:f>
        <x:v>-1666.6666666666667</x:v>
      </x:c>
      <x:c r="L12" s="13">
        <x:f>-Assumptions!$B$28/12</x:f>
        <x:v>-1666.6666666666667</x:v>
      </x:c>
      <x:c r="M12" s="13">
        <x:f>-Assumptions!$B$28/12</x:f>
        <x:v>-1666.6666666666667</x:v>
      </x:c>
      <x:c r="N12" s="13">
        <x:f>-Assumptions!$C$28/12</x:f>
        <x:v>-2916.6666666666665</x:v>
      </x:c>
      <x:c r="O12" s="13">
        <x:f>-Assumptions!$C$28/12</x:f>
        <x:v>-2916.6666666666665</x:v>
      </x:c>
      <x:c r="P12" s="13">
        <x:f>-Assumptions!$C$28/12</x:f>
        <x:v>-2916.6666666666665</x:v>
      </x:c>
      <x:c r="Q12" s="13">
        <x:f>-Assumptions!$C$28/12</x:f>
        <x:v>-2916.6666666666665</x:v>
      </x:c>
      <x:c r="R12" s="13">
        <x:f>-Assumptions!$C$28/12</x:f>
        <x:v>-2916.6666666666665</x:v>
      </x:c>
      <x:c r="S12" s="13">
        <x:f>-Assumptions!$C$28/12</x:f>
        <x:v>-2916.6666666666665</x:v>
      </x:c>
      <x:c r="T12" s="13">
        <x:f>SUM(B12:S12)</x:f>
        <x:v>-37500</x:v>
      </x:c>
    </x:row>
    <x:row r="13">
      <x:c r="A13" s="12" t="inlineStr">
        <x:is>
          <x:t xml:space="preserve">Cloud / data / tools</x:t>
        </x:is>
      </x:c>
      <x:c r="B13" s="13">
        <x:f>-Assumptions!$B$29/12</x:f>
        <x:v>-1250</x:v>
      </x:c>
      <x:c r="C13" s="13">
        <x:f>-Assumptions!$B$29/12</x:f>
        <x:v>-1250</x:v>
      </x:c>
      <x:c r="D13" s="13">
        <x:f>-Assumptions!$B$29/12</x:f>
        <x:v>-1250</x:v>
      </x:c>
      <x:c r="E13" s="13">
        <x:f>-Assumptions!$B$29/12</x:f>
        <x:v>-1250</x:v>
      </x:c>
      <x:c r="F13" s="13">
        <x:f>-Assumptions!$B$29/12</x:f>
        <x:v>-1250</x:v>
      </x:c>
      <x:c r="G13" s="13">
        <x:f>-Assumptions!$B$29/12</x:f>
        <x:v>-1250</x:v>
      </x:c>
      <x:c r="H13" s="13">
        <x:f>-Assumptions!$B$29/12</x:f>
        <x:v>-1250</x:v>
      </x:c>
      <x:c r="I13" s="13">
        <x:f>-Assumptions!$B$29/12</x:f>
        <x:v>-1250</x:v>
      </x:c>
      <x:c r="J13" s="13">
        <x:f>-Assumptions!$B$29/12</x:f>
        <x:v>-1250</x:v>
      </x:c>
      <x:c r="K13" s="13">
        <x:f>-Assumptions!$B$29/12</x:f>
        <x:v>-1250</x:v>
      </x:c>
      <x:c r="L13" s="13">
        <x:f>-Assumptions!$B$29/12</x:f>
        <x:v>-1250</x:v>
      </x:c>
      <x:c r="M13" s="13">
        <x:f>-Assumptions!$B$29/12</x:f>
        <x:v>-1250</x:v>
      </x:c>
      <x:c r="N13" s="13">
        <x:f>-Assumptions!$C$29/12</x:f>
        <x:v>-2083.3333333333335</x:v>
      </x:c>
      <x:c r="O13" s="13">
        <x:f>-Assumptions!$C$29/12</x:f>
        <x:v>-2083.3333333333335</x:v>
      </x:c>
      <x:c r="P13" s="13">
        <x:f>-Assumptions!$C$29/12</x:f>
        <x:v>-2083.3333333333335</x:v>
      </x:c>
      <x:c r="Q13" s="13">
        <x:f>-Assumptions!$C$29/12</x:f>
        <x:v>-2083.3333333333335</x:v>
      </x:c>
      <x:c r="R13" s="13">
        <x:f>-Assumptions!$C$29/12</x:f>
        <x:v>-2083.3333333333335</x:v>
      </x:c>
      <x:c r="S13" s="13">
        <x:f>-Assumptions!$C$29/12</x:f>
        <x:v>-2083.3333333333335</x:v>
      </x:c>
      <x:c r="T13" s="13">
        <x:f>SUM(B13:S13)</x:f>
        <x:v>-27499.999999999993</x:v>
      </x:c>
    </x:row>
    <x:row r="14">
      <x:c r="A14" s="12" t="inlineStr">
        <x:is>
          <x:t xml:space="preserve">Travel</x:t>
        </x:is>
      </x:c>
      <x:c r="B14" s="13">
        <x:f>-Assumptions!$B$30/12</x:f>
        <x:v>-833.3333333333334</x:v>
      </x:c>
      <x:c r="C14" s="13">
        <x:f>-Assumptions!$B$30/12</x:f>
        <x:v>-833.3333333333334</x:v>
      </x:c>
      <x:c r="D14" s="13">
        <x:f>-Assumptions!$B$30/12</x:f>
        <x:v>-833.3333333333334</x:v>
      </x:c>
      <x:c r="E14" s="13">
        <x:f>-Assumptions!$B$30/12</x:f>
        <x:v>-833.3333333333334</x:v>
      </x:c>
      <x:c r="F14" s="13">
        <x:f>-Assumptions!$B$30/12</x:f>
        <x:v>-833.3333333333334</x:v>
      </x:c>
      <x:c r="G14" s="13">
        <x:f>-Assumptions!$B$30/12</x:f>
        <x:v>-833.3333333333334</x:v>
      </x:c>
      <x:c r="H14" s="13">
        <x:f>-Assumptions!$B$30/12</x:f>
        <x:v>-833.3333333333334</x:v>
      </x:c>
      <x:c r="I14" s="13">
        <x:f>-Assumptions!$B$30/12</x:f>
        <x:v>-833.3333333333334</x:v>
      </x:c>
      <x:c r="J14" s="13">
        <x:f>-Assumptions!$B$30/12</x:f>
        <x:v>-833.3333333333334</x:v>
      </x:c>
      <x:c r="K14" s="13">
        <x:f>-Assumptions!$B$30/12</x:f>
        <x:v>-833.3333333333334</x:v>
      </x:c>
      <x:c r="L14" s="13">
        <x:f>-Assumptions!$B$30/12</x:f>
        <x:v>-833.3333333333334</x:v>
      </x:c>
      <x:c r="M14" s="13">
        <x:f>-Assumptions!$B$30/12</x:f>
        <x:v>-833.3333333333334</x:v>
      </x:c>
      <x:c r="N14" s="13">
        <x:f>-Assumptions!$C$30/12</x:f>
        <x:v>-1666.6666666666667</x:v>
      </x:c>
      <x:c r="O14" s="13">
        <x:f>-Assumptions!$C$30/12</x:f>
        <x:v>-1666.6666666666667</x:v>
      </x:c>
      <x:c r="P14" s="13">
        <x:f>-Assumptions!$C$30/12</x:f>
        <x:v>-1666.6666666666667</x:v>
      </x:c>
      <x:c r="Q14" s="13">
        <x:f>-Assumptions!$C$30/12</x:f>
        <x:v>-1666.6666666666667</x:v>
      </x:c>
      <x:c r="R14" s="13">
        <x:f>-Assumptions!$C$30/12</x:f>
        <x:v>-1666.6666666666667</x:v>
      </x:c>
      <x:c r="S14" s="13">
        <x:f>-Assumptions!$C$30/12</x:f>
        <x:v>-1666.6666666666667</x:v>
      </x:c>
      <x:c r="T14" s="13">
        <x:f>SUM(B14:S14)</x:f>
        <x:v>-20000</x:v>
      </x:c>
    </x:row>
    <x:row r="15">
      <x:c r="A15" s="12" t="inlineStr">
        <x:is>
          <x:t xml:space="preserve">Capex</x:t>
        </x:is>
      </x:c>
      <x:c r="B15" s="13">
        <x:f>-Assumptions!$B$32/12</x:f>
        <x:v>-416.6666666666667</x:v>
      </x:c>
      <x:c r="C15" s="13">
        <x:f>-Assumptions!$B$32/12</x:f>
        <x:v>-416.6666666666667</x:v>
      </x:c>
      <x:c r="D15" s="13">
        <x:f>-Assumptions!$B$32/12</x:f>
        <x:v>-416.6666666666667</x:v>
      </x:c>
      <x:c r="E15" s="13">
        <x:f>-Assumptions!$B$32/12</x:f>
        <x:v>-416.6666666666667</x:v>
      </x:c>
      <x:c r="F15" s="13">
        <x:f>-Assumptions!$B$32/12</x:f>
        <x:v>-416.6666666666667</x:v>
      </x:c>
      <x:c r="G15" s="13">
        <x:f>-Assumptions!$B$32/12</x:f>
        <x:v>-416.6666666666667</x:v>
      </x:c>
      <x:c r="H15" s="13">
        <x:f>-Assumptions!$B$32/12</x:f>
        <x:v>-416.6666666666667</x:v>
      </x:c>
      <x:c r="I15" s="13">
        <x:f>-Assumptions!$B$32/12</x:f>
        <x:v>-416.6666666666667</x:v>
      </x:c>
      <x:c r="J15" s="13">
        <x:f>-Assumptions!$B$32/12</x:f>
        <x:v>-416.6666666666667</x:v>
      </x:c>
      <x:c r="K15" s="13">
        <x:f>-Assumptions!$B$32/12</x:f>
        <x:v>-416.6666666666667</x:v>
      </x:c>
      <x:c r="L15" s="13">
        <x:f>-Assumptions!$B$32/12</x:f>
        <x:v>-416.6666666666667</x:v>
      </x:c>
      <x:c r="M15" s="13">
        <x:f>-Assumptions!$B$32/12</x:f>
        <x:v>-416.6666666666667</x:v>
      </x:c>
      <x:c r="N15" s="13">
        <x:f>-Assumptions!$C$32/12</x:f>
        <x:v>-666.6666666666666</x:v>
      </x:c>
      <x:c r="O15" s="13">
        <x:f>-Assumptions!$C$32/12</x:f>
        <x:v>-666.6666666666666</x:v>
      </x:c>
      <x:c r="P15" s="13">
        <x:f>-Assumptions!$C$32/12</x:f>
        <x:v>-666.6666666666666</x:v>
      </x:c>
      <x:c r="Q15" s="13">
        <x:f>-Assumptions!$C$32/12</x:f>
        <x:v>-666.6666666666666</x:v>
      </x:c>
      <x:c r="R15" s="13">
        <x:f>-Assumptions!$C$32/12</x:f>
        <x:v>-666.6666666666666</x:v>
      </x:c>
      <x:c r="S15" s="13">
        <x:f>-Assumptions!$C$32/12</x:f>
        <x:v>-666.6666666666666</x:v>
      </x:c>
      <x:c r="T15" s="13">
        <x:f>SUM(B15:S15)</x:f>
        <x:v>-9000</x:v>
      </x:c>
    </x:row>
    <x:row r="16">
      <x:c r="A16" s="3" t="inlineStr">
        <x:is>
          <x:t xml:space="preserve">Net cash flow</x:t>
        </x:is>
      </x:c>
      <x:c r="B16" s="13">
        <x:f>SUM(B6:B15)</x:f>
        <x:v>236586.6666666667</x:v>
      </x:c>
      <x:c r="C16" s="13">
        <x:f>SUM(C6:C15)</x:f>
        <x:v>-11973.333333333332</x:v>
      </x:c>
      <x:c r="D16" s="13">
        <x:f>SUM(D6:D15)</x:f>
        <x:v>-10533.333333333332</x:v>
      </x:c>
      <x:c r="E16" s="13">
        <x:f>SUM(E6:E15)</x:f>
        <x:v>-9093.333333333332</x:v>
      </x:c>
      <x:c r="F16" s="13">
        <x:f>SUM(F6:F15)</x:f>
        <x:v>-9093.333333333332</x:v>
      </x:c>
      <x:c r="G16" s="13">
        <x:f>SUM(G6:G15)</x:f>
        <x:v>-7653.333333333331</x:v>
      </x:c>
      <x:c r="H16" s="13">
        <x:f>SUM(H6:H15)</x:f>
        <x:v>-6213.333333333333</x:v>
      </x:c>
      <x:c r="I16" s="13">
        <x:f>SUM(I6:I15)</x:f>
        <x:v>-4773.333333333333</x:v>
      </x:c>
      <x:c r="J16" s="13">
        <x:f>SUM(J6:J15)</x:f>
        <x:v>-3333.333333333333</x:v>
      </x:c>
      <x:c r="K16" s="13">
        <x:f>SUM(K6:K15)</x:f>
        <x:v>-1893.3333333333328</x:v>
      </x:c>
      <x:c r="L16" s="13">
        <x:f>SUM(L6:L15)</x:f>
        <x:v>3866.6666666666674</x:v>
      </x:c>
      <x:c r="M16" s="13">
        <x:f>SUM(M6:M15)</x:f>
        <x:v>5306.666666666667</x:v>
      </x:c>
      <x:c r="N16" s="13">
        <x:f>SUM(N6:N15)</x:f>
        <x:v>-17991.666666666668</x:v>
      </x:c>
      <x:c r="O16" s="13">
        <x:f>SUM(O6:O15)</x:f>
        <x:v>-12791.666666666664</x:v>
      </x:c>
      <x:c r="P16" s="13">
        <x:f>SUM(P6:P15)</x:f>
        <x:v>-12791.666666666664</x:v>
      </x:c>
      <x:c r="Q16" s="13">
        <x:f>SUM(Q6:Q15)</x:f>
        <x:v>-7591.666666666666</x:v>
      </x:c>
      <x:c r="R16" s="13">
        <x:f>SUM(R6:R15)</x:f>
        <x:v>-2391.6666666666583</x:v>
      </x:c>
      <x:c r="S16" s="13">
        <x:f>SUM(S6:S15)</x:f>
        <x:v>2808.3333333333344</x:v>
      </x:c>
      <x:c r="T16" s="13">
        <x:f>SUM(B16:S16)</x:f>
        <x:v>130449.99999999994</x:v>
      </x:c>
    </x:row>
    <x:row r="17">
      <x:c r="A17" s="3" t="inlineStr">
        <x:is>
          <x:t xml:space="preserve">Ending cash</x:t>
        </x:is>
      </x:c>
      <x:c r="B17" s="14">
        <x:f>B5+B16</x:f>
        <x:v>236586.6666666667</x:v>
      </x:c>
      <x:c r="C17" s="14">
        <x:f>C5+C16</x:f>
        <x:v>224613.33333333334</x:v>
      </x:c>
      <x:c r="D17" s="14">
        <x:f>D5+D16</x:f>
        <x:v>214080</x:v>
      </x:c>
      <x:c r="E17" s="14">
        <x:f>E5+E16</x:f>
        <x:v>204986.66666666666</x:v>
      </x:c>
      <x:c r="F17" s="14">
        <x:f>F5+F16</x:f>
        <x:v>195893.3333333333</x:v>
      </x:c>
      <x:c r="G17" s="14">
        <x:f>G5+G16</x:f>
        <x:v>188239.99999999997</x:v>
      </x:c>
      <x:c r="H17" s="14">
        <x:f>H5+H16</x:f>
        <x:v>182026.66666666663</x:v>
      </x:c>
      <x:c r="I17" s="14">
        <x:f>I5+I16</x:f>
        <x:v>177253.33333333328</x:v>
      </x:c>
      <x:c r="J17" s="14">
        <x:f>J5+J16</x:f>
        <x:v>173919.99999999994</x:v>
      </x:c>
      <x:c r="K17" s="14">
        <x:f>K5+K16</x:f>
        <x:v>172026.6666666666</x:v>
      </x:c>
      <x:c r="L17" s="14">
        <x:f>L5+L16</x:f>
        <x:v>175893.33333333326</x:v>
      </x:c>
      <x:c r="M17" s="14">
        <x:f>M5+M16</x:f>
        <x:v>181199.9999999999</x:v>
      </x:c>
      <x:c r="N17" s="14">
        <x:f>N5+N16</x:f>
        <x:v>163208.33333333326</x:v>
      </x:c>
      <x:c r="O17" s="14">
        <x:f>O5+O16</x:f>
        <x:v>150416.6666666666</x:v>
      </x:c>
      <x:c r="P17" s="14">
        <x:f>P5+P16</x:f>
        <x:v>137624.99999999994</x:v>
      </x:c>
      <x:c r="Q17" s="14">
        <x:f>Q5+Q16</x:f>
        <x:v>130033.33333333327</x:v>
      </x:c>
      <x:c r="R17" s="14">
        <x:f>R5+R16</x:f>
        <x:v>127641.66666666661</x:v>
      </x:c>
      <x:c r="S17" s="14">
        <x:f>S5+S16</x:f>
        <x:v>130449.99999999994</x:v>
      </x:c>
      <x:c r="T17" s="18">
        <x:f>S17</x:f>
        <x:v>130449.99999999994</x:v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2" customWidth="1"/>
    <x:col min="3" max="3" width="16" customWidth="1"/>
    <x:col min="4" max="4" width="52" customWidth="1"/>
  </x:cols>
  <x:sheetData>
    <x:row r="1" ht="24" customHeight="1">
      <x:c r="A1" s="1" t="inlineStr">
        <x:is>
          <x:t xml:space="preserve">Bridge Round Use of Funds</x:t>
        </x:is>
      </x:c>
    </x:row>
    <x:row r="2" ht="18" customHeight="1">
      <x:c r="A2" s="2" t="inlineStr">
        <x:is>
          <x:t xml:space="preserve">Updated bridge-round investor package; formulas linked and audited against uploaded slide and feedback.</x:t>
        </x:is>
      </x:c>
    </x:row>
    <x:row r="3"/>
    <x:row r="4">
      <x:c r="A4" s="8" t="inlineStr">
        <x:is>
          <x:t xml:space="preserve">Category</x:t>
        </x:is>
      </x:c>
      <x:c r="B4" s="8" t="inlineStr">
        <x:is>
          <x:t xml:space="preserve">%</x:t>
        </x:is>
      </x:c>
      <x:c r="C4" s="8" t="inlineStr">
        <x:is>
          <x:t xml:space="preserve">Amount</x:t>
        </x:is>
      </x:c>
      <x:c r="D4" s="8" t="inlineStr">
        <x:is>
          <x:t xml:space="preserve">What it unlocks</x:t>
        </x:is>
      </x:c>
    </x:row>
    <x:row r="5">
      <x:c r="A5" s="12" t="inlineStr">
        <x:is>
          <x:t xml:space="preserve">Product hardening and workflow completion</x:t>
        </x:is>
      </x:c>
      <x:c r="B5" s="16" t="n">
        <x:v>0.28</x:v>
      </x:c>
      <x:c r="C5" s="15" t="n">
        <x:v>70000</x:v>
      </x:c>
      <x:c r="D5" s="4" t="inlineStr">
        <x:is>
          <x:t xml:space="preserve">Production-grade evidence workflow, implementation prep, and onboarding readiness.</x:t>
        </x:is>
      </x:c>
    </x:row>
    <x:row r="6">
      <x:c r="A6" s="12" t="inlineStr">
        <x:is>
          <x:t xml:space="preserve">Pilot delivery and implementation</x:t>
        </x:is>
      </x:c>
      <x:c r="B6" s="16" t="n">
        <x:v>0.18</x:v>
      </x:c>
      <x:c r="C6" s="15" t="n">
        <x:v>45000</x:v>
      </x:c>
      <x:c r="D6" s="4" t="inlineStr">
        <x:is>
          <x:t xml:space="preserve">Onboard first institutions and support launch execution.</x:t>
        </x:is>
      </x:c>
    </x:row>
    <x:row r="7">
      <x:c r="A7" s="12" t="inlineStr">
        <x:is>
          <x:t xml:space="preserve">Commercial pipeline and travel</x:t>
        </x:is>
      </x:c>
      <x:c r="B7" s="16" t="n">
        <x:v>0.16</x:v>
      </x:c>
      <x:c r="C7" s="15" t="n">
        <x:v>40000</x:v>
      </x:c>
      <x:c r="D7" s="4" t="inlineStr">
        <x:is>
          <x:t xml:space="preserve">Convert pilot conversations, partner meetings, and district travel.</x:t>
        </x:is>
      </x:c>
    </x:row>
    <x:row r="8">
      <x:c r="A8" s="12" t="inlineStr">
        <x:is>
          <x:t xml:space="preserve">Customer success and measurement</x:t>
        </x:is>
      </x:c>
      <x:c r="B8" s="16" t="n">
        <x:v>0.14</x:v>
      </x:c>
      <x:c r="C8" s="15" t="n">
        <x:v>35000</x:v>
      </x:c>
      <x:c r="D8" s="4" t="inlineStr">
        <x:is>
          <x:t xml:space="preserve">Proof points, reporting, and support.</x:t>
        </x:is>
      </x:c>
    </x:row>
    <x:row r="9">
      <x:c r="A9" s="12" t="inlineStr">
        <x:is>
          <x:t xml:space="preserve">G&amp;A, legal, accounting</x:t>
        </x:is>
      </x:c>
      <x:c r="B9" s="16" t="n">
        <x:v>0.1</x:v>
      </x:c>
      <x:c r="C9" s="15" t="n">
        <x:v>25000</x:v>
      </x:c>
      <x:c r="D9" s="4" t="inlineStr">
        <x:is>
          <x:t xml:space="preserve">Contracts, accounting close, diligence cleanup, and compliance.</x:t>
        </x:is>
      </x:c>
    </x:row>
    <x:row r="10">
      <x:c r="A10" s="12" t="inlineStr">
        <x:is>
          <x:t xml:space="preserve">Cloud, data, and tools</x:t>
        </x:is>
      </x:c>
      <x:c r="B10" s="16" t="n">
        <x:v>0.08</x:v>
      </x:c>
      <x:c r="C10" s="15" t="n">
        <x:v>20000</x:v>
      </x:c>
      <x:c r="D10" s="4" t="inlineStr">
        <x:is>
          <x:t xml:space="preserve">Hosting, storage, analytics, and productivity stack.</x:t>
        </x:is>
      </x:c>
    </x:row>
    <x:row r="11">
      <x:c r="A11" s="12" t="inlineStr">
        <x:is>
          <x:t xml:space="preserve">Working capital reserve</x:t>
        </x:is>
      </x:c>
      <x:c r="B11" s="16" t="n">
        <x:v>0.06</x:v>
      </x:c>
      <x:c r="C11" s="15" t="n">
        <x:v>15000</x:v>
      </x:c>
      <x:c r="D11" s="4" t="inlineStr">
        <x:is>
          <x:t xml:space="preserve">Buffer for timing gaps and unplanned bridge needs.</x:t>
        </x:is>
      </x:c>
    </x:row>
    <x:row r="12">
      <x:c r="A12" s="3" t="inlineStr">
        <x:is>
          <x:t xml:space="preserve">Total</x:t>
        </x:is>
      </x:c>
      <x:c r="B12" s="21">
        <x:f>SUM(B5:B11)</x:f>
        <x:v>1</x:v>
      </x:c>
      <x:c r="C12" s="14">
        <x:f>SUM(C5:C11)</x:f>
        <x:v>250000</x:v>
      </x:c>
    </x:row>
    <x:row r="13"/>
    <x:row r="14">
      <x:c r="A14" s="3" t="inlineStr">
        <x:is>
          <x:t xml:space="preserve">Check 1 - sums to 100%</x:t>
        </x:is>
      </x:c>
      <x:c r="B14" s="7" t="str">
        <x:f>IF(ABS(B12-1)&lt;0.0001,"PASS","FAIL")</x:f>
        <x:v>PASS</x:v>
      </x:c>
    </x:row>
    <x:row r="15">
      <x:c r="A15" s="3" t="inlineStr">
        <x:is>
          <x:t xml:space="preserve">Check 2 - equals raise</x:t>
        </x:is>
      </x:c>
      <x:c r="B15" s="7" t="str">
        <x:f>IF(C12=Assumptions!B6,"PASS","FAIL")</x:f>
        <x:v>PASS</x:v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40" customWidth="1"/>
    <x:col min="3" max="3" width="18" customWidth="1"/>
    <x:col min="4" max="4" width="18" customWidth="1"/>
    <x:col min="5" max="5" width="46" customWidth="1"/>
  </x:cols>
  <x:sheetData>
    <x:row r="1" ht="24" customHeight="1">
      <x:c r="A1" s="1" t="inlineStr">
        <x:is>
          <x:t xml:space="preserve">Bridge Milestones and Raise Logic</x:t>
        </x:is>
      </x:c>
    </x:row>
    <x:row r="2" ht="18" customHeight="1">
      <x:c r="A2" s="2" t="inlineStr">
        <x:is>
          <x:t xml:space="preserve">Updated bridge-round investor package; formulas linked and audited against uploaded slide and feedback.</x:t>
        </x:is>
      </x:c>
    </x:row>
    <x:row r="3"/>
    <x:row r="4">
      <x:c r="A4" s="8" t="inlineStr">
        <x:is>
          <x:t xml:space="preserve">#</x:t>
        </x:is>
      </x:c>
      <x:c r="B4" s="8" t="inlineStr">
        <x:is>
          <x:t xml:space="preserve">Milestone</x:t>
        </x:is>
      </x:c>
      <x:c r="C4" s="8" t="inlineStr">
        <x:is>
          <x:t xml:space="preserve">Target timing</x:t>
        </x:is>
      </x:c>
      <x:c r="D4" s="8" t="inlineStr">
        <x:is>
          <x:t xml:space="preserve">Budget tied</x:t>
        </x:is>
      </x:c>
      <x:c r="E4" s="8" t="inlineStr">
        <x:is>
          <x:t xml:space="preserve">Evidence of completion</x:t>
        </x:is>
      </x:c>
    </x:row>
    <x:row r="5">
      <x:c r="A5" s="22" t="n">
        <x:v>1</x:v>
      </x:c>
      <x:c r="B5" s="4" t="inlineStr">
        <x:is>
          <x:t xml:space="preserve">Complete production-ready onboarding + evidence workflow</x:t>
        </x:is>
      </x:c>
      <x:c r="C5" s="23" t="inlineStr">
        <x:is>
          <x:t xml:space="preserve">Month 3</x:t>
        </x:is>
      </x:c>
      <x:c r="D5" s="23" t="inlineStr">
        <x:is>
          <x:t xml:space="preserve">$70K</x:t>
        </x:is>
      </x:c>
      <x:c r="E5" s="4" t="inlineStr">
        <x:is>
          <x:t xml:space="preserve">Live workflow, QA signoff, implementation checklist.</x:t>
        </x:is>
      </x:c>
    </x:row>
    <x:row r="6">
      <x:c r="A6" s="22" t="n">
        <x:v>2</x:v>
      </x:c>
      <x:c r="B6" s="4" t="inlineStr">
        <x:is>
          <x:t xml:space="preserve">Secure 2 design / pilot partners with signed paperwork</x:t>
        </x:is>
      </x:c>
      <x:c r="C6" s="23" t="inlineStr">
        <x:is>
          <x:t xml:space="preserve">Month 4</x:t>
        </x:is>
      </x:c>
      <x:c r="D6" s="23" t="inlineStr">
        <x:is>
          <x:t xml:space="preserve">$35K</x:t>
        </x:is>
      </x:c>
      <x:c r="E6" s="4" t="inlineStr">
        <x:is>
          <x:t xml:space="preserve">Executed pilot agreements or paid design partner commitments.</x:t>
        </x:is>
      </x:c>
    </x:row>
    <x:row r="7">
      <x:c r="A7" s="22" t="n">
        <x:v>3</x:v>
      </x:c>
      <x:c r="B7" s="4" t="inlineStr">
        <x:is>
          <x:t xml:space="preserve">Launch first institutional cohort</x:t>
        </x:is>
      </x:c>
      <x:c r="C7" s="23" t="inlineStr">
        <x:is>
          <x:t xml:space="preserve">Month 6</x:t>
        </x:is>
      </x:c>
      <x:c r="D7" s="23" t="inlineStr">
        <x:is>
          <x:t xml:space="preserve">$45K</x:t>
        </x:is>
      </x:c>
      <x:c r="E7" s="4" t="inlineStr">
        <x:is>
          <x:t xml:space="preserve">Active users onboarded and implementation accepted.</x:t>
        </x:is>
      </x:c>
    </x:row>
    <x:row r="8">
      <x:c r="A8" s="22" t="n">
        <x:v>4</x:v>
      </x:c>
      <x:c r="B8" s="4" t="inlineStr">
        <x:is>
          <x:t xml:space="preserve">Convert first paid institutional license</x:t>
        </x:is>
      </x:c>
      <x:c r="C8" s="23" t="inlineStr">
        <x:is>
          <x:t xml:space="preserve">Month 8</x:t>
        </x:is>
      </x:c>
      <x:c r="D8" s="23" t="inlineStr">
        <x:is>
          <x:t xml:space="preserve">$30K</x:t>
        </x:is>
      </x:c>
      <x:c r="E8" s="4" t="inlineStr">
        <x:is>
          <x:t xml:space="preserve">Signed contract and first invoice collected.</x:t>
        </x:is>
      </x:c>
    </x:row>
    <x:row r="9">
      <x:c r="A9" s="22" t="n">
        <x:v>5</x:v>
      </x:c>
      <x:c r="B9" s="4" t="inlineStr">
        <x:is>
          <x:t xml:space="preserve">Convert second paid institution or district expansion</x:t>
        </x:is>
      </x:c>
      <x:c r="C9" s="23" t="inlineStr">
        <x:is>
          <x:t xml:space="preserve">Month 11</x:t>
        </x:is>
      </x:c>
      <x:c r="D9" s="23" t="inlineStr">
        <x:is>
          <x:t xml:space="preserve">$40K</x:t>
        </x:is>
      </x:c>
      <x:c r="E9" s="4" t="inlineStr">
        <x:is>
          <x:t xml:space="preserve">Second revenue event or expansion pathway visible.</x:t>
        </x:is>
      </x:c>
    </x:row>
    <x:row r="10">
      <x:c r="A10" s="22" t="n">
        <x:v>6</x:v>
      </x:c>
      <x:c r="B10" s="4" t="inlineStr">
        <x:is>
          <x:t xml:space="preserve">Open seed round with audited metrics pack</x:t>
        </x:is>
      </x:c>
      <x:c r="C10" s="23" t="inlineStr">
        <x:is>
          <x:t xml:space="preserve">Month 12</x:t>
        </x:is>
      </x:c>
      <x:c r="D10" s="23" t="inlineStr">
        <x:is>
          <x:t xml:space="preserve">$30K</x:t>
        </x:is>
      </x:c>
      <x:c r="E10" s="4" t="inlineStr">
        <x:is>
          <x:t xml:space="preserve">Diligence package, retention metrics, and updated financial model.</x:t>
        </x:is>
      </x:c>
    </x:row>
    <x:row r="11"/>
    <x:row r="12"/>
    <x:row r="13">
      <x:c r="A13" s="3" t="inlineStr">
        <x:is>
          <x:t xml:space="preserve">Current ask</x:t>
        </x:is>
      </x:c>
      <x:c r="B13" s="24">
        <x:f>Assumptions!B6</x:f>
        <x:v>250000</x:v>
      </x:c>
    </x:row>
    <x:row r="14">
      <x:c r="A14" s="3" t="inlineStr">
        <x:is>
          <x:t xml:space="preserve">Expected next financing trigger</x:t>
        </x:is>
      </x:c>
      <x:c r="B14" s="6" t="inlineStr">
        <x:is>
          <x:t xml:space="preserve">After Milestones 4-6 are met</x:t>
        </x:is>
      </x:c>
    </x:row>
    <x:row r="15">
      <x:c r="A15" s="3" t="inlineStr">
        <x:is>
          <x:t xml:space="preserve">Why this is cleaner</x:t>
        </x:is>
      </x:c>
      <x:c r="B15" s="4" t="inlineStr">
        <x:is>
          <x:t xml:space="preserve">The raise is scoped to the milestones it funds; it is no longer blended with the three-year revenue forecast.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6" customWidth="1"/>
    <x:col min="3" max="3" width="16" customWidth="1"/>
    <x:col min="4" max="4" width="16" customWidth="1"/>
    <x:col min="5" max="5" width="22" customWidth="1"/>
  </x:cols>
  <x:sheetData>
    <x:row r="1" ht="24" customHeight="1">
      <x:c r="A1" s="1" t="inlineStr">
        <x:is>
          <x:t xml:space="preserve">Scenario and Downside Review</x:t>
        </x:is>
      </x:c>
    </x:row>
    <x:row r="2" ht="18" customHeight="1">
      <x:c r="A2" s="2" t="inlineStr">
        <x:is>
          <x:t xml:space="preserve">Updated bridge-round investor package; formulas linked and audited against uploaded slide and feedback.</x:t>
        </x:is>
      </x:c>
    </x:row>
    <x:row r="3"/>
    <x:row r="4">
      <x:c r="A4" s="8" t="inlineStr">
        <x:is>
          <x:t xml:space="preserve">Metric</x:t>
        </x:is>
      </x:c>
      <x:c r="B4" s="8" t="inlineStr">
        <x:is>
          <x:t xml:space="preserve">Conservative</x:t>
        </x:is>
      </x:c>
      <x:c r="C4" s="8" t="inlineStr">
        <x:is>
          <x:t xml:space="preserve">Base Bridge</x:t>
        </x:is>
      </x:c>
      <x:c r="D4" s="8" t="inlineStr">
        <x:is>
          <x:t xml:space="preserve">Stretch</x:t>
        </x:is>
      </x:c>
      <x:c r="E4" s="8" t="inlineStr">
        <x:is>
          <x:t xml:space="preserve">Comment</x:t>
        </x:is>
      </x:c>
    </x:row>
    <x:row r="5">
      <x:c r="A5" s="12" t="inlineStr">
        <x:is>
          <x:t xml:space="preserve">Year 1 revenue</x:t>
        </x:is>
      </x:c>
      <x:c r="B5" s="13">
        <x:f>Assumptions!B10</x:f>
        <x:v>150000</x:v>
      </x:c>
      <x:c r="C5" s="18">
        <x:f>Assumptions!B11</x:f>
        <x:v>180000</x:v>
      </x:c>
      <x:c r="D5" s="13">
        <x:f>Assumptions!B12</x:f>
        <x:v>250000</x:v>
      </x:c>
      <x:c r="E5" s="4" t="inlineStr">
        <x:is>
          <x:t xml:space="preserve">Top-line sensitivity.</x:t>
        </x:is>
      </x:c>
    </x:row>
    <x:row r="6">
      <x:c r="A6" s="12" t="inlineStr">
        <x:is>
          <x:t xml:space="preserve">Year 2 revenue</x:t>
        </x:is>
      </x:c>
      <x:c r="B6" s="13">
        <x:f>Assumptions!C10</x:f>
        <x:v>450000</x:v>
      </x:c>
      <x:c r="C6" s="18">
        <x:f>Assumptions!C11</x:f>
        <x:v>650000</x:v>
      </x:c>
      <x:c r="D6" s="13">
        <x:f>Assumptions!C12</x:f>
        <x:v>850000</x:v>
      </x:c>
      <x:c r="E6" s="4" t="inlineStr">
        <x:is>
          <x:t xml:space="preserve"/>
        </x:is>
      </x:c>
    </x:row>
    <x:row r="7">
      <x:c r="A7" s="12" t="inlineStr">
        <x:is>
          <x:t xml:space="preserve">Year 3 revenue</x:t>
        </x:is>
      </x:c>
      <x:c r="B7" s="13">
        <x:f>Assumptions!D10</x:f>
        <x:v>1100000</x:v>
      </x:c>
      <x:c r="C7" s="18">
        <x:f>Assumptions!D11</x:f>
        <x:v>1500000</x:v>
      </x:c>
      <x:c r="D7" s="13">
        <x:f>Assumptions!D12</x:f>
        <x:v>1900000</x:v>
      </x:c>
      <x:c r="E7" s="4" t="inlineStr">
        <x:is>
          <x:t xml:space="preserve"/>
        </x:is>
      </x:c>
    </x:row>
    <x:row r="8">
      <x:c r="A8" s="3" t="inlineStr">
        <x:is>
          <x:t xml:space="preserve">Year 1 EBITDA</x:t>
        </x:is>
      </x:c>
      <x:c r="B8" s="13">
        <x:f>B5-(B5*Assumptions!B22)-'Bridge P&amp;L'!B9-'Bridge P&amp;L'!B10-'Bridge P&amp;L'!B11-'Bridge P&amp;L'!B12-'Bridge P&amp;L'!B13</x:f>
        <x:v>-77800</x:v>
      </x:c>
      <x:c r="C8" s="18">
        <x:f>'Bridge P&amp;L'!B15</x:f>
        <x:v>-53800</x:v>
      </x:c>
      <x:c r="D8" s="13">
        <x:f>D5-(D5*Assumptions!B22)-'Bridge P&amp;L'!B9-'Bridge P&amp;L'!B10-'Bridge P&amp;L'!B11-'Bridge P&amp;L'!B12-'Bridge P&amp;L'!B13</x:f>
        <x:v>2200</x:v>
      </x:c>
      <x:c r="E8" s="4" t="inlineStr">
        <x:is>
          <x:t xml:space="preserve">Held cost base constant.</x:t>
        </x:is>
      </x:c>
    </x:row>
    <x:row r="9">
      <x:c r="A9" s="3" t="inlineStr">
        <x:is>
          <x:t xml:space="preserve">Month 18 ending cash</x:t>
        </x:is>
      </x:c>
      <x:c r="B9" s="13">
        <x:f>'Monthly Cash Flow'!T17 + (B8-C8)</x:f>
        <x:v>106449.99999999994</x:v>
      </x:c>
      <x:c r="C9" s="18">
        <x:f>'Monthly Cash Flow'!T17</x:f>
        <x:v>130449.99999999994</x:v>
      </x:c>
      <x:c r="D9" s="13">
        <x:f>'Monthly Cash Flow'!T17 + (D8-C8)</x:f>
        <x:v>186449.99999999994</x:v>
      </x:c>
      <x:c r="E9" s="4" t="inlineStr">
        <x:is>
          <x:t xml:space="preserve">Illustrative sensitivity; adjust monthly build if case becomes active.</x:t>
        </x:is>
      </x:c>
    </x:row>
    <x:row r="10"/>
    <x:row r="11"/>
    <x:row r="12">
      <x:c r="A12" s="3" t="inlineStr">
        <x:is>
          <x:t xml:space="preserve">Recommended external case</x:t>
        </x:is>
      </x:c>
      <x:c r="B12" s="6" t="inlineStr">
        <x:is>
          <x:t xml:space="preserve">Base Bridge</x:t>
        </x:is>
      </x:c>
    </x:row>
    <x:row r="13">
      <x:c r="A13" s="3" t="inlineStr">
        <x:is>
          <x:t xml:space="preserve">When to use conservative</x:t>
        </x:is>
      </x:c>
      <x:c r="B13" s="4" t="inlineStr">
        <x:is>
          <x:t xml:space="preserve">If live pipeline evidence is thinner than expected or close timing slips.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4" customWidth="1"/>
    <x:col min="3" max="3" width="24" customWidth="1"/>
    <x:col min="4" max="4" width="54" customWidth="1"/>
  </x:cols>
  <x:sheetData>
    <x:row r="1" ht="24" customHeight="1">
      <x:c r="A1" s="1" t="inlineStr">
        <x:is>
          <x:t xml:space="preserve">Self-Audit Against Delivery Standard</x:t>
        </x:is>
      </x:c>
    </x:row>
    <x:row r="2" ht="18" customHeight="1">
      <x:c r="A2" s="2" t="inlineStr">
        <x:is>
          <x:t xml:space="preserve">Updated bridge-round investor package; formulas linked and audited against uploaded slide and feedback.</x:t>
        </x:is>
      </x:c>
    </x:row>
    <x:row r="3"/>
    <x:row r="4">
      <x:c r="A4" s="8" t="inlineStr">
        <x:is>
          <x:t xml:space="preserve">Standard</x:t>
        </x:is>
      </x:c>
      <x:c r="B4" s="8" t="inlineStr">
        <x:is>
          <x:t xml:space="preserve">Result</x:t>
        </x:is>
      </x:c>
      <x:c r="C4" s="8" t="inlineStr">
        <x:is>
          <x:t xml:space="preserve">How it was tested</x:t>
        </x:is>
      </x:c>
      <x:c r="D4" s="8" t="inlineStr">
        <x:is>
          <x:t xml:space="preserve">Notes / required evidence</x:t>
        </x:is>
      </x:c>
    </x:row>
    <x:row r="5">
      <x:c r="A5" s="3" t="inlineStr">
        <x:is>
          <x:t xml:space="preserve">Explicit failure points</x:t>
        </x:is>
      </x:c>
      <x:c r="B5" s="25" t="inlineStr">
        <x:is>
          <x:t xml:space="preserve">PASS</x:t>
        </x:is>
      </x:c>
      <x:c r="C5" s="4" t="inlineStr">
        <x:is>
          <x:t xml:space="preserve">Scenario, downside, milestone, and check rows included.</x:t>
        </x:is>
      </x:c>
      <x:c r="D5" s="4" t="inlineStr">
        <x:is>
          <x:t xml:space="preserve">Prior cracks are now inside the package rather than outside it.</x:t>
        </x:is>
      </x:c>
    </x:row>
    <x:row r="6">
      <x:c r="A6" s="3" t="inlineStr">
        <x:is>
          <x:t xml:space="preserve">Pass / fail criteria</x:t>
        </x:is>
      </x:c>
      <x:c r="B6" s="25" t="inlineStr">
        <x:is>
          <x:t xml:space="preserve">PASS</x:t>
        </x:is>
      </x:c>
      <x:c r="C6" s="4" t="inlineStr">
        <x:is>
          <x:t xml:space="preserve">Headcount-payroll check, use-of-funds checks, negative-cash monitor.</x:t>
        </x:is>
      </x:c>
      <x:c r="D6" s="4" t="inlineStr">
        <x:is>
          <x:t xml:space="preserve">If any check flips to FAIL, package is not ready.</x:t>
        </x:is>
      </x:c>
    </x:row>
    <x:row r="7">
      <x:c r="A7" s="3" t="inlineStr">
        <x:is>
          <x:t xml:space="preserve">Downside cases</x:t>
        </x:is>
      </x:c>
      <x:c r="B7" s="25" t="inlineStr">
        <x:is>
          <x:t xml:space="preserve">PASS</x:t>
        </x:is>
      </x:c>
      <x:c r="C7" s="4" t="inlineStr">
        <x:is>
          <x:t xml:space="preserve">Conservative / base / stretch scenario table added.</x:t>
        </x:is>
      </x:c>
      <x:c r="D7" s="4" t="inlineStr">
        <x:is>
          <x:t xml:space="preserve">Conservative case should replace base if pipeline weakens.</x:t>
        </x:is>
      </x:c>
    </x:row>
    <x:row r="8">
      <x:c r="A8" s="3" t="inlineStr">
        <x:is>
          <x:t xml:space="preserve">Investor objection handling</x:t>
        </x:is>
      </x:c>
      <x:c r="B8" s="25" t="inlineStr">
        <x:is>
          <x:t xml:space="preserve">PASS</x:t>
        </x:is>
      </x:c>
      <x:c r="C8" s="4" t="inlineStr">
        <x:is>
          <x:t xml:space="preserve">Milestones, bridge logic, and support memo answer likely pushback.</x:t>
        </x:is>
      </x:c>
      <x:c r="D8" s="4" t="inlineStr">
        <x:is>
          <x:t xml:space="preserve">Scale case removed from main narrative.</x:t>
        </x:is>
      </x:c>
    </x:row>
    <x:row r="9">
      <x:c r="A9" s="3" t="inlineStr">
        <x:is>
          <x:t xml:space="preserve">Evidence requirements</x:t>
        </x:is>
      </x:c>
      <x:c r="B9" s="26" t="inlineStr">
        <x:is>
          <x:t xml:space="preserve">CONDITIONAL</x:t>
        </x:is>
      </x:c>
      <x:c r="C9" s="4" t="inlineStr">
        <x:is>
          <x:t xml:space="preserve">Model cites uploaded docs and flags where live CRM / LOI evidence should be inserted.</x:t>
        </x:is>
      </x:c>
      <x:c r="D9" s="4" t="inlineStr">
        <x:is>
          <x:t xml:space="preserve">This is the only remaining evidence-dependent area.</x:t>
        </x:is>
      </x:c>
    </x:row>
    <x:row r="10">
      <x:c r="A10" s="3" t="inlineStr">
        <x:is>
          <x:t xml:space="preserve">Forecast discipline</x:t>
        </x:is>
      </x:c>
      <x:c r="B10" s="25" t="inlineStr">
        <x:is>
          <x:t xml:space="preserve">PASS</x:t>
        </x:is>
      </x:c>
      <x:c r="C10" s="4" t="inlineStr">
        <x:is>
          <x:t xml:space="preserve">Base case is below original deck path; stretch case preserved only in sensitivity.</x:t>
        </x:is>
      </x:c>
      <x:c r="D10" s="4" t="inlineStr">
        <x:is>
          <x:t xml:space="preserve">Revenue gets lowered if evidence does not support it.</x:t>
        </x:is>
      </x:c>
    </x:row>
    <x:row r="11"/>
    <x:row r="12"/>
    <x:row r="13">
      <x:c r="A13" s="3" t="inlineStr">
        <x:is>
          <x:t xml:space="preserve">Overall package status</x:t>
        </x:is>
      </x:c>
      <x:c r="B13" s="7" t="inlineStr">
        <x:is>
          <x:t xml:space="preserve">PASS WITH ONE EVIDENCE CONDITION</x:t>
        </x:is>
      </x:c>
      <x:c r="C13" s="4" t="inlineStr">
        <x:is>
          <x:t xml:space="preserve">Mechanically investor-ready; insert live pipeline proof before external diligence if available.</x:t>
        </x:is>
      </x:c>
    </x:row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94085ce677aa4712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58" customWidth="1"/>
  </x:cols>
  <x:sheetData>
    <x:row r="1" ht="24" customHeight="1">
      <x:c r="A1" s="1" t="inlineStr">
        <x:is>
          <x:t xml:space="preserve">Likely Funder Questions and Planned Answers</x:t>
        </x:is>
      </x:c>
    </x:row>
    <x:row r="2" ht="18" customHeight="1">
      <x:c r="A2" s="2" t="inlineStr">
        <x:is>
          <x:t xml:space="preserve">Updated bridge-round investor package; formulas linked and audited against uploaded slide and feedback.</x:t>
        </x:is>
      </x:c>
    </x:row>
    <x:row r="3"/>
    <x:row r="4">
      <x:c r="A4" s="8" t="inlineStr">
        <x:is>
          <x:t xml:space="preserve">Likely question</x:t>
        </x:is>
      </x:c>
      <x:c r="B4" s="8" t="inlineStr">
        <x:is>
          <x:t xml:space="preserve">Planned answer</x:t>
        </x:is>
      </x:c>
    </x:row>
    <x:row r="5">
      <x:c r="A5" s="4" t="inlineStr">
        <x:is>
          <x:t xml:space="preserve">Why is $250K enough?</x:t>
        </x:is>
      </x:c>
      <x:c r="B5" s="4" t="inlineStr">
        <x:is>
          <x:t xml:space="preserve">Because the bridge case now scopes headcount, milestones, and use of funds to a 12-month de-risking plan rather than a full seed operating plan.</x:t>
        </x:is>
      </x:c>
    </x:row>
    <x:row r="6">
      <x:c r="A6" s="4" t="inlineStr">
        <x:is>
          <x:t xml:space="preserve">What does the bridge unlock?</x:t>
        </x:is>
      </x:c>
      <x:c r="B6" s="4" t="inlineStr">
        <x:is>
          <x:t xml:space="preserve">Production-grade workflow completion, two pilot / partner conversions, first institutional revenue, and a seed-ready diligence pack.</x:t>
        </x:is>
      </x:c>
    </x:row>
    <x:row r="7">
      <x:c r="A7" s="4" t="inlineStr">
        <x:is>
          <x:t xml:space="preserve">What if Year 1 revenue slips?</x:t>
        </x:is>
      </x:c>
      <x:c r="B7" s="4" t="inlineStr">
        <x:is>
          <x:t xml:space="preserve">Switch to the Conservative case, preserve payroll discipline, and extend bridge milestones before opening the next round.</x:t>
        </x:is>
      </x:c>
    </x:row>
    <x:row r="8">
      <x:c r="A8" s="4" t="inlineStr">
        <x:is>
          <x:t xml:space="preserve">Why is the prior $1.5M scale case gone?</x:t>
        </x:is>
      </x:c>
      <x:c r="B8" s="4" t="inlineStr">
        <x:is>
          <x:t xml:space="preserve">It spent more capital to reach the same revenue outcome and weakened the financing story. It should return only when it proves better revenue acceleration or risk reduction.</x:t>
        </x:is>
      </x:c>
    </x:row>
    <x:row r="9">
      <x:c r="A9" s="4" t="inlineStr">
        <x:is>
          <x:t xml:space="preserve">What supports the revenue forecast?</x:t>
        </x:is>
      </x:c>
      <x:c r="B9" s="4" t="inlineStr">
        <x:is>
          <x:t xml:space="preserve">The model is scenario-based and requires live pipeline evidence to lock the final external version. Until then, Base Bridge is the working management case.</x:t>
        </x:is>
      </x:c>
    </x:row>
  </x:sheetData>
  <x:mergeCells>
    <x:mergeCell ref="A2:H2"/>
    <x:mergeCell ref="A1:H1"/>
  </x:mergeCells>
  <x:pageMargins left="0.7" right="0.7" top="0.75" bottom="0.75" header="0.3" footer="0.3"/>
</x:worksheet>
</file>