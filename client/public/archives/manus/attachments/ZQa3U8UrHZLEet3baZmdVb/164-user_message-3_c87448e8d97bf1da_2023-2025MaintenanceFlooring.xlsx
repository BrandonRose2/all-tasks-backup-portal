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nicole\My Documents\Apartment Corp\Property Info\Wilmington\EDD Audit\"/>
    </mc:Choice>
  </mc:AlternateContent>
  <xr:revisionPtr revIDLastSave="0" documentId="8_{E857BD64-19F4-45F9-9A17-8659C959561A}" xr6:coauthVersionLast="47" xr6:coauthVersionMax="47" xr10:uidLastSave="{00000000-0000-0000-0000-000000000000}"/>
  <bookViews>
    <workbookView xWindow="29580" yWindow="780" windowWidth="21600" windowHeight="11385" xr2:uid="{6554C71D-CD8D-4EC6-8077-D9DD2CF9A92E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Sheet1!#REF!,Sheet1!#REF!,Sheet1!$4:$4,Sheet1!#REF!,Sheet1!#REF!,Sheet1!#REF!,Sheet1!#REF!,Sheet1!$5:$5,Sheet1!#REF!,Sheet1!#REF!,Sheet1!$6:$6,Sheet1!$7:$7,Sheet1!#REF!,Sheet1!$8:$8,Sheet1!$9:$9,Sheet1!$10:$10</definedName>
    <definedName name="QB_DATA_1" localSheetId="0" hidden="1">Sheet1!$11:$11,Sheet1!#REF!</definedName>
    <definedName name="QB_FORMULA_0" localSheetId="0" hidden="1">Sheet1!$T$12,Sheet1!$V$12,Sheet1!$Z$12,Sheet1!$T$13,Sheet1!$V$13,Sheet1!$Z$13,Sheet1!$T$14,Sheet1!$V$14,Sheet1!$Z$14</definedName>
    <definedName name="QB_ROW_252010" localSheetId="0" hidden="1">Sheet1!$B$2</definedName>
    <definedName name="QB_ROW_252310" localSheetId="0" hidden="1">Sheet1!$B$13</definedName>
    <definedName name="QB_ROW_25301" localSheetId="0" hidden="1">Sheet1!$A$14</definedName>
    <definedName name="QB_ROW_77020" localSheetId="0" hidden="1">Sheet1!$C$3</definedName>
    <definedName name="QB_ROW_77320" localSheetId="0" hidden="1">Sheet1!$C$12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" i="1" l="1"/>
  <c r="Z14" i="1" s="1"/>
  <c r="Z12" i="1"/>
  <c r="V12" i="1"/>
  <c r="V13" i="1" s="1"/>
  <c r="V14" i="1" s="1"/>
  <c r="T12" i="1"/>
  <c r="T13" i="1" s="1"/>
  <c r="T14" i="1" s="1"/>
</calcChain>
</file>

<file path=xl/sharedStrings.xml><?xml version="1.0" encoding="utf-8"?>
<sst xmlns="http://schemas.openxmlformats.org/spreadsheetml/2006/main" count="56" uniqueCount="36">
  <si>
    <t>Type</t>
  </si>
  <si>
    <t>Date</t>
  </si>
  <si>
    <t>Num</t>
  </si>
  <si>
    <t>Name</t>
  </si>
  <si>
    <t>Memo</t>
  </si>
  <si>
    <t>Clr</t>
  </si>
  <si>
    <t>Split</t>
  </si>
  <si>
    <t>Debit</t>
  </si>
  <si>
    <t>Credit</t>
  </si>
  <si>
    <t>Original Amount</t>
  </si>
  <si>
    <t>Balance</t>
  </si>
  <si>
    <t>65200 · Maintenance</t>
  </si>
  <si>
    <t>6520-04 · Maintenance-flooring</t>
  </si>
  <si>
    <t>Total 6520-04 · Maintenance-flooring</t>
  </si>
  <si>
    <t>Total 65200 · Maintenance</t>
  </si>
  <si>
    <t>TOTAL</t>
  </si>
  <si>
    <t>Bill</t>
  </si>
  <si>
    <t>H109</t>
  </si>
  <si>
    <t>CM061924</t>
  </si>
  <si>
    <t>MG081424-L102</t>
  </si>
  <si>
    <t>MAG092724WAH</t>
  </si>
  <si>
    <t>MAG010325-A103</t>
  </si>
  <si>
    <t>MG082125</t>
  </si>
  <si>
    <t>MAG060325-C104</t>
  </si>
  <si>
    <t>MAG062525-H109</t>
  </si>
  <si>
    <t>CARLOS ALBERTO G MEDINA</t>
  </si>
  <si>
    <t>Miguel Angel Garcia</t>
  </si>
  <si>
    <t>Tile Room</t>
  </si>
  <si>
    <t>700 W LAUREL #E102</t>
  </si>
  <si>
    <t>#MG081424-L102</t>
  </si>
  <si>
    <t>UNIT L-101</t>
  </si>
  <si>
    <t>UNIT A103</t>
  </si>
  <si>
    <t>UNIT# B104</t>
  </si>
  <si>
    <t>UNIT C104</t>
  </si>
  <si>
    <t>UNIT H109</t>
  </si>
  <si>
    <t>2110-00 ·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</si>
</sst>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5B006E3-7D7D-5027-3A5A-8604993D66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B0B8-5E96-47F6-92A6-B8F15DD80F63}">
  <sheetPr codeName="Sheet1"/>
  <dimension ref="A1:Z15"/>
  <sheetViews>
    <sheetView tabSelected="1" workbookViewId="0">
      <pane xSplit="3" ySplit="1" topLeftCell="D5" activePane="bottomRight" state="frozenSplit"/>
      <selection pane="topRight" activeCell="D1" sqref="D1"/>
      <selection pane="bottomLeft" activeCell="A2" sqref="A2"/>
      <selection pane="bottomRight" activeCell="J14" sqref="J14"/>
    </sheetView>
  </sheetViews>
  <sheetFormatPr defaultRowHeight="15" x14ac:dyDescent="0.25"/>
  <cols>
    <col min="1" max="2" width="3" style="1" customWidth="1"/>
    <col min="3" max="3" width="26.85546875" style="1" customWidth="1"/>
    <col min="4" max="5" width="2.28515625" style="1" customWidth="1"/>
    <col min="6" max="6" width="11.85546875" style="1" bestFit="1" customWidth="1"/>
    <col min="7" max="7" width="2.28515625" style="1" customWidth="1"/>
    <col min="8" max="8" width="8.7109375" style="1" bestFit="1" customWidth="1"/>
    <col min="9" max="9" width="2.28515625" style="1" customWidth="1"/>
    <col min="10" max="10" width="14" style="1" bestFit="1" customWidth="1"/>
    <col min="11" max="11" width="2.28515625" style="1" customWidth="1"/>
    <col min="12" max="12" width="22.28515625" style="1" bestFit="1" customWidth="1"/>
    <col min="13" max="13" width="2.28515625" style="1" customWidth="1"/>
    <col min="14" max="14" width="30.7109375" style="1" customWidth="1"/>
    <col min="15" max="15" width="2.28515625" style="1" customWidth="1"/>
    <col min="16" max="16" width="3.28515625" style="1" bestFit="1" customWidth="1"/>
    <col min="17" max="17" width="2.28515625" style="1" customWidth="1"/>
    <col min="18" max="18" width="23.85546875" style="1" bestFit="1" customWidth="1"/>
    <col min="19" max="19" width="2.28515625" style="1" customWidth="1"/>
    <col min="20" max="20" width="7.85546875" style="1" bestFit="1" customWidth="1"/>
    <col min="21" max="21" width="2.28515625" style="1" customWidth="1"/>
    <col min="22" max="22" width="7.85546875" style="1" bestFit="1" customWidth="1"/>
    <col min="23" max="23" width="2.28515625" style="1" customWidth="1"/>
    <col min="24" max="24" width="13.85546875" style="1" bestFit="1" customWidth="1"/>
    <col min="25" max="25" width="2.28515625" style="1" customWidth="1"/>
    <col min="26" max="26" width="7.85546875" style="1" bestFit="1" customWidth="1"/>
  </cols>
  <sheetData>
    <row r="1" spans="1:26" s="14" customFormat="1" ht="15.75" thickBot="1" x14ac:dyDescent="0.3">
      <c r="A1" s="12"/>
      <c r="B1" s="12"/>
      <c r="C1" s="12"/>
      <c r="D1" s="12"/>
      <c r="E1" s="12"/>
      <c r="F1" s="13" t="s">
        <v>0</v>
      </c>
      <c r="G1" s="12"/>
      <c r="H1" s="13" t="s">
        <v>1</v>
      </c>
      <c r="I1" s="12"/>
      <c r="J1" s="13" t="s">
        <v>2</v>
      </c>
      <c r="K1" s="12"/>
      <c r="L1" s="13" t="s">
        <v>3</v>
      </c>
      <c r="M1" s="12"/>
      <c r="N1" s="13" t="s">
        <v>4</v>
      </c>
      <c r="O1" s="12"/>
      <c r="P1" s="13" t="s">
        <v>5</v>
      </c>
      <c r="Q1" s="12"/>
      <c r="R1" s="13" t="s">
        <v>6</v>
      </c>
      <c r="S1" s="12"/>
      <c r="T1" s="13" t="s">
        <v>7</v>
      </c>
      <c r="U1" s="12"/>
      <c r="V1" s="13" t="s">
        <v>8</v>
      </c>
      <c r="W1" s="12"/>
      <c r="X1" s="13" t="s">
        <v>9</v>
      </c>
      <c r="Y1" s="12"/>
      <c r="Z1" s="13" t="s">
        <v>10</v>
      </c>
    </row>
    <row r="2" spans="1:26" ht="15.75" thickTop="1" x14ac:dyDescent="0.25">
      <c r="A2" s="2"/>
      <c r="B2" s="2" t="s">
        <v>11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"/>
      <c r="U2" s="2"/>
      <c r="V2" s="4"/>
      <c r="W2" s="2"/>
      <c r="X2" s="4"/>
      <c r="Y2" s="2"/>
      <c r="Z2" s="4"/>
    </row>
    <row r="3" spans="1:26" x14ac:dyDescent="0.25">
      <c r="A3" s="2"/>
      <c r="B3" s="2"/>
      <c r="C3" s="2" t="s">
        <v>12</v>
      </c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  <c r="U3" s="2"/>
      <c r="V3" s="4"/>
      <c r="W3" s="2"/>
      <c r="X3" s="4"/>
      <c r="Y3" s="2"/>
      <c r="Z3" s="4"/>
    </row>
    <row r="4" spans="1:26" x14ac:dyDescent="0.25">
      <c r="A4" s="5"/>
      <c r="B4" s="5"/>
      <c r="C4" s="5"/>
      <c r="D4" s="5"/>
      <c r="E4" s="5"/>
      <c r="F4" s="5" t="s">
        <v>16</v>
      </c>
      <c r="G4" s="5"/>
      <c r="H4" s="6">
        <v>45163</v>
      </c>
      <c r="I4" s="5"/>
      <c r="J4" s="5" t="s">
        <v>17</v>
      </c>
      <c r="K4" s="5"/>
      <c r="L4" s="5" t="s">
        <v>25</v>
      </c>
      <c r="M4" s="5"/>
      <c r="N4" s="5" t="s">
        <v>27</v>
      </c>
      <c r="O4" s="5"/>
      <c r="P4" s="7"/>
      <c r="Q4" s="5"/>
      <c r="R4" s="5" t="s">
        <v>35</v>
      </c>
      <c r="S4" s="5"/>
      <c r="T4" s="8">
        <v>400</v>
      </c>
      <c r="U4" s="5"/>
      <c r="V4" s="8"/>
      <c r="W4" s="5"/>
      <c r="X4" s="8">
        <v>400</v>
      </c>
      <c r="Y4" s="5"/>
      <c r="Z4" s="8">
        <v>8441.68</v>
      </c>
    </row>
    <row r="5" spans="1:26" x14ac:dyDescent="0.25">
      <c r="A5" s="5"/>
      <c r="B5" s="5"/>
      <c r="C5" s="5"/>
      <c r="D5" s="5"/>
      <c r="E5" s="5"/>
      <c r="F5" s="5" t="s">
        <v>16</v>
      </c>
      <c r="G5" s="5"/>
      <c r="H5" s="6">
        <v>45467</v>
      </c>
      <c r="I5" s="5"/>
      <c r="J5" s="5" t="s">
        <v>18</v>
      </c>
      <c r="K5" s="5"/>
      <c r="L5" s="5" t="s">
        <v>25</v>
      </c>
      <c r="M5" s="5"/>
      <c r="N5" s="5" t="s">
        <v>28</v>
      </c>
      <c r="O5" s="5"/>
      <c r="P5" s="7"/>
      <c r="Q5" s="5"/>
      <c r="R5" s="5" t="s">
        <v>35</v>
      </c>
      <c r="S5" s="5"/>
      <c r="T5" s="8">
        <v>3404.8</v>
      </c>
      <c r="U5" s="5"/>
      <c r="V5" s="8"/>
      <c r="W5" s="5"/>
      <c r="X5" s="8">
        <v>3404.8</v>
      </c>
      <c r="Y5" s="5"/>
      <c r="Z5" s="8">
        <v>3804.8</v>
      </c>
    </row>
    <row r="6" spans="1:26" x14ac:dyDescent="0.25">
      <c r="A6" s="5"/>
      <c r="B6" s="5"/>
      <c r="C6" s="5"/>
      <c r="D6" s="5"/>
      <c r="E6" s="5"/>
      <c r="F6" s="5" t="s">
        <v>16</v>
      </c>
      <c r="G6" s="5"/>
      <c r="H6" s="6">
        <v>45547</v>
      </c>
      <c r="I6" s="5"/>
      <c r="J6" s="5" t="s">
        <v>19</v>
      </c>
      <c r="K6" s="5"/>
      <c r="L6" s="5" t="s">
        <v>26</v>
      </c>
      <c r="M6" s="5"/>
      <c r="N6" s="5" t="s">
        <v>29</v>
      </c>
      <c r="O6" s="5"/>
      <c r="P6" s="7"/>
      <c r="Q6" s="5"/>
      <c r="R6" s="5" t="s">
        <v>35</v>
      </c>
      <c r="S6" s="5"/>
      <c r="T6" s="8">
        <v>695</v>
      </c>
      <c r="U6" s="5"/>
      <c r="V6" s="8"/>
      <c r="W6" s="5"/>
      <c r="X6" s="8">
        <v>695</v>
      </c>
      <c r="Y6" s="5"/>
      <c r="Z6" s="8">
        <v>9622.61</v>
      </c>
    </row>
    <row r="7" spans="1:26" x14ac:dyDescent="0.25">
      <c r="A7" s="5"/>
      <c r="B7" s="5"/>
      <c r="C7" s="5"/>
      <c r="D7" s="5"/>
      <c r="E7" s="5"/>
      <c r="F7" s="5" t="s">
        <v>16</v>
      </c>
      <c r="G7" s="5"/>
      <c r="H7" s="6">
        <v>45635</v>
      </c>
      <c r="I7" s="5"/>
      <c r="J7" s="5" t="s">
        <v>20</v>
      </c>
      <c r="K7" s="5"/>
      <c r="L7" s="5" t="s">
        <v>26</v>
      </c>
      <c r="M7" s="5"/>
      <c r="N7" s="5" t="s">
        <v>30</v>
      </c>
      <c r="O7" s="5"/>
      <c r="P7" s="7"/>
      <c r="Q7" s="5"/>
      <c r="R7" s="5" t="s">
        <v>35</v>
      </c>
      <c r="S7" s="5"/>
      <c r="T7" s="8">
        <v>1365</v>
      </c>
      <c r="U7" s="5"/>
      <c r="V7" s="8"/>
      <c r="W7" s="5"/>
      <c r="X7" s="8">
        <v>1365</v>
      </c>
      <c r="Y7" s="5"/>
      <c r="Z7" s="8">
        <v>10987.61</v>
      </c>
    </row>
    <row r="8" spans="1:26" x14ac:dyDescent="0.25">
      <c r="A8" s="5"/>
      <c r="B8" s="5"/>
      <c r="C8" s="5"/>
      <c r="D8" s="5"/>
      <c r="E8" s="5"/>
      <c r="F8" s="5" t="s">
        <v>16</v>
      </c>
      <c r="G8" s="5"/>
      <c r="H8" s="6">
        <v>45705</v>
      </c>
      <c r="I8" s="5"/>
      <c r="J8" s="5" t="s">
        <v>21</v>
      </c>
      <c r="K8" s="5"/>
      <c r="L8" s="5" t="s">
        <v>26</v>
      </c>
      <c r="M8" s="5"/>
      <c r="N8" s="5" t="s">
        <v>31</v>
      </c>
      <c r="O8" s="5"/>
      <c r="P8" s="7"/>
      <c r="Q8" s="5"/>
      <c r="R8" s="5" t="s">
        <v>35</v>
      </c>
      <c r="S8" s="5"/>
      <c r="T8" s="8">
        <v>2407.5</v>
      </c>
      <c r="U8" s="5"/>
      <c r="V8" s="8"/>
      <c r="W8" s="5"/>
      <c r="X8" s="8">
        <v>2407.5</v>
      </c>
      <c r="Y8" s="5"/>
      <c r="Z8" s="8">
        <v>5042.5</v>
      </c>
    </row>
    <row r="9" spans="1:26" x14ac:dyDescent="0.25">
      <c r="A9" s="5"/>
      <c r="B9" s="5"/>
      <c r="C9" s="5"/>
      <c r="D9" s="5"/>
      <c r="E9" s="5"/>
      <c r="F9" s="5" t="s">
        <v>16</v>
      </c>
      <c r="G9" s="5"/>
      <c r="H9" s="6">
        <v>45891</v>
      </c>
      <c r="I9" s="5"/>
      <c r="J9" s="5" t="s">
        <v>22</v>
      </c>
      <c r="K9" s="5"/>
      <c r="L9" s="5" t="s">
        <v>26</v>
      </c>
      <c r="M9" s="5"/>
      <c r="N9" s="5" t="s">
        <v>32</v>
      </c>
      <c r="O9" s="5"/>
      <c r="P9" s="7"/>
      <c r="Q9" s="5"/>
      <c r="R9" s="5" t="s">
        <v>35</v>
      </c>
      <c r="S9" s="5"/>
      <c r="T9" s="8">
        <v>2387.5</v>
      </c>
      <c r="U9" s="5"/>
      <c r="V9" s="8"/>
      <c r="W9" s="5"/>
      <c r="X9" s="8">
        <v>2387.5</v>
      </c>
      <c r="Y9" s="5"/>
      <c r="Z9" s="8">
        <v>7430</v>
      </c>
    </row>
    <row r="10" spans="1:26" x14ac:dyDescent="0.25">
      <c r="A10" s="5"/>
      <c r="B10" s="5"/>
      <c r="C10" s="5"/>
      <c r="D10" s="5"/>
      <c r="E10" s="5"/>
      <c r="F10" s="5" t="s">
        <v>16</v>
      </c>
      <c r="G10" s="5"/>
      <c r="H10" s="6">
        <v>45910</v>
      </c>
      <c r="I10" s="5"/>
      <c r="J10" s="5" t="s">
        <v>23</v>
      </c>
      <c r="K10" s="5"/>
      <c r="L10" s="5" t="s">
        <v>26</v>
      </c>
      <c r="M10" s="5"/>
      <c r="N10" s="5" t="s">
        <v>33</v>
      </c>
      <c r="O10" s="5"/>
      <c r="P10" s="7"/>
      <c r="Q10" s="5"/>
      <c r="R10" s="5" t="s">
        <v>35</v>
      </c>
      <c r="S10" s="5"/>
      <c r="T10" s="8">
        <v>2440</v>
      </c>
      <c r="U10" s="5"/>
      <c r="V10" s="8"/>
      <c r="W10" s="5"/>
      <c r="X10" s="8">
        <v>2440</v>
      </c>
      <c r="Y10" s="5"/>
      <c r="Z10" s="8">
        <v>9870</v>
      </c>
    </row>
    <row r="11" spans="1:26" ht="15.75" thickBot="1" x14ac:dyDescent="0.3">
      <c r="A11" s="5"/>
      <c r="B11" s="5"/>
      <c r="C11" s="5"/>
      <c r="D11" s="5"/>
      <c r="E11" s="5"/>
      <c r="F11" s="5" t="s">
        <v>16</v>
      </c>
      <c r="G11" s="5"/>
      <c r="H11" s="6">
        <v>45910</v>
      </c>
      <c r="I11" s="5"/>
      <c r="J11" s="5" t="s">
        <v>24</v>
      </c>
      <c r="K11" s="5"/>
      <c r="L11" s="5" t="s">
        <v>26</v>
      </c>
      <c r="M11" s="5"/>
      <c r="N11" s="5" t="s">
        <v>34</v>
      </c>
      <c r="O11" s="5"/>
      <c r="P11" s="7"/>
      <c r="Q11" s="5"/>
      <c r="R11" s="5" t="s">
        <v>35</v>
      </c>
      <c r="S11" s="5"/>
      <c r="T11" s="8">
        <v>1522.5</v>
      </c>
      <c r="U11" s="5"/>
      <c r="V11" s="8"/>
      <c r="W11" s="5"/>
      <c r="X11" s="8">
        <v>1522.5</v>
      </c>
      <c r="Y11" s="5"/>
      <c r="Z11" s="8">
        <v>11392.5</v>
      </c>
    </row>
    <row r="12" spans="1:26" ht="15.75" thickBot="1" x14ac:dyDescent="0.3">
      <c r="A12" s="5"/>
      <c r="B12" s="5"/>
      <c r="C12" s="5" t="s">
        <v>13</v>
      </c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9">
        <f>ROUND(SUM(T3:T11),5)</f>
        <v>14622.3</v>
      </c>
      <c r="U12" s="5"/>
      <c r="V12" s="9">
        <f>ROUND(SUM(V3:V11),5)</f>
        <v>0</v>
      </c>
      <c r="W12" s="5"/>
      <c r="X12" s="8"/>
      <c r="Y12" s="5"/>
      <c r="Z12" s="9" t="e">
        <f>#REF!</f>
        <v>#REF!</v>
      </c>
    </row>
    <row r="13" spans="1:26" ht="15.75" thickBot="1" x14ac:dyDescent="0.3">
      <c r="A13" s="5"/>
      <c r="B13" s="5" t="s">
        <v>14</v>
      </c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9">
        <f>T12</f>
        <v>14622.3</v>
      </c>
      <c r="U13" s="5"/>
      <c r="V13" s="9">
        <f>V12</f>
        <v>0</v>
      </c>
      <c r="W13" s="5"/>
      <c r="X13" s="8"/>
      <c r="Y13" s="5"/>
      <c r="Z13" s="9" t="e">
        <f>Z12</f>
        <v>#REF!</v>
      </c>
    </row>
    <row r="14" spans="1:26" s="11" customFormat="1" ht="12" thickBot="1" x14ac:dyDescent="0.25">
      <c r="A14" s="2" t="s">
        <v>15</v>
      </c>
      <c r="B14" s="2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0">
        <f>T13</f>
        <v>14622.3</v>
      </c>
      <c r="U14" s="2"/>
      <c r="V14" s="10">
        <f>V13</f>
        <v>0</v>
      </c>
      <c r="W14" s="2"/>
      <c r="X14" s="4"/>
      <c r="Y14" s="2"/>
      <c r="Z14" s="10" t="e">
        <f>Z13</f>
        <v>#REF!</v>
      </c>
    </row>
    <row r="15" spans="1:26" ht="15.75" thickTop="1" x14ac:dyDescent="0.25"/>
  </sheetData>
  <pageMargins left="0.7" right="0.7" top="0.75" bottom="0.75" header="0.1" footer="0.3"/>
  <pageSetup orientation="portrait" r:id="rId1"/>
  <headerFooter>
    <oddHeader>&amp;L&amp;"Arial,Bold"&amp;8 2:48 PM
&amp;"Arial,Bold"&amp;8 05/07/26
&amp;"Arial,Bold"&amp;8 Cash Basis&amp;C&amp;"Arial,Bold"&amp;12 WILMINGTON ARMS HOUSING LP
&amp;"Arial,Bold"&amp;14 Transaction Detail By Account
&amp;"Arial,Bold"&amp;10 January 2023 through December 2025</oddHead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Chriqui</dc:creator>
  <cp:lastModifiedBy>Nicole Chriqui</cp:lastModifiedBy>
  <dcterms:created xsi:type="dcterms:W3CDTF">2026-05-07T21:47:49Z</dcterms:created>
  <dcterms:modified xsi:type="dcterms:W3CDTF">2026-05-07T21:48:43Z</dcterms:modified>
</cp:coreProperties>
</file>