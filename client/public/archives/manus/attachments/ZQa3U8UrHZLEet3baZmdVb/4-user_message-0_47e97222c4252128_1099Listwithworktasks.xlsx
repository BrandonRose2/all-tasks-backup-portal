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blake\Desktop\"/>
    </mc:Choice>
  </mc:AlternateContent>
  <xr:revisionPtr revIDLastSave="0" documentId="13_ncr:1_{214052AB-D434-4375-AB92-A0755FC16ED8}" xr6:coauthVersionLast="47" xr6:coauthVersionMax="47" xr10:uidLastSave="{00000000-0000-0000-0000-000000000000}"/>
  <bookViews>
    <workbookView xWindow="-120" yWindow="-120" windowWidth="29040" windowHeight="15840" xr2:uid="{AA38F3F8-EA71-4CA2-987C-044D51829EBB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Sheet1!#REF!</definedName>
    <definedName name="QB_COLUMN_20" localSheetId="0" hidden="1">Sheet1!#REF!</definedName>
    <definedName name="QB_COLUMN_3" localSheetId="0" hidden="1">Sheet1!$E$1</definedName>
    <definedName name="QB_COLUMN_30" localSheetId="0" hidden="1">Sheet1!$O$1</definedName>
    <definedName name="QB_COLUMN_4" localSheetId="0" hidden="1">Sheet1!$G$1</definedName>
    <definedName name="QB_COLUMN_5" localSheetId="0" hidden="1">Sheet1!$I$1</definedName>
    <definedName name="QB_COLUMN_7" localSheetId="0" hidden="1">Sheet1!$K$1</definedName>
    <definedName name="QB_COLUMN_8" localSheetId="0" hidden="1">Sheet1!$M$1</definedName>
    <definedName name="QB_DATA_0" localSheetId="0" hidden="1">Sheet1!#REF!,Sheet1!#REF!,Sheet1!#REF!,Sheet1!$3:$3,Sheet1!$4:$4,Sheet1!$6:$6,Sheet1!$7:$7,Sheet1!$8:$8,Sheet1!$10:$10,Sheet1!$11:$11,Sheet1!$12:$12,Sheet1!$14:$14,Sheet1!$15:$15,Sheet1!$16:$16,Sheet1!$18:$18,Sheet1!$19:$19</definedName>
    <definedName name="QB_DATA_1" localSheetId="0" hidden="1">Sheet1!$20:$20,Sheet1!$21:$21,Sheet1!$22:$22,Sheet1!$23:$23,Sheet1!$25:$25,Sheet1!$26:$26,Sheet1!$27:$27,Sheet1!$29:$29,Sheet1!$30:$30,Sheet1!$31:$31,Sheet1!$32:$32</definedName>
    <definedName name="QB_FORMULA_0" localSheetId="0" hidden="1">Sheet1!$O$33,Sheet1!$O$34,Sheet1!$O$35</definedName>
    <definedName name="QB_ROW_110020" localSheetId="0" hidden="1">Sheet1!$C$2</definedName>
    <definedName name="QB_ROW_110320" localSheetId="0" hidden="1">Sheet1!$C$33</definedName>
    <definedName name="QB_ROW_252010" localSheetId="0" hidden="1">Sheet1!#REF!</definedName>
    <definedName name="QB_ROW_252310" localSheetId="0" hidden="1">Sheet1!$B$34</definedName>
    <definedName name="QB_ROW_25301" localSheetId="0" hidden="1">Sheet1!$A$35</definedName>
    <definedName name="QB_ROW_56010" localSheetId="0" hidden="1">Sheet1!#REF!</definedName>
    <definedName name="QB_ROW_56310" localSheetId="0" hidden="1">Sheet1!#REF!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61</definedName>
    <definedName name="QBROWHEADERS" localSheetId="0">3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1" i="1" l="1"/>
  <c r="P27" i="1"/>
  <c r="P23" i="1"/>
  <c r="P16" i="1"/>
  <c r="P12" i="1"/>
  <c r="P8" i="1"/>
  <c r="O33" i="1"/>
</calcChain>
</file>

<file path=xl/sharedStrings.xml><?xml version="1.0" encoding="utf-8"?>
<sst xmlns="http://schemas.openxmlformats.org/spreadsheetml/2006/main" count="104" uniqueCount="60">
  <si>
    <t>Type</t>
  </si>
  <si>
    <t>Date</t>
  </si>
  <si>
    <t>Num</t>
  </si>
  <si>
    <t>Name</t>
  </si>
  <si>
    <t>Memo</t>
  </si>
  <si>
    <t>Amount</t>
  </si>
  <si>
    <t>6520-05 · Maintenance-General</t>
  </si>
  <si>
    <t>Total 6520-05 · Maintenance-General</t>
  </si>
  <si>
    <t>Bill</t>
  </si>
  <si>
    <t>DD071025-PAY</t>
  </si>
  <si>
    <t>DA071025-PAY</t>
  </si>
  <si>
    <t>DS071025-PAY</t>
  </si>
  <si>
    <t>SC071025-PAY</t>
  </si>
  <si>
    <t>OA071025-PAY</t>
  </si>
  <si>
    <t>DD072525-PAY</t>
  </si>
  <si>
    <t>DA072525-PAY</t>
  </si>
  <si>
    <t>DS072525-PAY</t>
  </si>
  <si>
    <t>SC072525-PAY</t>
  </si>
  <si>
    <t>OA072525-PAY</t>
  </si>
  <si>
    <t>DS080825</t>
  </si>
  <si>
    <t>DA080825-PAY</t>
  </si>
  <si>
    <t>DT080525</t>
  </si>
  <si>
    <t>DD080825-PAY</t>
  </si>
  <si>
    <t>SC080825PAY</t>
  </si>
  <si>
    <t>OA080825PAY</t>
  </si>
  <si>
    <t>JL102325-PAY</t>
  </si>
  <si>
    <t>JR110725-PAY</t>
  </si>
  <si>
    <t>JR112025-PAY</t>
  </si>
  <si>
    <t>JR120425-PAY</t>
  </si>
  <si>
    <t>JL121825-PAY</t>
  </si>
  <si>
    <t>JR123125-PAY</t>
  </si>
  <si>
    <t>Devin Dwayne Dotson</t>
  </si>
  <si>
    <t>Donald Anson Jr</t>
  </si>
  <si>
    <t>DONTE STEWART</t>
  </si>
  <si>
    <t>Samuel Carpio</t>
  </si>
  <si>
    <t>Oscar Alvarado</t>
  </si>
  <si>
    <t>DARRYL THROWER</t>
  </si>
  <si>
    <t>Juan Angel Ramos Lopez</t>
  </si>
  <si>
    <t>06/18/25 - 06/30/25</t>
  </si>
  <si>
    <t>06/16/25 - 06/30/25</t>
  </si>
  <si>
    <t>07/01/25 - 07/15/25</t>
  </si>
  <si>
    <t>07/01/25 - 07/15/25 (INCLUDES 07/12/25 &amp; 07/13/25)</t>
  </si>
  <si>
    <t>07/16/25 - 07/25/25</t>
  </si>
  <si>
    <t>0716/25 - 07/25/25</t>
  </si>
  <si>
    <t>07/05/25</t>
  </si>
  <si>
    <t>07/16/25 - 08/01/25</t>
  </si>
  <si>
    <t>SERVICES:10/14/25 - 10/17/25</t>
  </si>
  <si>
    <t>PERIOD: 10/20/25 - 10/31/25</t>
  </si>
  <si>
    <t>11/03/25 - 11/14/25</t>
  </si>
  <si>
    <t>11/17/25 -11/28/25</t>
  </si>
  <si>
    <t>12/01/25 - 12/12/25</t>
  </si>
  <si>
    <t>12/15/25 - 12/26/25</t>
  </si>
  <si>
    <t>Task</t>
  </si>
  <si>
    <t>Paint Building J, K, L</t>
  </si>
  <si>
    <t>Repair and Grind all Cement Trip Hazards.  Repair Cracked Patio Slabs on first floor tenant porches</t>
  </si>
  <si>
    <t xml:space="preserve">Spread Decomposed Grantite throughout entire property and fill all areas of erosion. </t>
  </si>
  <si>
    <t>Fill all Playgrounds, Plant boxes and around all Buildings.</t>
  </si>
  <si>
    <t>Scrape Wilmington Fence, Primer and Repaint both sides Section 1</t>
  </si>
  <si>
    <t>Scrape Wilmington Fence, Primer and Repaint both sides section 2</t>
  </si>
  <si>
    <t>Scrape Wilmington Fence, Primer and Repaint both sides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</si>
</sst>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5" fontId="3" fillId="0" borderId="2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133350</xdr:colOff>
          <xdr:row>1</xdr:row>
          <xdr:rowOff>95250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6751-2E00-4348-9B84-F3B62FE7AE1B}">
  <sheetPr codeName="Sheet1"/>
  <dimension ref="A1:R35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R16" sqref="R16"/>
    </sheetView>
  </sheetViews>
  <sheetFormatPr defaultRowHeight="15" x14ac:dyDescent="0.25"/>
  <cols>
    <col min="1" max="2" width="3" customWidth="1"/>
    <col min="3" max="3" width="3.42578125" customWidth="1"/>
    <col min="4" max="4" width="2.28515625" customWidth="1"/>
    <col min="5" max="5" width="5.42578125" customWidth="1"/>
    <col min="6" max="6" width="2.28515625" customWidth="1"/>
    <col min="7" max="7" width="8.7109375" bestFit="1" customWidth="1"/>
    <col min="8" max="8" width="2.28515625" customWidth="1"/>
    <col min="9" max="9" width="13.42578125" bestFit="1" customWidth="1"/>
    <col min="10" max="10" width="2.28515625" customWidth="1"/>
    <col min="11" max="11" width="19.7109375" bestFit="1" customWidth="1"/>
    <col min="12" max="12" width="2.28515625" customWidth="1"/>
    <col min="13" max="13" width="30.7109375" customWidth="1"/>
    <col min="14" max="14" width="2.28515625" customWidth="1"/>
    <col min="15" max="15" width="7.85546875" bestFit="1" customWidth="1"/>
    <col min="16" max="16" width="10.140625" bestFit="1" customWidth="1"/>
    <col min="18" max="18" width="79.85546875" customWidth="1"/>
  </cols>
  <sheetData>
    <row r="1" spans="1:18" s="12" customFormat="1" ht="11.1" customHeight="1" thickBot="1" x14ac:dyDescent="0.3">
      <c r="A1" s="10"/>
      <c r="B1" s="10"/>
      <c r="C1" s="10"/>
      <c r="D1" s="10"/>
      <c r="E1" s="11" t="s">
        <v>0</v>
      </c>
      <c r="F1" s="10"/>
      <c r="G1" s="11" t="s">
        <v>1</v>
      </c>
      <c r="H1" s="10"/>
      <c r="I1" s="11" t="s">
        <v>2</v>
      </c>
      <c r="J1" s="10"/>
      <c r="K1" s="11" t="s">
        <v>3</v>
      </c>
      <c r="L1" s="10"/>
      <c r="M1" s="11" t="s">
        <v>4</v>
      </c>
      <c r="N1" s="10"/>
      <c r="O1" s="11" t="s">
        <v>5</v>
      </c>
    </row>
    <row r="2" spans="1:18" ht="18" customHeight="1" thickTop="1" x14ac:dyDescent="0.25">
      <c r="A2" s="1"/>
      <c r="B2" s="1"/>
      <c r="C2" s="1" t="s">
        <v>6</v>
      </c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3"/>
      <c r="R2" t="s">
        <v>52</v>
      </c>
    </row>
    <row r="3" spans="1:18" ht="11.1" customHeight="1" x14ac:dyDescent="0.25">
      <c r="A3" s="5"/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7"/>
    </row>
    <row r="4" spans="1:18" x14ac:dyDescent="0.25">
      <c r="A4" s="5"/>
      <c r="B4" s="5"/>
      <c r="C4" s="5"/>
      <c r="D4" s="5"/>
      <c r="E4" s="5" t="s">
        <v>8</v>
      </c>
      <c r="F4" s="5"/>
      <c r="G4" s="6">
        <v>45874</v>
      </c>
      <c r="H4" s="5"/>
      <c r="I4" s="5" t="s">
        <v>21</v>
      </c>
      <c r="J4" s="5"/>
      <c r="K4" s="5" t="s">
        <v>36</v>
      </c>
      <c r="L4" s="5"/>
      <c r="M4" s="5" t="s">
        <v>44</v>
      </c>
      <c r="N4" s="5"/>
      <c r="O4" s="7">
        <v>136</v>
      </c>
    </row>
    <row r="5" spans="1:18" x14ac:dyDescent="0.25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7"/>
    </row>
    <row r="6" spans="1:18" x14ac:dyDescent="0.25">
      <c r="A6" s="5"/>
      <c r="B6" s="5"/>
      <c r="C6" s="5"/>
      <c r="D6" s="5"/>
      <c r="E6" s="5" t="s">
        <v>8</v>
      </c>
      <c r="F6" s="5"/>
      <c r="G6" s="6">
        <v>45846</v>
      </c>
      <c r="H6" s="5"/>
      <c r="I6" s="5" t="s">
        <v>9</v>
      </c>
      <c r="J6" s="5"/>
      <c r="K6" s="5" t="s">
        <v>31</v>
      </c>
      <c r="L6" s="5"/>
      <c r="M6" s="5" t="s">
        <v>38</v>
      </c>
      <c r="N6" s="5"/>
      <c r="O6" s="7">
        <v>1224</v>
      </c>
    </row>
    <row r="7" spans="1:18" x14ac:dyDescent="0.25">
      <c r="A7" s="5"/>
      <c r="B7" s="5"/>
      <c r="C7" s="5"/>
      <c r="D7" s="5"/>
      <c r="E7" s="5" t="s">
        <v>8</v>
      </c>
      <c r="F7" s="5"/>
      <c r="G7" s="6">
        <v>45860</v>
      </c>
      <c r="H7" s="5"/>
      <c r="I7" s="5" t="s">
        <v>14</v>
      </c>
      <c r="J7" s="5"/>
      <c r="K7" s="5" t="s">
        <v>31</v>
      </c>
      <c r="L7" s="5"/>
      <c r="M7" s="5" t="s">
        <v>40</v>
      </c>
      <c r="N7" s="5"/>
      <c r="O7" s="7">
        <v>1496</v>
      </c>
    </row>
    <row r="8" spans="1:18" x14ac:dyDescent="0.25">
      <c r="A8" s="5"/>
      <c r="B8" s="5"/>
      <c r="C8" s="5"/>
      <c r="D8" s="5"/>
      <c r="E8" s="5" t="s">
        <v>8</v>
      </c>
      <c r="F8" s="5"/>
      <c r="G8" s="6">
        <v>45874</v>
      </c>
      <c r="H8" s="5"/>
      <c r="I8" s="5" t="s">
        <v>22</v>
      </c>
      <c r="J8" s="5"/>
      <c r="K8" s="5" t="s">
        <v>31</v>
      </c>
      <c r="L8" s="5"/>
      <c r="M8" s="5" t="s">
        <v>42</v>
      </c>
      <c r="N8" s="5"/>
      <c r="O8" s="7">
        <v>1088</v>
      </c>
      <c r="P8" s="4">
        <f>SUM(O6:O8)</f>
        <v>3808</v>
      </c>
      <c r="R8" t="s">
        <v>57</v>
      </c>
    </row>
    <row r="9" spans="1:18" x14ac:dyDescent="0.25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5"/>
      <c r="M9" s="5"/>
      <c r="N9" s="5"/>
      <c r="O9" s="7"/>
      <c r="P9" s="13"/>
    </row>
    <row r="10" spans="1:18" x14ac:dyDescent="0.25">
      <c r="A10" s="5"/>
      <c r="B10" s="5"/>
      <c r="C10" s="5"/>
      <c r="D10" s="5"/>
      <c r="E10" s="5" t="s">
        <v>8</v>
      </c>
      <c r="F10" s="5"/>
      <c r="G10" s="6">
        <v>45846</v>
      </c>
      <c r="H10" s="5"/>
      <c r="I10" s="5" t="s">
        <v>10</v>
      </c>
      <c r="J10" s="5"/>
      <c r="K10" s="5" t="s">
        <v>32</v>
      </c>
      <c r="L10" s="5"/>
      <c r="M10" s="5" t="s">
        <v>38</v>
      </c>
      <c r="N10" s="5"/>
      <c r="O10" s="7">
        <v>1224</v>
      </c>
      <c r="P10" s="13"/>
    </row>
    <row r="11" spans="1:18" x14ac:dyDescent="0.25">
      <c r="A11" s="5"/>
      <c r="B11" s="5"/>
      <c r="C11" s="5"/>
      <c r="D11" s="5"/>
      <c r="E11" s="5" t="s">
        <v>8</v>
      </c>
      <c r="F11" s="5"/>
      <c r="G11" s="6">
        <v>45860</v>
      </c>
      <c r="H11" s="5"/>
      <c r="I11" s="5" t="s">
        <v>15</v>
      </c>
      <c r="J11" s="5"/>
      <c r="K11" s="5" t="s">
        <v>32</v>
      </c>
      <c r="L11" s="5"/>
      <c r="M11" s="5" t="s">
        <v>40</v>
      </c>
      <c r="N11" s="5"/>
      <c r="O11" s="7">
        <v>1496</v>
      </c>
      <c r="P11" s="13"/>
    </row>
    <row r="12" spans="1:18" x14ac:dyDescent="0.25">
      <c r="A12" s="5"/>
      <c r="B12" s="5"/>
      <c r="C12" s="5"/>
      <c r="D12" s="5"/>
      <c r="E12" s="5" t="s">
        <v>8</v>
      </c>
      <c r="F12" s="5"/>
      <c r="G12" s="6">
        <v>45874</v>
      </c>
      <c r="H12" s="5"/>
      <c r="I12" s="5" t="s">
        <v>20</v>
      </c>
      <c r="J12" s="5"/>
      <c r="K12" s="5" t="s">
        <v>32</v>
      </c>
      <c r="L12" s="5"/>
      <c r="M12" s="5" t="s">
        <v>43</v>
      </c>
      <c r="N12" s="5"/>
      <c r="O12" s="7">
        <v>1088</v>
      </c>
      <c r="P12" s="4">
        <f>SUM(O10:O12)</f>
        <v>3808</v>
      </c>
      <c r="R12" t="s">
        <v>58</v>
      </c>
    </row>
    <row r="13" spans="1:18" x14ac:dyDescent="0.25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O13" s="7"/>
      <c r="P13" s="13"/>
    </row>
    <row r="14" spans="1:18" x14ac:dyDescent="0.25">
      <c r="A14" s="5"/>
      <c r="B14" s="5"/>
      <c r="C14" s="5"/>
      <c r="D14" s="5"/>
      <c r="E14" s="5" t="s">
        <v>8</v>
      </c>
      <c r="F14" s="5"/>
      <c r="G14" s="6">
        <v>45846</v>
      </c>
      <c r="H14" s="5"/>
      <c r="I14" s="5" t="s">
        <v>11</v>
      </c>
      <c r="J14" s="5"/>
      <c r="K14" s="5" t="s">
        <v>33</v>
      </c>
      <c r="L14" s="5"/>
      <c r="M14" s="5" t="s">
        <v>38</v>
      </c>
      <c r="N14" s="5"/>
      <c r="O14" s="7">
        <v>1224</v>
      </c>
      <c r="P14" s="13"/>
    </row>
    <row r="15" spans="1:18" x14ac:dyDescent="0.25">
      <c r="A15" s="5"/>
      <c r="B15" s="5"/>
      <c r="C15" s="5"/>
      <c r="D15" s="5"/>
      <c r="E15" s="5" t="s">
        <v>8</v>
      </c>
      <c r="F15" s="5"/>
      <c r="G15" s="6">
        <v>45860</v>
      </c>
      <c r="H15" s="5"/>
      <c r="I15" s="5" t="s">
        <v>16</v>
      </c>
      <c r="J15" s="5"/>
      <c r="K15" s="5" t="s">
        <v>33</v>
      </c>
      <c r="L15" s="5"/>
      <c r="M15" s="5" t="s">
        <v>40</v>
      </c>
      <c r="N15" s="5"/>
      <c r="O15" s="7">
        <v>1496</v>
      </c>
      <c r="P15" s="13"/>
    </row>
    <row r="16" spans="1:18" x14ac:dyDescent="0.25">
      <c r="A16" s="5"/>
      <c r="B16" s="5"/>
      <c r="C16" s="5"/>
      <c r="D16" s="5"/>
      <c r="E16" s="5" t="s">
        <v>8</v>
      </c>
      <c r="F16" s="5"/>
      <c r="G16" s="6">
        <v>45874</v>
      </c>
      <c r="H16" s="5"/>
      <c r="I16" s="5" t="s">
        <v>19</v>
      </c>
      <c r="J16" s="5"/>
      <c r="K16" s="5" t="s">
        <v>33</v>
      </c>
      <c r="L16" s="5"/>
      <c r="M16" s="5" t="s">
        <v>42</v>
      </c>
      <c r="N16" s="5"/>
      <c r="O16" s="7">
        <v>1088</v>
      </c>
      <c r="P16" s="4">
        <f>SUM(O14:O16)</f>
        <v>3808</v>
      </c>
      <c r="R16" t="s">
        <v>59</v>
      </c>
    </row>
    <row r="17" spans="1:18" x14ac:dyDescent="0.25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5"/>
      <c r="N17" s="5"/>
      <c r="O17" s="7"/>
      <c r="P17" s="13"/>
    </row>
    <row r="18" spans="1:18" x14ac:dyDescent="0.25">
      <c r="A18" s="5"/>
      <c r="B18" s="5"/>
      <c r="C18" s="5"/>
      <c r="D18" s="5"/>
      <c r="E18" s="5" t="s">
        <v>8</v>
      </c>
      <c r="F18" s="5"/>
      <c r="G18" s="6">
        <v>45953</v>
      </c>
      <c r="H18" s="5"/>
      <c r="I18" s="5" t="s">
        <v>25</v>
      </c>
      <c r="J18" s="5"/>
      <c r="K18" s="5" t="s">
        <v>37</v>
      </c>
      <c r="L18" s="5"/>
      <c r="M18" s="5" t="s">
        <v>46</v>
      </c>
      <c r="N18" s="5"/>
      <c r="O18" s="7">
        <v>800</v>
      </c>
      <c r="P18" s="13"/>
    </row>
    <row r="19" spans="1:18" x14ac:dyDescent="0.25">
      <c r="A19" s="5"/>
      <c r="B19" s="5"/>
      <c r="C19" s="5"/>
      <c r="D19" s="5"/>
      <c r="E19" s="5" t="s">
        <v>8</v>
      </c>
      <c r="F19" s="5"/>
      <c r="G19" s="6">
        <v>45967</v>
      </c>
      <c r="H19" s="5"/>
      <c r="I19" s="5" t="s">
        <v>26</v>
      </c>
      <c r="J19" s="5"/>
      <c r="K19" s="5" t="s">
        <v>37</v>
      </c>
      <c r="L19" s="5"/>
      <c r="M19" s="5" t="s">
        <v>47</v>
      </c>
      <c r="N19" s="5"/>
      <c r="O19" s="7">
        <v>2000</v>
      </c>
      <c r="P19" s="13"/>
    </row>
    <row r="20" spans="1:18" x14ac:dyDescent="0.25">
      <c r="A20" s="5"/>
      <c r="B20" s="5"/>
      <c r="C20" s="5"/>
      <c r="D20" s="5"/>
      <c r="E20" s="5" t="s">
        <v>8</v>
      </c>
      <c r="F20" s="5"/>
      <c r="G20" s="6">
        <v>45980</v>
      </c>
      <c r="H20" s="5"/>
      <c r="I20" s="5" t="s">
        <v>27</v>
      </c>
      <c r="J20" s="5"/>
      <c r="K20" s="5" t="s">
        <v>37</v>
      </c>
      <c r="L20" s="5"/>
      <c r="M20" s="5" t="s">
        <v>48</v>
      </c>
      <c r="N20" s="5"/>
      <c r="O20" s="7">
        <v>2000</v>
      </c>
      <c r="P20" s="13"/>
    </row>
    <row r="21" spans="1:18" x14ac:dyDescent="0.25">
      <c r="A21" s="5"/>
      <c r="B21" s="5"/>
      <c r="C21" s="5"/>
      <c r="D21" s="5"/>
      <c r="E21" s="5" t="s">
        <v>8</v>
      </c>
      <c r="F21" s="5"/>
      <c r="G21" s="6">
        <v>45994</v>
      </c>
      <c r="H21" s="5"/>
      <c r="I21" s="5" t="s">
        <v>28</v>
      </c>
      <c r="J21" s="5"/>
      <c r="K21" s="5" t="s">
        <v>37</v>
      </c>
      <c r="L21" s="5"/>
      <c r="M21" s="5" t="s">
        <v>49</v>
      </c>
      <c r="N21" s="5"/>
      <c r="O21" s="7">
        <v>2000</v>
      </c>
      <c r="P21" s="13"/>
    </row>
    <row r="22" spans="1:18" x14ac:dyDescent="0.25">
      <c r="A22" s="5"/>
      <c r="B22" s="5"/>
      <c r="C22" s="5"/>
      <c r="D22" s="5"/>
      <c r="E22" s="5" t="s">
        <v>8</v>
      </c>
      <c r="F22" s="5"/>
      <c r="G22" s="6">
        <v>46009</v>
      </c>
      <c r="H22" s="5"/>
      <c r="I22" s="5" t="s">
        <v>29</v>
      </c>
      <c r="J22" s="5"/>
      <c r="K22" s="5" t="s">
        <v>37</v>
      </c>
      <c r="L22" s="5"/>
      <c r="M22" s="5" t="s">
        <v>50</v>
      </c>
      <c r="N22" s="5"/>
      <c r="O22" s="7">
        <v>2000</v>
      </c>
      <c r="P22" s="13"/>
    </row>
    <row r="23" spans="1:18" x14ac:dyDescent="0.25">
      <c r="A23" s="5"/>
      <c r="B23" s="5"/>
      <c r="C23" s="5"/>
      <c r="D23" s="5"/>
      <c r="E23" s="5" t="s">
        <v>8</v>
      </c>
      <c r="F23" s="5"/>
      <c r="G23" s="6">
        <v>46021</v>
      </c>
      <c r="H23" s="5"/>
      <c r="I23" s="5" t="s">
        <v>30</v>
      </c>
      <c r="J23" s="5"/>
      <c r="K23" s="5" t="s">
        <v>37</v>
      </c>
      <c r="L23" s="5"/>
      <c r="M23" s="5" t="s">
        <v>51</v>
      </c>
      <c r="N23" s="5"/>
      <c r="O23" s="7">
        <v>2000</v>
      </c>
      <c r="P23" s="4">
        <f>SUM(O18:O23)</f>
        <v>10800</v>
      </c>
      <c r="R23" t="s">
        <v>53</v>
      </c>
    </row>
    <row r="24" spans="1:18" x14ac:dyDescent="0.25">
      <c r="A24" s="5"/>
      <c r="B24" s="5"/>
      <c r="C24" s="5"/>
      <c r="D24" s="5"/>
      <c r="E24" s="5"/>
      <c r="F24" s="5"/>
      <c r="G24" s="6"/>
      <c r="H24" s="5"/>
      <c r="I24" s="5"/>
      <c r="J24" s="5"/>
      <c r="K24" s="5"/>
      <c r="L24" s="5"/>
      <c r="M24" s="5"/>
      <c r="N24" s="5"/>
      <c r="O24" s="7"/>
      <c r="P24" s="13"/>
    </row>
    <row r="25" spans="1:18" x14ac:dyDescent="0.25">
      <c r="A25" s="5"/>
      <c r="B25" s="5"/>
      <c r="C25" s="5"/>
      <c r="D25" s="5"/>
      <c r="E25" s="5" t="s">
        <v>8</v>
      </c>
      <c r="F25" s="5"/>
      <c r="G25" s="6">
        <v>45847</v>
      </c>
      <c r="H25" s="5"/>
      <c r="I25" s="5" t="s">
        <v>13</v>
      </c>
      <c r="J25" s="5"/>
      <c r="K25" s="5" t="s">
        <v>35</v>
      </c>
      <c r="L25" s="5"/>
      <c r="M25" s="5" t="s">
        <v>38</v>
      </c>
      <c r="N25" s="5"/>
      <c r="O25" s="7">
        <v>1512</v>
      </c>
      <c r="P25" s="13"/>
    </row>
    <row r="26" spans="1:18" x14ac:dyDescent="0.25">
      <c r="A26" s="5"/>
      <c r="B26" s="5"/>
      <c r="C26" s="5"/>
      <c r="D26" s="5"/>
      <c r="E26" s="5" t="s">
        <v>8</v>
      </c>
      <c r="F26" s="5"/>
      <c r="G26" s="6">
        <v>45860</v>
      </c>
      <c r="H26" s="5"/>
      <c r="I26" s="5" t="s">
        <v>18</v>
      </c>
      <c r="J26" s="5"/>
      <c r="K26" s="5" t="s">
        <v>35</v>
      </c>
      <c r="L26" s="5"/>
      <c r="M26" s="5" t="s">
        <v>41</v>
      </c>
      <c r="N26" s="5"/>
      <c r="O26" s="7">
        <v>2184</v>
      </c>
      <c r="P26" s="13"/>
    </row>
    <row r="27" spans="1:18" x14ac:dyDescent="0.25">
      <c r="A27" s="5"/>
      <c r="B27" s="5"/>
      <c r="C27" s="5"/>
      <c r="D27" s="5"/>
      <c r="E27" s="5" t="s">
        <v>8</v>
      </c>
      <c r="F27" s="5"/>
      <c r="G27" s="6">
        <v>45874</v>
      </c>
      <c r="H27" s="5"/>
      <c r="I27" s="5" t="s">
        <v>24</v>
      </c>
      <c r="J27" s="5"/>
      <c r="K27" s="5" t="s">
        <v>35</v>
      </c>
      <c r="L27" s="5"/>
      <c r="M27" s="5" t="s">
        <v>45</v>
      </c>
      <c r="N27" s="5"/>
      <c r="O27" s="7">
        <v>2520</v>
      </c>
      <c r="P27" s="4">
        <f>SUM(O25:O27)</f>
        <v>6216</v>
      </c>
      <c r="R27" t="s">
        <v>54</v>
      </c>
    </row>
    <row r="28" spans="1:18" x14ac:dyDescent="0.25">
      <c r="A28" s="5"/>
      <c r="B28" s="5"/>
      <c r="C28" s="5"/>
      <c r="D28" s="5"/>
      <c r="E28" s="5"/>
      <c r="F28" s="5"/>
      <c r="G28" s="6"/>
      <c r="H28" s="5"/>
      <c r="I28" s="5"/>
      <c r="J28" s="5"/>
      <c r="K28" s="5"/>
      <c r="L28" s="5"/>
      <c r="M28" s="5"/>
      <c r="N28" s="5"/>
      <c r="O28" s="7"/>
      <c r="P28" s="13"/>
    </row>
    <row r="29" spans="1:18" x14ac:dyDescent="0.25">
      <c r="A29" s="5"/>
      <c r="B29" s="5"/>
      <c r="C29" s="5"/>
      <c r="D29" s="5"/>
      <c r="E29" s="5" t="s">
        <v>8</v>
      </c>
      <c r="F29" s="5"/>
      <c r="G29" s="6">
        <v>45846</v>
      </c>
      <c r="H29" s="5"/>
      <c r="I29" s="5" t="s">
        <v>12</v>
      </c>
      <c r="J29" s="5"/>
      <c r="K29" s="5" t="s">
        <v>34</v>
      </c>
      <c r="L29" s="5"/>
      <c r="M29" s="5" t="s">
        <v>39</v>
      </c>
      <c r="N29" s="5"/>
      <c r="O29" s="7">
        <v>1496</v>
      </c>
      <c r="P29" s="13"/>
    </row>
    <row r="30" spans="1:18" x14ac:dyDescent="0.25">
      <c r="A30" s="5"/>
      <c r="B30" s="5"/>
      <c r="C30" s="5"/>
      <c r="D30" s="5"/>
      <c r="E30" s="5" t="s">
        <v>8</v>
      </c>
      <c r="F30" s="5"/>
      <c r="G30" s="6">
        <v>45860</v>
      </c>
      <c r="H30" s="5"/>
      <c r="I30" s="5" t="s">
        <v>17</v>
      </c>
      <c r="J30" s="5"/>
      <c r="K30" s="5" t="s">
        <v>34</v>
      </c>
      <c r="L30" s="5"/>
      <c r="M30" s="5" t="s">
        <v>41</v>
      </c>
      <c r="N30" s="5"/>
      <c r="O30" s="7">
        <v>1768</v>
      </c>
      <c r="P30" s="13"/>
      <c r="R30" t="s">
        <v>55</v>
      </c>
    </row>
    <row r="31" spans="1:18" x14ac:dyDescent="0.25">
      <c r="A31" s="5"/>
      <c r="B31" s="5"/>
      <c r="C31" s="5"/>
      <c r="D31" s="5"/>
      <c r="E31" s="5" t="s">
        <v>8</v>
      </c>
      <c r="F31" s="5"/>
      <c r="G31" s="6">
        <v>45874</v>
      </c>
      <c r="H31" s="5"/>
      <c r="I31" s="5" t="s">
        <v>23</v>
      </c>
      <c r="J31" s="5"/>
      <c r="K31" s="5" t="s">
        <v>34</v>
      </c>
      <c r="L31" s="5"/>
      <c r="M31" s="5" t="s">
        <v>42</v>
      </c>
      <c r="N31" s="5"/>
      <c r="O31" s="7">
        <v>1360</v>
      </c>
      <c r="P31" s="4">
        <f>SUM(O29:O31)</f>
        <v>4624</v>
      </c>
      <c r="R31" t="s">
        <v>56</v>
      </c>
    </row>
    <row r="32" spans="1:18" ht="15.75" thickBot="1" x14ac:dyDescent="0.3">
      <c r="A32" s="5"/>
      <c r="B32" s="5"/>
      <c r="C32" s="5"/>
      <c r="D32" s="5"/>
      <c r="E32" s="5"/>
      <c r="F32" s="5"/>
      <c r="G32" s="6"/>
      <c r="H32" s="5"/>
      <c r="I32" s="5"/>
      <c r="J32" s="5"/>
      <c r="K32" s="5"/>
      <c r="L32" s="5"/>
      <c r="M32" s="5"/>
      <c r="N32" s="5"/>
      <c r="O32" s="7"/>
      <c r="P32" s="13"/>
    </row>
    <row r="33" spans="1:16" x14ac:dyDescent="0.25">
      <c r="A33" s="5"/>
      <c r="B33" s="5"/>
      <c r="C33" s="5" t="s">
        <v>7</v>
      </c>
      <c r="D33" s="5"/>
      <c r="E33" s="5"/>
      <c r="F33" s="5"/>
      <c r="G33" s="6"/>
      <c r="H33" s="5"/>
      <c r="I33" s="5"/>
      <c r="J33" s="5"/>
      <c r="K33" s="5"/>
      <c r="L33" s="5"/>
      <c r="M33" s="5"/>
      <c r="N33" s="5"/>
      <c r="O33" s="8">
        <f>ROUND(SUM(O2:O32),5)</f>
        <v>33200</v>
      </c>
    </row>
    <row r="35" spans="1:16" s="9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</sheetData>
  <sortState xmlns:xlrd2="http://schemas.microsoft.com/office/spreadsheetml/2017/richdata2" ref="E4:O31">
    <sortCondition ref="K4:K31"/>
  </sortState>
  <pageMargins left="0.7" right="0.7" top="0.75" bottom="0.75" header="0.1" footer="0.3"/>
  <pageSetup orientation="landscape" r:id="rId1"/>
  <headerFooter>
    <oddHeader>&amp;L&amp;"Arial,Bold"&amp;8 5:08 PM
&amp;"Arial,Bold"&amp;8 05/01/26
&amp;"Arial,Bold"&amp;8 Accrual Basis&amp;C&amp;"Arial,Bold"&amp;12 WILMINGTON ARMS HOUSING LP
&amp;"Arial,Bold"&amp;14 Account QuickReport
&amp;"Arial,Bold"&amp;10 January 2023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133350</xdr:colOff>
                <xdr:row>1</xdr:row>
                <xdr:rowOff>95250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Chriqui</dc:creator>
  <cp:lastModifiedBy>Blake Weddington</cp:lastModifiedBy>
  <cp:lastPrinted>2026-05-02T00:10:54Z</cp:lastPrinted>
  <dcterms:created xsi:type="dcterms:W3CDTF">2026-05-02T00:07:47Z</dcterms:created>
  <dcterms:modified xsi:type="dcterms:W3CDTF">2026-05-04T18:38:44Z</dcterms:modified>
</cp:coreProperties>
</file>